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Universal Mastercurve" sheetId="52" r:id="rId7"/>
    <sheet name="Shiftfunktion bestimmen" sheetId="44" r:id="rId8"/>
    <sheet name="creep_res-40" sheetId="2" r:id="rId9"/>
    <sheet name="creep_res0" sheetId="34" r:id="rId10"/>
    <sheet name="creep_res25" sheetId="4" r:id="rId11"/>
    <sheet name="creep_res50" sheetId="5" r:id="rId12"/>
    <sheet name="creep_res80" sheetId="11" r:id="rId13"/>
    <sheet name="creep_res125" sheetId="36" r:id="rId14"/>
    <sheet name="creep_res160" sheetId="35" r:id="rId15"/>
  </sheets>
  <definedNames>
    <definedName name="creep_res_25" localSheetId="8">'creep_res-40'!$A$1:$J$33</definedName>
    <definedName name="creep_res110" localSheetId="14">creep_res160!$A$1:$J$33</definedName>
    <definedName name="creep_res120" localSheetId="13">creep_res125!$A$1:$J$33</definedName>
    <definedName name="creep_res50" localSheetId="9">creep_res0!$A$1:$J$33</definedName>
    <definedName name="creep_res75_1" localSheetId="10">creep_res25!$A$1:$J$33</definedName>
    <definedName name="creep_res80" localSheetId="11">creep_res50!$A$1:$J$33</definedName>
    <definedName name="CTE_res100" localSheetId="2">CTE!$A$1:$J$14</definedName>
    <definedName name="res_z80" localSheetId="12">creep_res80!$A$1:$J$33</definedName>
    <definedName name="solver_adj" localSheetId="5" hidden="1">'Mastercurve bestimmen'!$B$126:$H$126</definedName>
    <definedName name="solver_adj" localSheetId="6" hidden="1">'Universal Mastercurve'!$B$110:$B$141</definedName>
    <definedName name="solver_cvg" localSheetId="5" hidden="1">0.000000000000001</definedName>
    <definedName name="solver_cvg" localSheetId="6" hidden="1">"""""""0,0001"""""""</definedName>
    <definedName name="solver_drv" localSheetId="5" hidden="1">1</definedName>
    <definedName name="solver_drv" localSheetId="6" hidden="1">2</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'Mastercurve bestimmen'!$C$18:$C$48</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0.000000000000001</definedName>
    <definedName name="solver_mrt" localSheetId="6" hidden="1">"""""""0,075"""""""</definedName>
    <definedName name="solver_msl" localSheetId="5" hidden="1">2</definedName>
    <definedName name="solver_msl" localSheetId="6" hidden="1">2</definedName>
    <definedName name="solver_neg" localSheetId="5" hidden="1">2</definedName>
    <definedName name="solver_neg" localSheetId="6" hidden="1">1</definedName>
    <definedName name="solver_nod" localSheetId="5" hidden="1">2147483647</definedName>
    <definedName name="solver_nod" localSheetId="6" hidden="1">2147483647</definedName>
    <definedName name="solver_num" localSheetId="5" hidden="1">0</definedName>
    <definedName name="solver_num" localSheetId="6" hidden="1">0</definedName>
    <definedName name="solver_nwt" localSheetId="5" hidden="1">1</definedName>
    <definedName name="solver_nwt" localSheetId="6" hidden="1">1</definedName>
    <definedName name="solver_opt" localSheetId="5" hidden="1">'Mastercurve bestimmen'!$A$121</definedName>
    <definedName name="solver_opt" localSheetId="6" hidden="1">'Universal Mastercurve'!$G$146</definedName>
    <definedName name="solver_pre" localSheetId="5" hidden="1">0.000000000000001</definedName>
    <definedName name="solver_pre" localSheetId="6" hidden="1">"""""""0,000001"""""""</definedName>
    <definedName name="solver_rbv" localSheetId="5" hidden="1">2</definedName>
    <definedName name="solver_rbv" localSheetId="6" hidden="1">2</definedName>
    <definedName name="solver_rel1" localSheetId="5" hidden="1">3</definedName>
    <definedName name="solver_rhs1" localSheetId="5" hidden="1">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2</definedName>
    <definedName name="solver_scl" localSheetId="6" hidden="1">2</definedName>
    <definedName name="solver_sho" localSheetId="5" hidden="1">2</definedName>
    <definedName name="solver_sho" localSheetId="6" hidden="1">2</definedName>
    <definedName name="solver_ssz" localSheetId="5" hidden="1">0</definedName>
    <definedName name="solver_ssz" localSheetId="6" hidden="1">100</definedName>
    <definedName name="solver_tim" localSheetId="5" hidden="1">2147483647</definedName>
    <definedName name="solver_tim" localSheetId="6" hidden="1">2147483647</definedName>
    <definedName name="solver_tol" localSheetId="5" hidden="1">1</definedName>
    <definedName name="solver_tol" localSheetId="6" hidden="1">1</definedName>
    <definedName name="solver_typ" localSheetId="5" hidden="1">2</definedName>
    <definedName name="solver_typ" localSheetId="6" hidden="1">2</definedName>
    <definedName name="solver_val" localSheetId="5" hidden="1">0</definedName>
    <definedName name="solver_val" localSheetId="6" hidden="1">0</definedName>
    <definedName name="solver_ver" localSheetId="5" hidden="1">3</definedName>
    <definedName name="solver_ver" localSheetId="6" hidden="1">3</definedName>
    <definedName name="STUTT" localSheetId="3">STUTT!$A$1:$D$10</definedName>
  </definedNames>
  <calcPr calcId="152511"/>
</workbook>
</file>

<file path=xl/calcChain.xml><?xml version="1.0" encoding="utf-8"?>
<calcChain xmlns="http://schemas.openxmlformats.org/spreadsheetml/2006/main">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144" i="52" l="1"/>
  <c r="G108" i="52"/>
  <c r="H108" i="52"/>
  <c r="I108" i="52"/>
  <c r="J108" i="52"/>
  <c r="K108" i="52"/>
  <c r="L108" i="52"/>
  <c r="M108" i="52"/>
  <c r="N108" i="52"/>
  <c r="O108" i="52"/>
  <c r="P108" i="52"/>
  <c r="Q108" i="52"/>
  <c r="R108" i="52"/>
  <c r="S108" i="52"/>
  <c r="T108" i="52"/>
  <c r="U108" i="52"/>
  <c r="V108" i="52"/>
  <c r="W108" i="52"/>
  <c r="X108" i="52"/>
  <c r="Y108" i="52"/>
  <c r="Z108" i="52"/>
  <c r="AA108" i="52"/>
  <c r="AB108" i="52"/>
  <c r="AC108" i="52"/>
  <c r="AD108" i="52"/>
  <c r="AE108" i="52"/>
  <c r="AF108" i="52"/>
  <c r="AG108" i="52"/>
  <c r="AH108" i="52"/>
  <c r="AI108" i="52"/>
  <c r="AJ108" i="52"/>
  <c r="F108" i="52"/>
  <c r="A132" i="52"/>
  <c r="A133" i="52" s="1"/>
  <c r="A111" i="52"/>
  <c r="A73" i="52"/>
  <c r="A74" i="52"/>
  <c r="A75" i="52"/>
  <c r="A76" i="52"/>
  <c r="A77" i="52"/>
  <c r="A78" i="52"/>
  <c r="A79" i="52"/>
  <c r="A80" i="52"/>
  <c r="A81" i="52"/>
  <c r="A82" i="52"/>
  <c r="A83" i="52"/>
  <c r="A84" i="52"/>
  <c r="A85" i="52"/>
  <c r="A86" i="52"/>
  <c r="A87" i="52"/>
  <c r="A88" i="52"/>
  <c r="A89" i="52"/>
  <c r="A90" i="52"/>
  <c r="A91" i="52"/>
  <c r="A92" i="52"/>
  <c r="A93" i="52"/>
  <c r="A94" i="52"/>
  <c r="A95" i="52"/>
  <c r="A96" i="52"/>
  <c r="A97" i="52"/>
  <c r="A98" i="52"/>
  <c r="A99" i="52"/>
  <c r="A100" i="52"/>
  <c r="A101" i="52"/>
  <c r="A102" i="52"/>
  <c r="A72" i="52"/>
  <c r="B142" i="52" l="1"/>
  <c r="C140" i="52" s="1"/>
  <c r="AD140" i="52" s="1"/>
  <c r="A134" i="52"/>
  <c r="A39" i="52"/>
  <c r="A40" i="52"/>
  <c r="A41" i="52" s="1"/>
  <c r="A42" i="52" s="1"/>
  <c r="A43" i="52" s="1"/>
  <c r="A44" i="52" s="1"/>
  <c r="A45" i="52" s="1"/>
  <c r="A46" i="52" s="1"/>
  <c r="A47" i="52" s="1"/>
  <c r="A48" i="52" s="1"/>
  <c r="A49" i="52" s="1"/>
  <c r="A50" i="52" s="1"/>
  <c r="A51" i="52" s="1"/>
  <c r="A52" i="52" s="1"/>
  <c r="A53" i="52" s="1"/>
  <c r="A54" i="52" s="1"/>
  <c r="A55" i="52" s="1"/>
  <c r="A56" i="52" s="1"/>
  <c r="A57" i="52" s="1"/>
  <c r="A58" i="52" s="1"/>
  <c r="A59" i="52" s="1"/>
  <c r="A60" i="52" s="1"/>
  <c r="A61" i="52" s="1"/>
  <c r="A62" i="52" s="1"/>
  <c r="A63" i="52" s="1"/>
  <c r="A64" i="52" s="1"/>
  <c r="A65" i="52" s="1"/>
  <c r="A66" i="52" s="1"/>
  <c r="A67" i="52" s="1"/>
  <c r="A38" i="52"/>
  <c r="A37" i="52"/>
  <c r="B436" i="43"/>
  <c r="C1" i="52"/>
  <c r="I441" i="43"/>
  <c r="I7" i="52" s="1"/>
  <c r="I449" i="43"/>
  <c r="I15" i="52" s="1"/>
  <c r="I453" i="43"/>
  <c r="I19" i="52" s="1"/>
  <c r="I457" i="43"/>
  <c r="I23" i="52" s="1"/>
  <c r="B459" i="43"/>
  <c r="B25" i="52" s="1"/>
  <c r="C459" i="43"/>
  <c r="C25" i="52" s="1"/>
  <c r="D459" i="43"/>
  <c r="D25" i="52" s="1"/>
  <c r="E459" i="43"/>
  <c r="E25" i="52" s="1"/>
  <c r="H459" i="43"/>
  <c r="H25" i="52" s="1"/>
  <c r="I459" i="43"/>
  <c r="I25" i="52" s="1"/>
  <c r="J459" i="43"/>
  <c r="J25" i="52" s="1"/>
  <c r="K459" i="43"/>
  <c r="K25" i="52" s="1"/>
  <c r="N459" i="43"/>
  <c r="N25" i="52" s="1"/>
  <c r="O459" i="43"/>
  <c r="O25" i="52" s="1"/>
  <c r="P459" i="43"/>
  <c r="P25" i="52" s="1"/>
  <c r="B460" i="43"/>
  <c r="B26" i="52" s="1"/>
  <c r="E460" i="43"/>
  <c r="E26" i="52" s="1"/>
  <c r="F460" i="43"/>
  <c r="F26" i="52" s="1"/>
  <c r="G460" i="43"/>
  <c r="G26" i="52" s="1"/>
  <c r="H460" i="43"/>
  <c r="H26" i="52" s="1"/>
  <c r="K460" i="43"/>
  <c r="K26" i="52" s="1"/>
  <c r="L460" i="43"/>
  <c r="L26" i="52" s="1"/>
  <c r="M460" i="43"/>
  <c r="M26" i="52" s="1"/>
  <c r="N460" i="43"/>
  <c r="N26" i="52" s="1"/>
  <c r="B461" i="43"/>
  <c r="B27" i="52" s="1"/>
  <c r="C461" i="43"/>
  <c r="C27" i="52" s="1"/>
  <c r="D461" i="43"/>
  <c r="D27" i="52" s="1"/>
  <c r="E461" i="43"/>
  <c r="E27" i="52" s="1"/>
  <c r="H461" i="43"/>
  <c r="H27" i="52" s="1"/>
  <c r="I461" i="43"/>
  <c r="I27" i="52" s="1"/>
  <c r="J461" i="43"/>
  <c r="J27" i="52" s="1"/>
  <c r="K461" i="43"/>
  <c r="K27" i="52" s="1"/>
  <c r="N461" i="43"/>
  <c r="N27" i="52" s="1"/>
  <c r="O461" i="43"/>
  <c r="O27" i="52" s="1"/>
  <c r="P461" i="43"/>
  <c r="P27" i="52" s="1"/>
  <c r="B462" i="43"/>
  <c r="B28" i="52" s="1"/>
  <c r="E462" i="43"/>
  <c r="E28" i="52" s="1"/>
  <c r="F462" i="43"/>
  <c r="F28" i="52" s="1"/>
  <c r="G462" i="43"/>
  <c r="G28" i="52" s="1"/>
  <c r="H462" i="43"/>
  <c r="H28" i="52" s="1"/>
  <c r="K462" i="43"/>
  <c r="K28" i="52" s="1"/>
  <c r="L462" i="43"/>
  <c r="L28" i="52" s="1"/>
  <c r="M462" i="43"/>
  <c r="M28" i="52" s="1"/>
  <c r="N462" i="43"/>
  <c r="N28" i="52" s="1"/>
  <c r="B463" i="43"/>
  <c r="B29" i="52" s="1"/>
  <c r="C463" i="43"/>
  <c r="C29" i="52" s="1"/>
  <c r="D463" i="43"/>
  <c r="D29" i="52" s="1"/>
  <c r="E463" i="43"/>
  <c r="E29" i="52" s="1"/>
  <c r="H463" i="43"/>
  <c r="H29" i="52" s="1"/>
  <c r="I463" i="43"/>
  <c r="I29" i="52" s="1"/>
  <c r="J463" i="43"/>
  <c r="J29" i="52" s="1"/>
  <c r="K463" i="43"/>
  <c r="K29" i="52" s="1"/>
  <c r="N463" i="43"/>
  <c r="N29" i="52" s="1"/>
  <c r="O463" i="43"/>
  <c r="O29" i="52" s="1"/>
  <c r="P463" i="43"/>
  <c r="P29" i="52" s="1"/>
  <c r="B464" i="43"/>
  <c r="B30" i="52" s="1"/>
  <c r="E464" i="43"/>
  <c r="E30" i="52" s="1"/>
  <c r="F464" i="43"/>
  <c r="F30" i="52" s="1"/>
  <c r="G464" i="43"/>
  <c r="G30" i="52" s="1"/>
  <c r="H464" i="43"/>
  <c r="H30" i="52" s="1"/>
  <c r="K464" i="43"/>
  <c r="K30" i="52" s="1"/>
  <c r="L464" i="43"/>
  <c r="L30" i="52" s="1"/>
  <c r="M464" i="43"/>
  <c r="M30" i="52" s="1"/>
  <c r="N464" i="43"/>
  <c r="N30" i="52" s="1"/>
  <c r="B465" i="43"/>
  <c r="B31" i="52" s="1"/>
  <c r="C465" i="43"/>
  <c r="C31" i="52" s="1"/>
  <c r="D465" i="43"/>
  <c r="D31" i="52" s="1"/>
  <c r="E465" i="43"/>
  <c r="E31" i="52" s="1"/>
  <c r="H465" i="43"/>
  <c r="H31" i="52" s="1"/>
  <c r="I465" i="43"/>
  <c r="I31" i="52" s="1"/>
  <c r="J465" i="43"/>
  <c r="J31" i="52" s="1"/>
  <c r="K465" i="43"/>
  <c r="K31" i="52" s="1"/>
  <c r="N465" i="43"/>
  <c r="N31" i="52" s="1"/>
  <c r="O465" i="43"/>
  <c r="O31" i="52" s="1"/>
  <c r="P465" i="43"/>
  <c r="P31" i="52" s="1"/>
  <c r="B466" i="43"/>
  <c r="B32" i="52" s="1"/>
  <c r="E466" i="43"/>
  <c r="E32" i="52" s="1"/>
  <c r="F466" i="43"/>
  <c r="F32" i="52" s="1"/>
  <c r="G466" i="43"/>
  <c r="G32" i="52" s="1"/>
  <c r="H466" i="43"/>
  <c r="H32" i="52" s="1"/>
  <c r="K466" i="43"/>
  <c r="K32" i="52" s="1"/>
  <c r="L466" i="43"/>
  <c r="L32" i="52" s="1"/>
  <c r="M466" i="43"/>
  <c r="M32" i="52" s="1"/>
  <c r="N466" i="43"/>
  <c r="N32" i="52" s="1"/>
  <c r="B467" i="43"/>
  <c r="B33" i="52" s="1"/>
  <c r="C467" i="43"/>
  <c r="C33" i="52" s="1"/>
  <c r="D467" i="43"/>
  <c r="D33" i="52" s="1"/>
  <c r="E467" i="43"/>
  <c r="E33" i="52" s="1"/>
  <c r="H467" i="43"/>
  <c r="H33" i="52" s="1"/>
  <c r="I467" i="43"/>
  <c r="I33" i="52" s="1"/>
  <c r="J467" i="43"/>
  <c r="J33" i="52" s="1"/>
  <c r="K467" i="43"/>
  <c r="K33" i="52" s="1"/>
  <c r="N467" i="43"/>
  <c r="N33" i="52" s="1"/>
  <c r="O467" i="43"/>
  <c r="O33" i="52" s="1"/>
  <c r="P467" i="43"/>
  <c r="P33" i="52" s="1"/>
  <c r="B468" i="43"/>
  <c r="B34" i="52" s="1"/>
  <c r="E468" i="43"/>
  <c r="E34" i="52" s="1"/>
  <c r="F468" i="43"/>
  <c r="F34" i="52" s="1"/>
  <c r="G468" i="43"/>
  <c r="G34" i="52" s="1"/>
  <c r="H468" i="43"/>
  <c r="H34" i="52" s="1"/>
  <c r="K468" i="43"/>
  <c r="K34" i="52" s="1"/>
  <c r="L468" i="43"/>
  <c r="L34" i="52" s="1"/>
  <c r="M468" i="43"/>
  <c r="M34" i="52" s="1"/>
  <c r="N468" i="43"/>
  <c r="N34" i="52" s="1"/>
  <c r="A439" i="43"/>
  <c r="A5" i="52" s="1"/>
  <c r="A440" i="43"/>
  <c r="A6" i="52" s="1"/>
  <c r="A441" i="43"/>
  <c r="A7" i="52" s="1"/>
  <c r="A442" i="43"/>
  <c r="A8" i="52" s="1"/>
  <c r="A443" i="43"/>
  <c r="A9" i="52" s="1"/>
  <c r="A444" i="43"/>
  <c r="A10" i="52" s="1"/>
  <c r="A445" i="43"/>
  <c r="A11" i="52" s="1"/>
  <c r="A446" i="43"/>
  <c r="A12" i="52" s="1"/>
  <c r="A447" i="43"/>
  <c r="A13" i="52" s="1"/>
  <c r="A448" i="43"/>
  <c r="A14" i="52" s="1"/>
  <c r="A449" i="43"/>
  <c r="A15" i="52" s="1"/>
  <c r="A450" i="43"/>
  <c r="A16" i="52" s="1"/>
  <c r="A451" i="43"/>
  <c r="A17" i="52" s="1"/>
  <c r="A452" i="43"/>
  <c r="A18" i="52" s="1"/>
  <c r="A453" i="43"/>
  <c r="A19" i="52" s="1"/>
  <c r="A454" i="43"/>
  <c r="A20" i="52" s="1"/>
  <c r="A455" i="43"/>
  <c r="A21" i="52" s="1"/>
  <c r="A456" i="43"/>
  <c r="A22" i="52" s="1"/>
  <c r="A457" i="43"/>
  <c r="A23" i="52" s="1"/>
  <c r="A458" i="43"/>
  <c r="A24" i="52" s="1"/>
  <c r="A459" i="43"/>
  <c r="A25" i="52" s="1"/>
  <c r="A460" i="43"/>
  <c r="A26" i="52" s="1"/>
  <c r="A461" i="43"/>
  <c r="A27" i="52" s="1"/>
  <c r="A462" i="43"/>
  <c r="A28" i="52" s="1"/>
  <c r="A463" i="43"/>
  <c r="A29" i="52" s="1"/>
  <c r="A464" i="43"/>
  <c r="A30" i="52" s="1"/>
  <c r="A465" i="43"/>
  <c r="A31" i="52" s="1"/>
  <c r="A466" i="43"/>
  <c r="A32" i="52" s="1"/>
  <c r="A467" i="43"/>
  <c r="A33" i="52" s="1"/>
  <c r="A468" i="43"/>
  <c r="A34" i="52" s="1"/>
  <c r="A438" i="43"/>
  <c r="A4" i="52" s="1"/>
  <c r="D436" i="43"/>
  <c r="A1" i="52" s="1"/>
  <c r="K140" i="52" l="1"/>
  <c r="C120" i="52"/>
  <c r="I120" i="52" s="1"/>
  <c r="C127" i="52"/>
  <c r="G127" i="52" s="1"/>
  <c r="C137" i="52"/>
  <c r="K137" i="52" s="1"/>
  <c r="C119" i="52"/>
  <c r="G119" i="52" s="1"/>
  <c r="G140" i="52"/>
  <c r="Q140" i="52"/>
  <c r="AE140" i="52"/>
  <c r="Y140" i="52"/>
  <c r="C128" i="52"/>
  <c r="G128" i="52" s="1"/>
  <c r="C123" i="52"/>
  <c r="L123" i="52" s="1"/>
  <c r="C135" i="52"/>
  <c r="T135" i="52" s="1"/>
  <c r="P140" i="52"/>
  <c r="C125" i="52"/>
  <c r="G125" i="52" s="1"/>
  <c r="C129" i="52"/>
  <c r="B92" i="39" s="1"/>
  <c r="AI140" i="52"/>
  <c r="C138" i="52"/>
  <c r="M138" i="52" s="1"/>
  <c r="AB140" i="52"/>
  <c r="X140" i="52"/>
  <c r="C122" i="52"/>
  <c r="B85" i="39" s="1"/>
  <c r="C130" i="52"/>
  <c r="G130" i="52" s="1"/>
  <c r="I140" i="52"/>
  <c r="C141" i="52"/>
  <c r="B104" i="39" s="1"/>
  <c r="AC140" i="52"/>
  <c r="T140" i="52"/>
  <c r="C126" i="52"/>
  <c r="B89" i="39" s="1"/>
  <c r="R140" i="52"/>
  <c r="C132" i="52"/>
  <c r="J132" i="52" s="1"/>
  <c r="J140" i="52"/>
  <c r="W140" i="52"/>
  <c r="C134" i="52"/>
  <c r="M134" i="52" s="1"/>
  <c r="C131" i="52"/>
  <c r="I131" i="52" s="1"/>
  <c r="AF140" i="52"/>
  <c r="C110" i="52"/>
  <c r="H140" i="52"/>
  <c r="C124" i="52"/>
  <c r="I124" i="52" s="1"/>
  <c r="M140" i="52"/>
  <c r="C115" i="52"/>
  <c r="G115" i="52" s="1"/>
  <c r="F140" i="52"/>
  <c r="Z140" i="52"/>
  <c r="L140" i="52"/>
  <c r="U140" i="52"/>
  <c r="C133" i="52"/>
  <c r="AB133" i="52" s="1"/>
  <c r="C117" i="52"/>
  <c r="J117" i="52" s="1"/>
  <c r="AJ140" i="52"/>
  <c r="AG140" i="52"/>
  <c r="AH140" i="52"/>
  <c r="N140" i="52"/>
  <c r="C111" i="52"/>
  <c r="R111" i="52" s="1"/>
  <c r="C118" i="52"/>
  <c r="AG118" i="52" s="1"/>
  <c r="O140" i="52"/>
  <c r="C112" i="52"/>
  <c r="G112" i="52" s="1"/>
  <c r="AA140" i="52"/>
  <c r="C113" i="52"/>
  <c r="AB113" i="52" s="1"/>
  <c r="C121" i="52"/>
  <c r="G121" i="52" s="1"/>
  <c r="C136" i="52"/>
  <c r="G136" i="52" s="1"/>
  <c r="C116" i="52"/>
  <c r="G116" i="52" s="1"/>
  <c r="V140" i="52"/>
  <c r="C139" i="52"/>
  <c r="U139" i="52" s="1"/>
  <c r="C114" i="52"/>
  <c r="T114" i="52" s="1"/>
  <c r="S140" i="52"/>
  <c r="B103" i="39"/>
  <c r="A135" i="52"/>
  <c r="I438" i="43"/>
  <c r="I4" i="52" s="1"/>
  <c r="I440" i="43"/>
  <c r="I6" i="52" s="1"/>
  <c r="I442" i="43"/>
  <c r="I8" i="52" s="1"/>
  <c r="I444" i="43"/>
  <c r="I10" i="52" s="1"/>
  <c r="I446" i="43"/>
  <c r="I12" i="52" s="1"/>
  <c r="I448" i="43"/>
  <c r="I14" i="52" s="1"/>
  <c r="I450" i="43"/>
  <c r="I16" i="52" s="1"/>
  <c r="I452" i="43"/>
  <c r="I18" i="52" s="1"/>
  <c r="I454" i="43"/>
  <c r="I20" i="52" s="1"/>
  <c r="I456" i="43"/>
  <c r="I22" i="52" s="1"/>
  <c r="I458" i="43"/>
  <c r="I24" i="52" s="1"/>
  <c r="F459" i="43"/>
  <c r="F25" i="52" s="1"/>
  <c r="L459" i="43"/>
  <c r="L25" i="52" s="1"/>
  <c r="C460" i="43"/>
  <c r="C26" i="52" s="1"/>
  <c r="I460" i="43"/>
  <c r="I26" i="52" s="1"/>
  <c r="O460" i="43"/>
  <c r="O26" i="52" s="1"/>
  <c r="F461" i="43"/>
  <c r="F27" i="52" s="1"/>
  <c r="L461" i="43"/>
  <c r="L27" i="52" s="1"/>
  <c r="C462" i="43"/>
  <c r="C28" i="52" s="1"/>
  <c r="I462" i="43"/>
  <c r="I28" i="52" s="1"/>
  <c r="O462" i="43"/>
  <c r="O28" i="52" s="1"/>
  <c r="F463" i="43"/>
  <c r="F29" i="52" s="1"/>
  <c r="L463" i="43"/>
  <c r="L29" i="52" s="1"/>
  <c r="C464" i="43"/>
  <c r="C30" i="52" s="1"/>
  <c r="I464" i="43"/>
  <c r="I30" i="52" s="1"/>
  <c r="O464" i="43"/>
  <c r="O30" i="52" s="1"/>
  <c r="F465" i="43"/>
  <c r="F31" i="52" s="1"/>
  <c r="L465" i="43"/>
  <c r="L31" i="52" s="1"/>
  <c r="C466" i="43"/>
  <c r="C32" i="52" s="1"/>
  <c r="I466" i="43"/>
  <c r="I32" i="52" s="1"/>
  <c r="O466" i="43"/>
  <c r="O32" i="52" s="1"/>
  <c r="F467" i="43"/>
  <c r="F33" i="52" s="1"/>
  <c r="L467" i="43"/>
  <c r="L33" i="52" s="1"/>
  <c r="C468" i="43"/>
  <c r="C34" i="52" s="1"/>
  <c r="I468" i="43"/>
  <c r="I34" i="52" s="1"/>
  <c r="O468" i="43"/>
  <c r="O34" i="52" s="1"/>
  <c r="G459" i="43"/>
  <c r="G25" i="52" s="1"/>
  <c r="M459" i="43"/>
  <c r="M25" i="52" s="1"/>
  <c r="D460" i="43"/>
  <c r="D26" i="52" s="1"/>
  <c r="J460" i="43"/>
  <c r="J26" i="52" s="1"/>
  <c r="P460" i="43"/>
  <c r="P26" i="52" s="1"/>
  <c r="G461" i="43"/>
  <c r="G27" i="52" s="1"/>
  <c r="M461" i="43"/>
  <c r="M27" i="52" s="1"/>
  <c r="D462" i="43"/>
  <c r="D28" i="52" s="1"/>
  <c r="J462" i="43"/>
  <c r="J28" i="52" s="1"/>
  <c r="P462" i="43"/>
  <c r="P28" i="52" s="1"/>
  <c r="G463" i="43"/>
  <c r="G29" i="52" s="1"/>
  <c r="M463" i="43"/>
  <c r="M29" i="52" s="1"/>
  <c r="D464" i="43"/>
  <c r="D30" i="52" s="1"/>
  <c r="J464" i="43"/>
  <c r="J30" i="52" s="1"/>
  <c r="P464" i="43"/>
  <c r="P30" i="52" s="1"/>
  <c r="G465" i="43"/>
  <c r="G31" i="52" s="1"/>
  <c r="M465" i="43"/>
  <c r="M31" i="52" s="1"/>
  <c r="D466" i="43"/>
  <c r="D32" i="52" s="1"/>
  <c r="J466" i="43"/>
  <c r="J32" i="52" s="1"/>
  <c r="P466" i="43"/>
  <c r="P32" i="52" s="1"/>
  <c r="G467" i="43"/>
  <c r="G33" i="52" s="1"/>
  <c r="M467" i="43"/>
  <c r="M33" i="52" s="1"/>
  <c r="D468" i="43"/>
  <c r="D34" i="52" s="1"/>
  <c r="J468" i="43"/>
  <c r="J34" i="52" s="1"/>
  <c r="P468" i="43"/>
  <c r="P34" i="52" s="1"/>
  <c r="I443" i="43"/>
  <c r="I9" i="52" s="1"/>
  <c r="I445" i="43"/>
  <c r="I11" i="52" s="1"/>
  <c r="I439" i="43"/>
  <c r="I5" i="52" s="1"/>
  <c r="I455" i="43"/>
  <c r="I21" i="52" s="1"/>
  <c r="I451" i="43"/>
  <c r="I17" i="52" s="1"/>
  <c r="I447" i="43"/>
  <c r="I13" i="52" s="1"/>
  <c r="I404" i="43"/>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B83" i="39" l="1"/>
  <c r="S127" i="52"/>
  <c r="I127" i="52"/>
  <c r="F120" i="52"/>
  <c r="AE137" i="52"/>
  <c r="X137" i="52"/>
  <c r="L137" i="52"/>
  <c r="AG137" i="52"/>
  <c r="T137" i="52"/>
  <c r="B82" i="39"/>
  <c r="G129" i="52"/>
  <c r="N127" i="52"/>
  <c r="V120" i="52"/>
  <c r="AA131" i="52"/>
  <c r="U127" i="52"/>
  <c r="H129" i="52"/>
  <c r="T129" i="52"/>
  <c r="AH125" i="52"/>
  <c r="AA127" i="52"/>
  <c r="T120" i="52"/>
  <c r="F122" i="52"/>
  <c r="Q127" i="52"/>
  <c r="AH120" i="52"/>
  <c r="J129" i="52"/>
  <c r="AE134" i="52"/>
  <c r="W137" i="52"/>
  <c r="N137" i="52"/>
  <c r="R127" i="52"/>
  <c r="P127" i="52"/>
  <c r="S137" i="52"/>
  <c r="AB137" i="52"/>
  <c r="U129" i="52"/>
  <c r="AC127" i="52"/>
  <c r="Z127" i="52"/>
  <c r="Q137" i="52"/>
  <c r="V137" i="52"/>
  <c r="R129" i="52"/>
  <c r="AH127" i="52"/>
  <c r="AE125" i="52"/>
  <c r="K127" i="52"/>
  <c r="X112" i="52"/>
  <c r="F129" i="52"/>
  <c r="AD129" i="52"/>
  <c r="AE127" i="52"/>
  <c r="J127" i="52"/>
  <c r="H127" i="52"/>
  <c r="X129" i="52"/>
  <c r="W129" i="52"/>
  <c r="AD127" i="52"/>
  <c r="Y127" i="52"/>
  <c r="W127" i="52"/>
  <c r="AF127" i="52"/>
  <c r="O127" i="52"/>
  <c r="B90" i="39"/>
  <c r="F130" i="52"/>
  <c r="V129" i="52"/>
  <c r="AJ129" i="52"/>
  <c r="K129" i="52"/>
  <c r="V127" i="52"/>
  <c r="AG127" i="52"/>
  <c r="AI127" i="52"/>
  <c r="T127" i="52"/>
  <c r="L127" i="52"/>
  <c r="AA134" i="52"/>
  <c r="Y129" i="52"/>
  <c r="AB129" i="52"/>
  <c r="AJ127" i="52"/>
  <c r="F127" i="52"/>
  <c r="X127" i="52"/>
  <c r="AB127" i="52"/>
  <c r="M127" i="52"/>
  <c r="AI123" i="52"/>
  <c r="AC134" i="52"/>
  <c r="Y138" i="52"/>
  <c r="AJ126" i="52"/>
  <c r="AI122" i="52"/>
  <c r="L119" i="52"/>
  <c r="Z122" i="52"/>
  <c r="U128" i="52"/>
  <c r="W121" i="52"/>
  <c r="J137" i="52"/>
  <c r="AC137" i="52"/>
  <c r="R137" i="52"/>
  <c r="U137" i="52"/>
  <c r="AI128" i="52"/>
  <c r="AG125" i="52"/>
  <c r="H120" i="52"/>
  <c r="G137" i="52"/>
  <c r="B91" i="39"/>
  <c r="T128" i="52"/>
  <c r="M128" i="52"/>
  <c r="AH122" i="52"/>
  <c r="AE131" i="52"/>
  <c r="AI137" i="52"/>
  <c r="AH137" i="52"/>
  <c r="AF137" i="52"/>
  <c r="AG120" i="52"/>
  <c r="T121" i="52"/>
  <c r="AG121" i="52"/>
  <c r="P136" i="52"/>
  <c r="S138" i="52"/>
  <c r="Z138" i="52"/>
  <c r="H123" i="52"/>
  <c r="K123" i="52"/>
  <c r="O141" i="52"/>
  <c r="R136" i="52"/>
  <c r="AJ119" i="52"/>
  <c r="AE119" i="52"/>
  <c r="I123" i="52"/>
  <c r="AD138" i="52"/>
  <c r="AH123" i="52"/>
  <c r="AI119" i="52"/>
  <c r="AH119" i="52"/>
  <c r="I119" i="52"/>
  <c r="X138" i="52"/>
  <c r="AG123" i="52"/>
  <c r="P138" i="52"/>
  <c r="F123" i="52"/>
  <c r="AD123" i="52"/>
  <c r="K136" i="52"/>
  <c r="AG119" i="52"/>
  <c r="O119" i="52"/>
  <c r="AE138" i="52"/>
  <c r="U138" i="52"/>
  <c r="AE123" i="52"/>
  <c r="AF123" i="52"/>
  <c r="V119" i="52"/>
  <c r="AF119" i="52"/>
  <c r="Y136" i="52"/>
  <c r="L129" i="52"/>
  <c r="H141" i="52"/>
  <c r="S122" i="52"/>
  <c r="AF122" i="52"/>
  <c r="Q138" i="52"/>
  <c r="W138" i="52"/>
  <c r="V138" i="52"/>
  <c r="AF138" i="52"/>
  <c r="AJ123" i="52"/>
  <c r="R123" i="52"/>
  <c r="N123" i="52"/>
  <c r="T123" i="52"/>
  <c r="J120" i="52"/>
  <c r="AD136" i="52"/>
  <c r="Q136" i="52"/>
  <c r="AD119" i="52"/>
  <c r="R119" i="52"/>
  <c r="N119" i="52"/>
  <c r="S119" i="52"/>
  <c r="W125" i="52"/>
  <c r="U120" i="52"/>
  <c r="W120" i="52"/>
  <c r="AC120" i="52"/>
  <c r="J119" i="52"/>
  <c r="O120" i="52"/>
  <c r="P122" i="52"/>
  <c r="T122" i="52"/>
  <c r="R138" i="52"/>
  <c r="F138" i="52"/>
  <c r="AG138" i="52"/>
  <c r="T138" i="52"/>
  <c r="S123" i="52"/>
  <c r="AC123" i="52"/>
  <c r="Y123" i="52"/>
  <c r="W123" i="52"/>
  <c r="G141" i="52"/>
  <c r="M136" i="52"/>
  <c r="AG136" i="52"/>
  <c r="U119" i="52"/>
  <c r="AB119" i="52"/>
  <c r="Z119" i="52"/>
  <c r="X119" i="52"/>
  <c r="M141" i="52"/>
  <c r="AC125" i="52"/>
  <c r="AD120" i="52"/>
  <c r="AA120" i="52"/>
  <c r="N120" i="52"/>
  <c r="J141" i="52"/>
  <c r="H122" i="52"/>
  <c r="J123" i="52"/>
  <c r="M120" i="52"/>
  <c r="N122" i="52"/>
  <c r="AH138" i="52"/>
  <c r="AJ138" i="52"/>
  <c r="AI138" i="52"/>
  <c r="AA138" i="52"/>
  <c r="K138" i="52"/>
  <c r="AB123" i="52"/>
  <c r="U123" i="52"/>
  <c r="Q123" i="52"/>
  <c r="P123" i="52"/>
  <c r="T136" i="52"/>
  <c r="AA136" i="52"/>
  <c r="F119" i="52"/>
  <c r="AC119" i="52"/>
  <c r="P119" i="52"/>
  <c r="Q119" i="52"/>
  <c r="L120" i="52"/>
  <c r="U125" i="52"/>
  <c r="K120" i="52"/>
  <c r="R120" i="52"/>
  <c r="Y120" i="52"/>
  <c r="O138" i="52"/>
  <c r="H119" i="52"/>
  <c r="Q122" i="52"/>
  <c r="V122" i="52"/>
  <c r="AC138" i="52"/>
  <c r="H138" i="52"/>
  <c r="AB138" i="52"/>
  <c r="N138" i="52"/>
  <c r="V123" i="52"/>
  <c r="AA123" i="52"/>
  <c r="X123" i="52"/>
  <c r="Z123" i="52"/>
  <c r="L136" i="52"/>
  <c r="O125" i="52"/>
  <c r="S136" i="52"/>
  <c r="AC136" i="52"/>
  <c r="T119" i="52"/>
  <c r="AA119" i="52"/>
  <c r="W119" i="52"/>
  <c r="Y119" i="52"/>
  <c r="N125" i="52"/>
  <c r="R125" i="52"/>
  <c r="AF120" i="52"/>
  <c r="Q120" i="52"/>
  <c r="S126" i="52"/>
  <c r="G120" i="52"/>
  <c r="K119" i="52"/>
  <c r="N132" i="52"/>
  <c r="M135" i="52"/>
  <c r="Y141" i="52"/>
  <c r="X141" i="52"/>
  <c r="AH135" i="52"/>
  <c r="J138" i="52"/>
  <c r="M119" i="52"/>
  <c r="F141" i="52"/>
  <c r="L138" i="52"/>
  <c r="Q135" i="52"/>
  <c r="AF141" i="52"/>
  <c r="I138" i="52"/>
  <c r="B101" i="39"/>
  <c r="AJ141" i="52"/>
  <c r="G138" i="52"/>
  <c r="O123" i="52"/>
  <c r="G123" i="52"/>
  <c r="M123" i="52"/>
  <c r="B100" i="39"/>
  <c r="G135" i="52"/>
  <c r="AJ131" i="52"/>
  <c r="W131" i="52"/>
  <c r="R135" i="52"/>
  <c r="N135" i="52"/>
  <c r="U131" i="52"/>
  <c r="H131" i="52"/>
  <c r="I135" i="52"/>
  <c r="Z135" i="52"/>
  <c r="AA135" i="52"/>
  <c r="R113" i="52"/>
  <c r="AB131" i="52"/>
  <c r="Y131" i="52"/>
  <c r="X135" i="52"/>
  <c r="K135" i="52"/>
  <c r="AI132" i="52"/>
  <c r="Z115" i="52"/>
  <c r="AG113" i="52"/>
  <c r="AI131" i="52"/>
  <c r="R131" i="52"/>
  <c r="AC135" i="52"/>
  <c r="AE115" i="52"/>
  <c r="P131" i="52"/>
  <c r="L131" i="52"/>
  <c r="AF135" i="52"/>
  <c r="P135" i="52"/>
  <c r="I137" i="52"/>
  <c r="AB122" i="52"/>
  <c r="AD122" i="52"/>
  <c r="U121" i="52"/>
  <c r="O137" i="52"/>
  <c r="F131" i="52"/>
  <c r="N131" i="52"/>
  <c r="R112" i="52"/>
  <c r="AF136" i="52"/>
  <c r="W136" i="52"/>
  <c r="U136" i="52"/>
  <c r="Y137" i="52"/>
  <c r="AJ137" i="52"/>
  <c r="P137" i="52"/>
  <c r="Z137" i="52"/>
  <c r="P128" i="52"/>
  <c r="J135" i="52"/>
  <c r="Q125" i="52"/>
  <c r="Y125" i="52"/>
  <c r="P120" i="52"/>
  <c r="AB120" i="52"/>
  <c r="Z120" i="52"/>
  <c r="AE120" i="52"/>
  <c r="AD135" i="52"/>
  <c r="AE135" i="52"/>
  <c r="AG135" i="52"/>
  <c r="AH126" i="52"/>
  <c r="R126" i="52"/>
  <c r="AI126" i="52"/>
  <c r="AJ122" i="52"/>
  <c r="X122" i="52"/>
  <c r="R122" i="52"/>
  <c r="Y115" i="52"/>
  <c r="P113" i="52"/>
  <c r="AC131" i="52"/>
  <c r="S131" i="52"/>
  <c r="AF131" i="52"/>
  <c r="X136" i="52"/>
  <c r="AH136" i="52"/>
  <c r="AD137" i="52"/>
  <c r="F137" i="52"/>
  <c r="H137" i="52"/>
  <c r="AA137" i="52"/>
  <c r="M137" i="52"/>
  <c r="P125" i="52"/>
  <c r="H125" i="52"/>
  <c r="L125" i="52"/>
  <c r="X120" i="52"/>
  <c r="AI120" i="52"/>
  <c r="AJ120" i="52"/>
  <c r="S120" i="52"/>
  <c r="AJ135" i="52"/>
  <c r="W135" i="52"/>
  <c r="U135" i="52"/>
  <c r="AD112" i="52"/>
  <c r="AJ112" i="52"/>
  <c r="AD128" i="52"/>
  <c r="AE128" i="52"/>
  <c r="AA128" i="52"/>
  <c r="AG128" i="52"/>
  <c r="L128" i="52"/>
  <c r="O128" i="52"/>
  <c r="I112" i="52"/>
  <c r="AA112" i="52"/>
  <c r="AC112" i="52"/>
  <c r="H128" i="52"/>
  <c r="V128" i="52"/>
  <c r="Q128" i="52"/>
  <c r="Y128" i="52"/>
  <c r="S112" i="52"/>
  <c r="V112" i="52"/>
  <c r="AC128" i="52"/>
  <c r="AJ128" i="52"/>
  <c r="F128" i="52"/>
  <c r="R128" i="52"/>
  <c r="Q112" i="52"/>
  <c r="Z112" i="52"/>
  <c r="N128" i="52"/>
  <c r="AB128" i="52"/>
  <c r="AH128" i="52"/>
  <c r="AF128" i="52"/>
  <c r="K128" i="52"/>
  <c r="AG112" i="52"/>
  <c r="W128" i="52"/>
  <c r="S128" i="52"/>
  <c r="X128" i="52"/>
  <c r="Z128" i="52"/>
  <c r="I128" i="52"/>
  <c r="Y126" i="52"/>
  <c r="X126" i="52"/>
  <c r="J128" i="52"/>
  <c r="B88" i="39"/>
  <c r="B98" i="39"/>
  <c r="B86" i="39"/>
  <c r="N115" i="52"/>
  <c r="AE130" i="52"/>
  <c r="F115" i="52"/>
  <c r="S130" i="52"/>
  <c r="AH115" i="52"/>
  <c r="AF115" i="52"/>
  <c r="AI125" i="52"/>
  <c r="AJ125" i="52"/>
  <c r="AF125" i="52"/>
  <c r="I125" i="52"/>
  <c r="K125" i="52"/>
  <c r="L126" i="52"/>
  <c r="J125" i="52"/>
  <c r="J122" i="52"/>
  <c r="M129" i="52"/>
  <c r="V115" i="52"/>
  <c r="AC122" i="52"/>
  <c r="AE122" i="52"/>
  <c r="AG122" i="52"/>
  <c r="L122" i="52"/>
  <c r="AA115" i="52"/>
  <c r="U115" i="52"/>
  <c r="P115" i="52"/>
  <c r="P134" i="52"/>
  <c r="O129" i="52"/>
  <c r="AH131" i="52"/>
  <c r="AG131" i="52"/>
  <c r="AD131" i="52"/>
  <c r="Z131" i="52"/>
  <c r="AI112" i="52"/>
  <c r="P112" i="52"/>
  <c r="T112" i="52"/>
  <c r="AJ136" i="52"/>
  <c r="AE136" i="52"/>
  <c r="J136" i="52"/>
  <c r="AB136" i="52"/>
  <c r="N136" i="52"/>
  <c r="Q129" i="52"/>
  <c r="N129" i="52"/>
  <c r="AI129" i="52"/>
  <c r="AF129" i="52"/>
  <c r="I129" i="52"/>
  <c r="F125" i="52"/>
  <c r="AD125" i="52"/>
  <c r="AB125" i="52"/>
  <c r="Z125" i="52"/>
  <c r="S135" i="52"/>
  <c r="Y135" i="52"/>
  <c r="AB135" i="52"/>
  <c r="H135" i="52"/>
  <c r="AC126" i="52"/>
  <c r="W126" i="52"/>
  <c r="X132" i="52"/>
  <c r="L135" i="52"/>
  <c r="T115" i="52"/>
  <c r="AB115" i="52"/>
  <c r="AI115" i="52"/>
  <c r="AD115" i="52"/>
  <c r="Z130" i="52"/>
  <c r="AH129" i="52"/>
  <c r="AG129" i="52"/>
  <c r="S129" i="52"/>
  <c r="P129" i="52"/>
  <c r="Y116" i="52"/>
  <c r="X125" i="52"/>
  <c r="J126" i="52"/>
  <c r="U122" i="52"/>
  <c r="AA122" i="52"/>
  <c r="W122" i="52"/>
  <c r="Y122" i="52"/>
  <c r="AG115" i="52"/>
  <c r="J115" i="52"/>
  <c r="I136" i="52"/>
  <c r="Q131" i="52"/>
  <c r="X131" i="52"/>
  <c r="V131" i="52"/>
  <c r="T131" i="52"/>
  <c r="U112" i="52"/>
  <c r="J112" i="52"/>
  <c r="M112" i="52"/>
  <c r="F136" i="52"/>
  <c r="Z136" i="52"/>
  <c r="AI136" i="52"/>
  <c r="V136" i="52"/>
  <c r="AE129" i="52"/>
  <c r="AC129" i="52"/>
  <c r="AA129" i="52"/>
  <c r="Z129" i="52"/>
  <c r="O135" i="52"/>
  <c r="AA125" i="52"/>
  <c r="V125" i="52"/>
  <c r="S125" i="52"/>
  <c r="T125" i="52"/>
  <c r="O136" i="52"/>
  <c r="F135" i="52"/>
  <c r="AI135" i="52"/>
  <c r="V135" i="52"/>
  <c r="AG126" i="52"/>
  <c r="O132" i="52"/>
  <c r="I126" i="52"/>
  <c r="M125" i="52"/>
  <c r="AD126" i="52"/>
  <c r="J134" i="52"/>
  <c r="F121" i="52"/>
  <c r="P121" i="52"/>
  <c r="AJ121" i="52"/>
  <c r="AE121" i="52"/>
  <c r="Z121" i="52"/>
  <c r="AD121" i="52"/>
  <c r="AB121" i="52"/>
  <c r="Y121" i="52"/>
  <c r="AI121" i="52"/>
  <c r="V121" i="52"/>
  <c r="R121" i="52"/>
  <c r="S121" i="52"/>
  <c r="AF121" i="52"/>
  <c r="Q121" i="52"/>
  <c r="M121" i="52"/>
  <c r="AH121" i="52"/>
  <c r="J121" i="52"/>
  <c r="X121" i="52"/>
  <c r="N121" i="52"/>
  <c r="AC121" i="52"/>
  <c r="AA121" i="52"/>
  <c r="H111" i="52"/>
  <c r="AE113" i="52"/>
  <c r="AH113" i="52"/>
  <c r="X113" i="52"/>
  <c r="L113" i="52"/>
  <c r="Y113" i="52"/>
  <c r="U113" i="52"/>
  <c r="F113" i="52"/>
  <c r="AC113" i="52"/>
  <c r="Q113" i="52"/>
  <c r="N113" i="52"/>
  <c r="U114" i="52"/>
  <c r="W113" i="52"/>
  <c r="S113" i="52"/>
  <c r="AI113" i="52"/>
  <c r="AA113" i="52"/>
  <c r="AF113" i="52"/>
  <c r="AJ113" i="52"/>
  <c r="T113" i="52"/>
  <c r="P114" i="52"/>
  <c r="Z133" i="52"/>
  <c r="H116" i="52"/>
  <c r="AH133" i="52"/>
  <c r="AJ116" i="52"/>
  <c r="AD133" i="52"/>
  <c r="L121" i="52"/>
  <c r="I121" i="52"/>
  <c r="O121" i="52"/>
  <c r="H130" i="52"/>
  <c r="P116" i="52"/>
  <c r="AA133" i="52"/>
  <c r="W133" i="52"/>
  <c r="AE133" i="52"/>
  <c r="AI130" i="52"/>
  <c r="R130" i="52"/>
  <c r="Q130" i="52"/>
  <c r="N130" i="52"/>
  <c r="AB130" i="52"/>
  <c r="M130" i="52"/>
  <c r="T116" i="52"/>
  <c r="S116" i="52"/>
  <c r="N116" i="52"/>
  <c r="K122" i="52"/>
  <c r="Y133" i="52"/>
  <c r="W130" i="52"/>
  <c r="AH130" i="52"/>
  <c r="AA130" i="52"/>
  <c r="AD130" i="52"/>
  <c r="U130" i="52"/>
  <c r="U116" i="52"/>
  <c r="AH116" i="52"/>
  <c r="AI116" i="52"/>
  <c r="AH132" i="52"/>
  <c r="O126" i="52"/>
  <c r="M126" i="52"/>
  <c r="P126" i="52"/>
  <c r="AE126" i="52"/>
  <c r="G122" i="52"/>
  <c r="F126" i="52"/>
  <c r="T126" i="52"/>
  <c r="U126" i="52"/>
  <c r="K121" i="52"/>
  <c r="I132" i="52"/>
  <c r="AI133" i="52"/>
  <c r="B93" i="39"/>
  <c r="T130" i="52"/>
  <c r="AA116" i="52"/>
  <c r="K130" i="52"/>
  <c r="AG130" i="52"/>
  <c r="AJ130" i="52"/>
  <c r="V130" i="52"/>
  <c r="J130" i="52"/>
  <c r="AF116" i="52"/>
  <c r="F116" i="52"/>
  <c r="AC116" i="52"/>
  <c r="AF126" i="52"/>
  <c r="L132" i="52"/>
  <c r="V126" i="52"/>
  <c r="I122" i="52"/>
  <c r="K126" i="52"/>
  <c r="Q126" i="52"/>
  <c r="G126" i="52"/>
  <c r="L130" i="52"/>
  <c r="G133" i="52"/>
  <c r="O130" i="52"/>
  <c r="X130" i="52"/>
  <c r="I130" i="52"/>
  <c r="P130" i="52"/>
  <c r="Y130" i="52"/>
  <c r="AC130" i="52"/>
  <c r="AF130" i="52"/>
  <c r="L116" i="52"/>
  <c r="AG116" i="52"/>
  <c r="W116" i="52"/>
  <c r="H126" i="52"/>
  <c r="AA126" i="52"/>
  <c r="N126" i="52"/>
  <c r="O122" i="52"/>
  <c r="AB126" i="52"/>
  <c r="M122" i="52"/>
  <c r="AF133" i="52"/>
  <c r="S133" i="52"/>
  <c r="AE141" i="52"/>
  <c r="P141" i="52"/>
  <c r="T141" i="52"/>
  <c r="AD141" i="52"/>
  <c r="K141" i="52"/>
  <c r="AI141" i="52"/>
  <c r="V141" i="52"/>
  <c r="S141" i="52"/>
  <c r="AC141" i="52"/>
  <c r="S117" i="52"/>
  <c r="L141" i="52"/>
  <c r="M113" i="52"/>
  <c r="AC117" i="52"/>
  <c r="R115" i="52"/>
  <c r="W115" i="52"/>
  <c r="AB112" i="52"/>
  <c r="AH112" i="52"/>
  <c r="AE112" i="52"/>
  <c r="N112" i="52"/>
  <c r="I141" i="52"/>
  <c r="X116" i="52"/>
  <c r="Z116" i="52"/>
  <c r="AD116" i="52"/>
  <c r="Q116" i="52"/>
  <c r="Z141" i="52"/>
  <c r="N141" i="52"/>
  <c r="AB141" i="52"/>
  <c r="AH141" i="52"/>
  <c r="W141" i="52"/>
  <c r="H115" i="52"/>
  <c r="AC133" i="52"/>
  <c r="R133" i="52"/>
  <c r="I133" i="52"/>
  <c r="AJ115" i="52"/>
  <c r="X115" i="52"/>
  <c r="AC115" i="52"/>
  <c r="S115" i="52"/>
  <c r="M115" i="52"/>
  <c r="Q115" i="52"/>
  <c r="V113" i="52"/>
  <c r="AD113" i="52"/>
  <c r="Z113" i="52"/>
  <c r="F112" i="52"/>
  <c r="Y112" i="52"/>
  <c r="W112" i="52"/>
  <c r="AF112" i="52"/>
  <c r="AB116" i="52"/>
  <c r="AE116" i="52"/>
  <c r="R116" i="52"/>
  <c r="V116" i="52"/>
  <c r="R141" i="52"/>
  <c r="AG141" i="52"/>
  <c r="U141" i="52"/>
  <c r="AA141" i="52"/>
  <c r="Q141" i="52"/>
  <c r="AF124" i="52"/>
  <c r="V133" i="52"/>
  <c r="L133" i="52"/>
  <c r="AF134" i="52"/>
  <c r="AI111" i="52"/>
  <c r="H134" i="52"/>
  <c r="AJ134" i="52"/>
  <c r="U134" i="52"/>
  <c r="Q134" i="52"/>
  <c r="Z134" i="52"/>
  <c r="C142" i="52"/>
  <c r="AG139" i="52"/>
  <c r="S124" i="52"/>
  <c r="G134" i="52"/>
  <c r="O134" i="52"/>
  <c r="X134" i="52"/>
  <c r="V134" i="52"/>
  <c r="AG134" i="52"/>
  <c r="F134" i="52"/>
  <c r="T134" i="52"/>
  <c r="Z139" i="52"/>
  <c r="T111" i="52"/>
  <c r="M124" i="52"/>
  <c r="G117" i="52"/>
  <c r="AI134" i="52"/>
  <c r="N134" i="52"/>
  <c r="AH134" i="52"/>
  <c r="Y134" i="52"/>
  <c r="AD134" i="52"/>
  <c r="L134" i="52"/>
  <c r="Q139" i="52"/>
  <c r="N117" i="52"/>
  <c r="U111" i="52"/>
  <c r="R124" i="52"/>
  <c r="AB134" i="52"/>
  <c r="S134" i="52"/>
  <c r="R134" i="52"/>
  <c r="W134" i="52"/>
  <c r="K134" i="52"/>
  <c r="AG111" i="52"/>
  <c r="K117" i="52"/>
  <c r="P124" i="52"/>
  <c r="AF117" i="52"/>
  <c r="F114" i="52"/>
  <c r="AC111" i="52"/>
  <c r="O112" i="52"/>
  <c r="AJ114" i="52"/>
  <c r="AB117" i="52"/>
  <c r="Z126" i="52"/>
  <c r="AH114" i="52"/>
  <c r="B77" i="39"/>
  <c r="S114" i="52"/>
  <c r="W114" i="52"/>
  <c r="AF114" i="52"/>
  <c r="K114" i="52"/>
  <c r="I114" i="52"/>
  <c r="Z114" i="52"/>
  <c r="AE114" i="52"/>
  <c r="X114" i="52"/>
  <c r="AG114" i="52"/>
  <c r="AA114" i="52"/>
  <c r="M114" i="52"/>
  <c r="O114" i="52"/>
  <c r="AC114" i="52"/>
  <c r="Q114" i="52"/>
  <c r="L114" i="52"/>
  <c r="G114" i="52"/>
  <c r="V114" i="52"/>
  <c r="AD114" i="52"/>
  <c r="AI114" i="52"/>
  <c r="J114" i="52"/>
  <c r="AB114" i="52"/>
  <c r="H114" i="52"/>
  <c r="N114" i="52"/>
  <c r="H113" i="52"/>
  <c r="B76" i="39"/>
  <c r="G113" i="52"/>
  <c r="T118" i="52"/>
  <c r="B81" i="39"/>
  <c r="AJ118" i="52"/>
  <c r="M118" i="52"/>
  <c r="S118" i="52"/>
  <c r="V118" i="52"/>
  <c r="Y118" i="52"/>
  <c r="Z118" i="52"/>
  <c r="N118" i="52"/>
  <c r="H118" i="52"/>
  <c r="G118" i="52"/>
  <c r="AH118" i="52"/>
  <c r="F118" i="52"/>
  <c r="J118" i="52"/>
  <c r="W118" i="52"/>
  <c r="X118" i="52"/>
  <c r="U118" i="52"/>
  <c r="AF118" i="52"/>
  <c r="AI118" i="52"/>
  <c r="L118" i="52"/>
  <c r="K118" i="52"/>
  <c r="O118" i="52"/>
  <c r="AB118" i="52"/>
  <c r="AA118" i="52"/>
  <c r="AD118" i="52"/>
  <c r="AC118" i="52"/>
  <c r="Q118" i="52"/>
  <c r="I118" i="52"/>
  <c r="J131" i="52"/>
  <c r="B94" i="39"/>
  <c r="O131" i="52"/>
  <c r="S132" i="52"/>
  <c r="B95" i="39"/>
  <c r="X124" i="52"/>
  <c r="G132" i="52"/>
  <c r="T132" i="52"/>
  <c r="Z132" i="52"/>
  <c r="Q132" i="52"/>
  <c r="AH124" i="52"/>
  <c r="R114" i="52"/>
  <c r="R118" i="52"/>
  <c r="K113" i="52"/>
  <c r="O113" i="52"/>
  <c r="F132" i="52"/>
  <c r="Y114" i="52"/>
  <c r="V139" i="52"/>
  <c r="B102" i="39"/>
  <c r="H139" i="52"/>
  <c r="M139" i="52"/>
  <c r="AH139" i="52"/>
  <c r="G139" i="52"/>
  <c r="AI139" i="52"/>
  <c r="T139" i="52"/>
  <c r="AA139" i="52"/>
  <c r="K139" i="52"/>
  <c r="L139" i="52"/>
  <c r="F139" i="52"/>
  <c r="AB139" i="52"/>
  <c r="J139" i="52"/>
  <c r="AD139" i="52"/>
  <c r="R139" i="52"/>
  <c r="O139" i="52"/>
  <c r="AF139" i="52"/>
  <c r="W139" i="52"/>
  <c r="S139" i="52"/>
  <c r="X139" i="52"/>
  <c r="N139" i="52"/>
  <c r="AJ139" i="52"/>
  <c r="Y139" i="52"/>
  <c r="P139" i="52"/>
  <c r="I139" i="52"/>
  <c r="AE139" i="52"/>
  <c r="AC139" i="52"/>
  <c r="P111" i="52"/>
  <c r="B74" i="39"/>
  <c r="Q111" i="52"/>
  <c r="W111" i="52"/>
  <c r="AJ111" i="52"/>
  <c r="F111" i="52"/>
  <c r="X111" i="52"/>
  <c r="O111" i="52"/>
  <c r="AA111" i="52"/>
  <c r="K111" i="52"/>
  <c r="AE111" i="52"/>
  <c r="I111" i="52"/>
  <c r="G111" i="52"/>
  <c r="AH111" i="52"/>
  <c r="V111" i="52"/>
  <c r="M111" i="52"/>
  <c r="Z111" i="52"/>
  <c r="AD111" i="52"/>
  <c r="AB111" i="52"/>
  <c r="L111" i="52"/>
  <c r="S111" i="52"/>
  <c r="AF111" i="52"/>
  <c r="N111" i="52"/>
  <c r="I134" i="52"/>
  <c r="B97" i="39"/>
  <c r="L112" i="52"/>
  <c r="B75" i="39"/>
  <c r="AD117" i="52"/>
  <c r="B80" i="39"/>
  <c r="T117" i="52"/>
  <c r="AG117" i="52"/>
  <c r="Y117" i="52"/>
  <c r="M117" i="52"/>
  <c r="AE117" i="52"/>
  <c r="F117" i="52"/>
  <c r="R117" i="52"/>
  <c r="Z117" i="52"/>
  <c r="U117" i="52"/>
  <c r="P117" i="52"/>
  <c r="AI117" i="52"/>
  <c r="AH117" i="52"/>
  <c r="I115" i="52"/>
  <c r="B78" i="39"/>
  <c r="AD124" i="52"/>
  <c r="B87" i="39"/>
  <c r="AB124" i="52"/>
  <c r="H124" i="52"/>
  <c r="O124" i="52"/>
  <c r="AJ124" i="52"/>
  <c r="G124" i="52"/>
  <c r="AC124" i="52"/>
  <c r="L124" i="52"/>
  <c r="K124" i="52"/>
  <c r="T124" i="52"/>
  <c r="W124" i="52"/>
  <c r="U124" i="52"/>
  <c r="K132" i="52"/>
  <c r="W132" i="52"/>
  <c r="AD132" i="52"/>
  <c r="AF132" i="52"/>
  <c r="L115" i="52"/>
  <c r="AA132" i="52"/>
  <c r="K131" i="52"/>
  <c r="AI124" i="52"/>
  <c r="Y124" i="52"/>
  <c r="AE118" i="52"/>
  <c r="V124" i="52"/>
  <c r="AA124" i="52"/>
  <c r="U132" i="52"/>
  <c r="H117" i="52"/>
  <c r="AJ132" i="52"/>
  <c r="M132" i="52"/>
  <c r="J116" i="52"/>
  <c r="B79" i="39"/>
  <c r="K116" i="52"/>
  <c r="O116" i="52"/>
  <c r="I116" i="52"/>
  <c r="M116" i="52"/>
  <c r="Q133" i="52"/>
  <c r="B96" i="39"/>
  <c r="T133" i="52"/>
  <c r="N133" i="52"/>
  <c r="F133" i="52"/>
  <c r="AJ133" i="52"/>
  <c r="AG133" i="52"/>
  <c r="J133" i="52"/>
  <c r="K133" i="52"/>
  <c r="U133" i="52"/>
  <c r="P133" i="52"/>
  <c r="O133" i="52"/>
  <c r="X133" i="52"/>
  <c r="M133" i="52"/>
  <c r="H133" i="52"/>
  <c r="Z124" i="52"/>
  <c r="AB132" i="52"/>
  <c r="AE132" i="52"/>
  <c r="V132" i="52"/>
  <c r="J124" i="52"/>
  <c r="AG124" i="52"/>
  <c r="P118" i="52"/>
  <c r="AJ117" i="52"/>
  <c r="F124" i="52"/>
  <c r="H132" i="52"/>
  <c r="I113" i="52"/>
  <c r="J113" i="52"/>
  <c r="AC132" i="52"/>
  <c r="V117" i="52"/>
  <c r="G131" i="52"/>
  <c r="H136" i="52"/>
  <c r="B99" i="39"/>
  <c r="Q124" i="52"/>
  <c r="P132" i="52"/>
  <c r="K115" i="52"/>
  <c r="AG132" i="52"/>
  <c r="W117" i="52"/>
  <c r="R132" i="52"/>
  <c r="H112" i="52"/>
  <c r="K112" i="52"/>
  <c r="AE124" i="52"/>
  <c r="O117" i="52"/>
  <c r="AA117" i="52"/>
  <c r="N124" i="52"/>
  <c r="O115" i="52"/>
  <c r="X117" i="52"/>
  <c r="M131" i="52"/>
  <c r="Q117" i="52"/>
  <c r="L117" i="52"/>
  <c r="J111" i="52"/>
  <c r="Y111" i="52"/>
  <c r="I117" i="52"/>
  <c r="Y132" i="52"/>
  <c r="H121" i="52"/>
  <c r="B84" i="39"/>
  <c r="A136" i="52"/>
  <c r="N122" i="43"/>
  <c r="O33" i="11"/>
  <c r="N33" i="11"/>
  <c r="O32" i="11"/>
  <c r="N32" i="11"/>
  <c r="O31" i="11"/>
  <c r="N31" i="11"/>
  <c r="O30" i="11"/>
  <c r="N30" i="11"/>
  <c r="O29" i="11"/>
  <c r="N29" i="11"/>
  <c r="P29" i="11" s="1"/>
  <c r="O28" i="11"/>
  <c r="N28" i="11"/>
  <c r="P28" i="11" s="1"/>
  <c r="O27" i="11"/>
  <c r="P27" i="11" s="1"/>
  <c r="N27" i="11"/>
  <c r="O26" i="11"/>
  <c r="N26" i="11"/>
  <c r="P26" i="11" s="1"/>
  <c r="O25" i="11"/>
  <c r="N25" i="11"/>
  <c r="P25" i="11" s="1"/>
  <c r="O24" i="11"/>
  <c r="N24" i="11"/>
  <c r="O23" i="11"/>
  <c r="N23" i="11"/>
  <c r="O22" i="11"/>
  <c r="N22" i="11"/>
  <c r="O21" i="11"/>
  <c r="N21" i="11"/>
  <c r="O20" i="11"/>
  <c r="N20" i="11"/>
  <c r="O19" i="11"/>
  <c r="N19" i="11"/>
  <c r="P19" i="11" s="1"/>
  <c r="O18" i="11"/>
  <c r="N18" i="11"/>
  <c r="O17" i="11"/>
  <c r="P17" i="11" s="1"/>
  <c r="N17" i="11"/>
  <c r="O16" i="11"/>
  <c r="N16" i="11"/>
  <c r="O15" i="11"/>
  <c r="N15" i="11"/>
  <c r="O14" i="11"/>
  <c r="N14" i="11"/>
  <c r="O13" i="11"/>
  <c r="P13" i="11" s="1"/>
  <c r="N13" i="11"/>
  <c r="O12" i="11"/>
  <c r="N12" i="11"/>
  <c r="O11" i="11"/>
  <c r="N11" i="11"/>
  <c r="O10" i="11"/>
  <c r="N10" i="11"/>
  <c r="O9" i="11"/>
  <c r="N9" i="11"/>
  <c r="O8" i="11"/>
  <c r="N8" i="11"/>
  <c r="P8" i="11" s="1"/>
  <c r="O7" i="11"/>
  <c r="N7" i="11"/>
  <c r="O6" i="11"/>
  <c r="N6" i="11"/>
  <c r="O5" i="11"/>
  <c r="N5" i="11"/>
  <c r="P5" i="11" s="1"/>
  <c r="O4" i="11"/>
  <c r="N4" i="11"/>
  <c r="O3" i="11"/>
  <c r="N3" i="11"/>
  <c r="U110" i="52" l="1"/>
  <c r="S110" i="52"/>
  <c r="AD110" i="52"/>
  <c r="I110" i="52"/>
  <c r="AC110" i="52"/>
  <c r="AE110" i="52"/>
  <c r="T110" i="52"/>
  <c r="AF110" i="52"/>
  <c r="N110" i="52"/>
  <c r="L110" i="52"/>
  <c r="W110" i="52"/>
  <c r="J110" i="52"/>
  <c r="AJ110" i="52"/>
  <c r="Z110" i="52"/>
  <c r="AB110" i="52"/>
  <c r="AG110" i="52"/>
  <c r="X110" i="52"/>
  <c r="P110" i="52"/>
  <c r="AH110" i="52"/>
  <c r="AA110" i="52"/>
  <c r="K110" i="52"/>
  <c r="AI110" i="52"/>
  <c r="V110" i="52"/>
  <c r="R110" i="52"/>
  <c r="G110" i="52"/>
  <c r="M110" i="52"/>
  <c r="Y110" i="52"/>
  <c r="H110" i="52"/>
  <c r="Q110" i="52"/>
  <c r="O110" i="52"/>
  <c r="F110" i="52"/>
  <c r="P4" i="11"/>
  <c r="P7" i="11"/>
  <c r="P21" i="11"/>
  <c r="P24" i="11"/>
  <c r="P33" i="11"/>
  <c r="P14" i="11"/>
  <c r="P23" i="11"/>
  <c r="P11" i="11"/>
  <c r="P3" i="11"/>
  <c r="P9" i="11"/>
  <c r="P12" i="11"/>
  <c r="P20" i="11"/>
  <c r="P31" i="11"/>
  <c r="P15" i="11"/>
  <c r="P32" i="11"/>
  <c r="P16" i="11"/>
  <c r="A137" i="52"/>
  <c r="P6" i="11"/>
  <c r="P18" i="11"/>
  <c r="P30" i="11"/>
  <c r="P10" i="11"/>
  <c r="P22" i="11"/>
  <c r="A18" i="43"/>
  <c r="A138" i="52" l="1"/>
  <c r="O33" i="35"/>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A139" i="52" l="1"/>
  <c r="C114" i="39"/>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A140" i="52" l="1"/>
  <c r="Q5" i="44"/>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A141" i="52" l="1"/>
  <c r="Q6" i="44"/>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R4" i="37"/>
  <c r="R5" i="37"/>
  <c r="R6" i="37"/>
  <c r="P5" i="37" s="1"/>
  <c r="B30" i="39" s="1"/>
  <c r="R7" i="37"/>
  <c r="R8" i="37"/>
  <c r="R9" i="37"/>
  <c r="R10" i="37"/>
  <c r="R11" i="37"/>
  <c r="R12" i="37"/>
  <c r="R13" i="37"/>
  <c r="R14" i="37"/>
  <c r="R3" i="37"/>
  <c r="L4" i="37"/>
  <c r="L5" i="37"/>
  <c r="L6" i="37"/>
  <c r="L7" i="37"/>
  <c r="L8" i="37"/>
  <c r="L9" i="37"/>
  <c r="L10" i="37"/>
  <c r="L11" i="37"/>
  <c r="L12" i="37"/>
  <c r="L13" i="37"/>
  <c r="L14" i="37"/>
  <c r="L3" i="37"/>
  <c r="P7" i="37" l="1"/>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E403" i="43" l="1"/>
  <c r="F403" i="43"/>
  <c r="B403" i="43"/>
  <c r="G403" i="43"/>
  <c r="H403" i="43"/>
  <c r="C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17" i="43"/>
  <c r="C441" i="43" s="1"/>
  <c r="C7" i="52" s="1"/>
  <c r="C419" i="43"/>
  <c r="C443" i="43" s="1"/>
  <c r="C9" i="52" s="1"/>
  <c r="C423" i="43"/>
  <c r="C447" i="43" s="1"/>
  <c r="C13" i="52" s="1"/>
  <c r="C428" i="43"/>
  <c r="C452" i="43" s="1"/>
  <c r="C18" i="52" s="1"/>
  <c r="C404" i="43"/>
  <c r="C420" i="43"/>
  <c r="C444" i="43" s="1"/>
  <c r="C10" i="52" s="1"/>
  <c r="C431" i="43"/>
  <c r="C455" i="43" s="1"/>
  <c r="C21" i="52" s="1"/>
  <c r="C426" i="43"/>
  <c r="C450" i="43" s="1"/>
  <c r="C16" i="52" s="1"/>
  <c r="C409" i="43"/>
  <c r="C421" i="43"/>
  <c r="C445" i="43" s="1"/>
  <c r="C11" i="52" s="1"/>
  <c r="C434" i="43"/>
  <c r="C458" i="43" s="1"/>
  <c r="C24" i="52" s="1"/>
  <c r="C407" i="43"/>
  <c r="C414" i="43"/>
  <c r="C438" i="43" s="1"/>
  <c r="C4" i="52" s="1"/>
  <c r="C418" i="43"/>
  <c r="C442" i="43" s="1"/>
  <c r="C8" i="52" s="1"/>
  <c r="C425" i="43"/>
  <c r="C449" i="43" s="1"/>
  <c r="C15" i="52" s="1"/>
  <c r="C427" i="43"/>
  <c r="C451" i="43" s="1"/>
  <c r="C17" i="52" s="1"/>
  <c r="C429" i="43"/>
  <c r="C453" i="43" s="1"/>
  <c r="C19" i="52" s="1"/>
  <c r="C432" i="43"/>
  <c r="C456" i="43" s="1"/>
  <c r="C22" i="52" s="1"/>
  <c r="C410" i="43"/>
  <c r="C412" i="43"/>
  <c r="C422" i="43"/>
  <c r="C446" i="43" s="1"/>
  <c r="C12" i="52" s="1"/>
  <c r="C433" i="43"/>
  <c r="C457" i="43" s="1"/>
  <c r="C23" i="52" s="1"/>
  <c r="C405" i="43"/>
  <c r="C408" i="43"/>
  <c r="C415" i="43"/>
  <c r="C439" i="43" s="1"/>
  <c r="C5" i="52" s="1"/>
  <c r="C424" i="43"/>
  <c r="C448" i="43" s="1"/>
  <c r="C14" i="52" s="1"/>
  <c r="C430" i="43"/>
  <c r="C454" i="43" s="1"/>
  <c r="C20" i="52" s="1"/>
  <c r="C413" i="43"/>
  <c r="C411" i="43"/>
  <c r="C416" i="43"/>
  <c r="C440" i="43" s="1"/>
  <c r="C6" i="52" s="1"/>
  <c r="H434" i="43"/>
  <c r="H458" i="43" s="1"/>
  <c r="H24" i="52" s="1"/>
  <c r="H418" i="43"/>
  <c r="H442" i="43" s="1"/>
  <c r="H8" i="52" s="1"/>
  <c r="H415" i="43"/>
  <c r="H439" i="43" s="1"/>
  <c r="H5" i="52" s="1"/>
  <c r="H410" i="43"/>
  <c r="H424" i="43"/>
  <c r="H448" i="43" s="1"/>
  <c r="H14" i="52" s="1"/>
  <c r="H405" i="43"/>
  <c r="H428" i="43"/>
  <c r="H452" i="43" s="1"/>
  <c r="H18" i="52" s="1"/>
  <c r="H406" i="43"/>
  <c r="H417" i="43"/>
  <c r="H441" i="43" s="1"/>
  <c r="H7" i="52" s="1"/>
  <c r="H414" i="43"/>
  <c r="H438" i="43" s="1"/>
  <c r="H4" i="52" s="1"/>
  <c r="H430" i="43"/>
  <c r="H454" i="43" s="1"/>
  <c r="H20" i="52" s="1"/>
  <c r="H423" i="43"/>
  <c r="H447" i="43" s="1"/>
  <c r="H13" i="52" s="1"/>
  <c r="H419" i="43"/>
  <c r="H443" i="43" s="1"/>
  <c r="H9" i="52" s="1"/>
  <c r="H429" i="43"/>
  <c r="H453" i="43" s="1"/>
  <c r="H19" i="52" s="1"/>
  <c r="H416" i="43"/>
  <c r="H440" i="43" s="1"/>
  <c r="H6" i="52" s="1"/>
  <c r="H404" i="43"/>
  <c r="H413" i="43"/>
  <c r="H427" i="43"/>
  <c r="H451" i="43" s="1"/>
  <c r="H17" i="52" s="1"/>
  <c r="H409" i="43"/>
  <c r="H422" i="43"/>
  <c r="H446" i="43" s="1"/>
  <c r="H12" i="52" s="1"/>
  <c r="H421" i="43"/>
  <c r="H445" i="43" s="1"/>
  <c r="H11" i="52" s="1"/>
  <c r="H426" i="43"/>
  <c r="H450" i="43" s="1"/>
  <c r="H16" i="52" s="1"/>
  <c r="H420" i="43"/>
  <c r="H444" i="43" s="1"/>
  <c r="H10" i="52" s="1"/>
  <c r="H431" i="43"/>
  <c r="H455" i="43" s="1"/>
  <c r="H21" i="52" s="1"/>
  <c r="H433" i="43"/>
  <c r="H457" i="43" s="1"/>
  <c r="H23" i="52" s="1"/>
  <c r="H408" i="43"/>
  <c r="H432" i="43"/>
  <c r="H456" i="43" s="1"/>
  <c r="H22" i="52" s="1"/>
  <c r="H412" i="43"/>
  <c r="H425" i="43"/>
  <c r="H449" i="43" s="1"/>
  <c r="H15" i="52" s="1"/>
  <c r="H407" i="43"/>
  <c r="H411" i="43"/>
  <c r="G410" i="43"/>
  <c r="G413" i="43"/>
  <c r="G431" i="43"/>
  <c r="G455" i="43" s="1"/>
  <c r="G21" i="52" s="1"/>
  <c r="G416" i="43"/>
  <c r="G440" i="43" s="1"/>
  <c r="G6" i="52" s="1"/>
  <c r="G434" i="43"/>
  <c r="G458" i="43" s="1"/>
  <c r="G24" i="52" s="1"/>
  <c r="G428" i="43"/>
  <c r="G452" i="43" s="1"/>
  <c r="G18" i="52" s="1"/>
  <c r="G429" i="43"/>
  <c r="G453" i="43" s="1"/>
  <c r="G19" i="52" s="1"/>
  <c r="G411" i="43"/>
  <c r="G427" i="43"/>
  <c r="G451" i="43" s="1"/>
  <c r="G17" i="52" s="1"/>
  <c r="G409" i="43"/>
  <c r="G405" i="43"/>
  <c r="G404" i="43"/>
  <c r="G422" i="43"/>
  <c r="G446" i="43" s="1"/>
  <c r="G12" i="52" s="1"/>
  <c r="G426" i="43"/>
  <c r="G450" i="43" s="1"/>
  <c r="G16" i="52" s="1"/>
  <c r="G408" i="43"/>
  <c r="G424" i="43"/>
  <c r="G448" i="43" s="1"/>
  <c r="G14" i="52" s="1"/>
  <c r="G433" i="43"/>
  <c r="G457" i="43" s="1"/>
  <c r="G23" i="52" s="1"/>
  <c r="G430" i="43"/>
  <c r="G454" i="43" s="1"/>
  <c r="G20" i="52" s="1"/>
  <c r="G406" i="43"/>
  <c r="G419" i="43"/>
  <c r="G443" i="43" s="1"/>
  <c r="G9" i="52" s="1"/>
  <c r="G423" i="43"/>
  <c r="G447" i="43" s="1"/>
  <c r="G13" i="52" s="1"/>
  <c r="G421" i="43"/>
  <c r="G445" i="43" s="1"/>
  <c r="G11" i="52" s="1"/>
  <c r="G418" i="43"/>
  <c r="G442" i="43" s="1"/>
  <c r="G8" i="52" s="1"/>
  <c r="G415" i="43"/>
  <c r="G439" i="43" s="1"/>
  <c r="G5" i="52" s="1"/>
  <c r="G432" i="43"/>
  <c r="G456" i="43" s="1"/>
  <c r="G22" i="52" s="1"/>
  <c r="G407" i="43"/>
  <c r="G420" i="43"/>
  <c r="G444" i="43" s="1"/>
  <c r="G10" i="52" s="1"/>
  <c r="G425" i="43"/>
  <c r="G449" i="43" s="1"/>
  <c r="G15" i="52" s="1"/>
  <c r="G417" i="43"/>
  <c r="G441" i="43" s="1"/>
  <c r="G7" i="52" s="1"/>
  <c r="G414" i="43"/>
  <c r="G438" i="43" s="1"/>
  <c r="G4" i="52" s="1"/>
  <c r="G412" i="43"/>
  <c r="B405" i="43"/>
  <c r="B424" i="43"/>
  <c r="B448" i="43" s="1"/>
  <c r="B14" i="52" s="1"/>
  <c r="B425" i="43"/>
  <c r="B449" i="43" s="1"/>
  <c r="B15" i="52" s="1"/>
  <c r="B413" i="43"/>
  <c r="B414" i="43"/>
  <c r="B438" i="43" s="1"/>
  <c r="B4" i="52" s="1"/>
  <c r="B408" i="43"/>
  <c r="B431" i="43"/>
  <c r="B455" i="43" s="1"/>
  <c r="B21" i="52" s="1"/>
  <c r="B422" i="43"/>
  <c r="B446" i="43" s="1"/>
  <c r="B12" i="52" s="1"/>
  <c r="B415" i="43"/>
  <c r="B439" i="43" s="1"/>
  <c r="B5" i="52" s="1"/>
  <c r="B417" i="43"/>
  <c r="B441" i="43" s="1"/>
  <c r="B7" i="52" s="1"/>
  <c r="B409" i="43"/>
  <c r="B406" i="43"/>
  <c r="B429" i="43"/>
  <c r="B453" i="43" s="1"/>
  <c r="B19" i="52" s="1"/>
  <c r="B433" i="43"/>
  <c r="B457" i="43" s="1"/>
  <c r="B23" i="52" s="1"/>
  <c r="B411" i="43"/>
  <c r="B416" i="43"/>
  <c r="B440" i="43" s="1"/>
  <c r="B6" i="52" s="1"/>
  <c r="B432" i="43"/>
  <c r="B456" i="43" s="1"/>
  <c r="B22" i="52" s="1"/>
  <c r="B404" i="43"/>
  <c r="B428" i="43"/>
  <c r="B452" i="43" s="1"/>
  <c r="B18" i="52" s="1"/>
  <c r="B420" i="43"/>
  <c r="B444" i="43" s="1"/>
  <c r="B10" i="52" s="1"/>
  <c r="B421" i="43"/>
  <c r="B445" i="43" s="1"/>
  <c r="B11" i="52" s="1"/>
  <c r="B410" i="43"/>
  <c r="B407" i="43"/>
  <c r="B427" i="43"/>
  <c r="B451" i="43" s="1"/>
  <c r="B17" i="52" s="1"/>
  <c r="B426" i="43"/>
  <c r="B450" i="43" s="1"/>
  <c r="B16" i="52" s="1"/>
  <c r="B434" i="43"/>
  <c r="B458" i="43" s="1"/>
  <c r="B24" i="52" s="1"/>
  <c r="B430" i="43"/>
  <c r="B454" i="43" s="1"/>
  <c r="B20" i="52" s="1"/>
  <c r="B423" i="43"/>
  <c r="B447" i="43" s="1"/>
  <c r="B13" i="52" s="1"/>
  <c r="B418" i="43"/>
  <c r="B442" i="43" s="1"/>
  <c r="B8" i="52" s="1"/>
  <c r="B419" i="43"/>
  <c r="B443" i="43" s="1"/>
  <c r="B9" i="52" s="1"/>
  <c r="B412" i="43"/>
  <c r="F415" i="43"/>
  <c r="F439" i="43" s="1"/>
  <c r="F5" i="52" s="1"/>
  <c r="F410" i="43"/>
  <c r="F420" i="43"/>
  <c r="F444" i="43" s="1"/>
  <c r="F10" i="52" s="1"/>
  <c r="F431" i="43"/>
  <c r="F455" i="43" s="1"/>
  <c r="F21" i="52" s="1"/>
  <c r="F423" i="43"/>
  <c r="F447" i="43" s="1"/>
  <c r="F13" i="52" s="1"/>
  <c r="F424" i="43"/>
  <c r="F448" i="43" s="1"/>
  <c r="F14" i="52" s="1"/>
  <c r="F419" i="43"/>
  <c r="F443" i="43" s="1"/>
  <c r="F9" i="52" s="1"/>
  <c r="F430" i="43"/>
  <c r="F454" i="43" s="1"/>
  <c r="F20" i="52" s="1"/>
  <c r="F416" i="43"/>
  <c r="F440" i="43" s="1"/>
  <c r="F6" i="52" s="1"/>
  <c r="F404" i="43"/>
  <c r="F427" i="43"/>
  <c r="F451" i="43" s="1"/>
  <c r="F17" i="52" s="1"/>
  <c r="F434" i="43"/>
  <c r="F458" i="43" s="1"/>
  <c r="F24" i="52" s="1"/>
  <c r="F421" i="43"/>
  <c r="F445" i="43" s="1"/>
  <c r="F11" i="52" s="1"/>
  <c r="F425" i="43"/>
  <c r="F449" i="43" s="1"/>
  <c r="F15" i="52" s="1"/>
  <c r="F426" i="43"/>
  <c r="F450" i="43" s="1"/>
  <c r="F16" i="52" s="1"/>
  <c r="F412" i="43"/>
  <c r="F409" i="43"/>
  <c r="F407" i="43"/>
  <c r="F417" i="43"/>
  <c r="F441" i="43" s="1"/>
  <c r="F7" i="52" s="1"/>
  <c r="F414" i="43"/>
  <c r="F438" i="43" s="1"/>
  <c r="F4" i="52" s="1"/>
  <c r="F422" i="43"/>
  <c r="F446" i="43" s="1"/>
  <c r="F12" i="52" s="1"/>
  <c r="F411" i="43"/>
  <c r="F405" i="43"/>
  <c r="F408" i="43"/>
  <c r="F432" i="43"/>
  <c r="F456" i="43" s="1"/>
  <c r="F22" i="52" s="1"/>
  <c r="F418" i="43"/>
  <c r="F442" i="43" s="1"/>
  <c r="F8" i="52" s="1"/>
  <c r="F413" i="43"/>
  <c r="F428" i="43"/>
  <c r="F452" i="43" s="1"/>
  <c r="F18" i="52" s="1"/>
  <c r="F429" i="43"/>
  <c r="F453" i="43" s="1"/>
  <c r="F19" i="52" s="1"/>
  <c r="F406" i="43"/>
  <c r="F433" i="43"/>
  <c r="F457" i="43" s="1"/>
  <c r="F23" i="52" s="1"/>
  <c r="D405" i="43"/>
  <c r="D408" i="43"/>
  <c r="D413" i="43"/>
  <c r="D415" i="43"/>
  <c r="D439" i="43" s="1"/>
  <c r="D5" i="52" s="1"/>
  <c r="D424" i="43"/>
  <c r="D448" i="43" s="1"/>
  <c r="D14" i="52" s="1"/>
  <c r="D433" i="43"/>
  <c r="D457" i="43" s="1"/>
  <c r="D23" i="52" s="1"/>
  <c r="D406" i="43"/>
  <c r="D417" i="43"/>
  <c r="D441" i="43" s="1"/>
  <c r="D7" i="52" s="1"/>
  <c r="D419" i="43"/>
  <c r="D443" i="43" s="1"/>
  <c r="D9" i="52" s="1"/>
  <c r="D426" i="43"/>
  <c r="D450" i="43" s="1"/>
  <c r="D16" i="52" s="1"/>
  <c r="D430" i="43"/>
  <c r="D454" i="43" s="1"/>
  <c r="D20" i="52" s="1"/>
  <c r="D414" i="43"/>
  <c r="D438" i="43" s="1"/>
  <c r="D4" i="52" s="1"/>
  <c r="D427" i="43"/>
  <c r="D451" i="43" s="1"/>
  <c r="D17" i="52" s="1"/>
  <c r="D431" i="43"/>
  <c r="D455" i="43" s="1"/>
  <c r="D21" i="52" s="1"/>
  <c r="D411" i="43"/>
  <c r="D416" i="43"/>
  <c r="D440" i="43" s="1"/>
  <c r="D6" i="52" s="1"/>
  <c r="D423" i="43"/>
  <c r="D447" i="43" s="1"/>
  <c r="D13" i="52" s="1"/>
  <c r="D428" i="43"/>
  <c r="D452" i="43" s="1"/>
  <c r="D18" i="52" s="1"/>
  <c r="D404" i="43"/>
  <c r="D409" i="43"/>
  <c r="D421" i="43"/>
  <c r="D445" i="43" s="1"/>
  <c r="D11" i="52" s="1"/>
  <c r="D434" i="43"/>
  <c r="D458" i="43" s="1"/>
  <c r="D24" i="52" s="1"/>
  <c r="D407" i="43"/>
  <c r="D418" i="43"/>
  <c r="D442" i="43" s="1"/>
  <c r="D8" i="52" s="1"/>
  <c r="D425" i="43"/>
  <c r="D449" i="43" s="1"/>
  <c r="D15" i="52" s="1"/>
  <c r="D429" i="43"/>
  <c r="D453" i="43" s="1"/>
  <c r="D19" i="52" s="1"/>
  <c r="D432" i="43"/>
  <c r="D456" i="43" s="1"/>
  <c r="D22" i="52" s="1"/>
  <c r="D410" i="43"/>
  <c r="D412" i="43"/>
  <c r="D420" i="43"/>
  <c r="D444" i="43" s="1"/>
  <c r="D10" i="52" s="1"/>
  <c r="D422" i="43"/>
  <c r="D446" i="43" s="1"/>
  <c r="D12" i="52" s="1"/>
  <c r="E405" i="43"/>
  <c r="E410" i="43"/>
  <c r="E420" i="43"/>
  <c r="E444" i="43" s="1"/>
  <c r="E10" i="52" s="1"/>
  <c r="E422" i="43"/>
  <c r="E446" i="43" s="1"/>
  <c r="E12" i="52" s="1"/>
  <c r="E408" i="43"/>
  <c r="E413" i="43"/>
  <c r="E415" i="43"/>
  <c r="E439" i="43" s="1"/>
  <c r="E5" i="52" s="1"/>
  <c r="E424" i="43"/>
  <c r="E448" i="43" s="1"/>
  <c r="E14" i="52" s="1"/>
  <c r="E433" i="43"/>
  <c r="E457" i="43" s="1"/>
  <c r="E23" i="52" s="1"/>
  <c r="E406" i="43"/>
  <c r="E417" i="43"/>
  <c r="E441" i="43" s="1"/>
  <c r="E7" i="52" s="1"/>
  <c r="E419" i="43"/>
  <c r="E443" i="43" s="1"/>
  <c r="E9" i="52" s="1"/>
  <c r="E426" i="43"/>
  <c r="E450" i="43" s="1"/>
  <c r="E16" i="52" s="1"/>
  <c r="E430" i="43"/>
  <c r="E454" i="43" s="1"/>
  <c r="E20" i="52" s="1"/>
  <c r="E411" i="43"/>
  <c r="E416" i="43"/>
  <c r="E440" i="43" s="1"/>
  <c r="E6" i="52" s="1"/>
  <c r="E423" i="43"/>
  <c r="E447" i="43" s="1"/>
  <c r="E13" i="52" s="1"/>
  <c r="E404" i="43"/>
  <c r="E434" i="43"/>
  <c r="E458" i="43" s="1"/>
  <c r="E24" i="52" s="1"/>
  <c r="E431" i="43"/>
  <c r="E455" i="43" s="1"/>
  <c r="E21" i="52" s="1"/>
  <c r="E418" i="43"/>
  <c r="E442" i="43" s="1"/>
  <c r="E8" i="52" s="1"/>
  <c r="E425" i="43"/>
  <c r="E449" i="43" s="1"/>
  <c r="E15" i="52" s="1"/>
  <c r="E427" i="43"/>
  <c r="E451" i="43" s="1"/>
  <c r="E17" i="52" s="1"/>
  <c r="E429" i="43"/>
  <c r="E453" i="43" s="1"/>
  <c r="E19" i="52" s="1"/>
  <c r="E414" i="43"/>
  <c r="E438" i="43" s="1"/>
  <c r="E4" i="52" s="1"/>
  <c r="E421" i="43"/>
  <c r="E445" i="43" s="1"/>
  <c r="E11" i="52" s="1"/>
  <c r="E409" i="43"/>
  <c r="E428" i="43"/>
  <c r="E452" i="43" s="1"/>
  <c r="E18" i="52" s="1"/>
  <c r="E432" i="43"/>
  <c r="E456" i="43" s="1"/>
  <c r="E22" i="52" s="1"/>
  <c r="E412" i="43"/>
  <c r="E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D76" i="52" l="1"/>
  <c r="D82" i="52"/>
  <c r="D88" i="52"/>
  <c r="D94" i="52"/>
  <c r="D100" i="52"/>
  <c r="D72" i="52"/>
  <c r="D96" i="52"/>
  <c r="D77" i="52"/>
  <c r="D83" i="52"/>
  <c r="D89" i="52"/>
  <c r="D95" i="52"/>
  <c r="D101" i="52"/>
  <c r="D90" i="52"/>
  <c r="D78" i="52"/>
  <c r="D84" i="52"/>
  <c r="D102" i="52"/>
  <c r="D73" i="52"/>
  <c r="D79" i="52"/>
  <c r="D85" i="52"/>
  <c r="D91" i="52"/>
  <c r="D97" i="52"/>
  <c r="D74" i="52"/>
  <c r="D80" i="52"/>
  <c r="D86" i="52"/>
  <c r="D92" i="52"/>
  <c r="D98" i="52"/>
  <c r="D75" i="52"/>
  <c r="D81" i="52"/>
  <c r="D87" i="52"/>
  <c r="D93" i="52"/>
  <c r="D99" i="52"/>
  <c r="H73" i="52"/>
  <c r="H79" i="52"/>
  <c r="H85" i="52"/>
  <c r="H91" i="52"/>
  <c r="H97" i="52"/>
  <c r="H75" i="52"/>
  <c r="H87" i="52"/>
  <c r="H74" i="52"/>
  <c r="H80" i="52"/>
  <c r="H86" i="52"/>
  <c r="H92" i="52"/>
  <c r="H98" i="52"/>
  <c r="H81" i="52"/>
  <c r="H99" i="52"/>
  <c r="H93" i="52"/>
  <c r="H76" i="52"/>
  <c r="H82" i="52"/>
  <c r="H88" i="52"/>
  <c r="H94" i="52"/>
  <c r="H100" i="52"/>
  <c r="H77" i="52"/>
  <c r="H83" i="52"/>
  <c r="H89" i="52"/>
  <c r="H95" i="52"/>
  <c r="H101" i="52"/>
  <c r="H72" i="52"/>
  <c r="H78" i="52"/>
  <c r="H84" i="52"/>
  <c r="H90" i="52"/>
  <c r="H96" i="52"/>
  <c r="H102" i="52"/>
  <c r="F87" i="52"/>
  <c r="F90" i="52"/>
  <c r="F89" i="52"/>
  <c r="F86" i="52"/>
  <c r="F82" i="52"/>
  <c r="F98" i="52"/>
  <c r="F94" i="52"/>
  <c r="F93" i="52"/>
  <c r="F97" i="52"/>
  <c r="F96" i="52"/>
  <c r="F91" i="52"/>
  <c r="F88" i="52"/>
  <c r="F99" i="52"/>
  <c r="F92" i="52"/>
  <c r="F100" i="52"/>
  <c r="F74" i="52"/>
  <c r="F73" i="52"/>
  <c r="F101" i="52"/>
  <c r="F72" i="52"/>
  <c r="F95" i="52"/>
  <c r="F76" i="52"/>
  <c r="F79" i="52"/>
  <c r="F78" i="52"/>
  <c r="F77" i="52"/>
  <c r="F75" i="52"/>
  <c r="F102" i="52"/>
  <c r="F83" i="52"/>
  <c r="F85" i="52"/>
  <c r="F84" i="52"/>
  <c r="F81" i="52"/>
  <c r="F80" i="52"/>
  <c r="B96" i="52"/>
  <c r="B90" i="52"/>
  <c r="B74" i="52"/>
  <c r="B100" i="52"/>
  <c r="B101" i="52"/>
  <c r="B81" i="52"/>
  <c r="B98" i="52"/>
  <c r="B82" i="52"/>
  <c r="B85" i="52"/>
  <c r="B86" i="52"/>
  <c r="B77" i="52"/>
  <c r="B80" i="52"/>
  <c r="B75" i="52"/>
  <c r="B76" i="52"/>
  <c r="B91" i="52"/>
  <c r="B92" i="52"/>
  <c r="B84" i="52"/>
  <c r="B97" i="52"/>
  <c r="B83" i="52"/>
  <c r="B102" i="52"/>
  <c r="B87" i="52"/>
  <c r="B72" i="52"/>
  <c r="B73" i="52"/>
  <c r="B93" i="52"/>
  <c r="B88" i="52"/>
  <c r="B89" i="52"/>
  <c r="B78" i="52"/>
  <c r="B79" i="52"/>
  <c r="B99" i="52"/>
  <c r="B94" i="52"/>
  <c r="B95" i="52"/>
  <c r="G72" i="52"/>
  <c r="G78" i="52"/>
  <c r="G84" i="52"/>
  <c r="G90" i="52"/>
  <c r="G96" i="52"/>
  <c r="G102" i="52"/>
  <c r="G74" i="52"/>
  <c r="G86" i="52"/>
  <c r="G98" i="52"/>
  <c r="G73" i="52"/>
  <c r="G79" i="52"/>
  <c r="G85" i="52"/>
  <c r="G91" i="52"/>
  <c r="G97" i="52"/>
  <c r="G80" i="52"/>
  <c r="G92" i="52"/>
  <c r="G75" i="52"/>
  <c r="G81" i="52"/>
  <c r="G87" i="52"/>
  <c r="G93" i="52"/>
  <c r="G99" i="52"/>
  <c r="G76" i="52"/>
  <c r="G82" i="52"/>
  <c r="G88" i="52"/>
  <c r="G94" i="52"/>
  <c r="G100" i="52"/>
  <c r="G77" i="52"/>
  <c r="G83" i="52"/>
  <c r="G89" i="52"/>
  <c r="G95" i="52"/>
  <c r="G101" i="52"/>
  <c r="C75" i="52"/>
  <c r="C81" i="52"/>
  <c r="C87" i="52"/>
  <c r="C93" i="52"/>
  <c r="C99" i="52"/>
  <c r="C83" i="52"/>
  <c r="C95" i="52"/>
  <c r="C76" i="52"/>
  <c r="C82" i="52"/>
  <c r="C88" i="52"/>
  <c r="C94" i="52"/>
  <c r="C100" i="52"/>
  <c r="C77" i="52"/>
  <c r="C89" i="52"/>
  <c r="C101" i="52"/>
  <c r="C72" i="52"/>
  <c r="C78" i="52"/>
  <c r="C84" i="52"/>
  <c r="C90" i="52"/>
  <c r="C96" i="52"/>
  <c r="C102" i="52"/>
  <c r="C73" i="52"/>
  <c r="C79" i="52"/>
  <c r="C85" i="52"/>
  <c r="C91" i="52"/>
  <c r="C97" i="52"/>
  <c r="C74" i="52"/>
  <c r="C80" i="52"/>
  <c r="C86" i="52"/>
  <c r="C92" i="52"/>
  <c r="C98" i="52"/>
  <c r="E77" i="52"/>
  <c r="E83" i="52"/>
  <c r="E89" i="52"/>
  <c r="E95" i="52"/>
  <c r="E101" i="52"/>
  <c r="E72" i="52"/>
  <c r="E78" i="52"/>
  <c r="E84" i="52"/>
  <c r="E90" i="52"/>
  <c r="E96" i="52"/>
  <c r="E102" i="52"/>
  <c r="E97" i="52"/>
  <c r="E73" i="52"/>
  <c r="E79" i="52"/>
  <c r="E85" i="52"/>
  <c r="E91" i="52"/>
  <c r="E74" i="52"/>
  <c r="E80" i="52"/>
  <c r="E86" i="52"/>
  <c r="E92" i="52"/>
  <c r="E98" i="52"/>
  <c r="E75" i="52"/>
  <c r="E81" i="52"/>
  <c r="E87" i="52"/>
  <c r="E93" i="52"/>
  <c r="E99" i="52"/>
  <c r="E76" i="52"/>
  <c r="E82" i="52"/>
  <c r="E88" i="52"/>
  <c r="E94" i="52"/>
  <c r="E100" i="52"/>
  <c r="H217" i="44" a="1"/>
  <c r="A8" i="43"/>
  <c r="M14" i="43"/>
  <c r="J78" i="52" l="1"/>
  <c r="J85" i="52"/>
  <c r="S109" i="52" s="1"/>
  <c r="S148" i="52" s="1"/>
  <c r="J97" i="52"/>
  <c r="AE109" i="52" s="1"/>
  <c r="J96" i="52"/>
  <c r="AD109" i="52" s="1"/>
  <c r="J95" i="52"/>
  <c r="AC109" i="52" s="1"/>
  <c r="J94" i="52"/>
  <c r="AB109" i="52" s="1"/>
  <c r="J93" i="52"/>
  <c r="AA109" i="52" s="1"/>
  <c r="J92" i="52"/>
  <c r="Z109" i="52" s="1"/>
  <c r="J91" i="52"/>
  <c r="Y109" i="52" s="1"/>
  <c r="J90" i="52"/>
  <c r="X109" i="52" s="1"/>
  <c r="J89" i="52"/>
  <c r="W109" i="52" s="1"/>
  <c r="J88" i="52"/>
  <c r="V109" i="52" s="1"/>
  <c r="J87" i="52"/>
  <c r="U109" i="52" s="1"/>
  <c r="J86" i="52"/>
  <c r="T109" i="52" s="1"/>
  <c r="J84" i="52"/>
  <c r="R109" i="52" s="1"/>
  <c r="J83" i="52"/>
  <c r="Q109" i="52" s="1"/>
  <c r="J82" i="52"/>
  <c r="P109" i="52" s="1"/>
  <c r="J81" i="52"/>
  <c r="O109" i="52" s="1"/>
  <c r="J80" i="52"/>
  <c r="N109" i="52" s="1"/>
  <c r="J79" i="52"/>
  <c r="K72" i="52"/>
  <c r="J72" i="52" s="1"/>
  <c r="H217" i="44"/>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J98" i="52" l="1"/>
  <c r="J99" i="52" s="1"/>
  <c r="J100" i="52" s="1"/>
  <c r="J101" i="52" s="1"/>
  <c r="J102" i="52" s="1"/>
  <c r="J73" i="52"/>
  <c r="J74" i="52" s="1"/>
  <c r="J75" i="52" s="1"/>
  <c r="J76" i="52" s="1"/>
  <c r="J77" i="52" s="1"/>
  <c r="F109" i="52"/>
  <c r="F142" i="52" s="1"/>
  <c r="F143" i="52" s="1"/>
  <c r="S142" i="52"/>
  <c r="S143" i="52" s="1"/>
  <c r="S144" i="52"/>
  <c r="Z148" i="52"/>
  <c r="Z142" i="52"/>
  <c r="Z143" i="52" s="1"/>
  <c r="Z144" i="52"/>
  <c r="Y148" i="52"/>
  <c r="Y142" i="52"/>
  <c r="Y143" i="52" s="1"/>
  <c r="Y144" i="52"/>
  <c r="AA148" i="52"/>
  <c r="AA142" i="52"/>
  <c r="AA143" i="52" s="1"/>
  <c r="AA144" i="52"/>
  <c r="X148" i="52"/>
  <c r="X144" i="52"/>
  <c r="X142" i="52"/>
  <c r="X143" i="52" s="1"/>
  <c r="AB148" i="52"/>
  <c r="AB144" i="52"/>
  <c r="AB142" i="52"/>
  <c r="AB143" i="52" s="1"/>
  <c r="P148" i="52"/>
  <c r="P142" i="52"/>
  <c r="P143" i="52" s="1"/>
  <c r="P144" i="52"/>
  <c r="T148" i="52"/>
  <c r="T142" i="52"/>
  <c r="T143" i="52" s="1"/>
  <c r="T144" i="52"/>
  <c r="Q148" i="52"/>
  <c r="Q144" i="52"/>
  <c r="Q142" i="52"/>
  <c r="Q143" i="52" s="1"/>
  <c r="R148" i="52"/>
  <c r="R144" i="52"/>
  <c r="R142" i="52"/>
  <c r="R143" i="52" s="1"/>
  <c r="O148" i="52"/>
  <c r="O144" i="52"/>
  <c r="O142" i="52"/>
  <c r="O143" i="52" s="1"/>
  <c r="V148" i="52"/>
  <c r="V142" i="52"/>
  <c r="V143" i="52" s="1"/>
  <c r="V144" i="52"/>
  <c r="N148" i="52"/>
  <c r="N142" i="52"/>
  <c r="N143" i="52" s="1"/>
  <c r="N144" i="52"/>
  <c r="AC142" i="52"/>
  <c r="AC143" i="52" s="1"/>
  <c r="AC148" i="52"/>
  <c r="AC144" i="52"/>
  <c r="W148" i="52"/>
  <c r="W144" i="52"/>
  <c r="W142" i="52"/>
  <c r="W143" i="52" s="1"/>
  <c r="AE148" i="52"/>
  <c r="AE142" i="52"/>
  <c r="AE143" i="52" s="1"/>
  <c r="AE144" i="52"/>
  <c r="AD148" i="52"/>
  <c r="AD144" i="52"/>
  <c r="AD142" i="52"/>
  <c r="AD143" i="52" s="1"/>
  <c r="U148" i="52"/>
  <c r="U142" i="52"/>
  <c r="U143" i="52" s="1"/>
  <c r="U144" i="52"/>
  <c r="F224" i="44"/>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F148" i="52" l="1"/>
  <c r="F144" i="52"/>
  <c r="G109" i="52"/>
  <c r="AF109" i="52"/>
  <c r="F150" i="52"/>
  <c r="A12" i="43"/>
  <c r="P14" i="43"/>
  <c r="AF148" i="52" l="1"/>
  <c r="AF142" i="52"/>
  <c r="AF143" i="52" s="1"/>
  <c r="AF144" i="52"/>
  <c r="H109" i="52"/>
  <c r="AG109" i="52"/>
  <c r="G148" i="52"/>
  <c r="G144" i="52"/>
  <c r="G142" i="52"/>
  <c r="G143" i="52" s="1"/>
  <c r="A13" i="43"/>
  <c r="Q14" i="43"/>
  <c r="AG144" i="52" l="1"/>
  <c r="AG148" i="52"/>
  <c r="AG142" i="52"/>
  <c r="AG143" i="52" s="1"/>
  <c r="I109" i="52"/>
  <c r="H144" i="52"/>
  <c r="H148" i="52"/>
  <c r="H142" i="52"/>
  <c r="H143" i="52" s="1"/>
  <c r="AH109" i="52"/>
  <c r="R14" i="43"/>
  <c r="J109" i="52" l="1"/>
  <c r="J148" i="52" s="1"/>
  <c r="AI109" i="52"/>
  <c r="AJ109" i="52"/>
  <c r="AH148" i="52"/>
  <c r="AH142" i="52"/>
  <c r="AH143" i="52" s="1"/>
  <c r="AH144" i="52"/>
  <c r="I144" i="52"/>
  <c r="I148" i="52"/>
  <c r="I142" i="52"/>
  <c r="I143" i="52" s="1"/>
  <c r="S14" i="43"/>
  <c r="J142" i="52" l="1"/>
  <c r="J143" i="52" s="1"/>
  <c r="J144" i="52"/>
  <c r="K109" i="52"/>
  <c r="AJ148" i="52"/>
  <c r="AJ144" i="52"/>
  <c r="AJ142" i="52"/>
  <c r="AJ143" i="52" s="1"/>
  <c r="AI142" i="52"/>
  <c r="AI143" i="52" s="1"/>
  <c r="AI148" i="52"/>
  <c r="AI144" i="52"/>
  <c r="T14" i="43"/>
  <c r="L109" i="52" l="1"/>
  <c r="M109" i="52"/>
  <c r="K148" i="52"/>
  <c r="K144" i="52"/>
  <c r="K142" i="52"/>
  <c r="K143" i="52" s="1"/>
  <c r="K146" i="52"/>
  <c r="U14" i="43"/>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M148" i="52" l="1"/>
  <c r="M142" i="52"/>
  <c r="M143" i="52" s="1"/>
  <c r="M144" i="52"/>
  <c r="L144" i="52"/>
  <c r="L142" i="52"/>
  <c r="L143" i="52" s="1"/>
  <c r="L148" i="52"/>
  <c r="AE3" i="8"/>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F149" i="52" l="1"/>
  <c r="G146" i="52"/>
  <c r="I146" i="52" s="1"/>
  <c r="W14" i="43"/>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P457" i="43" s="1"/>
  <c r="P23" i="52" s="1"/>
  <c r="BE31" i="8"/>
  <c r="BE30" i="8"/>
  <c r="AS29" i="8"/>
  <c r="P430" i="43" s="1"/>
  <c r="P454" i="43" s="1"/>
  <c r="P20" i="52" s="1"/>
  <c r="BE28" i="8"/>
  <c r="BE27" i="8"/>
  <c r="AS26" i="8"/>
  <c r="P427" i="43" s="1"/>
  <c r="P451" i="43" s="1"/>
  <c r="P17" i="52" s="1"/>
  <c r="BE25" i="8"/>
  <c r="BE24" i="8"/>
  <c r="BE23" i="8"/>
  <c r="BE22" i="8"/>
  <c r="BE21" i="8"/>
  <c r="AS20" i="8"/>
  <c r="P421" i="43" s="1"/>
  <c r="P445" i="43" s="1"/>
  <c r="P11" i="52" s="1"/>
  <c r="BE19" i="8"/>
  <c r="BE18" i="8"/>
  <c r="AS17" i="8"/>
  <c r="P418" i="43" s="1"/>
  <c r="P442" i="43" s="1"/>
  <c r="P8" i="52" s="1"/>
  <c r="BE16" i="8"/>
  <c r="BE15" i="8"/>
  <c r="AS14" i="8"/>
  <c r="P415" i="43" s="1"/>
  <c r="P439" i="43" s="1"/>
  <c r="P5" i="52"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N458" i="43" s="1"/>
  <c r="N24" i="52" s="1"/>
  <c r="S32" i="8"/>
  <c r="AQ32" i="8" s="1"/>
  <c r="N433" i="43" s="1"/>
  <c r="N457" i="43" s="1"/>
  <c r="N23" i="52" s="1"/>
  <c r="S31" i="8"/>
  <c r="AQ31" i="8" s="1"/>
  <c r="N432" i="43" s="1"/>
  <c r="N456" i="43" s="1"/>
  <c r="N22" i="52" s="1"/>
  <c r="S30" i="8"/>
  <c r="AQ30" i="8" s="1"/>
  <c r="N431" i="43" s="1"/>
  <c r="N455" i="43" s="1"/>
  <c r="N21" i="52" s="1"/>
  <c r="S29" i="8"/>
  <c r="AQ29" i="8" s="1"/>
  <c r="N430" i="43" s="1"/>
  <c r="N454" i="43" s="1"/>
  <c r="N20" i="52" s="1"/>
  <c r="S28" i="8"/>
  <c r="AQ28" i="8" s="1"/>
  <c r="N429" i="43" s="1"/>
  <c r="N453" i="43" s="1"/>
  <c r="N19" i="52" s="1"/>
  <c r="S27" i="8"/>
  <c r="AQ27" i="8" s="1"/>
  <c r="N428" i="43" s="1"/>
  <c r="N452" i="43" s="1"/>
  <c r="N18" i="52" s="1"/>
  <c r="S26" i="8"/>
  <c r="AQ26" i="8" s="1"/>
  <c r="N427" i="43" s="1"/>
  <c r="N451" i="43" s="1"/>
  <c r="N17" i="52" s="1"/>
  <c r="S25" i="8"/>
  <c r="AQ25" i="8" s="1"/>
  <c r="N426" i="43" s="1"/>
  <c r="N450" i="43" s="1"/>
  <c r="N16" i="52" s="1"/>
  <c r="S24" i="8"/>
  <c r="AQ24" i="8" s="1"/>
  <c r="N425" i="43" s="1"/>
  <c r="N449" i="43" s="1"/>
  <c r="N15" i="52" s="1"/>
  <c r="S23" i="8"/>
  <c r="AQ23" i="8" s="1"/>
  <c r="N424" i="43" s="1"/>
  <c r="N448" i="43" s="1"/>
  <c r="N14" i="52" s="1"/>
  <c r="S22" i="8"/>
  <c r="AQ22" i="8" s="1"/>
  <c r="N423" i="43" s="1"/>
  <c r="N447" i="43" s="1"/>
  <c r="N13" i="52" s="1"/>
  <c r="S21" i="8"/>
  <c r="AQ21" i="8" s="1"/>
  <c r="N422" i="43" s="1"/>
  <c r="N446" i="43" s="1"/>
  <c r="N12" i="52" s="1"/>
  <c r="S20" i="8"/>
  <c r="AQ20" i="8" s="1"/>
  <c r="N421" i="43" s="1"/>
  <c r="N445" i="43" s="1"/>
  <c r="N11" i="52" s="1"/>
  <c r="S19" i="8"/>
  <c r="AQ19" i="8" s="1"/>
  <c r="N420" i="43" s="1"/>
  <c r="N444" i="43" s="1"/>
  <c r="N10" i="52" s="1"/>
  <c r="S18" i="8"/>
  <c r="AQ18" i="8" s="1"/>
  <c r="N419" i="43" s="1"/>
  <c r="N443" i="43" s="1"/>
  <c r="N9" i="52" s="1"/>
  <c r="S17" i="8"/>
  <c r="AQ17" i="8" s="1"/>
  <c r="N418" i="43" s="1"/>
  <c r="N442" i="43" s="1"/>
  <c r="N8" i="52" s="1"/>
  <c r="S16" i="8"/>
  <c r="AQ16" i="8" s="1"/>
  <c r="N417" i="43" s="1"/>
  <c r="N441" i="43" s="1"/>
  <c r="N7" i="52" s="1"/>
  <c r="S15" i="8"/>
  <c r="AQ15" i="8" s="1"/>
  <c r="N416" i="43" s="1"/>
  <c r="N440" i="43" s="1"/>
  <c r="N6" i="52" s="1"/>
  <c r="S14" i="8"/>
  <c r="AQ14" i="8" s="1"/>
  <c r="N415" i="43" s="1"/>
  <c r="N439" i="43" s="1"/>
  <c r="N5" i="52" s="1"/>
  <c r="S13" i="8"/>
  <c r="AQ13" i="8" s="1"/>
  <c r="N414" i="43" s="1"/>
  <c r="N438" i="43" s="1"/>
  <c r="N4" i="52"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P447" i="43" s="1"/>
  <c r="P13" i="52" s="1"/>
  <c r="AS23" i="8"/>
  <c r="P424" i="43" s="1"/>
  <c r="P448" i="43" s="1"/>
  <c r="P14" i="52" s="1"/>
  <c r="AO4" i="8"/>
  <c r="L405" i="43" s="1"/>
  <c r="AO6" i="8"/>
  <c r="L407" i="43" s="1"/>
  <c r="AO10" i="8"/>
  <c r="L411" i="43" s="1"/>
  <c r="AO30" i="8"/>
  <c r="L431" i="43" s="1"/>
  <c r="L455" i="43" s="1"/>
  <c r="L21" i="52" s="1"/>
  <c r="BA13" i="8"/>
  <c r="BA15" i="8"/>
  <c r="BA19" i="8"/>
  <c r="AS28" i="8"/>
  <c r="P429" i="43" s="1"/>
  <c r="P453" i="43" s="1"/>
  <c r="P19" i="52" s="1"/>
  <c r="AS9" i="8"/>
  <c r="P410" i="43" s="1"/>
  <c r="AS5" i="8"/>
  <c r="P406" i="43" s="1"/>
  <c r="BE32" i="8"/>
  <c r="AS18" i="8"/>
  <c r="P419" i="43" s="1"/>
  <c r="P443" i="43" s="1"/>
  <c r="P9" i="52" s="1"/>
  <c r="AS7" i="8"/>
  <c r="P408" i="43" s="1"/>
  <c r="BA12" i="8"/>
  <c r="BA16" i="8"/>
  <c r="BA18" i="8"/>
  <c r="BA22" i="8"/>
  <c r="BA24" i="8"/>
  <c r="BA28" i="8"/>
  <c r="AO7" i="8"/>
  <c r="L408" i="43" s="1"/>
  <c r="AO9" i="8"/>
  <c r="L410" i="43" s="1"/>
  <c r="AO21" i="8"/>
  <c r="L422" i="43" s="1"/>
  <c r="L446" i="43" s="1"/>
  <c r="L12" i="52" s="1"/>
  <c r="AO25" i="8"/>
  <c r="L426" i="43" s="1"/>
  <c r="L450" i="43" s="1"/>
  <c r="L16" i="52" s="1"/>
  <c r="AO27" i="8"/>
  <c r="L428" i="43" s="1"/>
  <c r="L452" i="43" s="1"/>
  <c r="L18" i="52" s="1"/>
  <c r="AO31" i="8"/>
  <c r="L432" i="43" s="1"/>
  <c r="L456" i="43" s="1"/>
  <c r="L22" i="52" s="1"/>
  <c r="AO33" i="8"/>
  <c r="L434" i="43" s="1"/>
  <c r="L458" i="43" s="1"/>
  <c r="L24" i="52" s="1"/>
  <c r="AS15" i="8"/>
  <c r="P416" i="43" s="1"/>
  <c r="P440" i="43" s="1"/>
  <c r="P6" i="52" s="1"/>
  <c r="BE11" i="8"/>
  <c r="BE29" i="8"/>
  <c r="AS24" i="8"/>
  <c r="P425" i="43" s="1"/>
  <c r="P449" i="43" s="1"/>
  <c r="P15" i="52" s="1"/>
  <c r="AS13" i="8"/>
  <c r="P414" i="43" s="1"/>
  <c r="P438" i="43" s="1"/>
  <c r="P4" i="52" s="1"/>
  <c r="AS21" i="8"/>
  <c r="P422" i="43" s="1"/>
  <c r="P446" i="43" s="1"/>
  <c r="P12" i="52" s="1"/>
  <c r="AS30" i="8"/>
  <c r="P431" i="43" s="1"/>
  <c r="P455" i="43" s="1"/>
  <c r="P21" i="52" s="1"/>
  <c r="BE8" i="8"/>
  <c r="AS19" i="8"/>
  <c r="P420" i="43" s="1"/>
  <c r="P444" i="43" s="1"/>
  <c r="P10" i="52" s="1"/>
  <c r="AS27" i="8"/>
  <c r="P428" i="43" s="1"/>
  <c r="P452" i="43" s="1"/>
  <c r="P18" i="52" s="1"/>
  <c r="AS4" i="8"/>
  <c r="P405" i="43" s="1"/>
  <c r="BE20" i="8"/>
  <c r="BE17" i="8"/>
  <c r="AS31" i="8"/>
  <c r="P432" i="43" s="1"/>
  <c r="P456" i="43" s="1"/>
  <c r="P22" i="52" s="1"/>
  <c r="AS25" i="8"/>
  <c r="P426" i="43" s="1"/>
  <c r="P450" i="43" s="1"/>
  <c r="P16" i="52" s="1"/>
  <c r="AS33" i="8"/>
  <c r="P434" i="43" s="1"/>
  <c r="P458" i="43" s="1"/>
  <c r="P24" i="52" s="1"/>
  <c r="AS10" i="8"/>
  <c r="P411" i="43" s="1"/>
  <c r="AS6" i="8"/>
  <c r="P407" i="43" s="1"/>
  <c r="BE26" i="8"/>
  <c r="BE14" i="8"/>
  <c r="AS16" i="8"/>
  <c r="P417" i="43" s="1"/>
  <c r="P441" i="43" s="1"/>
  <c r="P7" i="52" s="1"/>
  <c r="AS12" i="8"/>
  <c r="P413" i="43" s="1"/>
  <c r="AR3" i="8"/>
  <c r="O404" i="43" s="1"/>
  <c r="BD3" i="8"/>
  <c r="T5" i="8"/>
  <c r="AR7" i="8"/>
  <c r="O408" i="43" s="1"/>
  <c r="BD7" i="8"/>
  <c r="AR9" i="8"/>
  <c r="O410" i="43" s="1"/>
  <c r="BD9" i="8"/>
  <c r="T11" i="8"/>
  <c r="AR13" i="8"/>
  <c r="O414" i="43" s="1"/>
  <c r="O438" i="43" s="1"/>
  <c r="O4" i="52" s="1"/>
  <c r="BD13" i="8"/>
  <c r="AR15" i="8"/>
  <c r="O416" i="43" s="1"/>
  <c r="O440" i="43" s="1"/>
  <c r="O6" i="52" s="1"/>
  <c r="BD15" i="8"/>
  <c r="T17" i="8"/>
  <c r="AR19" i="8"/>
  <c r="O420" i="43" s="1"/>
  <c r="O444" i="43" s="1"/>
  <c r="O10" i="52" s="1"/>
  <c r="BD19" i="8"/>
  <c r="AR21" i="8"/>
  <c r="O422" i="43" s="1"/>
  <c r="O446" i="43" s="1"/>
  <c r="O12" i="52" s="1"/>
  <c r="BD21" i="8"/>
  <c r="T23" i="8"/>
  <c r="AR25" i="8"/>
  <c r="O426" i="43" s="1"/>
  <c r="O450" i="43" s="1"/>
  <c r="O16" i="52" s="1"/>
  <c r="BD25" i="8"/>
  <c r="AR27" i="8"/>
  <c r="O428" i="43" s="1"/>
  <c r="O452" i="43" s="1"/>
  <c r="O18" i="52" s="1"/>
  <c r="BD27" i="8"/>
  <c r="T29" i="8"/>
  <c r="AR31" i="8"/>
  <c r="O432" i="43" s="1"/>
  <c r="O456" i="43" s="1"/>
  <c r="O22" i="52" s="1"/>
  <c r="BD31" i="8"/>
  <c r="AR33" i="8"/>
  <c r="O434" i="43" s="1"/>
  <c r="O458" i="43" s="1"/>
  <c r="O24" i="52" s="1"/>
  <c r="BD33" i="8"/>
  <c r="AR4" i="8"/>
  <c r="O405" i="43" s="1"/>
  <c r="BD4" i="8"/>
  <c r="AR6" i="8"/>
  <c r="O407" i="43" s="1"/>
  <c r="BD6" i="8"/>
  <c r="T8" i="8"/>
  <c r="AR10" i="8"/>
  <c r="O411" i="43" s="1"/>
  <c r="BD10" i="8"/>
  <c r="AR12" i="8"/>
  <c r="O413" i="43" s="1"/>
  <c r="BD12" i="8"/>
  <c r="T14" i="8"/>
  <c r="AR16" i="8"/>
  <c r="O417" i="43" s="1"/>
  <c r="O441" i="43" s="1"/>
  <c r="O7" i="52" s="1"/>
  <c r="BD16" i="8"/>
  <c r="AR18" i="8"/>
  <c r="O419" i="43" s="1"/>
  <c r="O443" i="43" s="1"/>
  <c r="O9" i="52" s="1"/>
  <c r="BD18" i="8"/>
  <c r="T20" i="8"/>
  <c r="AR22" i="8"/>
  <c r="O423" i="43" s="1"/>
  <c r="O447" i="43" s="1"/>
  <c r="O13" i="52" s="1"/>
  <c r="BD22" i="8"/>
  <c r="AR24" i="8"/>
  <c r="O425" i="43" s="1"/>
  <c r="O449" i="43" s="1"/>
  <c r="O15" i="52" s="1"/>
  <c r="BD24" i="8"/>
  <c r="T26" i="8"/>
  <c r="AR28" i="8"/>
  <c r="O429" i="43" s="1"/>
  <c r="O453" i="43" s="1"/>
  <c r="O19" i="52" s="1"/>
  <c r="BD28" i="8"/>
  <c r="AR30" i="8"/>
  <c r="O431" i="43" s="1"/>
  <c r="O455" i="43" s="1"/>
  <c r="O21" i="52"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M446" i="43" s="1"/>
  <c r="M12" i="52" s="1"/>
  <c r="BB21" i="8"/>
  <c r="AP4" i="8"/>
  <c r="M405" i="43" s="1"/>
  <c r="BB4" i="8"/>
  <c r="AP6" i="8"/>
  <c r="M407" i="43" s="1"/>
  <c r="BB6" i="8"/>
  <c r="AP8" i="8"/>
  <c r="M409" i="43" s="1"/>
  <c r="BB8" i="8"/>
  <c r="AP29" i="8"/>
  <c r="M430" i="43" s="1"/>
  <c r="M454" i="43" s="1"/>
  <c r="M20" i="52" s="1"/>
  <c r="BB29" i="8"/>
  <c r="AP31" i="8"/>
  <c r="M432" i="43" s="1"/>
  <c r="M456" i="43" s="1"/>
  <c r="M22" i="52" s="1"/>
  <c r="BB31" i="8"/>
  <c r="AP33" i="8"/>
  <c r="BB33" i="8"/>
  <c r="AP23" i="8"/>
  <c r="M424" i="43" s="1"/>
  <c r="M448" i="43" s="1"/>
  <c r="M14" i="52" s="1"/>
  <c r="BB23" i="8"/>
  <c r="AP10" i="8"/>
  <c r="M411" i="43" s="1"/>
  <c r="BB10" i="8"/>
  <c r="AP12" i="8"/>
  <c r="M413" i="43" s="1"/>
  <c r="BB12" i="8"/>
  <c r="AP14" i="8"/>
  <c r="M415" i="43" s="1"/>
  <c r="M439" i="43" s="1"/>
  <c r="M5" i="52" s="1"/>
  <c r="BB14" i="8"/>
  <c r="AP16" i="8"/>
  <c r="M417" i="43" s="1"/>
  <c r="M441" i="43" s="1"/>
  <c r="M7" i="52" s="1"/>
  <c r="BB16" i="8"/>
  <c r="AP18" i="8"/>
  <c r="M419" i="43" s="1"/>
  <c r="M443" i="43" s="1"/>
  <c r="M9" i="52" s="1"/>
  <c r="BB18" i="8"/>
  <c r="AP25" i="8"/>
  <c r="M426" i="43" s="1"/>
  <c r="M450" i="43" s="1"/>
  <c r="M16" i="52" s="1"/>
  <c r="BB25" i="8"/>
  <c r="AP20" i="8"/>
  <c r="M421" i="43" s="1"/>
  <c r="M445" i="43" s="1"/>
  <c r="M11" i="52" s="1"/>
  <c r="BB20" i="8"/>
  <c r="AP22" i="8"/>
  <c r="M423" i="43" s="1"/>
  <c r="M447" i="43" s="1"/>
  <c r="M13" i="52" s="1"/>
  <c r="BB22" i="8"/>
  <c r="AP24" i="8"/>
  <c r="M425" i="43" s="1"/>
  <c r="M449" i="43" s="1"/>
  <c r="M15" i="52" s="1"/>
  <c r="BB24" i="8"/>
  <c r="AP26" i="8"/>
  <c r="BB26" i="8"/>
  <c r="AP27" i="8"/>
  <c r="M428" i="43" s="1"/>
  <c r="M452" i="43" s="1"/>
  <c r="M18" i="52" s="1"/>
  <c r="BB27" i="8"/>
  <c r="AP3" i="8"/>
  <c r="M404" i="43" s="1"/>
  <c r="BB3" i="8"/>
  <c r="AP5" i="8"/>
  <c r="M406" i="43" s="1"/>
  <c r="BB5" i="8"/>
  <c r="AP7" i="8"/>
  <c r="M408" i="43" s="1"/>
  <c r="BB7" i="8"/>
  <c r="AP9" i="8"/>
  <c r="M410" i="43" s="1"/>
  <c r="BB9" i="8"/>
  <c r="AP28" i="8"/>
  <c r="M429" i="43" s="1"/>
  <c r="M453" i="43" s="1"/>
  <c r="M19" i="52" s="1"/>
  <c r="BB28" i="8"/>
  <c r="AP30" i="8"/>
  <c r="M431" i="43" s="1"/>
  <c r="M455" i="43" s="1"/>
  <c r="M21" i="52" s="1"/>
  <c r="BB30" i="8"/>
  <c r="AP32" i="8"/>
  <c r="M433" i="43" s="1"/>
  <c r="M457" i="43" s="1"/>
  <c r="M23" i="52" s="1"/>
  <c r="BB32" i="8"/>
  <c r="AP19" i="8"/>
  <c r="BB19" i="8"/>
  <c r="AP11" i="8"/>
  <c r="M412" i="43" s="1"/>
  <c r="BB11" i="8"/>
  <c r="AP13" i="8"/>
  <c r="M414" i="43" s="1"/>
  <c r="M438" i="43" s="1"/>
  <c r="M4" i="52" s="1"/>
  <c r="BB13" i="8"/>
  <c r="AP15" i="8"/>
  <c r="M416" i="43" s="1"/>
  <c r="M440" i="43" s="1"/>
  <c r="M6" i="52" s="1"/>
  <c r="BB15" i="8"/>
  <c r="AP17" i="8"/>
  <c r="M418" i="43" s="1"/>
  <c r="M442" i="43" s="1"/>
  <c r="M8" i="52" s="1"/>
  <c r="BB17" i="8"/>
  <c r="AO8" i="8"/>
  <c r="L409" i="43" s="1"/>
  <c r="BA8" i="8"/>
  <c r="BA7" i="8"/>
  <c r="BA9" i="8"/>
  <c r="AO12" i="8"/>
  <c r="L413" i="43" s="1"/>
  <c r="Q14" i="8"/>
  <c r="AO16" i="8"/>
  <c r="L417" i="43" s="1"/>
  <c r="L441" i="43" s="1"/>
  <c r="L7" i="52" s="1"/>
  <c r="AO18" i="8"/>
  <c r="L419" i="43" s="1"/>
  <c r="L443" i="43" s="1"/>
  <c r="L9" i="52" s="1"/>
  <c r="AO20" i="8"/>
  <c r="L421" i="43" s="1"/>
  <c r="L445" i="43" s="1"/>
  <c r="L11" i="52" s="1"/>
  <c r="BA20" i="8"/>
  <c r="BA30" i="8"/>
  <c r="Q23" i="8"/>
  <c r="AO22" i="8"/>
  <c r="L423" i="43" s="1"/>
  <c r="L447" i="43" s="1"/>
  <c r="L13" i="52" s="1"/>
  <c r="AO24" i="8"/>
  <c r="L425" i="43" s="1"/>
  <c r="L449" i="43" s="1"/>
  <c r="L15" i="52" s="1"/>
  <c r="AO26" i="8"/>
  <c r="BA26" i="8"/>
  <c r="AO28" i="8"/>
  <c r="L429" i="43" s="1"/>
  <c r="L453" i="43" s="1"/>
  <c r="L19" i="52" s="1"/>
  <c r="AO3" i="8"/>
  <c r="L404" i="43" s="1"/>
  <c r="BA3" i="8"/>
  <c r="AO11" i="8"/>
  <c r="L412" i="43" s="1"/>
  <c r="BA11" i="8"/>
  <c r="BA21" i="8"/>
  <c r="BA25" i="8"/>
  <c r="BA27" i="8"/>
  <c r="Q32" i="8"/>
  <c r="AO29" i="8"/>
  <c r="L430" i="43" s="1"/>
  <c r="L454" i="43" s="1"/>
  <c r="L20" i="52" s="1"/>
  <c r="BA29" i="8"/>
  <c r="Q5" i="8"/>
  <c r="BA4" i="8"/>
  <c r="BA6" i="8"/>
  <c r="BA10" i="8"/>
  <c r="AO13" i="8"/>
  <c r="L414" i="43" s="1"/>
  <c r="L438" i="43" s="1"/>
  <c r="L4" i="52" s="1"/>
  <c r="AO15" i="8"/>
  <c r="AO17" i="8"/>
  <c r="L418" i="43" s="1"/>
  <c r="L442" i="43" s="1"/>
  <c r="L8" i="52" s="1"/>
  <c r="BA17" i="8"/>
  <c r="AO19" i="8"/>
  <c r="L420" i="43" s="1"/>
  <c r="L444" i="43" s="1"/>
  <c r="L10" i="52" s="1"/>
  <c r="BA31" i="8"/>
  <c r="BA33" i="8"/>
  <c r="AN3" i="8"/>
  <c r="K404" i="43" s="1"/>
  <c r="AZ3" i="8"/>
  <c r="AN7" i="8"/>
  <c r="AZ7" i="8"/>
  <c r="AN9" i="8"/>
  <c r="AZ9" i="8"/>
  <c r="AN11" i="8"/>
  <c r="K412" i="43" s="1"/>
  <c r="AZ11" i="8"/>
  <c r="AN13" i="8"/>
  <c r="AZ13" i="8"/>
  <c r="AN15" i="8"/>
  <c r="AZ15" i="8"/>
  <c r="AN17" i="8"/>
  <c r="K418" i="43" s="1"/>
  <c r="K442" i="43" s="1"/>
  <c r="K8" i="52" s="1"/>
  <c r="AZ17" i="8"/>
  <c r="AN19" i="8"/>
  <c r="AZ19" i="8"/>
  <c r="AN21" i="8"/>
  <c r="K422" i="43" s="1"/>
  <c r="K446" i="43" s="1"/>
  <c r="K12" i="52" s="1"/>
  <c r="AZ21" i="8"/>
  <c r="AN23" i="8"/>
  <c r="K424" i="43" s="1"/>
  <c r="K448" i="43" s="1"/>
  <c r="K14" i="52" s="1"/>
  <c r="AZ23" i="8"/>
  <c r="AN25" i="8"/>
  <c r="K426" i="43" s="1"/>
  <c r="K450" i="43" s="1"/>
  <c r="K16" i="52" s="1"/>
  <c r="AZ25" i="8"/>
  <c r="AN27" i="8"/>
  <c r="AZ27" i="8"/>
  <c r="AN29" i="8"/>
  <c r="K430" i="43" s="1"/>
  <c r="K454" i="43" s="1"/>
  <c r="K20" i="52" s="1"/>
  <c r="AZ29" i="8"/>
  <c r="AN31" i="8"/>
  <c r="AZ31" i="8"/>
  <c r="AN33" i="8"/>
  <c r="K434" i="43" s="1"/>
  <c r="K458" i="43" s="1"/>
  <c r="K24" i="52" s="1"/>
  <c r="AZ33" i="8"/>
  <c r="AN5" i="8"/>
  <c r="AZ5" i="8"/>
  <c r="AN4" i="8"/>
  <c r="K405" i="43" s="1"/>
  <c r="AZ4" i="8"/>
  <c r="AN8" i="8"/>
  <c r="AZ8" i="8"/>
  <c r="AN10" i="8"/>
  <c r="K411" i="43" s="1"/>
  <c r="AZ10" i="8"/>
  <c r="AN12" i="8"/>
  <c r="AZ12" i="8"/>
  <c r="AN14" i="8"/>
  <c r="K415" i="43" s="1"/>
  <c r="K439" i="43" s="1"/>
  <c r="K5" i="52" s="1"/>
  <c r="AZ14" i="8"/>
  <c r="AN16" i="8"/>
  <c r="K417" i="43" s="1"/>
  <c r="K441" i="43" s="1"/>
  <c r="K7" i="52" s="1"/>
  <c r="AZ16" i="8"/>
  <c r="AN18" i="8"/>
  <c r="K419" i="43" s="1"/>
  <c r="K443" i="43" s="1"/>
  <c r="K9" i="52" s="1"/>
  <c r="AZ18" i="8"/>
  <c r="AN20" i="8"/>
  <c r="K421" i="43" s="1"/>
  <c r="K445" i="43" s="1"/>
  <c r="K11" i="52" s="1"/>
  <c r="AZ20" i="8"/>
  <c r="AN22" i="8"/>
  <c r="K423" i="43" s="1"/>
  <c r="K447" i="43" s="1"/>
  <c r="K13" i="52" s="1"/>
  <c r="AZ22" i="8"/>
  <c r="AN24" i="8"/>
  <c r="K425" i="43" s="1"/>
  <c r="K449" i="43" s="1"/>
  <c r="K15" i="52" s="1"/>
  <c r="AZ24" i="8"/>
  <c r="AN26" i="8"/>
  <c r="AZ26" i="8"/>
  <c r="AN28" i="8"/>
  <c r="K429" i="43" s="1"/>
  <c r="K453" i="43" s="1"/>
  <c r="K19" i="52" s="1"/>
  <c r="AZ28" i="8"/>
  <c r="AN30" i="8"/>
  <c r="K431" i="43" s="1"/>
  <c r="K455" i="43" s="1"/>
  <c r="K21" i="52" s="1"/>
  <c r="AZ30" i="8"/>
  <c r="AN32" i="8"/>
  <c r="K433" i="43" s="1"/>
  <c r="K457" i="43" s="1"/>
  <c r="K23" i="52" s="1"/>
  <c r="AZ32" i="8"/>
  <c r="AN6" i="8"/>
  <c r="K407" i="43" s="1"/>
  <c r="AZ6" i="8"/>
  <c r="C169" i="43"/>
  <c r="Y286" i="43" l="1"/>
  <c r="M427" i="43"/>
  <c r="M451" i="43" s="1"/>
  <c r="M17" i="52" s="1"/>
  <c r="R286" i="43"/>
  <c r="M420" i="43"/>
  <c r="M444" i="43" s="1"/>
  <c r="M10" i="52" s="1"/>
  <c r="AF286" i="43"/>
  <c r="M434" i="43"/>
  <c r="M458" i="43" s="1"/>
  <c r="M24" i="52" s="1"/>
  <c r="N247" i="43"/>
  <c r="L416" i="43"/>
  <c r="L440" i="43" s="1"/>
  <c r="L6" i="52" s="1"/>
  <c r="Y247" i="43"/>
  <c r="L427" i="43"/>
  <c r="L451" i="43" s="1"/>
  <c r="L17" i="52" s="1"/>
  <c r="Y169" i="43"/>
  <c r="K427" i="43"/>
  <c r="K451" i="43" s="1"/>
  <c r="K17" i="52" s="1"/>
  <c r="G208" i="43"/>
  <c r="K409" i="43"/>
  <c r="Z169" i="43"/>
  <c r="K428" i="43"/>
  <c r="K452" i="43" s="1"/>
  <c r="K18" i="52" s="1"/>
  <c r="N169" i="43"/>
  <c r="K416" i="43"/>
  <c r="K440" i="43" s="1"/>
  <c r="K6" i="52" s="1"/>
  <c r="H169" i="43"/>
  <c r="K410" i="43"/>
  <c r="D169" i="43"/>
  <c r="K406" i="43"/>
  <c r="R169" i="43"/>
  <c r="K420" i="43"/>
  <c r="K444" i="43" s="1"/>
  <c r="K10" i="52" s="1"/>
  <c r="F169" i="43"/>
  <c r="K408" i="43"/>
  <c r="K208" i="43"/>
  <c r="K413" i="43"/>
  <c r="AD169" i="43"/>
  <c r="K432" i="43"/>
  <c r="K456" i="43" s="1"/>
  <c r="K22" i="52" s="1"/>
  <c r="L169" i="43"/>
  <c r="K414" i="43"/>
  <c r="K438" i="43" s="1"/>
  <c r="K4" i="52" s="1"/>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O454" i="43" s="1"/>
  <c r="O20" i="52" s="1"/>
  <c r="BD29" i="8"/>
  <c r="AR23" i="8"/>
  <c r="O424" i="43" s="1"/>
  <c r="O448" i="43" s="1"/>
  <c r="O14" i="52" s="1"/>
  <c r="BD23" i="8"/>
  <c r="AR17" i="8"/>
  <c r="O418" i="43" s="1"/>
  <c r="O442" i="43" s="1"/>
  <c r="O8" i="52" s="1"/>
  <c r="BD17" i="8"/>
  <c r="AR11" i="8"/>
  <c r="O412" i="43" s="1"/>
  <c r="BD11" i="8"/>
  <c r="AR5" i="8"/>
  <c r="O406" i="43" s="1"/>
  <c r="BD5" i="8"/>
  <c r="AR32" i="8"/>
  <c r="O433" i="43" s="1"/>
  <c r="O457" i="43" s="1"/>
  <c r="O23" i="52" s="1"/>
  <c r="BD32" i="8"/>
  <c r="AR26" i="8"/>
  <c r="O427" i="43" s="1"/>
  <c r="O451" i="43" s="1"/>
  <c r="O17" i="52" s="1"/>
  <c r="BD26" i="8"/>
  <c r="AR20" i="8"/>
  <c r="BD20" i="8"/>
  <c r="AR14" i="8"/>
  <c r="O415" i="43" s="1"/>
  <c r="O439" i="43" s="1"/>
  <c r="O5" i="52" s="1"/>
  <c r="BD14" i="8"/>
  <c r="AR8" i="8"/>
  <c r="O409" i="43" s="1"/>
  <c r="BD8" i="8"/>
  <c r="AO5" i="8"/>
  <c r="BA5" i="8"/>
  <c r="AO23" i="8"/>
  <c r="BA23" i="8"/>
  <c r="AO32" i="8"/>
  <c r="BA32" i="8"/>
  <c r="AO14" i="8"/>
  <c r="BA14" i="8"/>
  <c r="W16" i="43" l="1"/>
  <c r="O421" i="43"/>
  <c r="O445" i="43" s="1"/>
  <c r="O11" i="52" s="1"/>
  <c r="V247" i="43"/>
  <c r="L424" i="43"/>
  <c r="L448" i="43" s="1"/>
  <c r="L14" i="52" s="1"/>
  <c r="AE247" i="43"/>
  <c r="L433" i="43"/>
  <c r="L457" i="43" s="1"/>
  <c r="L23" i="52" s="1"/>
  <c r="M247" i="43"/>
  <c r="L415" i="43"/>
  <c r="L439" i="43" s="1"/>
  <c r="L5" i="52" s="1"/>
  <c r="D247" i="43"/>
  <c r="L406" i="43"/>
  <c r="G130" i="43"/>
  <c r="J409" i="43"/>
  <c r="T130" i="43"/>
  <c r="J422" i="43"/>
  <c r="J446" i="43" s="1"/>
  <c r="J12" i="52" s="1"/>
  <c r="I130" i="43"/>
  <c r="J411" i="43"/>
  <c r="X130" i="43"/>
  <c r="J426" i="43"/>
  <c r="J450" i="43" s="1"/>
  <c r="J16" i="52" s="1"/>
  <c r="AE130" i="43"/>
  <c r="J433" i="43"/>
  <c r="J457" i="43" s="1"/>
  <c r="J23" i="52" s="1"/>
  <c r="R130" i="43"/>
  <c r="J420" i="43"/>
  <c r="J444" i="43" s="1"/>
  <c r="J10" i="52" s="1"/>
  <c r="N130" i="43"/>
  <c r="J416" i="43"/>
  <c r="J440" i="43" s="1"/>
  <c r="J6" i="52" s="1"/>
  <c r="E130" i="43"/>
  <c r="J407" i="43"/>
  <c r="AB130" i="43"/>
  <c r="J430" i="43"/>
  <c r="J454" i="43" s="1"/>
  <c r="J20" i="52" s="1"/>
  <c r="P130" i="43"/>
  <c r="J418" i="43"/>
  <c r="J442" i="43" s="1"/>
  <c r="J8" i="52" s="1"/>
  <c r="O130" i="43"/>
  <c r="J417" i="43"/>
  <c r="J441" i="43" s="1"/>
  <c r="J7" i="52" s="1"/>
  <c r="F130" i="43"/>
  <c r="J408" i="43"/>
  <c r="Z130" i="43"/>
  <c r="J428" i="43"/>
  <c r="J452" i="43" s="1"/>
  <c r="J18" i="52" s="1"/>
  <c r="S130" i="43"/>
  <c r="J421" i="43"/>
  <c r="J445" i="43" s="1"/>
  <c r="J11" i="52" s="1"/>
  <c r="W130" i="43"/>
  <c r="J425" i="43"/>
  <c r="J449" i="43" s="1"/>
  <c r="J15" i="52" s="1"/>
  <c r="D130" i="43"/>
  <c r="J406" i="43"/>
  <c r="AF130" i="43"/>
  <c r="J434" i="43"/>
  <c r="J458" i="43" s="1"/>
  <c r="J24" i="52" s="1"/>
  <c r="M130" i="43"/>
  <c r="J415" i="43"/>
  <c r="J439" i="43" s="1"/>
  <c r="J5" i="52" s="1"/>
  <c r="V130" i="43"/>
  <c r="J424" i="43"/>
  <c r="J448" i="43" s="1"/>
  <c r="J14" i="52" s="1"/>
  <c r="K130" i="43"/>
  <c r="J413" i="43"/>
  <c r="Q130" i="43"/>
  <c r="J419" i="43"/>
  <c r="J443" i="43" s="1"/>
  <c r="J9" i="52" s="1"/>
  <c r="L130" i="43"/>
  <c r="J414" i="43"/>
  <c r="J438" i="43" s="1"/>
  <c r="J4" i="52" s="1"/>
  <c r="Y130" i="43"/>
  <c r="J427" i="43"/>
  <c r="J451" i="43" s="1"/>
  <c r="J17" i="52" s="1"/>
  <c r="J130" i="43"/>
  <c r="J412" i="43"/>
  <c r="AD130" i="43"/>
  <c r="J432" i="43"/>
  <c r="J456" i="43" s="1"/>
  <c r="J22" i="52" s="1"/>
  <c r="AC130" i="43"/>
  <c r="J431" i="43"/>
  <c r="J455" i="43" s="1"/>
  <c r="J21" i="52" s="1"/>
  <c r="C130" i="43"/>
  <c r="J405" i="43"/>
  <c r="AA130" i="43"/>
  <c r="J429" i="43"/>
  <c r="J453" i="43" s="1"/>
  <c r="J19" i="52" s="1"/>
  <c r="H130" i="43"/>
  <c r="J410" i="43"/>
  <c r="U130" i="43"/>
  <c r="J423" i="43"/>
  <c r="J447" i="43" s="1"/>
  <c r="J13" i="52" s="1"/>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T216" i="43"/>
  <c r="AE216" i="43"/>
  <c r="Z333" i="43"/>
  <c r="Y333" i="43"/>
  <c r="F177" i="43"/>
  <c r="U294" i="43"/>
  <c r="O24" i="43"/>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<sst xmlns="http://schemas.openxmlformats.org/spreadsheetml/2006/main" count="326" uniqueCount="166">
  <si>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</si>
  <si>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</si>
  <si>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</si>
  <si>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</si>
  <si>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</si>
  <si>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</si>
  <si>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</si>
  <si>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</si>
  <si>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</si>
  <si>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</si>
  <si>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</si>
  <si>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</si>
  <si>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</si>
  <si>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</si>
  <si>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</si>
  <si>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</si>
  <si>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</si>
  <si>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</si>
  <si>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</si>
  <si>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</si>
  <si>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</si>
  <si>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</si>
  <si>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</si>
  <si>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</si>
  <si>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</si>
  <si>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</si>
  <si>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</si>
  <si>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</si>
  <si>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</si>
  <si>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</si>
  <si>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</si>
  <si>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</si>
  <si>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</si>
  <si>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</si>
  <si>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</si>
  <si>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</si>
  <si>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</si>
  <si>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</si>
  <si>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</si>
  <si>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</si>
  <si>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</si>
  <si>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</si>
  <si>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</si>
  <si>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</si>
  <si>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</si>
  <si>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</si>
  <si>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</si>
  <si>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</si>
  <si>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</si>
  <si>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</si>
  <si>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</si>
  <si>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</si>
  <si>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</si>
  <si>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</si>
  <si>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</si>
  <si>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</si>
  <si>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</si>
  <si>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</si>
  <si>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</si>
  <si>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</si>
  <si>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</si>
  <si>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</si>
  <si>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</si>
  <si>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</si>
  <si>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</si>
  <si>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</si>
  <si>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</si>
  <si>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</si>
  <si>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</si>
  <si>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</si>
  <si>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</si>
  <si>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</si>
  <si>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</si>
  <si>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</si>
  <si>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</si>
  <si>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</si>
  <si>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</si>
  <si>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</si>
  <si>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</si>
  <si>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</si>
  <si>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</si>
  <si>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</si>
  <si>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</si>
  <si>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</si>
  <si>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</si>
  <si>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</si>
  <si>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</si>
  <si>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</si>
  <si>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</si>
  <si>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</si>
  <si>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</si>
  <si>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</si>
  <si>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</si>
  <si>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</si>
  <si>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</si>
  <si>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</si>
  <si>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</si>
  <si>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</si>
  <si>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</si>
  <si>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</si>
  <si>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</si>
  <si>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</si>
  <si>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</si>
  <si>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</si>
  <si>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</si>
  <si>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</si>
  <si>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</si>
  <si>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</si>
  <si>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</si>
  <si>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</si>
  <si>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</si>
  <si>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</si>
  <si>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</si>
  <si>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</si>
  <si>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</si>
  <si>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</si>
  <si>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</si>
  <si>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</si>
  <si>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</si>
  <si>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</si>
  <si>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</si>
  <si>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</si>
  <si>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</si>
  <si>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</si>
  <si>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</si>
  <si>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</si>
  <si>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</si>
  <si>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</si>
  <si>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</si>
  <si>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</si>
  <si>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</si>
  <si>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</si>
  <si>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</si>
  <si>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</si>
  <si>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</si>
  <si>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</si>
  <si>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</si>
  <si>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</si>
  <si>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</si>
  <si>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</si>
  <si>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</si>
  <si>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</si>
  <si>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</si>
  <si>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</si>
  <si>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</si>
  <si>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</si>
  <si>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</si>
  <si>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</si>
  <si>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</si>
  <si>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</si>
  <si>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</si>
  <si>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</si>
  <si>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</si>
  <si>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</si>
  <si>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</si>
  <si>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</si>
  <si>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</si>
  <si>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</si>
  <si>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</si>
  <si>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</si>
  <si>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</si>
  <si>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</si>
  <si>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</si>
  <si>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</si>
  <si>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Intervall: +-</t>
  </si>
  <si>
    <t>log10(t)</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</si>
</sst>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 numFmtId="182" formatCode="_-* #,##0\ _€_-;\-* #,##0\ _€_-;_-* &quot;-&quot;??\ _€_-;_-@_-"/>
    <numFmt numFmtId="183" formatCode="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35">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3" fillId="0" borderId="0" xfId="0" applyFont="1" applyAlignment="1">
      <alignment horizontal="center"/>
    </xf>
    <xf numFmtId="182" fontId="0" fillId="0" borderId="0" xfId="2" applyNumberFormat="1" applyFont="1" applyFill="1"/>
    <xf numFmtId="182" fontId="0" fillId="0" borderId="0" xfId="2" applyNumberFormat="1" applyFont="1" applyFill="1" applyAlignment="1">
      <alignment horizontal="left"/>
    </xf>
    <xf numFmtId="0" fontId="0" fillId="6" borderId="0" xfId="0" applyFill="1"/>
    <xf numFmtId="11" fontId="0" fillId="6" borderId="0" xfId="1" applyNumberFormat="1" applyFont="1" applyFill="1"/>
    <xf numFmtId="11" fontId="0" fillId="6" borderId="0" xfId="2" applyNumberFormat="1" applyFont="1" applyFill="1"/>
    <xf numFmtId="0" fontId="1" fillId="5" borderId="0" xfId="0" applyFont="1" applyFill="1"/>
    <xf numFmtId="0" fontId="0" fillId="7" borderId="0" xfId="0" applyFill="1"/>
    <xf numFmtId="0" fontId="0" fillId="14" borderId="0" xfId="0" applyNumberFormat="1" applyFill="1"/>
    <xf numFmtId="1" fontId="0" fillId="14" borderId="0" xfId="0" applyNumberFormat="1" applyFill="1"/>
    <xf numFmtId="11" fontId="0" fillId="15" borderId="0" xfId="0" applyNumberFormat="1" applyFill="1"/>
    <xf numFmtId="0" fontId="0" fillId="0" borderId="0" xfId="0" applyNumberFormat="1"/>
    <xf numFmtId="183" fontId="0" fillId="0" borderId="0" xfId="0" applyNumberFormat="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-3.5999508571428571E-4</c:v>
                </c:pt>
                <c:pt idx="1">
                  <c:v>-3.6278599999999998E-4</c:v>
                </c:pt>
                <c:pt idx="2">
                  <c:v>-3.7324014285714294E-4</c:v>
                </c:pt>
                <c:pt idx="3">
                  <c:v>-3.806628857142857E-4</c:v>
                </c:pt>
                <c:pt idx="4">
                  <c:v>-3.878932285714286E-4</c:v>
                </c:pt>
                <c:pt idx="5">
                  <c:v>-3.9618314285714287E-4</c:v>
                </c:pt>
                <c:pt idx="6">
                  <c:v>-4.0530537142857145E-4</c:v>
                </c:pt>
                <c:pt idx="7">
                  <c:v>-4.1631285714285719E-4</c:v>
                </c:pt>
                <c:pt idx="8">
                  <c:v>-4.2841082857142859E-4</c:v>
                </c:pt>
                <c:pt idx="9">
                  <c:v>-4.4282602857142865E-4</c:v>
                </c:pt>
                <c:pt idx="10">
                  <c:v>-4.5658385714285717E-4</c:v>
                </c:pt>
                <c:pt idx="11">
                  <c:v>-4.7222405714285716E-4</c:v>
                </c:pt>
                <c:pt idx="12">
                  <c:v>-4.9287082857142855E-4</c:v>
                </c:pt>
                <c:pt idx="13">
                  <c:v>-5.1801585714285716E-4</c:v>
                </c:pt>
                <c:pt idx="14">
                  <c:v>-5.4382945714285722E-4</c:v>
                </c:pt>
                <c:pt idx="15">
                  <c:v>-5.6631957142857148E-4</c:v>
                </c:pt>
                <c:pt idx="16">
                  <c:v>-5.9135617142857145E-4</c:v>
                </c:pt>
                <c:pt idx="17">
                  <c:v>-6.1750360000000003E-4</c:v>
                </c:pt>
                <c:pt idx="18">
                  <c:v>-6.4772062857142859E-4</c:v>
                </c:pt>
                <c:pt idx="19">
                  <c:v>-6.7977485714285719E-4</c:v>
                </c:pt>
                <c:pt idx="20">
                  <c:v>-7.3137274285714287E-4</c:v>
                </c:pt>
                <c:pt idx="21">
                  <c:v>-8.0382091428571442E-4</c:v>
                </c:pt>
                <c:pt idx="22">
                  <c:v>-9.0442820000000005E-4</c:v>
                </c:pt>
                <c:pt idx="23">
                  <c:v>-1.0340307714285716E-3</c:v>
                </c:pt>
                <c:pt idx="24">
                  <c:v>-1.2221332857142858E-3</c:v>
                </c:pt>
                <c:pt idx="25">
                  <c:v>-1.5110083142857143E-3</c:v>
                </c:pt>
                <c:pt idx="26">
                  <c:v>-2.0067045714285713E-3</c:v>
                </c:pt>
                <c:pt idx="27">
                  <c:v>-2.7355667999999999E-3</c:v>
                </c:pt>
                <c:pt idx="28">
                  <c:v>-3.7568405714285716E-3</c:v>
                </c:pt>
                <c:pt idx="29">
                  <c:v>-4.6848757142857146E-3</c:v>
                </c:pt>
                <c:pt idx="30">
                  <c:v>-5.4542020000000009E-3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-3.6499157142857151E-4</c:v>
                </c:pt>
                <c:pt idx="1">
                  <c:v>-3.7702474285714288E-4</c:v>
                </c:pt>
                <c:pt idx="2">
                  <c:v>-3.8432448571428576E-4</c:v>
                </c:pt>
                <c:pt idx="3">
                  <c:v>-3.9200328571428571E-4</c:v>
                </c:pt>
                <c:pt idx="4">
                  <c:v>-4.0057774285714288E-4</c:v>
                </c:pt>
                <c:pt idx="5">
                  <c:v>-4.1050514285714286E-4</c:v>
                </c:pt>
                <c:pt idx="6">
                  <c:v>-4.2189285714285712E-4</c:v>
                </c:pt>
                <c:pt idx="7">
                  <c:v>-4.350891142857143E-4</c:v>
                </c:pt>
                <c:pt idx="8">
                  <c:v>-4.4929674285714289E-4</c:v>
                </c:pt>
                <c:pt idx="9">
                  <c:v>-4.6354088571428579E-4</c:v>
                </c:pt>
                <c:pt idx="10">
                  <c:v>-4.8108748571428574E-4</c:v>
                </c:pt>
                <c:pt idx="11">
                  <c:v>-5.0375437142857141E-4</c:v>
                </c:pt>
                <c:pt idx="12">
                  <c:v>-5.2969905714285719E-4</c:v>
                </c:pt>
                <c:pt idx="13">
                  <c:v>-5.5408702857142863E-4</c:v>
                </c:pt>
                <c:pt idx="14">
                  <c:v>-5.774936857142857E-4</c:v>
                </c:pt>
                <c:pt idx="15">
                  <c:v>-6.0290725714285721E-4</c:v>
                </c:pt>
                <c:pt idx="16">
                  <c:v>-6.3093077142857145E-4</c:v>
                </c:pt>
                <c:pt idx="17">
                  <c:v>-6.6142368571428577E-4</c:v>
                </c:pt>
                <c:pt idx="18">
                  <c:v>-7.0192851428571438E-4</c:v>
                </c:pt>
                <c:pt idx="19">
                  <c:v>-7.6508594285714293E-4</c:v>
                </c:pt>
                <c:pt idx="20">
                  <c:v>-8.4982022857142865E-4</c:v>
                </c:pt>
                <c:pt idx="21">
                  <c:v>-9.6031400000000009E-4</c:v>
                </c:pt>
                <c:pt idx="22">
                  <c:v>-1.1084513428571429E-3</c:v>
                </c:pt>
                <c:pt idx="23">
                  <c:v>-1.3287063714285715E-3</c:v>
                </c:pt>
                <c:pt idx="24">
                  <c:v>-1.6862730571428571E-3</c:v>
                </c:pt>
                <c:pt idx="25">
                  <c:v>-2.2753457428571428E-3</c:v>
                </c:pt>
                <c:pt idx="26">
                  <c:v>-3.1217257142857145E-3</c:v>
                </c:pt>
                <c:pt idx="27">
                  <c:v>-4.1663445714285718E-3</c:v>
                </c:pt>
                <c:pt idx="28">
                  <c:v>-5.0214025714285723E-3</c:v>
                </c:pt>
                <c:pt idx="29">
                  <c:v>-5.6401380000000003E-3</c:v>
                </c:pt>
                <c:pt idx="30">
                  <c:v>-5.9958525714285723E-3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-3.7633954285714287E-4</c:v>
                </c:pt>
                <c:pt idx="1">
                  <c:v>-3.8540391428571434E-4</c:v>
                </c:pt>
                <c:pt idx="2">
                  <c:v>-3.9335028571428572E-4</c:v>
                </c:pt>
                <c:pt idx="3">
                  <c:v>-4.0201937142857143E-4</c:v>
                </c:pt>
                <c:pt idx="4">
                  <c:v>-4.1216908571428576E-4</c:v>
                </c:pt>
                <c:pt idx="5">
                  <c:v>-4.2365497142857146E-4</c:v>
                </c:pt>
                <c:pt idx="6">
                  <c:v>-4.3714400000000004E-4</c:v>
                </c:pt>
                <c:pt idx="7">
                  <c:v>-4.5126900000000002E-4</c:v>
                </c:pt>
                <c:pt idx="8">
                  <c:v>-4.6570742857142861E-4</c:v>
                </c:pt>
                <c:pt idx="9">
                  <c:v>-4.8378871428571426E-4</c:v>
                </c:pt>
                <c:pt idx="10">
                  <c:v>-5.0694940000000006E-4</c:v>
                </c:pt>
                <c:pt idx="11">
                  <c:v>-5.3302717142857147E-4</c:v>
                </c:pt>
                <c:pt idx="12">
                  <c:v>-5.5704579999999999E-4</c:v>
                </c:pt>
                <c:pt idx="13">
                  <c:v>-5.8081520000000011E-4</c:v>
                </c:pt>
                <c:pt idx="14">
                  <c:v>-6.0632237142857145E-4</c:v>
                </c:pt>
                <c:pt idx="15">
                  <c:v>-6.3484974285714293E-4</c:v>
                </c:pt>
                <c:pt idx="16">
                  <c:v>-6.6514245714285717E-4</c:v>
                </c:pt>
                <c:pt idx="17">
                  <c:v>-7.0607157142857152E-4</c:v>
                </c:pt>
                <c:pt idx="18">
                  <c:v>-7.6816097142857142E-4</c:v>
                </c:pt>
                <c:pt idx="19">
                  <c:v>-8.5432602857142862E-4</c:v>
                </c:pt>
                <c:pt idx="20">
                  <c:v>-9.6764748571428582E-4</c:v>
                </c:pt>
                <c:pt idx="21">
                  <c:v>-1.1218572857142858E-3</c:v>
                </c:pt>
                <c:pt idx="22">
                  <c:v>-1.3513724571428572E-3</c:v>
                </c:pt>
                <c:pt idx="23">
                  <c:v>-1.7279395999999999E-3</c:v>
                </c:pt>
                <c:pt idx="24">
                  <c:v>-2.3361168857142858E-3</c:v>
                </c:pt>
                <c:pt idx="25">
                  <c:v>-3.210096E-3</c:v>
                </c:pt>
                <c:pt idx="26">
                  <c:v>-4.2436945714285712E-3</c:v>
                </c:pt>
                <c:pt idx="27">
                  <c:v>-5.0913620000000003E-3</c:v>
                </c:pt>
                <c:pt idx="28">
                  <c:v>-5.6714805714285716E-3</c:v>
                </c:pt>
                <c:pt idx="29">
                  <c:v>-6.0295740000000002E-3</c:v>
                </c:pt>
                <c:pt idx="30">
                  <c:v>-6.2946374285714288E-3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-3.8382265714285714E-4</c:v>
                </c:pt>
                <c:pt idx="1">
                  <c:v>-3.9338445714285714E-4</c:v>
                </c:pt>
                <c:pt idx="2">
                  <c:v>-4.0219902857142859E-4</c:v>
                </c:pt>
                <c:pt idx="3">
                  <c:v>-4.1229211428571433E-4</c:v>
                </c:pt>
                <c:pt idx="4">
                  <c:v>-4.237640857142858E-4</c:v>
                </c:pt>
                <c:pt idx="5">
                  <c:v>-4.3715760000000002E-4</c:v>
                </c:pt>
                <c:pt idx="6">
                  <c:v>-4.5135482857142859E-4</c:v>
                </c:pt>
                <c:pt idx="7">
                  <c:v>-4.6574105714285716E-4</c:v>
                </c:pt>
                <c:pt idx="8">
                  <c:v>-4.8362802857142864E-4</c:v>
                </c:pt>
                <c:pt idx="9">
                  <c:v>-5.0662740000000008E-4</c:v>
                </c:pt>
                <c:pt idx="10">
                  <c:v>-5.3271571428571435E-4</c:v>
                </c:pt>
                <c:pt idx="11">
                  <c:v>-5.569610571428572E-4</c:v>
                </c:pt>
                <c:pt idx="12">
                  <c:v>-5.8063117142857139E-4</c:v>
                </c:pt>
                <c:pt idx="13">
                  <c:v>-6.0616185714285715E-4</c:v>
                </c:pt>
                <c:pt idx="14">
                  <c:v>-6.3452037142857146E-4</c:v>
                </c:pt>
                <c:pt idx="15">
                  <c:v>-6.6471354285714285E-4</c:v>
                </c:pt>
                <c:pt idx="16">
                  <c:v>-7.0354954285714285E-4</c:v>
                </c:pt>
                <c:pt idx="17">
                  <c:v>-7.6183774285714279E-4</c:v>
                </c:pt>
                <c:pt idx="18">
                  <c:v>-8.4521674285714286E-4</c:v>
                </c:pt>
                <c:pt idx="19">
                  <c:v>-9.5746677142857144E-4</c:v>
                </c:pt>
                <c:pt idx="20">
                  <c:v>-1.1098411428571431E-3</c:v>
                </c:pt>
                <c:pt idx="21">
                  <c:v>-1.3359454857142859E-3</c:v>
                </c:pt>
                <c:pt idx="22">
                  <c:v>-1.7043230571428571E-3</c:v>
                </c:pt>
                <c:pt idx="23">
                  <c:v>-2.3040462857142857E-3</c:v>
                </c:pt>
                <c:pt idx="24">
                  <c:v>-3.1656362857142859E-3</c:v>
                </c:pt>
                <c:pt idx="25">
                  <c:v>-4.2048082857142864E-3</c:v>
                </c:pt>
                <c:pt idx="26">
                  <c:v>-5.0564605714285716E-3</c:v>
                </c:pt>
                <c:pt idx="27">
                  <c:v>-5.6548028571428571E-3</c:v>
                </c:pt>
                <c:pt idx="28">
                  <c:v>-6.0127154285714293E-3</c:v>
                </c:pt>
                <c:pt idx="29">
                  <c:v>-6.2865677142857146E-3</c:v>
                </c:pt>
                <c:pt idx="30">
                  <c:v>-6.4140320000000009E-3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-3.9366482857142865E-4</c:v>
                </c:pt>
                <c:pt idx="1">
                  <c:v>-4.0491805714285717E-4</c:v>
                </c:pt>
                <c:pt idx="2">
                  <c:v>-4.1571082857142861E-4</c:v>
                </c:pt>
                <c:pt idx="3">
                  <c:v>-4.2745811428571433E-4</c:v>
                </c:pt>
                <c:pt idx="4">
                  <c:v>-4.4150500000000002E-4</c:v>
                </c:pt>
                <c:pt idx="5">
                  <c:v>-4.554939428571429E-4</c:v>
                </c:pt>
                <c:pt idx="6">
                  <c:v>-4.7038757142857146E-4</c:v>
                </c:pt>
                <c:pt idx="7">
                  <c:v>-4.8958205714285719E-4</c:v>
                </c:pt>
                <c:pt idx="8">
                  <c:v>-5.1373637142857148E-4</c:v>
                </c:pt>
                <c:pt idx="9">
                  <c:v>-5.4002100000000001E-4</c:v>
                </c:pt>
                <c:pt idx="10">
                  <c:v>-5.6337371428571439E-4</c:v>
                </c:pt>
                <c:pt idx="11">
                  <c:v>-5.8787177142857142E-4</c:v>
                </c:pt>
                <c:pt idx="12">
                  <c:v>-6.1364405714285717E-4</c:v>
                </c:pt>
                <c:pt idx="13">
                  <c:v>-6.4314922857142858E-4</c:v>
                </c:pt>
                <c:pt idx="14">
                  <c:v>-6.7329702857142854E-4</c:v>
                </c:pt>
                <c:pt idx="15">
                  <c:v>-7.1481365714285718E-4</c:v>
                </c:pt>
                <c:pt idx="16">
                  <c:v>-7.7185057142857148E-4</c:v>
                </c:pt>
                <c:pt idx="17">
                  <c:v>-8.5811151428571433E-4</c:v>
                </c:pt>
                <c:pt idx="18">
                  <c:v>-9.7714334285714283E-4</c:v>
                </c:pt>
                <c:pt idx="19">
                  <c:v>-1.1450628000000001E-3</c:v>
                </c:pt>
                <c:pt idx="20">
                  <c:v>-1.3958689142857146E-3</c:v>
                </c:pt>
                <c:pt idx="21">
                  <c:v>-1.8148498000000002E-3</c:v>
                </c:pt>
                <c:pt idx="22">
                  <c:v>-2.464179485714286E-3</c:v>
                </c:pt>
                <c:pt idx="23">
                  <c:v>-3.3960300000000004E-3</c:v>
                </c:pt>
                <c:pt idx="24">
                  <c:v>-4.3980477142857143E-3</c:v>
                </c:pt>
                <c:pt idx="25">
                  <c:v>-5.2293177142857146E-3</c:v>
                </c:pt>
                <c:pt idx="26">
                  <c:v>-5.7320725714285724E-3</c:v>
                </c:pt>
                <c:pt idx="27">
                  <c:v>-6.0948040000000005E-3</c:v>
                </c:pt>
                <c:pt idx="28">
                  <c:v>-6.3178514285714285E-3</c:v>
                </c:pt>
                <c:pt idx="29">
                  <c:v>-6.4428497142857144E-3</c:v>
                </c:pt>
                <c:pt idx="30">
                  <c:v>-6.7568782857142864E-3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-4.2099691428571434E-4</c:v>
                </c:pt>
                <c:pt idx="1">
                  <c:v>-4.3679314285714293E-4</c:v>
                </c:pt>
                <c:pt idx="2">
                  <c:v>-4.5152640000000003E-4</c:v>
                </c:pt>
                <c:pt idx="3">
                  <c:v>-4.6579128571428574E-4</c:v>
                </c:pt>
                <c:pt idx="4">
                  <c:v>-4.8305622857142865E-4</c:v>
                </c:pt>
                <c:pt idx="5">
                  <c:v>-5.0552008571428568E-4</c:v>
                </c:pt>
                <c:pt idx="6">
                  <c:v>-5.3161102857142862E-4</c:v>
                </c:pt>
                <c:pt idx="7">
                  <c:v>-5.5661174285714281E-4</c:v>
                </c:pt>
                <c:pt idx="8">
                  <c:v>-5.7996000000000002E-4</c:v>
                </c:pt>
                <c:pt idx="9">
                  <c:v>-6.0558114285714289E-4</c:v>
                </c:pt>
                <c:pt idx="10">
                  <c:v>-6.3340537142857146E-4</c:v>
                </c:pt>
                <c:pt idx="11">
                  <c:v>-6.6375940000000001E-4</c:v>
                </c:pt>
                <c:pt idx="12">
                  <c:v>-6.9877779999999998E-4</c:v>
                </c:pt>
                <c:pt idx="13">
                  <c:v>-7.4557468571428585E-4</c:v>
                </c:pt>
                <c:pt idx="14">
                  <c:v>-8.0384180000000007E-4</c:v>
                </c:pt>
                <c:pt idx="15">
                  <c:v>-8.9073805714285725E-4</c:v>
                </c:pt>
                <c:pt idx="16">
                  <c:v>-1.0281325428571429E-3</c:v>
                </c:pt>
                <c:pt idx="17">
                  <c:v>-1.2448388857142858E-3</c:v>
                </c:pt>
                <c:pt idx="18">
                  <c:v>-1.5896212285714288E-3</c:v>
                </c:pt>
                <c:pt idx="19">
                  <c:v>-2.1613843714285716E-3</c:v>
                </c:pt>
                <c:pt idx="20">
                  <c:v>-2.981823142857143E-3</c:v>
                </c:pt>
                <c:pt idx="21">
                  <c:v>-4.0335100000000006E-3</c:v>
                </c:pt>
                <c:pt idx="22">
                  <c:v>-4.9064134285714284E-3</c:v>
                </c:pt>
                <c:pt idx="23">
                  <c:v>-5.5716142857142863E-3</c:v>
                </c:pt>
                <c:pt idx="24">
                  <c:v>-5.9386188571428581E-3</c:v>
                </c:pt>
                <c:pt idx="25">
                  <c:v>-6.2464694285714285E-3</c:v>
                </c:pt>
                <c:pt idx="26">
                  <c:v>-6.358090857142857E-3</c:v>
                </c:pt>
                <c:pt idx="27">
                  <c:v>-6.6076685714285726E-3</c:v>
                </c:pt>
                <c:pt idx="28">
                  <c:v>-6.8895494285714292E-3</c:v>
                </c:pt>
                <c:pt idx="29">
                  <c:v>-6.9306028571428577E-3</c:v>
                </c:pt>
                <c:pt idx="30">
                  <c:v>-6.9356111428571432E-3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-4.5570065714285718E-4</c:v>
                </c:pt>
                <c:pt idx="1">
                  <c:v>-4.7502377142857145E-4</c:v>
                </c:pt>
                <c:pt idx="2">
                  <c:v>-4.9555025714285712E-4</c:v>
                </c:pt>
                <c:pt idx="3">
                  <c:v>-5.2058842857142867E-4</c:v>
                </c:pt>
                <c:pt idx="4">
                  <c:v>-5.4701862857142855E-4</c:v>
                </c:pt>
                <c:pt idx="5">
                  <c:v>-5.7006357142857145E-4</c:v>
                </c:pt>
                <c:pt idx="6">
                  <c:v>-5.9517077142857142E-4</c:v>
                </c:pt>
                <c:pt idx="7">
                  <c:v>-6.2135062857142864E-4</c:v>
                </c:pt>
                <c:pt idx="8">
                  <c:v>-6.5162028571428578E-4</c:v>
                </c:pt>
                <c:pt idx="9">
                  <c:v>-6.8221957142857142E-4</c:v>
                </c:pt>
                <c:pt idx="10">
                  <c:v>-7.24981542857143E-4</c:v>
                </c:pt>
                <c:pt idx="11">
                  <c:v>-7.7555411428571427E-4</c:v>
                </c:pt>
                <c:pt idx="12">
                  <c:v>-8.4309208571428575E-4</c:v>
                </c:pt>
                <c:pt idx="13">
                  <c:v>-9.3429554285714294E-4</c:v>
                </c:pt>
                <c:pt idx="14">
                  <c:v>-1.0801062E-3</c:v>
                </c:pt>
                <c:pt idx="15">
                  <c:v>-1.3319143428571429E-3</c:v>
                </c:pt>
                <c:pt idx="16">
                  <c:v>-1.7799718571428571E-3</c:v>
                </c:pt>
                <c:pt idx="17">
                  <c:v>-2.461023085714286E-3</c:v>
                </c:pt>
                <c:pt idx="18">
                  <c:v>-3.4348485714285715E-3</c:v>
                </c:pt>
                <c:pt idx="19">
                  <c:v>-4.4121640000000005E-3</c:v>
                </c:pt>
                <c:pt idx="20">
                  <c:v>-5.2413105714285719E-3</c:v>
                </c:pt>
                <c:pt idx="21">
                  <c:v>-5.7147317142857146E-3</c:v>
                </c:pt>
                <c:pt idx="22">
                  <c:v>-6.0956394285714291E-3</c:v>
                </c:pt>
                <c:pt idx="23">
                  <c:v>-6.2988837142857138E-3</c:v>
                </c:pt>
                <c:pt idx="24">
                  <c:v>-6.4397999999999999E-3</c:v>
                </c:pt>
                <c:pt idx="25">
                  <c:v>-6.7772074285714287E-3</c:v>
                </c:pt>
                <c:pt idx="26">
                  <c:v>-6.9143051428571436E-3</c:v>
                </c:pt>
                <c:pt idx="27">
                  <c:v>-6.9280194285714298E-3</c:v>
                </c:pt>
                <c:pt idx="28">
                  <c:v>-6.9320440000000001E-3</c:v>
                </c:pt>
                <c:pt idx="29">
                  <c:v>-6.9347925714285724E-3</c:v>
                </c:pt>
                <c:pt idx="30">
                  <c:v>-6.9376311428571442E-3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50948280"/>
        <c:axId val="45094788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09482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947888"/>
        <c:crossesAt val="-8.0000000000000019E-3"/>
        <c:crossBetween val="midCat"/>
      </c:valAx>
      <c:valAx>
        <c:axId val="4509478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948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27778.156971666598</c:v>
                </c:pt>
                <c:pt idx="1">
                  <c:v>27564.45948851389</c:v>
                </c:pt>
                <c:pt idx="2">
                  <c:v>26792.4021340531</c:v>
                </c:pt>
                <c:pt idx="3">
                  <c:v>26269.963201786119</c:v>
                </c:pt>
                <c:pt idx="4">
                  <c:v>25780.290202097585</c:v>
                </c:pt>
                <c:pt idx="5">
                  <c:v>25240.85181384367</c:v>
                </c:pt>
                <c:pt idx="6">
                  <c:v>24672.754680633043</c:v>
                </c:pt>
                <c:pt idx="7">
                  <c:v>24020.396748324576</c:v>
                </c:pt>
                <c:pt idx="8">
                  <c:v>23342.080388924409</c:v>
                </c:pt>
                <c:pt idx="9">
                  <c:v>22582.231745185189</c:v>
                </c:pt>
                <c:pt idx="10">
                  <c:v>21901.781772523715</c:v>
                </c:pt>
                <c:pt idx="11">
                  <c:v>21176.388302840744</c:v>
                </c:pt>
                <c:pt idx="12">
                  <c:v>20289.291677060097</c:v>
                </c:pt>
                <c:pt idx="13">
                  <c:v>19304.428353130945</c:v>
                </c:pt>
                <c:pt idx="14">
                  <c:v>18388.117577406487</c:v>
                </c:pt>
                <c:pt idx="15">
                  <c:v>17657.874642711824</c:v>
                </c:pt>
                <c:pt idx="16">
                  <c:v>16910.282640396654</c:v>
                </c:pt>
                <c:pt idx="17">
                  <c:v>16194.23757205626</c:v>
                </c:pt>
                <c:pt idx="18">
                  <c:v>15438.754856480893</c:v>
                </c:pt>
                <c:pt idx="19">
                  <c:v>14710.752971992406</c:v>
                </c:pt>
                <c:pt idx="20">
                  <c:v>13672.918628242171</c:v>
                </c:pt>
                <c:pt idx="21">
                  <c:v>12440.582003127063</c:v>
                </c:pt>
                <c:pt idx="22">
                  <c:v>11056.709642622818</c:v>
                </c:pt>
                <c:pt idx="23">
                  <c:v>9670.892082045526</c:v>
                </c:pt>
                <c:pt idx="24">
                  <c:v>8182.4135852378968</c:v>
                </c:pt>
                <c:pt idx="25">
                  <c:v>6618.0972701842556</c:v>
                </c:pt>
                <c:pt idx="26">
                  <c:v>4983.2945727935466</c:v>
                </c:pt>
                <c:pt idx="27">
                  <c:v>3655.5495555802186</c:v>
                </c:pt>
                <c:pt idx="28">
                  <c:v>2661.8111175788895</c:v>
                </c:pt>
                <c:pt idx="29">
                  <c:v>2134.5283439444802</c:v>
                </c:pt>
                <c:pt idx="30">
                  <c:v>1833.4487794914817</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27397.892945473101</c:v>
                </c:pt>
                <c:pt idx="1">
                  <c:v>26523.458180008798</c:v>
                </c:pt>
                <c:pt idx="2">
                  <c:v>26019.67965016466</c:v>
                </c:pt>
                <c:pt idx="3">
                  <c:v>25509.990258828006</c:v>
                </c:pt>
                <c:pt idx="4">
                  <c:v>24963.943150396844</c:v>
                </c:pt>
                <c:pt idx="5">
                  <c:v>24360.23074010557</c:v>
                </c:pt>
                <c:pt idx="6">
                  <c:v>23702.700414797258</c:v>
                </c:pt>
                <c:pt idx="7">
                  <c:v>22983.797276603891</c:v>
                </c:pt>
                <c:pt idx="8">
                  <c:v>22257.005328835807</c:v>
                </c:pt>
                <c:pt idx="9">
                  <c:v>21573.070053120908</c:v>
                </c:pt>
                <c:pt idx="10">
                  <c:v>20786.240126684414</c:v>
                </c:pt>
                <c:pt idx="11">
                  <c:v>19850.944363304498</c:v>
                </c:pt>
                <c:pt idx="12">
                  <c:v>18878.644137935571</c:v>
                </c:pt>
                <c:pt idx="13">
                  <c:v>18047.706378874158</c:v>
                </c:pt>
                <c:pt idx="14">
                  <c:v>17316.206648443753</c:v>
                </c:pt>
                <c:pt idx="15">
                  <c:v>16586.298939889071</c:v>
                </c:pt>
                <c:pt idx="16">
                  <c:v>15849.59943760187</c:v>
                </c:pt>
                <c:pt idx="17">
                  <c:v>15118.902174180206</c:v>
                </c:pt>
                <c:pt idx="18">
                  <c:v>14246.464983939348</c:v>
                </c:pt>
                <c:pt idx="19">
                  <c:v>13070.427045955023</c:v>
                </c:pt>
                <c:pt idx="20">
                  <c:v>11767.194594567696</c:v>
                </c:pt>
                <c:pt idx="21">
                  <c:v>10413.260662658255</c:v>
                </c:pt>
                <c:pt idx="22">
                  <c:v>9021.5958187429424</c:v>
                </c:pt>
                <c:pt idx="23">
                  <c:v>7526.1172935058657</c:v>
                </c:pt>
                <c:pt idx="24">
                  <c:v>5930.2376668127145</c:v>
                </c:pt>
                <c:pt idx="25">
                  <c:v>4394.9364756509658</c:v>
                </c:pt>
                <c:pt idx="26">
                  <c:v>3203.3563852960447</c:v>
                </c:pt>
                <c:pt idx="27">
                  <c:v>2400.1855412000077</c:v>
                </c:pt>
                <c:pt idx="28">
                  <c:v>1991.4754608402236</c:v>
                </c:pt>
                <c:pt idx="29">
                  <c:v>1773.0062633219256</c:v>
                </c:pt>
                <c:pt idx="30">
                  <c:v>1667.8195270597521</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26571.749341248375</c:v>
                </c:pt>
                <c:pt idx="1">
                  <c:v>25946.804454577039</c:v>
                </c:pt>
                <c:pt idx="2">
                  <c:v>25422.633116538804</c:v>
                </c:pt>
                <c:pt idx="3">
                  <c:v>24874.423250962038</c:v>
                </c:pt>
                <c:pt idx="4">
                  <c:v>24261.887527712272</c:v>
                </c:pt>
                <c:pt idx="5">
                  <c:v>23604.113428150831</c:v>
                </c:pt>
                <c:pt idx="6">
                  <c:v>22875.757187562907</c:v>
                </c:pt>
                <c:pt idx="7">
                  <c:v>22159.731778606551</c:v>
                </c:pt>
                <c:pt idx="8">
                  <c:v>21472.708800620374</c:v>
                </c:pt>
                <c:pt idx="9">
                  <c:v>20670.180400475889</c:v>
                </c:pt>
                <c:pt idx="10">
                  <c:v>19725.834570471921</c:v>
                </c:pt>
                <c:pt idx="11">
                  <c:v>18760.769686841479</c:v>
                </c:pt>
                <c:pt idx="12">
                  <c:v>17951.845252221632</c:v>
                </c:pt>
                <c:pt idx="13">
                  <c:v>17217.180266632138</c:v>
                </c:pt>
                <c:pt idx="14">
                  <c:v>16492.876514582083</c:v>
                </c:pt>
                <c:pt idx="15">
                  <c:v>15751.758762624639</c:v>
                </c:pt>
                <c:pt idx="16">
                  <c:v>15034.373302458171</c:v>
                </c:pt>
                <c:pt idx="17">
                  <c:v>14162.870174431931</c:v>
                </c:pt>
                <c:pt idx="18">
                  <c:v>13018.104761821871</c:v>
                </c:pt>
                <c:pt idx="19">
                  <c:v>11705.13324605317</c:v>
                </c:pt>
                <c:pt idx="20">
                  <c:v>10334.341945422744</c:v>
                </c:pt>
                <c:pt idx="21">
                  <c:v>8913.7897728524422</c:v>
                </c:pt>
                <c:pt idx="22">
                  <c:v>7399.8844264907739</c:v>
                </c:pt>
                <c:pt idx="23">
                  <c:v>5787.2393224855778</c:v>
                </c:pt>
                <c:pt idx="24">
                  <c:v>4280.6077303543925</c:v>
                </c:pt>
                <c:pt idx="25">
                  <c:v>3115.1716334963194</c:v>
                </c:pt>
                <c:pt idx="26">
                  <c:v>2356.4372580738441</c:v>
                </c:pt>
                <c:pt idx="27">
                  <c:v>1964.1109785554434</c:v>
                </c:pt>
                <c:pt idx="28">
                  <c:v>1763.2080149189565</c:v>
                </c:pt>
                <c:pt idx="29">
                  <c:v>1658.491959796828</c:v>
                </c:pt>
                <c:pt idx="30">
                  <c:v>1588.6538523426129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26053.699055806504</c:v>
                </c:pt>
                <c:pt idx="1">
                  <c:v>25420.424773845374</c:v>
                </c:pt>
                <c:pt idx="2">
                  <c:v>24863.312165419735</c:v>
                </c:pt>
                <c:pt idx="3">
                  <c:v>24254.64774489987</c:v>
                </c:pt>
                <c:pt idx="4">
                  <c:v>23598.035645574491</c:v>
                </c:pt>
                <c:pt idx="5">
                  <c:v>22875.045521340588</c:v>
                </c:pt>
                <c:pt idx="6">
                  <c:v>22155.517936189448</c:v>
                </c:pt>
                <c:pt idx="7">
                  <c:v>21471.158375742449</c:v>
                </c:pt>
                <c:pt idx="8">
                  <c:v>20677.048080812518</c:v>
                </c:pt>
                <c:pt idx="9">
                  <c:v>19738.371829079908</c:v>
                </c:pt>
                <c:pt idx="10">
                  <c:v>18771.738343420904</c:v>
                </c:pt>
                <c:pt idx="11">
                  <c:v>17954.576665195927</c:v>
                </c:pt>
                <c:pt idx="12">
                  <c:v>17222.637178428147</c:v>
                </c:pt>
                <c:pt idx="13">
                  <c:v>16497.243899731639</c:v>
                </c:pt>
                <c:pt idx="14">
                  <c:v>15759.935299611905</c:v>
                </c:pt>
                <c:pt idx="15">
                  <c:v>15044.074409883286</c:v>
                </c:pt>
                <c:pt idx="16">
                  <c:v>14213.640107546087</c:v>
                </c:pt>
                <c:pt idx="17">
                  <c:v>13126.154609374827</c:v>
                </c:pt>
                <c:pt idx="18">
                  <c:v>11831.284797076225</c:v>
                </c:pt>
                <c:pt idx="19">
                  <c:v>10444.226680660338</c:v>
                </c:pt>
                <c:pt idx="20">
                  <c:v>9010.2985137641299</c:v>
                </c:pt>
                <c:pt idx="21">
                  <c:v>7485.3353725382967</c:v>
                </c:pt>
                <c:pt idx="22">
                  <c:v>5867.432208987475</c:v>
                </c:pt>
                <c:pt idx="23">
                  <c:v>4340.1905864490318</c:v>
                </c:pt>
                <c:pt idx="24">
                  <c:v>3158.9225980026404</c:v>
                </c:pt>
                <c:pt idx="25">
                  <c:v>2378.2297123925264</c:v>
                </c:pt>
                <c:pt idx="26">
                  <c:v>1977.667947517439</c:v>
                </c:pt>
                <c:pt idx="27">
                  <c:v>1768.4082456329159</c:v>
                </c:pt>
                <c:pt idx="28">
                  <c:v>1663.1420726285587</c:v>
                </c:pt>
                <c:pt idx="29">
                  <c:v>1590.6931181661835</c:v>
                </c:pt>
                <c:pt idx="30">
                  <c:v>1559.0817133434941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25402.320131795943</c:v>
                </c:pt>
                <c:pt idx="1">
                  <c:v>24696.354789808618</c:v>
                </c:pt>
                <c:pt idx="2">
                  <c:v>24055.182864407325</c:v>
                </c:pt>
                <c:pt idx="3">
                  <c:v>23394.104979642449</c:v>
                </c:pt>
                <c:pt idx="4">
                  <c:v>22649.800115513979</c:v>
                </c:pt>
                <c:pt idx="5">
                  <c:v>21954.188758853183</c:v>
                </c:pt>
                <c:pt idx="6">
                  <c:v>21259.065093131409</c:v>
                </c:pt>
                <c:pt idx="7">
                  <c:v>20425.585157999485</c:v>
                </c:pt>
                <c:pt idx="8">
                  <c:v>19465.236561298003</c:v>
                </c:pt>
                <c:pt idx="9">
                  <c:v>18517.798381914778</c:v>
                </c:pt>
                <c:pt idx="10">
                  <c:v>17750.206916697767</c:v>
                </c:pt>
                <c:pt idx="11">
                  <c:v>17010.512302196905</c:v>
                </c:pt>
                <c:pt idx="12">
                  <c:v>16296.091982965276</c:v>
                </c:pt>
                <c:pt idx="13">
                  <c:v>15548.491012283619</c:v>
                </c:pt>
                <c:pt idx="14">
                  <c:v>14852.2859535227</c:v>
                </c:pt>
                <c:pt idx="15">
                  <c:v>13989.659962528494</c:v>
                </c:pt>
                <c:pt idx="16">
                  <c:v>12955.875619152041</c:v>
                </c:pt>
                <c:pt idx="17">
                  <c:v>11653.497049650856</c:v>
                </c:pt>
                <c:pt idx="18">
                  <c:v>10233.913041622172</c:v>
                </c:pt>
                <c:pt idx="19">
                  <c:v>8733.14546590807</c:v>
                </c:pt>
                <c:pt idx="20">
                  <c:v>7163.9964882498571</c:v>
                </c:pt>
                <c:pt idx="21">
                  <c:v>5510.0978604400207</c:v>
                </c:pt>
                <c:pt idx="22">
                  <c:v>4058.1459499900525</c:v>
                </c:pt>
                <c:pt idx="23">
                  <c:v>2944.6147413303179</c:v>
                </c:pt>
                <c:pt idx="24">
                  <c:v>2273.7361324021235</c:v>
                </c:pt>
                <c:pt idx="25">
                  <c:v>1912.2953598098456</c:v>
                </c:pt>
                <c:pt idx="26">
                  <c:v>1744.5696779634031</c:v>
                </c:pt>
                <c:pt idx="27">
                  <c:v>1640.7418515837423</c:v>
                </c:pt>
                <c:pt idx="28">
                  <c:v>1582.8165814056135</c:v>
                </c:pt>
                <c:pt idx="29">
                  <c:v>1552.1082197256635</c:v>
                </c:pt>
                <c:pt idx="30">
                  <c:v>1479.9733807759237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23753.143219509173</c:v>
                </c:pt>
                <c:pt idx="1">
                  <c:v>22894.132299303492</c:v>
                </c:pt>
                <c:pt idx="2">
                  <c:v>22147.099261527121</c:v>
                </c:pt>
                <c:pt idx="3">
                  <c:v>21468.84303484792</c:v>
                </c:pt>
                <c:pt idx="4">
                  <c:v>20701.523774103076</c:v>
                </c:pt>
                <c:pt idx="5">
                  <c:v>19781.607660297574</c:v>
                </c:pt>
                <c:pt idx="6">
                  <c:v>18810.745944967493</c:v>
                </c:pt>
                <c:pt idx="7">
                  <c:v>17965.844465783306</c:v>
                </c:pt>
                <c:pt idx="8">
                  <c:v>17242.568452996758</c:v>
                </c:pt>
                <c:pt idx="9">
                  <c:v>16513.063720610284</c:v>
                </c:pt>
                <c:pt idx="10">
                  <c:v>15787.67792487483</c:v>
                </c:pt>
                <c:pt idx="11">
                  <c:v>15065.700011178749</c:v>
                </c:pt>
                <c:pt idx="12">
                  <c:v>14310.70076925741</c:v>
                </c:pt>
                <c:pt idx="13">
                  <c:v>13412.472541794603</c:v>
                </c:pt>
                <c:pt idx="14">
                  <c:v>12440.258767334566</c:v>
                </c:pt>
                <c:pt idx="15">
                  <c:v>11226.645049922003</c:v>
                </c:pt>
                <c:pt idx="16">
                  <c:v>9726.3724112947184</c:v>
                </c:pt>
                <c:pt idx="17">
                  <c:v>8033.1680788249332</c:v>
                </c:pt>
                <c:pt idx="18">
                  <c:v>6290.8067785348248</c:v>
                </c:pt>
                <c:pt idx="19">
                  <c:v>4626.6643417017394</c:v>
                </c:pt>
                <c:pt idx="20">
                  <c:v>3353.6529569014392</c:v>
                </c:pt>
                <c:pt idx="21">
                  <c:v>2479.2302485924165</c:v>
                </c:pt>
                <c:pt idx="22">
                  <c:v>2038.148669202473</c:v>
                </c:pt>
                <c:pt idx="23">
                  <c:v>1794.8119678062012</c:v>
                </c:pt>
                <c:pt idx="24">
                  <c:v>1683.8932149976572</c:v>
                </c:pt>
                <c:pt idx="25">
                  <c:v>1600.9043371380121</c:v>
                </c:pt>
                <c:pt idx="26">
                  <c:v>1572.7991663984669</c:v>
                </c:pt>
                <c:pt idx="27">
                  <c:v>1513.3930965060508</c:v>
                </c:pt>
                <c:pt idx="28">
                  <c:v>1451.473728968301</c:v>
                </c:pt>
                <c:pt idx="29">
                  <c:v>1442.8759238013101</c:v>
                </c:pt>
                <c:pt idx="30">
                  <c:v>1441.8340062647276</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21944.22993088884</c:v>
                </c:pt>
                <c:pt idx="1">
                  <c:v>21051.578050349599</c:v>
                </c:pt>
                <c:pt idx="2">
                  <c:v>20179.587954723233</c:v>
                </c:pt>
                <c:pt idx="3">
                  <c:v>19209.032416339858</c:v>
                </c:pt>
                <c:pt idx="4">
                  <c:v>18280.913076243109</c:v>
                </c:pt>
                <c:pt idx="5">
                  <c:v>17541.903221319928</c:v>
                </c:pt>
                <c:pt idx="6">
                  <c:v>16801.90036213856</c:v>
                </c:pt>
                <c:pt idx="7">
                  <c:v>16093.972614128335</c:v>
                </c:pt>
                <c:pt idx="8">
                  <c:v>15346.360785926596</c:v>
                </c:pt>
                <c:pt idx="9">
                  <c:v>14658.037410243078</c:v>
                </c:pt>
                <c:pt idx="10">
                  <c:v>13793.454603809812</c:v>
                </c:pt>
                <c:pt idx="11">
                  <c:v>12894.006769869315</c:v>
                </c:pt>
                <c:pt idx="12">
                  <c:v>11861.100548142122</c:v>
                </c:pt>
                <c:pt idx="13">
                  <c:v>10703.251317478494</c:v>
                </c:pt>
                <c:pt idx="14">
                  <c:v>9258.3488549551894</c:v>
                </c:pt>
                <c:pt idx="15">
                  <c:v>7507.9903250749585</c:v>
                </c:pt>
                <c:pt idx="16">
                  <c:v>5618.0663530555021</c:v>
                </c:pt>
                <c:pt idx="17">
                  <c:v>4063.3507495512199</c:v>
                </c:pt>
                <c:pt idx="18">
                  <c:v>2911.3364947674963</c:v>
                </c:pt>
                <c:pt idx="19">
                  <c:v>2266.4615367878437</c:v>
                </c:pt>
                <c:pt idx="20">
                  <c:v>1907.9197585642019</c:v>
                </c:pt>
                <c:pt idx="21">
                  <c:v>1749.8634231598223</c:v>
                </c:pt>
                <c:pt idx="22">
                  <c:v>1640.5169822099524</c:v>
                </c:pt>
                <c:pt idx="23">
                  <c:v>1587.5828882695905</c:v>
                </c:pt>
                <c:pt idx="24">
                  <c:v>1552.8432560017393</c:v>
                </c:pt>
                <c:pt idx="25">
                  <c:v>1475.5340020790695</c:v>
                </c:pt>
                <c:pt idx="26">
                  <c:v>1446.2769278168969</c:v>
                </c:pt>
                <c:pt idx="27">
                  <c:v>1443.4139660116425</c:v>
                </c:pt>
                <c:pt idx="28">
                  <c:v>1442.5759559518087</c:v>
                </c:pt>
                <c:pt idx="29">
                  <c:v>1442.004197962621</c:v>
                </c:pt>
                <c:pt idx="30">
                  <c:v>1441.4141937044049</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50945144"/>
        <c:axId val="45094984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094514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949848"/>
        <c:crosses val="autoZero"/>
        <c:crossBetween val="midCat"/>
      </c:valAx>
      <c:valAx>
        <c:axId val="450949848"/>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945144"/>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32878.229128228493</c:v>
                </c:pt>
                <c:pt idx="1">
                  <c:v>32917.621395250077</c:v>
                </c:pt>
                <c:pt idx="2">
                  <c:v>33027.932534087544</c:v>
                </c:pt>
                <c:pt idx="3">
                  <c:v>33126.431322112228</c:v>
                </c:pt>
                <c:pt idx="4">
                  <c:v>33232.994377679985</c:v>
                </c:pt>
                <c:pt idx="5">
                  <c:v>33369.04393074676</c:v>
                </c:pt>
                <c:pt idx="6">
                  <c:v>33536.478154290198</c:v>
                </c:pt>
                <c:pt idx="7">
                  <c:v>33763.382357764502</c:v>
                </c:pt>
                <c:pt idx="8">
                  <c:v>34045.918294192881</c:v>
                </c:pt>
                <c:pt idx="9">
                  <c:v>34429.394077487086</c:v>
                </c:pt>
                <c:pt idx="10">
                  <c:v>34848.57319188078</c:v>
                </c:pt>
                <c:pt idx="11">
                  <c:v>35387.277658954059</c:v>
                </c:pt>
                <c:pt idx="12">
                  <c:v>36211.574088156383</c:v>
                </c:pt>
                <c:pt idx="13">
                  <c:v>37421.710840644082</c:v>
                </c:pt>
                <c:pt idx="14">
                  <c:v>38951.098987451682</c:v>
                </c:pt>
                <c:pt idx="15">
                  <c:v>40568.71496485774</c:v>
                </c:pt>
                <c:pt idx="16">
                  <c:v>42732.071838619653</c:v>
                </c:pt>
                <c:pt idx="17">
                  <c:v>45521.775796670132</c:v>
                </c:pt>
                <c:pt idx="18">
                  <c:v>49555.852135531619</c:v>
                </c:pt>
                <c:pt idx="19">
                  <c:v>54063.455668120841</c:v>
                </c:pt>
                <c:pt idx="20">
                  <c:v>55616.680936317942</c:v>
                </c:pt>
                <c:pt idx="21">
                  <c:v>47250.76168227828</c:v>
                </c:pt>
                <c:pt idx="22">
                  <c:v>38372.055671055496</c:v>
                </c:pt>
                <c:pt idx="23">
                  <c:v>32616.615817362534</c:v>
                </c:pt>
                <c:pt idx="24">
                  <c:v>29588.562583402756</c:v>
                </c:pt>
                <c:pt idx="25">
                  <c:v>28444.801602791398</c:v>
                </c:pt>
                <c:pt idx="26">
                  <c:v>30608.703926029837</c:v>
                </c:pt>
                <c:pt idx="27">
                  <c:v>42229.006211524982</c:v>
                </c:pt>
                <c:pt idx="28">
                  <c:v>266342.79382938251</c:v>
                </c:pt>
                <c:pt idx="29">
                  <c:v>-63610.38746722733</c:v>
                </c:pt>
                <c:pt idx="30">
                  <c:v>-31064.324097111163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32845.136364466423</c:v>
                </c:pt>
                <c:pt idx="1">
                  <c:v>32978.697382158534</c:v>
                </c:pt>
                <c:pt idx="2">
                  <c:v>33070.809686995737</c:v>
                </c:pt>
                <c:pt idx="3">
                  <c:v>33179.420636882976</c:v>
                </c:pt>
                <c:pt idx="4">
                  <c:v>33315.643678415632</c:v>
                </c:pt>
                <c:pt idx="5">
                  <c:v>33492.716559024913</c:v>
                </c:pt>
                <c:pt idx="6">
                  <c:v>33723.038695529671</c:v>
                </c:pt>
                <c:pt idx="7">
                  <c:v>34026.110781900396</c:v>
                </c:pt>
                <c:pt idx="8">
                  <c:v>34401.191531464567</c:v>
                </c:pt>
                <c:pt idx="9">
                  <c:v>34828.548806220606</c:v>
                </c:pt>
                <c:pt idx="10">
                  <c:v>35428.816220000408</c:v>
                </c:pt>
                <c:pt idx="11">
                  <c:v>36343.440361027038</c:v>
                </c:pt>
                <c:pt idx="12">
                  <c:v>37619.06245170653</c:v>
                </c:pt>
                <c:pt idx="13">
                  <c:v>39089.155663069367</c:v>
                </c:pt>
                <c:pt idx="14">
                  <c:v>40779.668105699609</c:v>
                </c:pt>
                <c:pt idx="15">
                  <c:v>43006.671612679616</c:v>
                </c:pt>
                <c:pt idx="16">
                  <c:v>46027.517511892336</c:v>
                </c:pt>
                <c:pt idx="17">
                  <c:v>49809.634691869775</c:v>
                </c:pt>
                <c:pt idx="18">
                  <c:v>52072.08204417731</c:v>
                </c:pt>
                <c:pt idx="19">
                  <c:v>47000.747983332156</c:v>
                </c:pt>
                <c:pt idx="20">
                  <c:v>38796.5530925286</c:v>
                </c:pt>
                <c:pt idx="21">
                  <c:v>32906.823295623995</c:v>
                </c:pt>
                <c:pt idx="22">
                  <c:v>29413.630864815354</c:v>
                </c:pt>
                <c:pt idx="23">
                  <c:v>27574.064528195548</c:v>
                </c:pt>
                <c:pt idx="24">
                  <c:v>27347.875683433191</c:v>
                </c:pt>
                <c:pt idx="25">
                  <c:v>31039.620656814455</c:v>
                </c:pt>
                <c:pt idx="26">
                  <c:v>51039.931309002168</c:v>
                </c:pt>
                <c:pt idx="27">
                  <c:v>-469113.5630113699</c:v>
                </c:pt>
                <c:pt idx="28">
                  <c:v>-49053.038106922882</c:v>
                </c:pt>
                <c:pt idx="29">
                  <c:v>-30167.862606934468</c:v>
                </c:pt>
                <c:pt idx="30">
                  <c:v>-25394.116691045081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32914.930027937065</c:v>
                </c:pt>
                <c:pt idx="1">
                  <c:v>33025.817678199324</c:v>
                </c:pt>
                <c:pt idx="2">
                  <c:v>33131.419105957953</c:v>
                </c:pt>
                <c:pt idx="3">
                  <c:v>33262.142844177419</c:v>
                </c:pt>
                <c:pt idx="4">
                  <c:v>33435.111723998991</c:v>
                </c:pt>
                <c:pt idx="5">
                  <c:v>33658.398452236819</c:v>
                </c:pt>
                <c:pt idx="6">
                  <c:v>33957.432127339969</c:v>
                </c:pt>
                <c:pt idx="7">
                  <c:v>34318.754197061076</c:v>
                </c:pt>
                <c:pt idx="8">
                  <c:v>34738.607265315688</c:v>
                </c:pt>
                <c:pt idx="9">
                  <c:v>35340.11895928318</c:v>
                </c:pt>
                <c:pt idx="10">
                  <c:v>36253.02790468061</c:v>
                </c:pt>
                <c:pt idx="11">
                  <c:v>37508.414208976021</c:v>
                </c:pt>
                <c:pt idx="12">
                  <c:v>38923.741206765451</c:v>
                </c:pt>
                <c:pt idx="13">
                  <c:v>40597.279235301292</c:v>
                </c:pt>
                <c:pt idx="14">
                  <c:v>42778.705220106953</c:v>
                </c:pt>
                <c:pt idx="15">
                  <c:v>45789.281754821095</c:v>
                </c:pt>
                <c:pt idx="16">
                  <c:v>49598.914832427879</c:v>
                </c:pt>
                <c:pt idx="17">
                  <c:v>52967.151739842295</c:v>
                </c:pt>
                <c:pt idx="18">
                  <c:v>49016.600942407204</c:v>
                </c:pt>
                <c:pt idx="19">
                  <c:v>40472.370380006629</c:v>
                </c:pt>
                <c:pt idx="20">
                  <c:v>33956.107753013719</c:v>
                </c:pt>
                <c:pt idx="21">
                  <c:v>30122.242082820478</c:v>
                </c:pt>
                <c:pt idx="22">
                  <c:v>28176.964864290905</c:v>
                </c:pt>
                <c:pt idx="23">
                  <c:v>28221.950968956324</c:v>
                </c:pt>
                <c:pt idx="24">
                  <c:v>32946.866588253128</c:v>
                </c:pt>
                <c:pt idx="25">
                  <c:v>60583.96712817868</c:v>
                </c:pt>
                <c:pt idx="26">
                  <c:v>-192085.0003567205</c:v>
                </c:pt>
                <c:pt idx="27">
                  <c:v>-43136.991005074786</c:v>
                </c:pt>
                <c:pt idx="28">
                  <c:v>-29067.25664892737</c:v>
                </c:pt>
                <c:pt idx="29">
                  <c:v>-24590.860771464442</c:v>
                </c:pt>
                <c:pt idx="30">
                  <c:v>-21808.361824400279</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32940.622758096513</c:v>
                </c:pt>
                <c:pt idx="1">
                  <c:v>33063.028902188402</c:v>
                </c:pt>
                <c:pt idx="2">
                  <c:v>33186.791838901372</c:v>
                </c:pt>
                <c:pt idx="3">
                  <c:v>33348.219978731839</c:v>
                </c:pt>
                <c:pt idx="4">
                  <c:v>33558.485844186886</c:v>
                </c:pt>
                <c:pt idx="5">
                  <c:v>33839.457530678323</c:v>
                </c:pt>
                <c:pt idx="6">
                  <c:v>34184.055314255194</c:v>
                </c:pt>
                <c:pt idx="7">
                  <c:v>34582.004544510135</c:v>
                </c:pt>
                <c:pt idx="8">
                  <c:v>35148.296991701412</c:v>
                </c:pt>
                <c:pt idx="9">
                  <c:v>36010.404414126533</c:v>
                </c:pt>
                <c:pt idx="10">
                  <c:v>37203.892360508056</c:v>
                </c:pt>
                <c:pt idx="11">
                  <c:v>38561.662334649511</c:v>
                </c:pt>
                <c:pt idx="12">
                  <c:v>40144.606838172716</c:v>
                </c:pt>
                <c:pt idx="13">
                  <c:v>42213.057405633284</c:v>
                </c:pt>
                <c:pt idx="14">
                  <c:v>45047.052160805426</c:v>
                </c:pt>
                <c:pt idx="15">
                  <c:v>48772.670582415376</c:v>
                </c:pt>
                <c:pt idx="16">
                  <c:v>53173.436252798107</c:v>
                </c:pt>
                <c:pt idx="17">
                  <c:v>52041.72318769533</c:v>
                </c:pt>
                <c:pt idx="18">
                  <c:v>43516.198345340119</c:v>
                </c:pt>
                <c:pt idx="19">
                  <c:v>35940.774942666772</c:v>
                </c:pt>
                <c:pt idx="20">
                  <c:v>31361.636224374335</c:v>
                </c:pt>
                <c:pt idx="21">
                  <c:v>29062.27497495657</c:v>
                </c:pt>
                <c:pt idx="22">
                  <c:v>29036.575549063033</c:v>
                </c:pt>
                <c:pt idx="23">
                  <c:v>34066.30392866247</c:v>
                </c:pt>
                <c:pt idx="24">
                  <c:v>63544.420636467767</c:v>
                </c:pt>
                <c:pt idx="25">
                  <c:v>-164849.55358741846</c:v>
                </c:pt>
                <c:pt idx="26">
                  <c:v>-42104.857938209301</c:v>
                </c:pt>
                <c:pt idx="27">
                  <c:v>-28492.115824520955</c:v>
                </c:pt>
                <c:pt idx="28">
                  <c:v>-24494.572002844325</c:v>
                </c:pt>
                <c:pt idx="29">
                  <c:v>-21714.596986386121</c:v>
                </c:pt>
                <c:pt idx="30">
                  <c:v>-20553.584368940563</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32980.582446509005</c:v>
                </c:pt>
                <c:pt idx="1">
                  <c:v>33133.758293663705</c:v>
                </c:pt>
                <c:pt idx="2">
                  <c:v>33298.683674492604</c:v>
                </c:pt>
                <c:pt idx="3">
                  <c:v>33506.339006837261</c:v>
                </c:pt>
                <c:pt idx="4">
                  <c:v>33792.339508352357</c:v>
                </c:pt>
                <c:pt idx="5">
                  <c:v>34123.407204660194</c:v>
                </c:pt>
                <c:pt idx="6">
                  <c:v>34524.750922170912</c:v>
                </c:pt>
                <c:pt idx="7">
                  <c:v>35121.061596903281</c:v>
                </c:pt>
                <c:pt idx="8">
                  <c:v>36018.391196364231</c:v>
                </c:pt>
                <c:pt idx="9">
                  <c:v>37216.102016523655</c:v>
                </c:pt>
                <c:pt idx="10">
                  <c:v>38513.469855000949</c:v>
                </c:pt>
                <c:pt idx="11">
                  <c:v>40131.860911409232</c:v>
                </c:pt>
                <c:pt idx="12">
                  <c:v>42202.398991753347</c:v>
                </c:pt>
                <c:pt idx="13">
                  <c:v>45141.120687391449</c:v>
                </c:pt>
                <c:pt idx="14">
                  <c:v>48935.430677929115</c:v>
                </c:pt>
                <c:pt idx="15">
                  <c:v>54828.632326397623</c:v>
                </c:pt>
                <c:pt idx="16">
                  <c:v>56926.730743394786</c:v>
                </c:pt>
                <c:pt idx="17">
                  <c:v>48788.518361001385</c:v>
                </c:pt>
                <c:pt idx="18">
                  <c:v>39424.36373864171</c:v>
                </c:pt>
                <c:pt idx="19">
                  <c:v>33786.14490047373</c:v>
                </c:pt>
                <c:pt idx="20">
                  <c:v>31209.015874510449</c:v>
                </c:pt>
                <c:pt idx="21">
                  <c:v>32327.943526223095</c:v>
                </c:pt>
                <c:pt idx="22">
                  <c:v>41843.0050450708</c:v>
                </c:pt>
                <c:pt idx="23">
                  <c:v>141567.54915832213</c:v>
                </c:pt>
                <c:pt idx="24">
                  <c:v>-71523.040227827194</c:v>
                </c:pt>
                <c:pt idx="25">
                  <c:v>-32457.590448640276</c:v>
                </c:pt>
                <c:pt idx="26">
                  <c:v>-26179.224466654621</c:v>
                </c:pt>
                <c:pt idx="27">
                  <c:v>-22743.458981196909</c:v>
                </c:pt>
                <c:pt idx="28">
                  <c:v>-20171.073758124621</c:v>
                </c:pt>
                <c:pt idx="29">
                  <c:v>-20359.75098279411</c:v>
                </c:pt>
                <c:pt idx="30">
                  <c:v>-17392.012991336898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33227.321090717371</c:v>
                </c:pt>
                <c:pt idx="1">
                  <c:v>33498.180752086977</c:v>
                </c:pt>
                <c:pt idx="2">
                  <c:v>33793.796011339487</c:v>
                </c:pt>
                <c:pt idx="3">
                  <c:v>34125.219783478031</c:v>
                </c:pt>
                <c:pt idx="4">
                  <c:v>34587.007609971733</c:v>
                </c:pt>
                <c:pt idx="5">
                  <c:v>35299.121223334449</c:v>
                </c:pt>
                <c:pt idx="6">
                  <c:v>36308.978619094836</c:v>
                </c:pt>
                <c:pt idx="7">
                  <c:v>37495.949366155641</c:v>
                </c:pt>
                <c:pt idx="8">
                  <c:v>38820.179758727929</c:v>
                </c:pt>
                <c:pt idx="9">
                  <c:v>40566.356405900551</c:v>
                </c:pt>
                <c:pt idx="10">
                  <c:v>42888.725764683921</c:v>
                </c:pt>
                <c:pt idx="11">
                  <c:v>46092.228442039224</c:v>
                </c:pt>
                <c:pt idx="12">
                  <c:v>50930.507650562598</c:v>
                </c:pt>
                <c:pt idx="13">
                  <c:v>60352.173902547278</c:v>
                </c:pt>
                <c:pt idx="14">
                  <c:v>78389.055633608659</c:v>
                </c:pt>
                <c:pt idx="15">
                  <c:v>99064.323314250432</c:v>
                </c:pt>
                <c:pt idx="16">
                  <c:v>85015.362275963344</c:v>
                </c:pt>
                <c:pt idx="17">
                  <c:v>65511.382789934971</c:v>
                </c:pt>
                <c:pt idx="18">
                  <c:v>63327.291909685009</c:v>
                </c:pt>
                <c:pt idx="19">
                  <c:v>113713.19388197045</c:v>
                </c:pt>
                <c:pt idx="20">
                  <c:v>-146920.54536906688</c:v>
                </c:pt>
                <c:pt idx="21">
                  <c:v>-33019.011214577105</c:v>
                </c:pt>
                <c:pt idx="22">
                  <c:v>-22836.395106695516</c:v>
                </c:pt>
                <c:pt idx="23">
                  <c:v>-19672.912535355055</c:v>
                </c:pt>
                <c:pt idx="24">
                  <c:v>-20109.949713634411</c:v>
                </c:pt>
                <c:pt idx="25">
                  <c:v>-19267.218149499204</c:v>
                </c:pt>
                <c:pt idx="26">
                  <c:v>-13467.640338584128</c:v>
                </c:pt>
                <c:pt idx="27">
                  <c:v>-17869.104216700292</c:v>
                </c:pt>
                <c:pt idx="28">
                  <c:v>-15903.286209624497</c:v>
                </c:pt>
                <c:pt idx="29">
                  <c:v>-14418.672097974508</c:v>
                </c:pt>
                <c:pt idx="30">
                  <c:v>-14753.048717517431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33712.602032634866</c:v>
                </c:pt>
                <c:pt idx="1">
                  <c:v>34147.721364506273</c:v>
                </c:pt>
                <c:pt idx="2">
                  <c:v>34696.879043487541</c:v>
                </c:pt>
                <c:pt idx="3">
                  <c:v>35511.075397115274</c:v>
                </c:pt>
                <c:pt idx="4">
                  <c:v>36572.854369380897</c:v>
                </c:pt>
                <c:pt idx="5">
                  <c:v>37698.306014771195</c:v>
                </c:pt>
                <c:pt idx="6">
                  <c:v>39152.486922342272</c:v>
                </c:pt>
                <c:pt idx="7">
                  <c:v>40993.203959250131</c:v>
                </c:pt>
                <c:pt idx="8">
                  <c:v>43625.906110069838</c:v>
                </c:pt>
                <c:pt idx="9">
                  <c:v>47031.385656153085</c:v>
                </c:pt>
                <c:pt idx="10">
                  <c:v>53502.634011104579</c:v>
                </c:pt>
                <c:pt idx="11">
                  <c:v>65721.627222423907</c:v>
                </c:pt>
                <c:pt idx="12">
                  <c:v>100706.41232255145</c:v>
                </c:pt>
                <c:pt idx="13">
                  <c:v>501369.45485383167</c:v>
                </c:pt>
                <c:pt idx="14">
                  <c:v>-118375.41579364783</c:v>
                </c:pt>
                <c:pt idx="15">
                  <c:v>-62217.37756242256</c:v>
                </c:pt>
                <c:pt idx="16">
                  <c:v>-38486.588578477997</c:v>
                </c:pt>
                <c:pt idx="17">
                  <c:v>-23364.529653326481</c:v>
                </c:pt>
                <c:pt idx="18">
                  <c:v>-14203.42024852575</c:v>
                </c:pt>
                <c:pt idx="19">
                  <c:v>-11570.811747984026</c:v>
                </c:pt>
                <c:pt idx="20">
                  <c:v>-11188.999333902882</c:v>
                </c:pt>
                <c:pt idx="21">
                  <c:v>-13243.083610397513</c:v>
                </c:pt>
                <c:pt idx="22">
                  <c:v>-14434.120611511818</c:v>
                </c:pt>
                <c:pt idx="23">
                  <c:v>-14688.114671370091</c:v>
                </c:pt>
                <c:pt idx="24">
                  <c:v>-16576.443453015301</c:v>
                </c:pt>
                <c:pt idx="25">
                  <c:v>-14395.721098121998</c:v>
                </c:pt>
                <c:pt idx="26">
                  <c:v>-15556.924564917272</c:v>
                </c:pt>
                <c:pt idx="27">
                  <c:v>-15548.838457342066</c:v>
                </c:pt>
                <c:pt idx="28">
                  <c:v>-15639.676160397003</c:v>
                </c:pt>
                <c:pt idx="29">
                  <c:v>-15554.269735924026</c:v>
                </c:pt>
                <c:pt idx="30">
                  <c:v>-15488.953057408791</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50951024"/>
        <c:axId val="4509486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5095102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948672"/>
        <c:crosses val="autoZero"/>
        <c:crossBetween val="midCat"/>
        <c:majorUnit val="10000"/>
      </c:valAx>
      <c:valAx>
        <c:axId val="450948672"/>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951024"/>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0.35918667302442542</c:v>
                </c:pt>
                <c:pt idx="1">
                  <c:v>0.36043716445192803</c:v>
                </c:pt>
                <c:pt idx="2">
                  <c:v>0.36479927706444065</c:v>
                </c:pt>
                <c:pt idx="3">
                  <c:v>0.36782979555738898</c:v>
                </c:pt>
                <c:pt idx="4">
                  <c:v>0.37070936236282398</c:v>
                </c:pt>
                <c:pt idx="5">
                  <c:v>0.37393080112300153</c:v>
                </c:pt>
                <c:pt idx="6">
                  <c:v>0.37738349384252629</c:v>
                </c:pt>
                <c:pt idx="7">
                  <c:v>0.38142777238272035</c:v>
                </c:pt>
                <c:pt idx="8">
                  <c:v>0.38573236010641054</c:v>
                </c:pt>
                <c:pt idx="9">
                  <c:v>0.39068337123814695</c:v>
                </c:pt>
                <c:pt idx="10">
                  <c:v>0.39525261358655128</c:v>
                </c:pt>
                <c:pt idx="11">
                  <c:v>0.40026364603437042</c:v>
                </c:pt>
                <c:pt idx="12">
                  <c:v>0.40661691191299681</c:v>
                </c:pt>
                <c:pt idx="13">
                  <c:v>0.41402304562656794</c:v>
                </c:pt>
                <c:pt idx="14">
                  <c:v>0.4213196458490584</c:v>
                </c:pt>
                <c:pt idx="15">
                  <c:v>0.42745693055183126</c:v>
                </c:pt>
                <c:pt idx="16">
                  <c:v>0.43404531260010282</c:v>
                </c:pt>
                <c:pt idx="17">
                  <c:v>0.44070882455468396</c:v>
                </c:pt>
                <c:pt idx="18">
                  <c:v>0.44807624733449902</c:v>
                </c:pt>
                <c:pt idx="19">
                  <c:v>0.45464973276866461</c:v>
                </c:pt>
                <c:pt idx="20">
                  <c:v>0.45902632568126489</c:v>
                </c:pt>
                <c:pt idx="21">
                  <c:v>0.45611858391200993</c:v>
                </c:pt>
                <c:pt idx="22">
                  <c:v>0.45197586086514591</c:v>
                </c:pt>
                <c:pt idx="23">
                  <c:v>0.45058299867671792</c:v>
                </c:pt>
                <c:pt idx="24">
                  <c:v>0.45391004231126064</c:v>
                </c:pt>
                <c:pt idx="25">
                  <c:v>0.46122257321038468</c:v>
                </c:pt>
                <c:pt idx="26">
                  <c:v>0.47286559086354235</c:v>
                </c:pt>
                <c:pt idx="27">
                  <c:v>0.48557251723586398</c:v>
                </c:pt>
                <c:pt idx="28">
                  <c:v>0.49833434507506391</c:v>
                </c:pt>
                <c:pt idx="29">
                  <c:v>0.50559271430588337</c:v>
                </c:pt>
                <c:pt idx="30">
                  <c:v>0.50983684034542798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0.36097437866471271</c:v>
                </c:pt>
                <c:pt idx="1">
                  <c:v>0.3659566109567951</c:v>
                </c:pt>
                <c:pt idx="2">
                  <c:v>0.36886885092708488</c:v>
                </c:pt>
                <c:pt idx="3">
                  <c:v>0.37185836999179678</c:v>
                </c:pt>
                <c:pt idx="4">
                  <c:v>0.37511400854522908</c:v>
                </c:pt>
                <c:pt idx="5">
                  <c:v>0.37877846666963633</c:v>
                </c:pt>
                <c:pt idx="6">
                  <c:v>0.38285604672818085</c:v>
                </c:pt>
                <c:pt idx="7">
                  <c:v>0.38742078388013651</c:v>
                </c:pt>
                <c:pt idx="8">
                  <c:v>0.39216940684317697</c:v>
                </c:pt>
                <c:pt idx="9">
                  <c:v>0.39676538934984368</c:v>
                </c:pt>
                <c:pt idx="10">
                  <c:v>0.40221594385387111</c:v>
                </c:pt>
                <c:pt idx="11">
                  <c:v>0.40896594559151084</c:v>
                </c:pt>
                <c:pt idx="12">
                  <c:v>0.41636047034146129</c:v>
                </c:pt>
                <c:pt idx="13">
                  <c:v>0.42304896301488693</c:v>
                </c:pt>
                <c:pt idx="14">
                  <c:v>0.42922859416298381</c:v>
                </c:pt>
                <c:pt idx="15">
                  <c:v>0.43572199258886246</c:v>
                </c:pt>
                <c:pt idx="16">
                  <c:v>0.44260824721679903</c:v>
                </c:pt>
                <c:pt idx="17">
                  <c:v>0.44941105180517749</c:v>
                </c:pt>
                <c:pt idx="18">
                  <c:v>0.45440146163846229</c:v>
                </c:pt>
                <c:pt idx="19">
                  <c:v>0.45365170553388434</c:v>
                </c:pt>
                <c:pt idx="20">
                  <c:v>0.44944914063841662</c:v>
                </c:pt>
                <c:pt idx="21">
                  <c:v>0.44725885789142183</c:v>
                </c:pt>
                <c:pt idx="22">
                  <c:v>0.4488808671722867</c:v>
                </c:pt>
                <c:pt idx="23">
                  <c:v>0.45450968496253596</c:v>
                </c:pt>
                <c:pt idx="24">
                  <c:v>0.46385924245415805</c:v>
                </c:pt>
                <c:pt idx="25">
                  <c:v>0.47640147021424106</c:v>
                </c:pt>
                <c:pt idx="26">
                  <c:v>0.48953970514477341</c:v>
                </c:pt>
                <c:pt idx="27">
                  <c:v>0.50085273791907747</c:v>
                </c:pt>
                <c:pt idx="28">
                  <c:v>0.50676640203371748</c:v>
                </c:pt>
                <c:pt idx="29">
                  <c:v>0.50979522638833097</c:v>
                </c:pt>
                <c:pt idx="30">
                  <c:v>0.51094623311999854</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0.36545239845719868</c:v>
                </c:pt>
                <c:pt idx="1">
                  <c:v>0.36905797605880936</c:v>
                </c:pt>
                <c:pt idx="2">
                  <c:v>0.37211216320458834</c:v>
                </c:pt>
                <c:pt idx="3">
                  <c:v>0.37536169188151419</c:v>
                </c:pt>
                <c:pt idx="4">
                  <c:v>0.37905983522157827</c:v>
                </c:pt>
                <c:pt idx="5">
                  <c:v>0.38311924852056162</c:v>
                </c:pt>
                <c:pt idx="6">
                  <c:v>0.38772336542910996</c:v>
                </c:pt>
                <c:pt idx="7">
                  <c:v>0.39238278847301405</c:v>
                </c:pt>
                <c:pt idx="8">
                  <c:v>0.39697961196974679</c:v>
                </c:pt>
                <c:pt idx="9">
                  <c:v>0.40251787010917695</c:v>
                </c:pt>
                <c:pt idx="10">
                  <c:v>0.4093140825720053</c:v>
                </c:pt>
                <c:pt idx="11">
                  <c:v>0.41663750617698336</c:v>
                </c:pt>
                <c:pt idx="12">
                  <c:v>0.42313240927150236</c:v>
                </c:pt>
                <c:pt idx="13">
                  <c:v>0.4293171833558862</c:v>
                </c:pt>
                <c:pt idx="14">
                  <c:v>0.43574343266615878</c:v>
                </c:pt>
                <c:pt idx="15">
                  <c:v>0.44266577184675554</c:v>
                </c:pt>
                <c:pt idx="16">
                  <c:v>0.44948016721315892</c:v>
                </c:pt>
                <c:pt idx="17">
                  <c:v>0.45543505201111745</c:v>
                </c:pt>
                <c:pt idx="18">
                  <c:v>0.4557357286050982</c:v>
                </c:pt>
                <c:pt idx="19">
                  <c:v>0.45179784325227995</c:v>
                </c:pt>
                <c:pt idx="20">
                  <c:v>0.44927597895597277</c:v>
                </c:pt>
                <c:pt idx="21">
                  <c:v>0.45067991204890967</c:v>
                </c:pt>
                <c:pt idx="22">
                  <c:v>0.45622970475983404</c:v>
                </c:pt>
                <c:pt idx="23">
                  <c:v>0.46582306134179358</c:v>
                </c:pt>
                <c:pt idx="24">
                  <c:v>0.47834590370484276</c:v>
                </c:pt>
                <c:pt idx="25">
                  <c:v>0.49143015393576134</c:v>
                </c:pt>
                <c:pt idx="26">
                  <c:v>0.50204461328205197</c:v>
                </c:pt>
                <c:pt idx="27">
                  <c:v>0.5075886570234055</c:v>
                </c:pt>
                <c:pt idx="28">
                  <c:v>0.51010993249331416</c:v>
                </c:pt>
                <c:pt idx="29">
                  <c:v>0.51124057141397672</c:v>
                </c:pt>
                <c:pt idx="30">
                  <c:v>0.51214101472586804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0.36817847349590693</c:v>
                </c:pt>
                <c:pt idx="1">
                  <c:v>0.37185876179580335</c:v>
                </c:pt>
                <c:pt idx="2">
                  <c:v>0.3751344998631097</c:v>
                </c:pt>
                <c:pt idx="3">
                  <c:v>0.37878089764926726</c:v>
                </c:pt>
                <c:pt idx="4">
                  <c:v>0.38280144821818979</c:v>
                </c:pt>
                <c:pt idx="5">
                  <c:v>0.38733544019038313</c:v>
                </c:pt>
                <c:pt idx="6">
                  <c:v>0.39197927838718466</c:v>
                </c:pt>
                <c:pt idx="7">
                  <c:v>0.39652056197751084</c:v>
                </c:pt>
                <c:pt idx="8">
                  <c:v>0.40195329574718602</c:v>
                </c:pt>
                <c:pt idx="9">
                  <c:v>0.40864505157044401</c:v>
                </c:pt>
                <c:pt idx="10">
                  <c:v>0.41590602867785276</c:v>
                </c:pt>
                <c:pt idx="11">
                  <c:v>0.42239884737773664</c:v>
                </c:pt>
                <c:pt idx="12">
                  <c:v>0.42849750549783489</c:v>
                </c:pt>
                <c:pt idx="13">
                  <c:v>0.43486516213373472</c:v>
                </c:pt>
                <c:pt idx="14">
                  <c:v>0.44169083752934107</c:v>
                </c:pt>
                <c:pt idx="15">
                  <c:v>0.44859117401119813</c:v>
                </c:pt>
                <c:pt idx="16">
                  <c:v>0.45544880705730789</c:v>
                </c:pt>
                <c:pt idx="17">
                  <c:v>0.45796272104585001</c:v>
                </c:pt>
                <c:pt idx="18">
                  <c:v>0.45468628063821065</c:v>
                </c:pt>
                <c:pt idx="19">
                  <c:v>0.45156742030316488</c:v>
                </c:pt>
                <c:pt idx="20">
                  <c:v>0.45211613296523251</c:v>
                </c:pt>
                <c:pt idx="21">
                  <c:v>0.45707301315887733</c:v>
                </c:pt>
                <c:pt idx="22">
                  <c:v>0.46632160130204697</c:v>
                </c:pt>
                <c:pt idx="23">
                  <c:v>0.47876596477104505</c:v>
                </c:pt>
                <c:pt idx="24">
                  <c:v>0.49171466047854784</c:v>
                </c:pt>
                <c:pt idx="25">
                  <c:v>0.50240444459876499</c:v>
                </c:pt>
                <c:pt idx="26">
                  <c:v>0.50782834429865453</c:v>
                </c:pt>
                <c:pt idx="27">
                  <c:v>0.51034443034770449</c:v>
                </c:pt>
                <c:pt idx="28">
                  <c:v>0.5113163988089241</c:v>
                </c:pt>
                <c:pt idx="29">
                  <c:v>0.51220909233823575</c:v>
                </c:pt>
                <c:pt idx="30">
                  <c:v>0.51264241543273503</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0.3716299195494005</c:v>
                </c:pt>
                <c:pt idx="1">
                  <c:v>0.37577445651790431</c:v>
                </c:pt>
                <c:pt idx="2">
                  <c:v>0.37959892999797451</c:v>
                </c:pt>
                <c:pt idx="3">
                  <c:v>0.38363343736803218</c:v>
                </c:pt>
                <c:pt idx="4">
                  <c:v>0.38828927677570391</c:v>
                </c:pt>
                <c:pt idx="5">
                  <c:v>0.39277062991209288</c:v>
                </c:pt>
                <c:pt idx="6">
                  <c:v>0.39737282903186527</c:v>
                </c:pt>
                <c:pt idx="7">
                  <c:v>0.40307057821680203</c:v>
                </c:pt>
                <c:pt idx="8">
                  <c:v>0.40992917823944497</c:v>
                </c:pt>
                <c:pt idx="9">
                  <c:v>0.41707084936114919</c:v>
                </c:pt>
                <c:pt idx="10">
                  <c:v>0.42318615199857185</c:v>
                </c:pt>
                <c:pt idx="11">
                  <c:v>0.42935574580112512</c:v>
                </c:pt>
                <c:pt idx="12">
                  <c:v>0.43564310571479736</c:v>
                </c:pt>
                <c:pt idx="13">
                  <c:v>0.44259302540005935</c:v>
                </c:pt>
                <c:pt idx="14">
                  <c:v>0.4494153631027461</c:v>
                </c:pt>
                <c:pt idx="15">
                  <c:v>0.45747459138001917</c:v>
                </c:pt>
                <c:pt idx="16">
                  <c:v>0.4620685647147838</c:v>
                </c:pt>
                <c:pt idx="17">
                  <c:v>0.460190438785129</c:v>
                </c:pt>
                <c:pt idx="18">
                  <c:v>0.45673608875691496</c:v>
                </c:pt>
                <c:pt idx="19">
                  <c:v>0.45691949322405223</c:v>
                </c:pt>
                <c:pt idx="20">
                  <c:v>0.46174184346250108</c:v>
                </c:pt>
                <c:pt idx="21">
                  <c:v>0.47159269835206985</c:v>
                </c:pt>
                <c:pt idx="22">
                  <c:v>0.48383582494605387</c:v>
                </c:pt>
                <c:pt idx="23">
                  <c:v>0.49653332189140181</c:v>
                </c:pt>
                <c:pt idx="24">
                  <c:v>0.50529837687072454</c:v>
                </c:pt>
                <c:pt idx="25">
                  <c:v>0.50981945637048953</c:v>
                </c:pt>
                <c:pt idx="26">
                  <c:v>0.51110657855293817</c:v>
                </c:pt>
                <c:pt idx="27">
                  <c:v>0.51202354380176018</c:v>
                </c:pt>
                <c:pt idx="28">
                  <c:v>0.51307827073218382</c:v>
                </c:pt>
                <c:pt idx="29">
                  <c:v>0.51270569092452178</c:v>
                </c:pt>
                <c:pt idx="30">
                  <c:v>0.51418250033806812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0.38085536018859178</c:v>
                </c:pt>
                <c:pt idx="1">
                  <c:v>0.38609265844047785</c:v>
                </c:pt>
                <c:pt idx="2">
                  <c:v>0.39077334759859633</c:v>
                </c:pt>
                <c:pt idx="3">
                  <c:v>0.39514674107563202</c:v>
                </c:pt>
                <c:pt idx="4">
                  <c:v>0.40024421883332356</c:v>
                </c:pt>
                <c:pt idx="5">
                  <c:v>0.40660009383264306</c:v>
                </c:pt>
                <c:pt idx="6">
                  <c:v>0.41365429589604341</c:v>
                </c:pt>
                <c:pt idx="7">
                  <c:v>0.42014317648757582</c:v>
                </c:pt>
                <c:pt idx="8">
                  <c:v>0.42597248578719715</c:v>
                </c:pt>
                <c:pt idx="9">
                  <c:v>0.43215616262820034</c:v>
                </c:pt>
                <c:pt idx="10">
                  <c:v>0.43864868663660572</c:v>
                </c:pt>
                <c:pt idx="11">
                  <c:v>0.44552335422400691</c:v>
                </c:pt>
                <c:pt idx="12">
                  <c:v>0.4531691925939425</c:v>
                </c:pt>
                <c:pt idx="13">
                  <c:v>0.46296053736343123</c:v>
                </c:pt>
                <c:pt idx="14">
                  <c:v>0.47355017936542809</c:v>
                </c:pt>
                <c:pt idx="15">
                  <c:v>0.48111219613962503</c:v>
                </c:pt>
                <c:pt idx="16">
                  <c:v>0.48093212773372551</c:v>
                </c:pt>
                <c:pt idx="17">
                  <c:v>0.47956292037425102</c:v>
                </c:pt>
                <c:pt idx="18">
                  <c:v>0.48344366599604865</c:v>
                </c:pt>
                <c:pt idx="19">
                  <c:v>0.49321881043621607</c:v>
                </c:pt>
                <c:pt idx="20">
                  <c:v>0.50380438391430893</c:v>
                </c:pt>
                <c:pt idx="21">
                  <c:v>0.51251415551928003</c:v>
                </c:pt>
                <c:pt idx="22">
                  <c:v>0.5148750029625947</c:v>
                </c:pt>
                <c:pt idx="23">
                  <c:v>0.51520544186988637</c:v>
                </c:pt>
                <c:pt idx="24">
                  <c:v>0.5139557220760228</c:v>
                </c:pt>
                <c:pt idx="25">
                  <c:v>0.5138482570474211</c:v>
                </c:pt>
                <c:pt idx="26">
                  <c:v>0.51946392892960958</c:v>
                </c:pt>
                <c:pt idx="27">
                  <c:v>0.5141155471305201</c:v>
                </c:pt>
                <c:pt idx="28">
                  <c:v>0.51521146541492668</c:v>
                </c:pt>
                <c:pt idx="29">
                  <c:v>0.51667832647829848</c:v>
                </c:pt>
                <c:pt idx="30">
                  <c:v>0.5162885429521733</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0.39151321954894824</c:v>
                </c:pt>
                <c:pt idx="1">
                  <c:v>0.39725240216549768</c:v>
                </c:pt>
                <c:pt idx="2">
                  <c:v>0.40306722818195923</c:v>
                </c:pt>
                <c:pt idx="3">
                  <c:v>0.4098448760866481</c:v>
                </c:pt>
                <c:pt idx="4">
                  <c:v>0.41669179508746956</c:v>
                </c:pt>
                <c:pt idx="5">
                  <c:v>0.42244610312884906</c:v>
                </c:pt>
                <c:pt idx="6">
                  <c:v>0.42847665762388393</c:v>
                </c:pt>
                <c:pt idx="7">
                  <c:v>0.43456650103056604</c:v>
                </c:pt>
                <c:pt idx="8">
                  <c:v>0.44137137710787738</c:v>
                </c:pt>
                <c:pt idx="9">
                  <c:v>0.4480558312080925</c:v>
                </c:pt>
                <c:pt idx="10">
                  <c:v>0.45703185192419077</c:v>
                </c:pt>
                <c:pt idx="11">
                  <c:v>0.46730146195195965</c:v>
                </c:pt>
                <c:pt idx="12">
                  <c:v>0.48037016664812376</c:v>
                </c:pt>
                <c:pt idx="13">
                  <c:v>0.49644199461632577</c:v>
                </c:pt>
                <c:pt idx="14">
                  <c:v>0.51303529227033418</c:v>
                </c:pt>
                <c:pt idx="15">
                  <c:v>0.52011225432300434</c:v>
                </c:pt>
                <c:pt idx="16">
                  <c:v>0.52432910857418857</c:v>
                </c:pt>
                <c:pt idx="17">
                  <c:v>0.52898518116878868</c:v>
                </c:pt>
                <c:pt idx="18">
                  <c:v>0.53416238769519475</c:v>
                </c:pt>
                <c:pt idx="19">
                  <c:v>0.53264624796358429</c:v>
                </c:pt>
                <c:pt idx="20">
                  <c:v>0.52841957684847307</c:v>
                </c:pt>
                <c:pt idx="21">
                  <c:v>0.52202235615510217</c:v>
                </c:pt>
                <c:pt idx="22">
                  <c:v>0.51894258087444056</c:v>
                </c:pt>
                <c:pt idx="23">
                  <c:v>0.51801437107246184</c:v>
                </c:pt>
                <c:pt idx="24">
                  <c:v>0.51561295160009402</c:v>
                </c:pt>
                <c:pt idx="25">
                  <c:v>0.51708301598812767</c:v>
                </c:pt>
                <c:pt idx="26">
                  <c:v>0.51549446059407766</c:v>
                </c:pt>
                <c:pt idx="27">
                  <c:v>0.51547183058048163</c:v>
                </c:pt>
                <c:pt idx="28">
                  <c:v>0.51537303736510776</c:v>
                </c:pt>
                <c:pt idx="29">
                  <c:v>0.51545132218188916</c:v>
                </c:pt>
                <c:pt idx="30">
                  <c:v>0.51551013151504277</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50945536"/>
        <c:axId val="45094945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09455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0949456"/>
        <c:crosses val="autoZero"/>
        <c:crossBetween val="midCat"/>
        <c:majorUnit val="10000"/>
      </c:valAx>
      <c:valAx>
        <c:axId val="450949456"/>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0945536"/>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0943576"/>
        <c:axId val="45094396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094357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943968"/>
        <c:crosses val="autoZero"/>
        <c:crossBetween val="midCat"/>
        <c:majorUnit val="10000"/>
      </c:valAx>
      <c:valAx>
        <c:axId val="450943968"/>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943576"/>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8.5084058356907424E-3</c:v>
                </c:pt>
                <c:pt idx="1">
                  <c:v>1.135421577634446E-2</c:v>
                </c:pt>
                <c:pt idx="2">
                  <c:v>3.0946313406393041E-3</c:v>
                </c:pt>
                <c:pt idx="3">
                  <c:v>5.2137781624527163E-4</c:v>
                </c:pt>
                <c:pt idx="4">
                  <c:v>7.5744660831691694E-5</c:v>
                </c:pt>
                <c:pt idx="5">
                  <c:v>1.4090772950668203E-5</c:v>
                </c:pt>
                <c:pt idx="6">
                  <c:v>1.7304067327175718E-5</c:v>
                </c:pt>
                <c:pt idx="7">
                  <c:v>5.08517609772177E-5</c:v>
                </c:pt>
                <c:pt idx="8">
                  <c:v>1.2800827025106953E-4</c:v>
                </c:pt>
                <c:pt idx="9">
                  <c:v>2.7456486578498053E-4</c:v>
                </c:pt>
                <c:pt idx="10">
                  <c:v>4.921002968348039E-4</c:v>
                </c:pt>
                <c:pt idx="11">
                  <c:v>7.4889087341038448E-4</c:v>
                </c:pt>
                <c:pt idx="12">
                  <c:v>9.6898763250012176E-4</c:v>
                </c:pt>
                <c:pt idx="13">
                  <c:v>1.0741355745693671E-3</c:v>
                </c:pt>
                <c:pt idx="14">
                  <c:v>1.0180288792232383E-3</c:v>
                </c:pt>
                <c:pt idx="15">
                  <c:v>8.3966803932502871E-4</c:v>
                </c:pt>
                <c:pt idx="16">
                  <c:v>6.0666167633815148E-4</c:v>
                </c:pt>
                <c:pt idx="17">
                  <c:v>3.8728665681516777E-4</c:v>
                </c:pt>
                <c:pt idx="18">
                  <c:v>2.2120651556286057E-4</c:v>
                </c:pt>
                <c:pt idx="19">
                  <c:v>1.1093835745704351E-4</c:v>
                </c:pt>
                <c:pt idx="20">
                  <c:v>5.2285501740275221E-5</c:v>
                </c:pt>
                <c:pt idx="21">
                  <c:v>1.9804798965524435E-5</c:v>
                </c:pt>
                <c:pt idx="22">
                  <c:v>1.159085747094936E-5</c:v>
                </c:pt>
                <c:pt idx="23">
                  <c:v>6.0273874877617064E-6</c:v>
                </c:pt>
                <c:pt idx="24">
                  <c:v>7.0425652744507191E-6</c:v>
                </c:pt>
                <c:pt idx="25">
                  <c:v>5.406080257989717E-6</c:v>
                </c:pt>
                <c:pt idx="26">
                  <c:v>8.3448341933989787E-6</c:v>
                </c:pt>
                <c:pt idx="27">
                  <c:v>2.1906433524700225E-5</c:v>
                </c:pt>
                <c:pt idx="28">
                  <c:v>2.7218830970986339E-5</c:v>
                </c:pt>
                <c:pt idx="29">
                  <c:v>1.9519620983528305E-5</c:v>
                </c:pt>
                <c:pt idx="30">
                  <c:v>1.8245253319912017E-6</c:v>
                </c:pt>
              </c:numCache>
            </c:numRef>
          </c:yVal>
          <c:smooth val="1"/>
        </c:ser>
        <c:dLbls>
          <c:showLegendKey val="0"/>
          <c:showVal val="0"/>
          <c:showCatName val="0"/>
          <c:showSerName val="0"/>
          <c:showPercent val="0"/>
          <c:showBubbleSize val="0"/>
        </c:dLbls>
        <c:axId val="450946712"/>
        <c:axId val="450947104"/>
      </c:scatterChart>
      <c:valAx>
        <c:axId val="4509467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947104"/>
        <c:crossesAt val="-1.5000000000000005E-3"/>
        <c:crossBetween val="midCat"/>
      </c:valAx>
      <c:valAx>
        <c:axId val="45094710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94671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9181.1160299056828</c:v>
                </c:pt>
                <c:pt idx="1">
                  <c:v>9077.3463675861676</c:v>
                </c:pt>
                <c:pt idx="2">
                  <c:v>8691.2001815069289</c:v>
                </c:pt>
                <c:pt idx="3">
                  <c:v>8458.2742491152712</c:v>
                </c:pt>
                <c:pt idx="4">
                  <c:v>8156.831898423362</c:v>
                </c:pt>
                <c:pt idx="5">
                  <c:v>7881.5914260512509</c:v>
                </c:pt>
                <c:pt idx="6">
                  <c:v>7606.6661606574535</c:v>
                </c:pt>
                <c:pt idx="7">
                  <c:v>7279.2574201557536</c:v>
                </c:pt>
                <c:pt idx="8">
                  <c:v>6902.0292474330408</c:v>
                </c:pt>
                <c:pt idx="9">
                  <c:v>6535.62336953467</c:v>
                </c:pt>
                <c:pt idx="10">
                  <c:v>6233.0117566457975</c:v>
                </c:pt>
                <c:pt idx="11">
                  <c:v>5954.8686076295398</c:v>
                </c:pt>
                <c:pt idx="12">
                  <c:v>5670.0377714243405</c:v>
                </c:pt>
                <c:pt idx="13">
                  <c:v>5394.8660244264838</c:v>
                </c:pt>
                <c:pt idx="14">
                  <c:v>5118.3278014032458</c:v>
                </c:pt>
                <c:pt idx="15">
                  <c:v>4803.3107114487439</c:v>
                </c:pt>
                <c:pt idx="16">
                  <c:v>4427.9783104619173</c:v>
                </c:pt>
                <c:pt idx="17">
                  <c:v>3991.9485787288218</c:v>
                </c:pt>
                <c:pt idx="18">
                  <c:v>3511.8403780703661</c:v>
                </c:pt>
                <c:pt idx="19">
                  <c:v>2997.4594846670489</c:v>
                </c:pt>
                <c:pt idx="20">
                  <c:v>2450.3717763631139</c:v>
                </c:pt>
                <c:pt idx="21">
                  <c:v>1872.1916033529214</c:v>
                </c:pt>
                <c:pt idx="22">
                  <c:v>1367.4352796901521</c:v>
                </c:pt>
                <c:pt idx="23">
                  <c:v>983.81788316707048</c:v>
                </c:pt>
                <c:pt idx="24">
                  <c:v>755.23901254503971</c:v>
                </c:pt>
                <c:pt idx="25">
                  <c:v>633.28267950151655</c:v>
                </c:pt>
                <c:pt idx="26">
                  <c:v>577.25386841302372</c:v>
                </c:pt>
                <c:pt idx="27">
                  <c:v>542.55302951702936</c:v>
                </c:pt>
                <c:pt idx="28">
                  <c:v>523.05941286720395</c:v>
                </c:pt>
                <c:pt idx="29">
                  <c:v>513.01384415791551</c:v>
                </c:pt>
                <c:pt idx="30">
                  <c:v>488.70465769298499</c:v>
                </c:pt>
              </c:numCache>
            </c:numRef>
          </c:yVal>
          <c:smooth val="1"/>
        </c:ser>
        <c:dLbls>
          <c:showLegendKey val="0"/>
          <c:showVal val="0"/>
          <c:showCatName val="0"/>
          <c:showSerName val="0"/>
          <c:showPercent val="0"/>
          <c:showBubbleSize val="0"/>
        </c:dLbls>
        <c:axId val="452921912"/>
        <c:axId val="452926224"/>
      </c:scatterChart>
      <c:valAx>
        <c:axId val="4529219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26224"/>
        <c:crosses val="autoZero"/>
        <c:crossBetween val="midCat"/>
      </c:valAx>
      <c:valAx>
        <c:axId val="4529262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2191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7.1923816347753189E-2</c:v>
                </c:pt>
                <c:pt idx="1">
                  <c:v>9.2451713814961645E-2</c:v>
                </c:pt>
                <c:pt idx="2">
                  <c:v>6.3307664721790696E-2</c:v>
                </c:pt>
                <c:pt idx="3">
                  <c:v>4.2573311835767055E-2</c:v>
                </c:pt>
                <c:pt idx="4">
                  <c:v>2.2489141503935432E-2</c:v>
                </c:pt>
                <c:pt idx="5">
                  <c:v>8.1627960760629595E-4</c:v>
                </c:pt>
                <c:pt idx="6">
                  <c:v>1.0905346409220749E-2</c:v>
                </c:pt>
                <c:pt idx="7">
                  <c:v>3.4075366188129732E-3</c:v>
                </c:pt>
                <c:pt idx="8">
                  <c:v>1.6235335081624131E-3</c:v>
                </c:pt>
                <c:pt idx="9">
                  <c:v>1.2647616941444556E-3</c:v>
                </c:pt>
                <c:pt idx="10">
                  <c:v>9.4741585610892925E-4</c:v>
                </c:pt>
                <c:pt idx="11">
                  <c:v>2.2054656243930735E-3</c:v>
                </c:pt>
                <c:pt idx="12">
                  <c:v>4.4214732279251687E-3</c:v>
                </c:pt>
                <c:pt idx="13">
                  <c:v>5.3663211380816263E-3</c:v>
                </c:pt>
                <c:pt idx="14">
                  <c:v>4.858437562075239E-3</c:v>
                </c:pt>
                <c:pt idx="15">
                  <c:v>3.1831710229020824E-3</c:v>
                </c:pt>
                <c:pt idx="16">
                  <c:v>5.0867884502423999E-3</c:v>
                </c:pt>
                <c:pt idx="17">
                  <c:v>3.7364220529055867E-3</c:v>
                </c:pt>
                <c:pt idx="18">
                  <c:v>7.1154832864942265E-3</c:v>
                </c:pt>
                <c:pt idx="19">
                  <c:v>6.6595902555173087E-3</c:v>
                </c:pt>
                <c:pt idx="20">
                  <c:v>1.8196562472413674E-2</c:v>
                </c:pt>
                <c:pt idx="21">
                  <c:v>2.7737382680171275E-2</c:v>
                </c:pt>
                <c:pt idx="22">
                  <c:v>3.7916041149574226E-2</c:v>
                </c:pt>
                <c:pt idx="23">
                  <c:v>4.0768294560746939E-2</c:v>
                </c:pt>
                <c:pt idx="24">
                  <c:v>5.0262686681140388E-2</c:v>
                </c:pt>
                <c:pt idx="25">
                  <c:v>6.0683964862059389E-2</c:v>
                </c:pt>
                <c:pt idx="26">
                  <c:v>8.5632853986610677E-2</c:v>
                </c:pt>
                <c:pt idx="27">
                  <c:v>7.2138642617847276E-2</c:v>
                </c:pt>
                <c:pt idx="28">
                  <c:v>7.3438118037519318E-2</c:v>
                </c:pt>
                <c:pt idx="29">
                  <c:v>4.3861928518567329E-2</c:v>
                </c:pt>
                <c:pt idx="30">
                  <c:v>2.8694913282821258E-2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3.444393567893507E-2</c:v>
                </c:pt>
                <c:pt idx="1">
                  <c:v>8.4725253006204728E-3</c:v>
                </c:pt>
                <c:pt idx="2">
                  <c:v>9.0568353364985591E-3</c:v>
                </c:pt>
                <c:pt idx="3">
                  <c:v>1.6253566474762227E-3</c:v>
                </c:pt>
                <c:pt idx="4">
                  <c:v>1.9696424480712079E-3</c:v>
                </c:pt>
                <c:pt idx="5">
                  <c:v>1.0090172827631352E-3</c:v>
                </c:pt>
                <c:pt idx="6">
                  <c:v>8.9886624004357932E-4</c:v>
                </c:pt>
                <c:pt idx="7">
                  <c:v>9.1805346116804847E-4</c:v>
                </c:pt>
                <c:pt idx="8">
                  <c:v>6.6240113006895134E-4</c:v>
                </c:pt>
                <c:pt idx="9">
                  <c:v>5.6355685147442666E-4</c:v>
                </c:pt>
                <c:pt idx="10">
                  <c:v>6.2063076102923903E-4</c:v>
                </c:pt>
                <c:pt idx="11">
                  <c:v>1.6700793239711666E-3</c:v>
                </c:pt>
                <c:pt idx="12">
                  <c:v>9.2609740833034086E-4</c:v>
                </c:pt>
                <c:pt idx="13">
                  <c:v>2.0668918422684888E-3</c:v>
                </c:pt>
                <c:pt idx="14">
                  <c:v>2.0816744750608187E-3</c:v>
                </c:pt>
                <c:pt idx="15">
                  <c:v>2.1258729911862563E-3</c:v>
                </c:pt>
                <c:pt idx="16">
                  <c:v>1.4507542194778561E-3</c:v>
                </c:pt>
                <c:pt idx="17">
                  <c:v>2.546068876490057E-3</c:v>
                </c:pt>
                <c:pt idx="18">
                  <c:v>4.5040711008703877E-3</c:v>
                </c:pt>
                <c:pt idx="19">
                  <c:v>4.3595162566829031E-3</c:v>
                </c:pt>
                <c:pt idx="20">
                  <c:v>7.0441578746906477E-5</c:v>
                </c:pt>
                <c:pt idx="21">
                  <c:v>1.3374002121575492E-3</c:v>
                </c:pt>
                <c:pt idx="22">
                  <c:v>1.06795019618701E-2</c:v>
                </c:pt>
                <c:pt idx="23">
                  <c:v>2.1556216415870681E-2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8.5225848672783305E-3</c:v>
                </c:pt>
                <c:pt idx="1">
                  <c:v>1.1237076779062187E-2</c:v>
                </c:pt>
                <c:pt idx="2">
                  <c:v>3.2573878784853015E-3</c:v>
                </c:pt>
                <c:pt idx="3">
                  <c:v>3.9247896851023179E-4</c:v>
                </c:pt>
                <c:pt idx="4">
                  <c:v>2.4661037311881994E-4</c:v>
                </c:pt>
                <c:pt idx="5">
                  <c:v>1.4765219982964517E-4</c:v>
                </c:pt>
                <c:pt idx="6">
                  <c:v>2.0154633665165752E-4</c:v>
                </c:pt>
                <c:pt idx="7">
                  <c:v>1.8770424165596823E-4</c:v>
                </c:pt>
                <c:pt idx="8">
                  <c:v>4.0865510408820421E-4</c:v>
                </c:pt>
                <c:pt idx="9">
                  <c:v>7.7565599094414716E-6</c:v>
                </c:pt>
                <c:pt idx="10">
                  <c:v>7.1114236739605379E-4</c:v>
                </c:pt>
                <c:pt idx="11">
                  <c:v>5.1589595630132745E-4</c:v>
                </c:pt>
                <c:pt idx="12">
                  <c:v>1.2115264949562913E-3</c:v>
                </c:pt>
                <c:pt idx="13">
                  <c:v>8.4426096389634913E-4</c:v>
                </c:pt>
                <c:pt idx="14">
                  <c:v>1.2770595914109969E-3</c:v>
                </c:pt>
                <c:pt idx="15">
                  <c:v>5.2303972679901961E-4</c:v>
                </c:pt>
                <c:pt idx="16">
                  <c:v>1.0046364082937787E-3</c:v>
                </c:pt>
                <c:pt idx="17">
                  <c:v>8.4070565869635207E-5</c:v>
                </c:pt>
                <c:pt idx="18">
                  <c:v>7.9071204952586838E-4</c:v>
                </c:pt>
                <c:pt idx="19">
                  <c:v>5.5546398744201321E-4</c:v>
                </c:pt>
                <c:pt idx="20">
                  <c:v>9.9332944845268605E-4</c:v>
                </c:pt>
                <c:pt idx="21">
                  <c:v>9.2508005185563394E-4</c:v>
                </c:pt>
                <c:pt idx="22">
                  <c:v>1.7690635047373086E-3</c:v>
                </c:pt>
                <c:pt idx="23">
                  <c:v>1.4879164927070585E-3</c:v>
                </c:pt>
                <c:pt idx="24">
                  <c:v>9.8573804222697658E-4</c:v>
                </c:pt>
                <c:pt idx="25">
                  <c:v>6.740549379333576E-4</c:v>
                </c:pt>
                <c:pt idx="26">
                  <c:v>2.264352959771384E-4</c:v>
                </c:pt>
                <c:pt idx="27">
                  <c:v>3.5454794003779362E-4</c:v>
                </c:pt>
                <c:pt idx="28">
                  <c:v>1.0499616683910692E-5</c:v>
                </c:pt>
                <c:pt idx="29">
                  <c:v>1.7071359031560715E-4</c:v>
                </c:pt>
                <c:pt idx="30">
                  <c:v>3.4429203108475381E-4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pt idx="0" formatCode="_-* #,##0\ _€_-;\-* #,##0\ _€_-;_-* &quot;-&quot;??\ _€_-;_-@_-">
                  <c:v>5</c:v>
                </c:pt>
                <c:pt idx="2" formatCode="_-* #,##0\ _€_-;\-* #,##0\ _€_-;_-* &quot;-&quot;??\ _€_-;_-@_-">
                  <c:v>11</c:v>
                </c:pt>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3.2634281452483334E-3</c:v>
                </c:pt>
                <c:pt idx="1">
                  <c:v>6.4559752919476163E-3</c:v>
                </c:pt>
                <c:pt idx="2">
                  <c:v>7.9539650627630434E-3</c:v>
                </c:pt>
                <c:pt idx="3">
                  <c:v>8.1028843037759396E-3</c:v>
                </c:pt>
                <c:pt idx="4">
                  <c:v>8.1573149887455183E-3</c:v>
                </c:pt>
                <c:pt idx="5">
                  <c:v>6.8588757105428853E-3</c:v>
                </c:pt>
                <c:pt idx="6">
                  <c:v>8.2768156398075731E-3</c:v>
                </c:pt>
                <c:pt idx="7">
                  <c:v>6.3507034883986749E-3</c:v>
                </c:pt>
                <c:pt idx="8">
                  <c:v>9.1313911032826437E-3</c:v>
                </c:pt>
                <c:pt idx="9">
                  <c:v>6.4346981934101464E-3</c:v>
                </c:pt>
                <c:pt idx="10">
                  <c:v>8.8259799266088498E-3</c:v>
                </c:pt>
                <c:pt idx="11">
                  <c:v>3.4871007291073383E-4</c:v>
                </c:pt>
                <c:pt idx="12">
                  <c:v>1.2223864977916728E-2</c:v>
                </c:pt>
                <c:pt idx="13">
                  <c:v>2.8314580093883993E-2</c:v>
                </c:pt>
                <c:pt idx="14">
                  <c:v>3.2232257953325349E-2</c:v>
                </c:pt>
                <c:pt idx="15">
                  <c:v>2.478533417029247E-2</c:v>
                </c:pt>
                <c:pt idx="16">
                  <c:v>9.2821833181173919E-4</c:v>
                </c:pt>
                <c:pt idx="17">
                  <c:v>2.711147069223025E-3</c:v>
                </c:pt>
                <c:pt idx="18">
                  <c:v>9.0000942877625622E-3</c:v>
                </c:pt>
                <c:pt idx="19">
                  <c:v>3.4162529420275669E-3</c:v>
                </c:pt>
                <c:pt idx="20">
                  <c:v>2.4844666324791822E-3</c:v>
                </c:pt>
                <c:pt idx="21">
                  <c:v>1.2967314442236379E-4</c:v>
                </c:pt>
                <c:pt idx="22">
                  <c:v>1.2718494072620399E-3</c:v>
                </c:pt>
                <c:pt idx="23">
                  <c:v>4.3729065423840261E-4</c:v>
                </c:pt>
                <c:pt idx="24">
                  <c:v>1.3622122903405921E-3</c:v>
                </c:pt>
                <c:pt idx="25">
                  <c:v>1.5621279460152351E-3</c:v>
                </c:pt>
                <c:pt idx="26">
                  <c:v>0.11802668976374918</c:v>
                </c:pt>
                <c:pt idx="27">
                  <c:v>0.17948460852026055</c:v>
                </c:pt>
                <c:pt idx="28">
                  <c:v>0.17906277258338196</c:v>
                </c:pt>
                <c:pt idx="29">
                  <c:v>0.1786948422973488</c:v>
                </c:pt>
                <c:pt idx="30">
                  <c:v>0.17832677803985586</c:v>
                </c:pt>
              </c:numCache>
            </c:numRef>
          </c:yVal>
          <c:smooth val="1"/>
        </c:ser>
        <c:dLbls>
          <c:showLegendKey val="0"/>
          <c:showVal val="0"/>
          <c:showCatName val="0"/>
          <c:showSerName val="0"/>
          <c:showPercent val="0"/>
          <c:showBubbleSize val="0"/>
        </c:dLbls>
        <c:axId val="452927792"/>
        <c:axId val="452921520"/>
      </c:scatterChart>
      <c:valAx>
        <c:axId val="4529277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21520"/>
        <c:crossesAt val="1.0000000000000005E-9"/>
        <c:crossBetween val="midCat"/>
      </c:valAx>
      <c:valAx>
        <c:axId val="4529215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2779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-11.303886857979826</c:v>
                </c:pt>
                <c:pt idx="1">
                  <c:v>-7.5777956808959219</c:v>
                </c:pt>
                <c:pt idx="2">
                  <c:v>-5.0521057141647816</c:v>
                </c:pt>
                <c:pt idx="3">
                  <c:v>-2.836335034790062</c:v>
                </c:pt>
                <c:pt idx="4">
                  <c:v>0</c:v>
                </c:pt>
                <c:pt idx="5">
                  <c:v>5.9156966768868289</c:v>
                </c:pt>
                <c:pt idx="6">
                  <c:v>11.695143522032865</c:v>
                </c:pt>
              </c:numCache>
            </c:numRef>
          </c:yVal>
          <c:smooth val="0"/>
        </c:ser>
        <c:dLbls>
          <c:showLegendKey val="0"/>
          <c:showVal val="0"/>
          <c:showCatName val="0"/>
          <c:showSerName val="0"/>
          <c:showPercent val="0"/>
          <c:showBubbleSize val="0"/>
        </c:dLbls>
        <c:axId val="452928184"/>
        <c:axId val="452928576"/>
      </c:scatterChart>
      <c:valAx>
        <c:axId val="4529281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28576"/>
        <c:crossesAt val="-100"/>
        <c:crossBetween val="midCat"/>
      </c:valAx>
      <c:valAx>
        <c:axId val="452928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2818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ser>
        <c:dLbls>
          <c:showLegendKey val="0"/>
          <c:showVal val="0"/>
          <c:showCatName val="0"/>
          <c:showSerName val="0"/>
          <c:showPercent val="0"/>
          <c:showBubbleSize val="0"/>
        </c:dLbls>
        <c:axId val="452928968"/>
        <c:axId val="452923872"/>
      </c:scatterChart>
      <c:valAx>
        <c:axId val="45292896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23872"/>
        <c:crosses val="autoZero"/>
        <c:crossBetween val="midCat"/>
      </c:valAx>
      <c:valAx>
        <c:axId val="45292387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2896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1.2324925804409757E-20</c:v>
                </c:pt>
                <c:pt idx="1">
                  <c:v>1.2324925804409757E-19</c:v>
                </c:pt>
                <c:pt idx="2">
                  <c:v>1.2324925804409756E-18</c:v>
                </c:pt>
                <c:pt idx="3">
                  <c:v>1.2324925804409756E-17</c:v>
                </c:pt>
                <c:pt idx="4">
                  <c:v>1.2324925804409755E-16</c:v>
                </c:pt>
                <c:pt idx="5">
                  <c:v>1.2324925804409758E-15</c:v>
                </c:pt>
                <c:pt idx="6">
                  <c:v>1.2324925804409757E-14</c:v>
                </c:pt>
                <c:pt idx="7">
                  <c:v>1.2324925804409758E-13</c:v>
                </c:pt>
                <c:pt idx="8">
                  <c:v>1.2324925804409756E-12</c:v>
                </c:pt>
                <c:pt idx="9">
                  <c:v>1.2324925804409756E-11</c:v>
                </c:pt>
                <c:pt idx="10">
                  <c:v>1.2324925804409758E-10</c:v>
                </c:pt>
                <c:pt idx="11">
                  <c:v>1.2324925804409756E-9</c:v>
                </c:pt>
                <c:pt idx="12">
                  <c:v>1.2324925804409757E-8</c:v>
                </c:pt>
                <c:pt idx="13">
                  <c:v>1.2324925804409757E-7</c:v>
                </c:pt>
                <c:pt idx="14">
                  <c:v>1.2324925804409758E-6</c:v>
                </c:pt>
                <c:pt idx="15">
                  <c:v>1.2324925804409756E-5</c:v>
                </c:pt>
                <c:pt idx="16">
                  <c:v>1.2324925804409756E-4</c:v>
                </c:pt>
                <c:pt idx="17">
                  <c:v>1.2324925804409756E-3</c:v>
                </c:pt>
                <c:pt idx="18">
                  <c:v>1.2324925804409756E-2</c:v>
                </c:pt>
                <c:pt idx="19">
                  <c:v>0.12324925804409756</c:v>
                </c:pt>
                <c:pt idx="20">
                  <c:v>1.2324925804409756</c:v>
                </c:pt>
                <c:pt idx="21">
                  <c:v>12.324925804409757</c:v>
                </c:pt>
                <c:pt idx="22">
                  <c:v>123.24925804409756</c:v>
                </c:pt>
                <c:pt idx="23">
                  <c:v>1232.4925804409756</c:v>
                </c:pt>
                <c:pt idx="24">
                  <c:v>12324.925804409757</c:v>
                </c:pt>
                <c:pt idx="25">
                  <c:v>123249.25804409757</c:v>
                </c:pt>
                <c:pt idx="26">
                  <c:v>1232492.5804409757</c:v>
                </c:pt>
                <c:pt idx="27">
                  <c:v>12324925.804409757</c:v>
                </c:pt>
                <c:pt idx="28">
                  <c:v>123249258.04409757</c:v>
                </c:pt>
                <c:pt idx="29">
                  <c:v>1232492580.4409757</c:v>
                </c:pt>
                <c:pt idx="30">
                  <c:v>12324925804.409756</c:v>
                </c:pt>
              </c:numCache>
            </c:numRef>
          </c:xVal>
          <c:yVal>
            <c:numRef>
              <c:f>'Mastercurve bestimmen'!$J$404:$J$434</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5.116879041983289E-19</c:v>
                </c:pt>
                <c:pt idx="1">
                  <c:v>5.1168790419832879E-18</c:v>
                </c:pt>
                <c:pt idx="2">
                  <c:v>5.1168790419832886E-17</c:v>
                </c:pt>
                <c:pt idx="3">
                  <c:v>5.116879041983288E-16</c:v>
                </c:pt>
                <c:pt idx="4">
                  <c:v>5.1168790419832876E-15</c:v>
                </c:pt>
                <c:pt idx="5">
                  <c:v>5.1168790419832886E-14</c:v>
                </c:pt>
                <c:pt idx="6">
                  <c:v>5.1168790419832886E-13</c:v>
                </c:pt>
                <c:pt idx="7">
                  <c:v>5.1168790419832884E-12</c:v>
                </c:pt>
                <c:pt idx="8">
                  <c:v>5.1168790419832879E-11</c:v>
                </c:pt>
                <c:pt idx="9">
                  <c:v>5.116879041983288E-10</c:v>
                </c:pt>
                <c:pt idx="10">
                  <c:v>5.1168790419832889E-9</c:v>
                </c:pt>
                <c:pt idx="11">
                  <c:v>5.1168790419832885E-8</c:v>
                </c:pt>
                <c:pt idx="12">
                  <c:v>5.1168790419832881E-7</c:v>
                </c:pt>
                <c:pt idx="13">
                  <c:v>5.1168790419832881E-6</c:v>
                </c:pt>
                <c:pt idx="14">
                  <c:v>5.1168790419832886E-5</c:v>
                </c:pt>
                <c:pt idx="15">
                  <c:v>5.1168790419832877E-4</c:v>
                </c:pt>
                <c:pt idx="16">
                  <c:v>5.1168790419832879E-3</c:v>
                </c:pt>
                <c:pt idx="17">
                  <c:v>5.1168790419832882E-2</c:v>
                </c:pt>
                <c:pt idx="18">
                  <c:v>0.51168790419832877</c:v>
                </c:pt>
                <c:pt idx="19">
                  <c:v>5.1168790419832879</c:v>
                </c:pt>
                <c:pt idx="20">
                  <c:v>51.168790419832881</c:v>
                </c:pt>
                <c:pt idx="21">
                  <c:v>511.68790419832879</c:v>
                </c:pt>
                <c:pt idx="22">
                  <c:v>5116.8790419832885</c:v>
                </c:pt>
                <c:pt idx="23">
                  <c:v>51168.790419832883</c:v>
                </c:pt>
                <c:pt idx="24">
                  <c:v>511687.90419832885</c:v>
                </c:pt>
                <c:pt idx="25">
                  <c:v>5116879.0419832878</c:v>
                </c:pt>
                <c:pt idx="26">
                  <c:v>51168790.419832885</c:v>
                </c:pt>
                <c:pt idx="27">
                  <c:v>511687904.19832879</c:v>
                </c:pt>
                <c:pt idx="28">
                  <c:v>5116879041.9832878</c:v>
                </c:pt>
                <c:pt idx="29">
                  <c:v>51168790419.832886</c:v>
                </c:pt>
                <c:pt idx="30">
                  <c:v>511687904198.3288</c:v>
                </c:pt>
              </c:numCache>
            </c:numRef>
          </c:xVal>
          <c:yVal>
            <c:numRef>
              <c:f>'Mastercurve bestimmen'!$K$404:$K$434</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6.3958514216585176E-18</c:v>
                </c:pt>
                <c:pt idx="1">
                  <c:v>6.3958514216585173E-17</c:v>
                </c:pt>
                <c:pt idx="2">
                  <c:v>6.3958514216585173E-16</c:v>
                </c:pt>
                <c:pt idx="3">
                  <c:v>6.3958514216585175E-15</c:v>
                </c:pt>
                <c:pt idx="4">
                  <c:v>6.3958514216585171E-14</c:v>
                </c:pt>
                <c:pt idx="5">
                  <c:v>6.3958514216585171E-13</c:v>
                </c:pt>
                <c:pt idx="6">
                  <c:v>6.395851421658518E-12</c:v>
                </c:pt>
                <c:pt idx="7">
                  <c:v>6.3958514216585171E-11</c:v>
                </c:pt>
                <c:pt idx="8">
                  <c:v>6.3958514216585169E-10</c:v>
                </c:pt>
                <c:pt idx="9">
                  <c:v>6.3958514216585171E-9</c:v>
                </c:pt>
                <c:pt idx="10">
                  <c:v>6.3958514216585181E-8</c:v>
                </c:pt>
                <c:pt idx="11">
                  <c:v>6.3958514216585178E-7</c:v>
                </c:pt>
                <c:pt idx="12">
                  <c:v>6.3958514216585172E-6</c:v>
                </c:pt>
                <c:pt idx="13">
                  <c:v>6.3958514216585179E-5</c:v>
                </c:pt>
                <c:pt idx="14">
                  <c:v>6.3958514216585181E-4</c:v>
                </c:pt>
                <c:pt idx="15">
                  <c:v>6.3958514216585173E-3</c:v>
                </c:pt>
                <c:pt idx="16">
                  <c:v>6.3958514216585174E-2</c:v>
                </c:pt>
                <c:pt idx="17">
                  <c:v>0.63958514216585172</c:v>
                </c:pt>
                <c:pt idx="18">
                  <c:v>6.3958514216585174</c:v>
                </c:pt>
                <c:pt idx="19">
                  <c:v>63.958514216585172</c:v>
                </c:pt>
                <c:pt idx="20">
                  <c:v>639.58514216585172</c:v>
                </c:pt>
                <c:pt idx="21">
                  <c:v>6395.8514216585172</c:v>
                </c:pt>
                <c:pt idx="22">
                  <c:v>63958.514216585172</c:v>
                </c:pt>
                <c:pt idx="23">
                  <c:v>639585.14216585178</c:v>
                </c:pt>
                <c:pt idx="24">
                  <c:v>6395851.4216585178</c:v>
                </c:pt>
                <c:pt idx="25">
                  <c:v>63958514.216585174</c:v>
                </c:pt>
                <c:pt idx="26">
                  <c:v>639585142.16585171</c:v>
                </c:pt>
                <c:pt idx="27">
                  <c:v>6395851421.6585178</c:v>
                </c:pt>
                <c:pt idx="28">
                  <c:v>63958514216.585175</c:v>
                </c:pt>
                <c:pt idx="29">
                  <c:v>639585142165.85168</c:v>
                </c:pt>
                <c:pt idx="30">
                  <c:v>6395851421658.5176</c:v>
                </c:pt>
              </c:numCache>
            </c:numRef>
          </c:xVal>
          <c:yVal>
            <c:numRef>
              <c:f>'Mastercurve bestimmen'!$L$404:$L$434</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5.8640186863323866E-17</c:v>
                </c:pt>
                <c:pt idx="1">
                  <c:v>5.8640186863323861E-16</c:v>
                </c:pt>
                <c:pt idx="2">
                  <c:v>5.8640186863323865E-15</c:v>
                </c:pt>
                <c:pt idx="3">
                  <c:v>5.8640186863323866E-14</c:v>
                </c:pt>
                <c:pt idx="4">
                  <c:v>5.8640186863323856E-13</c:v>
                </c:pt>
                <c:pt idx="5">
                  <c:v>5.8640186863323868E-12</c:v>
                </c:pt>
                <c:pt idx="6">
                  <c:v>5.8640186863323864E-11</c:v>
                </c:pt>
                <c:pt idx="7">
                  <c:v>5.8640186863323864E-10</c:v>
                </c:pt>
                <c:pt idx="8">
                  <c:v>5.8640186863323862E-9</c:v>
                </c:pt>
                <c:pt idx="9">
                  <c:v>5.864018686332386E-8</c:v>
                </c:pt>
                <c:pt idx="10">
                  <c:v>5.8640186863323866E-7</c:v>
                </c:pt>
                <c:pt idx="11">
                  <c:v>5.8640186863323871E-6</c:v>
                </c:pt>
                <c:pt idx="12">
                  <c:v>5.8640186863323867E-5</c:v>
                </c:pt>
                <c:pt idx="13">
                  <c:v>5.8640186863323865E-4</c:v>
                </c:pt>
                <c:pt idx="14">
                  <c:v>5.8640186863323871E-3</c:v>
                </c:pt>
                <c:pt idx="15">
                  <c:v>5.8640186863323868E-2</c:v>
                </c:pt>
                <c:pt idx="16">
                  <c:v>0.58640186863323862</c:v>
                </c:pt>
                <c:pt idx="17">
                  <c:v>5.8640186863323862</c:v>
                </c:pt>
                <c:pt idx="18">
                  <c:v>58.640186863323862</c:v>
                </c:pt>
                <c:pt idx="19">
                  <c:v>586.40186863323868</c:v>
                </c:pt>
                <c:pt idx="20">
                  <c:v>5864.0186863323861</c:v>
                </c:pt>
                <c:pt idx="21">
                  <c:v>58640.186863323863</c:v>
                </c:pt>
                <c:pt idx="22">
                  <c:v>586401.8686332386</c:v>
                </c:pt>
                <c:pt idx="23">
                  <c:v>5864018.686332386</c:v>
                </c:pt>
                <c:pt idx="24">
                  <c:v>58640186.863323867</c:v>
                </c:pt>
                <c:pt idx="25">
                  <c:v>586401868.63323867</c:v>
                </c:pt>
                <c:pt idx="26">
                  <c:v>5864018686.332386</c:v>
                </c:pt>
                <c:pt idx="27">
                  <c:v>58640186863.323868</c:v>
                </c:pt>
                <c:pt idx="28">
                  <c:v>586401868633.23865</c:v>
                </c:pt>
                <c:pt idx="29">
                  <c:v>5864018686332.3867</c:v>
                </c:pt>
                <c:pt idx="30">
                  <c:v>58640186863323.867</c:v>
                </c:pt>
              </c:numCache>
            </c:numRef>
          </c:xVal>
          <c:yVal>
            <c:numRef>
              <c:f>'Mastercurve bestimmen'!$M$404:$M$434</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3.7081254926910623E-13</c:v>
                </c:pt>
                <c:pt idx="1">
                  <c:v>3.7081254926910625E-12</c:v>
                </c:pt>
                <c:pt idx="2">
                  <c:v>3.7081254926910622E-11</c:v>
                </c:pt>
                <c:pt idx="3">
                  <c:v>3.7081254926910623E-10</c:v>
                </c:pt>
                <c:pt idx="4">
                  <c:v>3.7081254926910622E-9</c:v>
                </c:pt>
                <c:pt idx="5">
                  <c:v>3.7081254926910624E-8</c:v>
                </c:pt>
                <c:pt idx="6">
                  <c:v>3.7081254926910624E-7</c:v>
                </c:pt>
                <c:pt idx="7">
                  <c:v>3.7081254926910623E-6</c:v>
                </c:pt>
                <c:pt idx="8">
                  <c:v>3.7081254926910622E-5</c:v>
                </c:pt>
                <c:pt idx="9">
                  <c:v>3.708125492691062E-4</c:v>
                </c:pt>
                <c:pt idx="10">
                  <c:v>3.7081254926910625E-3</c:v>
                </c:pt>
                <c:pt idx="11">
                  <c:v>3.7081254926910626E-2</c:v>
                </c:pt>
                <c:pt idx="12">
                  <c:v>0.37081254926910623</c:v>
                </c:pt>
                <c:pt idx="13">
                  <c:v>3.7081254926910625</c:v>
                </c:pt>
                <c:pt idx="14">
                  <c:v>37.081254926910624</c:v>
                </c:pt>
                <c:pt idx="15">
                  <c:v>370.81254926910623</c:v>
                </c:pt>
                <c:pt idx="16">
                  <c:v>3708.1254926910624</c:v>
                </c:pt>
                <c:pt idx="17">
                  <c:v>37081.254926910624</c:v>
                </c:pt>
                <c:pt idx="18">
                  <c:v>370812.54926910624</c:v>
                </c:pt>
                <c:pt idx="19">
                  <c:v>3708125.4926910624</c:v>
                </c:pt>
                <c:pt idx="20">
                  <c:v>37081254.926910624</c:v>
                </c:pt>
                <c:pt idx="21">
                  <c:v>370812549.26910621</c:v>
                </c:pt>
                <c:pt idx="22">
                  <c:v>3708125492.6910625</c:v>
                </c:pt>
                <c:pt idx="23">
                  <c:v>37081254926.910622</c:v>
                </c:pt>
                <c:pt idx="24">
                  <c:v>370812549269.1062</c:v>
                </c:pt>
                <c:pt idx="25">
                  <c:v>3708125492691.0625</c:v>
                </c:pt>
                <c:pt idx="26">
                  <c:v>37081254926910.625</c:v>
                </c:pt>
                <c:pt idx="27">
                  <c:v>370812549269106.25</c:v>
                </c:pt>
                <c:pt idx="28">
                  <c:v>3708125492691062.5</c:v>
                </c:pt>
                <c:pt idx="29">
                  <c:v>3.7081254926910624E+16</c:v>
                </c:pt>
                <c:pt idx="30">
                  <c:v>3.7081254926910624E+17</c:v>
                </c:pt>
              </c:numCache>
            </c:numRef>
          </c:xVal>
          <c:yVal>
            <c:numRef>
              <c:f>'Mastercurve bestimmen'!$O$404:$O$434</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1.199875806749513E-10</c:v>
                </c:pt>
                <c:pt idx="1">
                  <c:v>1.1998758067495131E-9</c:v>
                </c:pt>
                <c:pt idx="2">
                  <c:v>1.199875806749513E-8</c:v>
                </c:pt>
                <c:pt idx="3">
                  <c:v>1.1998758067495131E-7</c:v>
                </c:pt>
                <c:pt idx="4">
                  <c:v>1.1998758067495128E-6</c:v>
                </c:pt>
                <c:pt idx="5">
                  <c:v>1.199875806749513E-5</c:v>
                </c:pt>
                <c:pt idx="6">
                  <c:v>1.1998758067495131E-4</c:v>
                </c:pt>
                <c:pt idx="7">
                  <c:v>1.1998758067495131E-3</c:v>
                </c:pt>
                <c:pt idx="8">
                  <c:v>1.1998758067495129E-2</c:v>
                </c:pt>
                <c:pt idx="9">
                  <c:v>0.1199875806749513</c:v>
                </c:pt>
                <c:pt idx="10">
                  <c:v>1.199875806749513</c:v>
                </c:pt>
                <c:pt idx="11">
                  <c:v>11.99875806749513</c:v>
                </c:pt>
                <c:pt idx="12">
                  <c:v>119.9875806749513</c:v>
                </c:pt>
                <c:pt idx="13">
                  <c:v>1199.875806749513</c:v>
                </c:pt>
                <c:pt idx="14">
                  <c:v>11998.758067495131</c:v>
                </c:pt>
                <c:pt idx="15">
                  <c:v>119987.5806749513</c:v>
                </c:pt>
                <c:pt idx="16">
                  <c:v>1199875.8067495129</c:v>
                </c:pt>
                <c:pt idx="17">
                  <c:v>11998758.06749513</c:v>
                </c:pt>
                <c:pt idx="18">
                  <c:v>119987580.6749513</c:v>
                </c:pt>
                <c:pt idx="19">
                  <c:v>1199875806.7495129</c:v>
                </c:pt>
                <c:pt idx="20">
                  <c:v>11998758067.495131</c:v>
                </c:pt>
                <c:pt idx="21">
                  <c:v>119987580674.95129</c:v>
                </c:pt>
                <c:pt idx="22">
                  <c:v>1199875806749.5129</c:v>
                </c:pt>
                <c:pt idx="23">
                  <c:v>11998758067495.131</c:v>
                </c:pt>
                <c:pt idx="24">
                  <c:v>119987580674951.3</c:v>
                </c:pt>
                <c:pt idx="25">
                  <c:v>1199875806749513</c:v>
                </c:pt>
                <c:pt idx="26">
                  <c:v>1.199875806749513E+16</c:v>
                </c:pt>
                <c:pt idx="27">
                  <c:v>1.199875806749513E+17</c:v>
                </c:pt>
                <c:pt idx="28">
                  <c:v>1.199875806749513E+18</c:v>
                </c:pt>
                <c:pt idx="29">
                  <c:v>1.1998758067495129E+19</c:v>
                </c:pt>
                <c:pt idx="30">
                  <c:v>1.199875806749513E+20</c:v>
                </c:pt>
              </c:numCache>
            </c:numRef>
          </c:xVal>
          <c:yVal>
            <c:numRef>
              <c:f>'Mastercurve bestimmen'!$P$404:$P$434</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1"/>
        </c:ser>
        <c:dLbls>
          <c:showLegendKey val="0"/>
          <c:showVal val="0"/>
          <c:showCatName val="0"/>
          <c:showSerName val="0"/>
          <c:showPercent val="0"/>
          <c:showBubbleSize val="0"/>
        </c:dLbls>
        <c:axId val="452922696"/>
        <c:axId val="452927008"/>
      </c:scatterChart>
      <c:valAx>
        <c:axId val="45292269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27008"/>
        <c:crosses val="autoZero"/>
        <c:crossBetween val="midCat"/>
      </c:valAx>
      <c:valAx>
        <c:axId val="452927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22696"/>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SJM6 CMU @Tref 80°C E+-15</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1.2324925804409757E-20</c:v>
                </c:pt>
                <c:pt idx="1">
                  <c:v>1.2324925804409757E-19</c:v>
                </c:pt>
                <c:pt idx="2">
                  <c:v>1.2324925804409756E-18</c:v>
                </c:pt>
                <c:pt idx="3">
                  <c:v>1.2324925804409756E-17</c:v>
                </c:pt>
                <c:pt idx="4">
                  <c:v>1.2324925804409755E-16</c:v>
                </c:pt>
                <c:pt idx="5">
                  <c:v>1.2324925804409758E-15</c:v>
                </c:pt>
                <c:pt idx="6">
                  <c:v>1.2324925804409757E-14</c:v>
                </c:pt>
                <c:pt idx="7">
                  <c:v>1.2324925804409758E-13</c:v>
                </c:pt>
                <c:pt idx="8">
                  <c:v>1.2324925804409756E-12</c:v>
                </c:pt>
                <c:pt idx="9">
                  <c:v>1.2324925804409756E-11</c:v>
                </c:pt>
                <c:pt idx="10">
                  <c:v>1.2324925804409758E-10</c:v>
                </c:pt>
                <c:pt idx="11">
                  <c:v>1.2324925804409756E-9</c:v>
                </c:pt>
                <c:pt idx="12">
                  <c:v>1.2324925804409757E-8</c:v>
                </c:pt>
                <c:pt idx="13">
                  <c:v>1.2324925804409757E-7</c:v>
                </c:pt>
                <c:pt idx="14">
                  <c:v>1.2324925804409758E-6</c:v>
                </c:pt>
                <c:pt idx="15">
                  <c:v>1.2324925804409756E-5</c:v>
                </c:pt>
                <c:pt idx="16">
                  <c:v>1.2324925804409756E-4</c:v>
                </c:pt>
                <c:pt idx="17">
                  <c:v>1.2324925804409756E-3</c:v>
                </c:pt>
                <c:pt idx="18">
                  <c:v>1.2324925804409756E-2</c:v>
                </c:pt>
                <c:pt idx="19">
                  <c:v>0.12324925804409756</c:v>
                </c:pt>
                <c:pt idx="20">
                  <c:v>1.2324925804409756</c:v>
                </c:pt>
                <c:pt idx="21">
                  <c:v>12.324925804409757</c:v>
                </c:pt>
                <c:pt idx="22">
                  <c:v>123.24925804409756</c:v>
                </c:pt>
                <c:pt idx="23">
                  <c:v>1232.4925804409756</c:v>
                </c:pt>
                <c:pt idx="24">
                  <c:v>12324.925804409757</c:v>
                </c:pt>
                <c:pt idx="25">
                  <c:v>123249.25804409757</c:v>
                </c:pt>
                <c:pt idx="26">
                  <c:v>1232492.5804409757</c:v>
                </c:pt>
                <c:pt idx="27">
                  <c:v>12324925.804409757</c:v>
                </c:pt>
                <c:pt idx="28">
                  <c:v>123249258.04409757</c:v>
                </c:pt>
                <c:pt idx="29">
                  <c:v>1232492580.4409757</c:v>
                </c:pt>
                <c:pt idx="30">
                  <c:v>12324925804.409756</c:v>
                </c:pt>
              </c:numCache>
            </c:numRef>
          </c:xVal>
          <c:yVal>
            <c:numRef>
              <c:f>'Mastercurve bestimmen'!$J$404:$J$434</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5.116879041983289E-19</c:v>
                </c:pt>
                <c:pt idx="1">
                  <c:v>5.1168790419832879E-18</c:v>
                </c:pt>
                <c:pt idx="2">
                  <c:v>5.1168790419832886E-17</c:v>
                </c:pt>
                <c:pt idx="3">
                  <c:v>5.116879041983288E-16</c:v>
                </c:pt>
                <c:pt idx="4">
                  <c:v>5.1168790419832876E-15</c:v>
                </c:pt>
                <c:pt idx="5">
                  <c:v>5.1168790419832886E-14</c:v>
                </c:pt>
                <c:pt idx="6">
                  <c:v>5.1168790419832886E-13</c:v>
                </c:pt>
                <c:pt idx="7">
                  <c:v>5.1168790419832884E-12</c:v>
                </c:pt>
                <c:pt idx="8">
                  <c:v>5.1168790419832879E-11</c:v>
                </c:pt>
                <c:pt idx="9">
                  <c:v>5.116879041983288E-10</c:v>
                </c:pt>
                <c:pt idx="10">
                  <c:v>5.1168790419832889E-9</c:v>
                </c:pt>
                <c:pt idx="11">
                  <c:v>5.1168790419832885E-8</c:v>
                </c:pt>
                <c:pt idx="12">
                  <c:v>5.1168790419832881E-7</c:v>
                </c:pt>
                <c:pt idx="13">
                  <c:v>5.1168790419832881E-6</c:v>
                </c:pt>
                <c:pt idx="14">
                  <c:v>5.1168790419832886E-5</c:v>
                </c:pt>
                <c:pt idx="15">
                  <c:v>5.1168790419832877E-4</c:v>
                </c:pt>
                <c:pt idx="16">
                  <c:v>5.1168790419832879E-3</c:v>
                </c:pt>
                <c:pt idx="17">
                  <c:v>5.1168790419832882E-2</c:v>
                </c:pt>
                <c:pt idx="18">
                  <c:v>0.51168790419832877</c:v>
                </c:pt>
                <c:pt idx="19">
                  <c:v>5.1168790419832879</c:v>
                </c:pt>
                <c:pt idx="20">
                  <c:v>51.168790419832881</c:v>
                </c:pt>
                <c:pt idx="21">
                  <c:v>511.68790419832879</c:v>
                </c:pt>
                <c:pt idx="22">
                  <c:v>5116.8790419832885</c:v>
                </c:pt>
                <c:pt idx="23">
                  <c:v>51168.790419832883</c:v>
                </c:pt>
                <c:pt idx="24">
                  <c:v>511687.90419832885</c:v>
                </c:pt>
                <c:pt idx="25">
                  <c:v>5116879.0419832878</c:v>
                </c:pt>
                <c:pt idx="26">
                  <c:v>51168790.419832885</c:v>
                </c:pt>
                <c:pt idx="27">
                  <c:v>511687904.19832879</c:v>
                </c:pt>
                <c:pt idx="28">
                  <c:v>5116879041.9832878</c:v>
                </c:pt>
                <c:pt idx="29">
                  <c:v>51168790419.832886</c:v>
                </c:pt>
                <c:pt idx="30">
                  <c:v>511687904198.3288</c:v>
                </c:pt>
              </c:numCache>
            </c:numRef>
          </c:xVal>
          <c:yVal>
            <c:numRef>
              <c:f>'Mastercurve bestimmen'!$K$404:$K$434</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6.3958514216585176E-18</c:v>
                </c:pt>
                <c:pt idx="1">
                  <c:v>6.3958514216585173E-17</c:v>
                </c:pt>
                <c:pt idx="2">
                  <c:v>6.3958514216585173E-16</c:v>
                </c:pt>
                <c:pt idx="3">
                  <c:v>6.3958514216585175E-15</c:v>
                </c:pt>
                <c:pt idx="4">
                  <c:v>6.3958514216585171E-14</c:v>
                </c:pt>
                <c:pt idx="5">
                  <c:v>6.3958514216585171E-13</c:v>
                </c:pt>
                <c:pt idx="6">
                  <c:v>6.395851421658518E-12</c:v>
                </c:pt>
                <c:pt idx="7">
                  <c:v>6.3958514216585171E-11</c:v>
                </c:pt>
                <c:pt idx="8">
                  <c:v>6.3958514216585169E-10</c:v>
                </c:pt>
                <c:pt idx="9">
                  <c:v>6.3958514216585171E-9</c:v>
                </c:pt>
                <c:pt idx="10">
                  <c:v>6.3958514216585181E-8</c:v>
                </c:pt>
                <c:pt idx="11">
                  <c:v>6.3958514216585178E-7</c:v>
                </c:pt>
                <c:pt idx="12">
                  <c:v>6.3958514216585172E-6</c:v>
                </c:pt>
                <c:pt idx="13">
                  <c:v>6.3958514216585179E-5</c:v>
                </c:pt>
                <c:pt idx="14">
                  <c:v>6.3958514216585181E-4</c:v>
                </c:pt>
                <c:pt idx="15">
                  <c:v>6.3958514216585173E-3</c:v>
                </c:pt>
                <c:pt idx="16">
                  <c:v>6.3958514216585174E-2</c:v>
                </c:pt>
                <c:pt idx="17">
                  <c:v>0.63958514216585172</c:v>
                </c:pt>
                <c:pt idx="18">
                  <c:v>6.3958514216585174</c:v>
                </c:pt>
                <c:pt idx="19">
                  <c:v>63.958514216585172</c:v>
                </c:pt>
                <c:pt idx="20">
                  <c:v>639.58514216585172</c:v>
                </c:pt>
                <c:pt idx="21">
                  <c:v>6395.8514216585172</c:v>
                </c:pt>
                <c:pt idx="22">
                  <c:v>63958.514216585172</c:v>
                </c:pt>
                <c:pt idx="23">
                  <c:v>639585.14216585178</c:v>
                </c:pt>
                <c:pt idx="24">
                  <c:v>6395851.4216585178</c:v>
                </c:pt>
                <c:pt idx="25">
                  <c:v>63958514.216585174</c:v>
                </c:pt>
                <c:pt idx="26">
                  <c:v>639585142.16585171</c:v>
                </c:pt>
                <c:pt idx="27">
                  <c:v>6395851421.6585178</c:v>
                </c:pt>
                <c:pt idx="28">
                  <c:v>63958514216.585175</c:v>
                </c:pt>
                <c:pt idx="29">
                  <c:v>639585142165.85168</c:v>
                </c:pt>
                <c:pt idx="30">
                  <c:v>6395851421658.5176</c:v>
                </c:pt>
              </c:numCache>
            </c:numRef>
          </c:xVal>
          <c:yVal>
            <c:numRef>
              <c:f>'Mastercurve bestimmen'!$L$404:$L$434</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5.8640186863323866E-17</c:v>
                </c:pt>
                <c:pt idx="1">
                  <c:v>5.8640186863323861E-16</c:v>
                </c:pt>
                <c:pt idx="2">
                  <c:v>5.8640186863323865E-15</c:v>
                </c:pt>
                <c:pt idx="3">
                  <c:v>5.8640186863323866E-14</c:v>
                </c:pt>
                <c:pt idx="4">
                  <c:v>5.8640186863323856E-13</c:v>
                </c:pt>
                <c:pt idx="5">
                  <c:v>5.8640186863323868E-12</c:v>
                </c:pt>
                <c:pt idx="6">
                  <c:v>5.8640186863323864E-11</c:v>
                </c:pt>
                <c:pt idx="7">
                  <c:v>5.8640186863323864E-10</c:v>
                </c:pt>
                <c:pt idx="8">
                  <c:v>5.8640186863323862E-9</c:v>
                </c:pt>
                <c:pt idx="9">
                  <c:v>5.864018686332386E-8</c:v>
                </c:pt>
                <c:pt idx="10">
                  <c:v>5.8640186863323866E-7</c:v>
                </c:pt>
                <c:pt idx="11">
                  <c:v>5.8640186863323871E-6</c:v>
                </c:pt>
                <c:pt idx="12">
                  <c:v>5.8640186863323867E-5</c:v>
                </c:pt>
                <c:pt idx="13">
                  <c:v>5.8640186863323865E-4</c:v>
                </c:pt>
                <c:pt idx="14">
                  <c:v>5.8640186863323871E-3</c:v>
                </c:pt>
                <c:pt idx="15">
                  <c:v>5.8640186863323868E-2</c:v>
                </c:pt>
                <c:pt idx="16">
                  <c:v>0.58640186863323862</c:v>
                </c:pt>
                <c:pt idx="17">
                  <c:v>5.8640186863323862</c:v>
                </c:pt>
                <c:pt idx="18">
                  <c:v>58.640186863323862</c:v>
                </c:pt>
                <c:pt idx="19">
                  <c:v>586.40186863323868</c:v>
                </c:pt>
                <c:pt idx="20">
                  <c:v>5864.0186863323861</c:v>
                </c:pt>
                <c:pt idx="21">
                  <c:v>58640.186863323863</c:v>
                </c:pt>
                <c:pt idx="22">
                  <c:v>586401.8686332386</c:v>
                </c:pt>
                <c:pt idx="23">
                  <c:v>5864018.686332386</c:v>
                </c:pt>
                <c:pt idx="24">
                  <c:v>58640186.863323867</c:v>
                </c:pt>
                <c:pt idx="25">
                  <c:v>586401868.63323867</c:v>
                </c:pt>
                <c:pt idx="26">
                  <c:v>5864018686.332386</c:v>
                </c:pt>
                <c:pt idx="27">
                  <c:v>58640186863.323868</c:v>
                </c:pt>
                <c:pt idx="28">
                  <c:v>586401868633.23865</c:v>
                </c:pt>
                <c:pt idx="29">
                  <c:v>5864018686332.3867</c:v>
                </c:pt>
                <c:pt idx="30">
                  <c:v>58640186863323.867</c:v>
                </c:pt>
              </c:numCache>
            </c:numRef>
          </c:xVal>
          <c:yVal>
            <c:numRef>
              <c:f>'Mastercurve bestimmen'!$M$404:$M$434</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3.7081254926910623E-13</c:v>
                </c:pt>
                <c:pt idx="1">
                  <c:v>3.7081254926910625E-12</c:v>
                </c:pt>
                <c:pt idx="2">
                  <c:v>3.7081254926910622E-11</c:v>
                </c:pt>
                <c:pt idx="3">
                  <c:v>3.7081254926910623E-10</c:v>
                </c:pt>
                <c:pt idx="4">
                  <c:v>3.7081254926910622E-9</c:v>
                </c:pt>
                <c:pt idx="5">
                  <c:v>3.7081254926910624E-8</c:v>
                </c:pt>
                <c:pt idx="6">
                  <c:v>3.7081254926910624E-7</c:v>
                </c:pt>
                <c:pt idx="7">
                  <c:v>3.7081254926910623E-6</c:v>
                </c:pt>
                <c:pt idx="8">
                  <c:v>3.7081254926910622E-5</c:v>
                </c:pt>
                <c:pt idx="9">
                  <c:v>3.708125492691062E-4</c:v>
                </c:pt>
                <c:pt idx="10">
                  <c:v>3.7081254926910625E-3</c:v>
                </c:pt>
                <c:pt idx="11">
                  <c:v>3.7081254926910626E-2</c:v>
                </c:pt>
                <c:pt idx="12">
                  <c:v>0.37081254926910623</c:v>
                </c:pt>
                <c:pt idx="13">
                  <c:v>3.7081254926910625</c:v>
                </c:pt>
                <c:pt idx="14">
                  <c:v>37.081254926910624</c:v>
                </c:pt>
                <c:pt idx="15">
                  <c:v>370.81254926910623</c:v>
                </c:pt>
                <c:pt idx="16">
                  <c:v>3708.1254926910624</c:v>
                </c:pt>
                <c:pt idx="17">
                  <c:v>37081.254926910624</c:v>
                </c:pt>
                <c:pt idx="18">
                  <c:v>370812.54926910624</c:v>
                </c:pt>
                <c:pt idx="19">
                  <c:v>3708125.4926910624</c:v>
                </c:pt>
                <c:pt idx="20">
                  <c:v>37081254.926910624</c:v>
                </c:pt>
                <c:pt idx="21">
                  <c:v>370812549.26910621</c:v>
                </c:pt>
                <c:pt idx="22">
                  <c:v>3708125492.6910625</c:v>
                </c:pt>
                <c:pt idx="23">
                  <c:v>37081254926.910622</c:v>
                </c:pt>
                <c:pt idx="24">
                  <c:v>370812549269.1062</c:v>
                </c:pt>
                <c:pt idx="25">
                  <c:v>3708125492691.0625</c:v>
                </c:pt>
                <c:pt idx="26">
                  <c:v>37081254926910.625</c:v>
                </c:pt>
                <c:pt idx="27">
                  <c:v>370812549269106.25</c:v>
                </c:pt>
                <c:pt idx="28">
                  <c:v>3708125492691062.5</c:v>
                </c:pt>
                <c:pt idx="29">
                  <c:v>3.7081254926910624E+16</c:v>
                </c:pt>
                <c:pt idx="30">
                  <c:v>3.7081254926910624E+17</c:v>
                </c:pt>
              </c:numCache>
            </c:numRef>
          </c:xVal>
          <c:yVal>
            <c:numRef>
              <c:f>'Mastercurve bestimmen'!$O$404:$O$434</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1.199875806749513E-10</c:v>
                </c:pt>
                <c:pt idx="1">
                  <c:v>1.1998758067495131E-9</c:v>
                </c:pt>
                <c:pt idx="2">
                  <c:v>1.199875806749513E-8</c:v>
                </c:pt>
                <c:pt idx="3">
                  <c:v>1.1998758067495131E-7</c:v>
                </c:pt>
                <c:pt idx="4">
                  <c:v>1.1998758067495128E-6</c:v>
                </c:pt>
                <c:pt idx="5">
                  <c:v>1.199875806749513E-5</c:v>
                </c:pt>
                <c:pt idx="6">
                  <c:v>1.1998758067495131E-4</c:v>
                </c:pt>
                <c:pt idx="7">
                  <c:v>1.1998758067495131E-3</c:v>
                </c:pt>
                <c:pt idx="8">
                  <c:v>1.1998758067495129E-2</c:v>
                </c:pt>
                <c:pt idx="9">
                  <c:v>0.1199875806749513</c:v>
                </c:pt>
                <c:pt idx="10">
                  <c:v>1.199875806749513</c:v>
                </c:pt>
                <c:pt idx="11">
                  <c:v>11.99875806749513</c:v>
                </c:pt>
                <c:pt idx="12">
                  <c:v>119.9875806749513</c:v>
                </c:pt>
                <c:pt idx="13">
                  <c:v>1199.875806749513</c:v>
                </c:pt>
                <c:pt idx="14">
                  <c:v>11998.758067495131</c:v>
                </c:pt>
                <c:pt idx="15">
                  <c:v>119987.5806749513</c:v>
                </c:pt>
                <c:pt idx="16">
                  <c:v>1199875.8067495129</c:v>
                </c:pt>
                <c:pt idx="17">
                  <c:v>11998758.06749513</c:v>
                </c:pt>
                <c:pt idx="18">
                  <c:v>119987580.6749513</c:v>
                </c:pt>
                <c:pt idx="19">
                  <c:v>1199875806.7495129</c:v>
                </c:pt>
                <c:pt idx="20">
                  <c:v>11998758067.495131</c:v>
                </c:pt>
                <c:pt idx="21">
                  <c:v>119987580674.95129</c:v>
                </c:pt>
                <c:pt idx="22">
                  <c:v>1199875806749.5129</c:v>
                </c:pt>
                <c:pt idx="23">
                  <c:v>11998758067495.131</c:v>
                </c:pt>
                <c:pt idx="24">
                  <c:v>119987580674951.3</c:v>
                </c:pt>
                <c:pt idx="25">
                  <c:v>1199875806749513</c:v>
                </c:pt>
                <c:pt idx="26">
                  <c:v>1.199875806749513E+16</c:v>
                </c:pt>
                <c:pt idx="27">
                  <c:v>1.199875806749513E+17</c:v>
                </c:pt>
                <c:pt idx="28">
                  <c:v>1.199875806749513E+18</c:v>
                </c:pt>
                <c:pt idx="29">
                  <c:v>1.1998758067495129E+19</c:v>
                </c:pt>
                <c:pt idx="30">
                  <c:v>1.199875806749513E+20</c:v>
                </c:pt>
              </c:numCache>
            </c:numRef>
          </c:xVal>
          <c:yVal>
            <c:numRef>
              <c:f>'Mastercurve bestimmen'!$P$404:$P$434</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1"/>
        </c:ser>
        <c:dLbls>
          <c:showLegendKey val="0"/>
          <c:showVal val="0"/>
          <c:showCatName val="0"/>
          <c:showSerName val="0"/>
          <c:showPercent val="0"/>
          <c:showBubbleSize val="0"/>
        </c:dLbls>
        <c:axId val="452926616"/>
        <c:axId val="452923480"/>
      </c:scatterChart>
      <c:valAx>
        <c:axId val="45292661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23480"/>
        <c:crosses val="autoZero"/>
        <c:crossBetween val="midCat"/>
      </c:valAx>
      <c:valAx>
        <c:axId val="452923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26616"/>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5446509366477"/>
          <c:y val="0.18948727700485571"/>
          <c:w val="0.70007204458649541"/>
          <c:h val="0.58927146811954401"/>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1.2324925804409757E-20</c:v>
                </c:pt>
                <c:pt idx="1">
                  <c:v>1.2324925804409757E-19</c:v>
                </c:pt>
                <c:pt idx="2">
                  <c:v>1.2324925804409756E-18</c:v>
                </c:pt>
                <c:pt idx="3">
                  <c:v>1.2324925804409756E-17</c:v>
                </c:pt>
                <c:pt idx="4">
                  <c:v>1.2324925804409755E-16</c:v>
                </c:pt>
                <c:pt idx="5">
                  <c:v>1.2324925804409758E-15</c:v>
                </c:pt>
                <c:pt idx="6">
                  <c:v>1.2324925804409757E-14</c:v>
                </c:pt>
                <c:pt idx="7">
                  <c:v>1.2324925804409758E-13</c:v>
                </c:pt>
                <c:pt idx="8">
                  <c:v>1.2324925804409756E-12</c:v>
                </c:pt>
                <c:pt idx="9">
                  <c:v>1.2324925804409756E-11</c:v>
                </c:pt>
                <c:pt idx="10">
                  <c:v>1.2324925804409758E-10</c:v>
                </c:pt>
                <c:pt idx="11">
                  <c:v>1.2324925804409756E-9</c:v>
                </c:pt>
                <c:pt idx="12">
                  <c:v>1.2324925804409757E-8</c:v>
                </c:pt>
                <c:pt idx="13">
                  <c:v>1.2324925804409757E-7</c:v>
                </c:pt>
                <c:pt idx="14">
                  <c:v>1.2324925804409758E-6</c:v>
                </c:pt>
                <c:pt idx="15">
                  <c:v>1.2324925804409756E-5</c:v>
                </c:pt>
                <c:pt idx="16">
                  <c:v>1.2324925804409756E-4</c:v>
                </c:pt>
                <c:pt idx="17">
                  <c:v>1.2324925804409756E-3</c:v>
                </c:pt>
                <c:pt idx="18">
                  <c:v>1.2324925804409756E-2</c:v>
                </c:pt>
                <c:pt idx="19">
                  <c:v>0.12324925804409756</c:v>
                </c:pt>
                <c:pt idx="20">
                  <c:v>1.2324925804409756</c:v>
                </c:pt>
                <c:pt idx="21">
                  <c:v>12.324925804409757</c:v>
                </c:pt>
                <c:pt idx="22">
                  <c:v>123.24925804409756</c:v>
                </c:pt>
                <c:pt idx="23">
                  <c:v>1232.4925804409756</c:v>
                </c:pt>
                <c:pt idx="24">
                  <c:v>12324.925804409757</c:v>
                </c:pt>
                <c:pt idx="25">
                  <c:v>123249.25804409757</c:v>
                </c:pt>
                <c:pt idx="26">
                  <c:v>1232492.5804409757</c:v>
                </c:pt>
                <c:pt idx="27">
                  <c:v>12324925.804409757</c:v>
                </c:pt>
                <c:pt idx="28">
                  <c:v>123249258.04409757</c:v>
                </c:pt>
                <c:pt idx="29">
                  <c:v>1232492580.4409757</c:v>
                </c:pt>
                <c:pt idx="30">
                  <c:v>12324925804.409756</c:v>
                </c:pt>
              </c:numCache>
            </c:numRef>
          </c:xVal>
          <c:yVal>
            <c:numRef>
              <c:f>'Mastercurve bestimmen'!$J$404:$J$434</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5.116879041983289E-19</c:v>
                </c:pt>
                <c:pt idx="1">
                  <c:v>5.1168790419832879E-18</c:v>
                </c:pt>
                <c:pt idx="2">
                  <c:v>5.1168790419832886E-17</c:v>
                </c:pt>
                <c:pt idx="3">
                  <c:v>5.116879041983288E-16</c:v>
                </c:pt>
                <c:pt idx="4">
                  <c:v>5.1168790419832876E-15</c:v>
                </c:pt>
                <c:pt idx="5">
                  <c:v>5.1168790419832886E-14</c:v>
                </c:pt>
                <c:pt idx="6">
                  <c:v>5.1168790419832886E-13</c:v>
                </c:pt>
                <c:pt idx="7">
                  <c:v>5.1168790419832884E-12</c:v>
                </c:pt>
                <c:pt idx="8">
                  <c:v>5.1168790419832879E-11</c:v>
                </c:pt>
                <c:pt idx="9">
                  <c:v>5.116879041983288E-10</c:v>
                </c:pt>
                <c:pt idx="10">
                  <c:v>5.1168790419832889E-9</c:v>
                </c:pt>
                <c:pt idx="11">
                  <c:v>5.1168790419832885E-8</c:v>
                </c:pt>
                <c:pt idx="12">
                  <c:v>5.1168790419832881E-7</c:v>
                </c:pt>
                <c:pt idx="13">
                  <c:v>5.1168790419832881E-6</c:v>
                </c:pt>
                <c:pt idx="14">
                  <c:v>5.1168790419832886E-5</c:v>
                </c:pt>
                <c:pt idx="15">
                  <c:v>5.1168790419832877E-4</c:v>
                </c:pt>
                <c:pt idx="16">
                  <c:v>5.1168790419832879E-3</c:v>
                </c:pt>
                <c:pt idx="17">
                  <c:v>5.1168790419832882E-2</c:v>
                </c:pt>
                <c:pt idx="18">
                  <c:v>0.51168790419832877</c:v>
                </c:pt>
                <c:pt idx="19">
                  <c:v>5.1168790419832879</c:v>
                </c:pt>
                <c:pt idx="20">
                  <c:v>51.168790419832881</c:v>
                </c:pt>
                <c:pt idx="21">
                  <c:v>511.68790419832879</c:v>
                </c:pt>
                <c:pt idx="22">
                  <c:v>5116.8790419832885</c:v>
                </c:pt>
                <c:pt idx="23">
                  <c:v>51168.790419832883</c:v>
                </c:pt>
                <c:pt idx="24">
                  <c:v>511687.90419832885</c:v>
                </c:pt>
                <c:pt idx="25">
                  <c:v>5116879.0419832878</c:v>
                </c:pt>
                <c:pt idx="26">
                  <c:v>51168790.419832885</c:v>
                </c:pt>
                <c:pt idx="27">
                  <c:v>511687904.19832879</c:v>
                </c:pt>
                <c:pt idx="28">
                  <c:v>5116879041.9832878</c:v>
                </c:pt>
                <c:pt idx="29">
                  <c:v>51168790419.832886</c:v>
                </c:pt>
                <c:pt idx="30">
                  <c:v>511687904198.3288</c:v>
                </c:pt>
              </c:numCache>
            </c:numRef>
          </c:xVal>
          <c:yVal>
            <c:numRef>
              <c:f>'Mastercurve bestimmen'!$K$404:$K$434</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6.3958514216585176E-18</c:v>
                </c:pt>
                <c:pt idx="1">
                  <c:v>6.3958514216585173E-17</c:v>
                </c:pt>
                <c:pt idx="2">
                  <c:v>6.3958514216585173E-16</c:v>
                </c:pt>
                <c:pt idx="3">
                  <c:v>6.3958514216585175E-15</c:v>
                </c:pt>
                <c:pt idx="4">
                  <c:v>6.3958514216585171E-14</c:v>
                </c:pt>
                <c:pt idx="5">
                  <c:v>6.3958514216585171E-13</c:v>
                </c:pt>
                <c:pt idx="6">
                  <c:v>6.395851421658518E-12</c:v>
                </c:pt>
                <c:pt idx="7">
                  <c:v>6.3958514216585171E-11</c:v>
                </c:pt>
                <c:pt idx="8">
                  <c:v>6.3958514216585169E-10</c:v>
                </c:pt>
                <c:pt idx="9">
                  <c:v>6.3958514216585171E-9</c:v>
                </c:pt>
                <c:pt idx="10">
                  <c:v>6.3958514216585181E-8</c:v>
                </c:pt>
                <c:pt idx="11">
                  <c:v>6.3958514216585178E-7</c:v>
                </c:pt>
                <c:pt idx="12">
                  <c:v>6.3958514216585172E-6</c:v>
                </c:pt>
                <c:pt idx="13">
                  <c:v>6.3958514216585179E-5</c:v>
                </c:pt>
                <c:pt idx="14">
                  <c:v>6.3958514216585181E-4</c:v>
                </c:pt>
                <c:pt idx="15">
                  <c:v>6.3958514216585173E-3</c:v>
                </c:pt>
                <c:pt idx="16">
                  <c:v>6.3958514216585174E-2</c:v>
                </c:pt>
                <c:pt idx="17">
                  <c:v>0.63958514216585172</c:v>
                </c:pt>
                <c:pt idx="18">
                  <c:v>6.3958514216585174</c:v>
                </c:pt>
                <c:pt idx="19">
                  <c:v>63.958514216585172</c:v>
                </c:pt>
                <c:pt idx="20">
                  <c:v>639.58514216585172</c:v>
                </c:pt>
                <c:pt idx="21">
                  <c:v>6395.8514216585172</c:v>
                </c:pt>
                <c:pt idx="22">
                  <c:v>63958.514216585172</c:v>
                </c:pt>
                <c:pt idx="23">
                  <c:v>639585.14216585178</c:v>
                </c:pt>
                <c:pt idx="24">
                  <c:v>6395851.4216585178</c:v>
                </c:pt>
                <c:pt idx="25">
                  <c:v>63958514.216585174</c:v>
                </c:pt>
                <c:pt idx="26">
                  <c:v>639585142.16585171</c:v>
                </c:pt>
                <c:pt idx="27">
                  <c:v>6395851421.6585178</c:v>
                </c:pt>
                <c:pt idx="28">
                  <c:v>63958514216.585175</c:v>
                </c:pt>
                <c:pt idx="29">
                  <c:v>639585142165.85168</c:v>
                </c:pt>
                <c:pt idx="30">
                  <c:v>6395851421658.5176</c:v>
                </c:pt>
              </c:numCache>
            </c:numRef>
          </c:xVal>
          <c:yVal>
            <c:numRef>
              <c:f>'Mastercurve bestimmen'!$L$404:$L$434</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5.8640186863323866E-17</c:v>
                </c:pt>
                <c:pt idx="1">
                  <c:v>5.8640186863323861E-16</c:v>
                </c:pt>
                <c:pt idx="2">
                  <c:v>5.8640186863323865E-15</c:v>
                </c:pt>
                <c:pt idx="3">
                  <c:v>5.8640186863323866E-14</c:v>
                </c:pt>
                <c:pt idx="4">
                  <c:v>5.8640186863323856E-13</c:v>
                </c:pt>
                <c:pt idx="5">
                  <c:v>5.8640186863323868E-12</c:v>
                </c:pt>
                <c:pt idx="6">
                  <c:v>5.8640186863323864E-11</c:v>
                </c:pt>
                <c:pt idx="7">
                  <c:v>5.8640186863323864E-10</c:v>
                </c:pt>
                <c:pt idx="8">
                  <c:v>5.8640186863323862E-9</c:v>
                </c:pt>
                <c:pt idx="9">
                  <c:v>5.864018686332386E-8</c:v>
                </c:pt>
                <c:pt idx="10">
                  <c:v>5.8640186863323866E-7</c:v>
                </c:pt>
                <c:pt idx="11">
                  <c:v>5.8640186863323871E-6</c:v>
                </c:pt>
                <c:pt idx="12">
                  <c:v>5.8640186863323867E-5</c:v>
                </c:pt>
                <c:pt idx="13">
                  <c:v>5.8640186863323865E-4</c:v>
                </c:pt>
                <c:pt idx="14">
                  <c:v>5.8640186863323871E-3</c:v>
                </c:pt>
                <c:pt idx="15">
                  <c:v>5.8640186863323868E-2</c:v>
                </c:pt>
                <c:pt idx="16">
                  <c:v>0.58640186863323862</c:v>
                </c:pt>
                <c:pt idx="17">
                  <c:v>5.8640186863323862</c:v>
                </c:pt>
                <c:pt idx="18">
                  <c:v>58.640186863323862</c:v>
                </c:pt>
                <c:pt idx="19">
                  <c:v>586.40186863323868</c:v>
                </c:pt>
                <c:pt idx="20">
                  <c:v>5864.0186863323861</c:v>
                </c:pt>
                <c:pt idx="21">
                  <c:v>58640.186863323863</c:v>
                </c:pt>
                <c:pt idx="22">
                  <c:v>586401.8686332386</c:v>
                </c:pt>
                <c:pt idx="23">
                  <c:v>5864018.686332386</c:v>
                </c:pt>
                <c:pt idx="24">
                  <c:v>58640186.863323867</c:v>
                </c:pt>
                <c:pt idx="25">
                  <c:v>586401868.63323867</c:v>
                </c:pt>
                <c:pt idx="26">
                  <c:v>5864018686.332386</c:v>
                </c:pt>
                <c:pt idx="27">
                  <c:v>58640186863.323868</c:v>
                </c:pt>
                <c:pt idx="28">
                  <c:v>586401868633.23865</c:v>
                </c:pt>
                <c:pt idx="29">
                  <c:v>5864018686332.3867</c:v>
                </c:pt>
                <c:pt idx="30">
                  <c:v>58640186863323.867</c:v>
                </c:pt>
              </c:numCache>
            </c:numRef>
          </c:xVal>
          <c:yVal>
            <c:numRef>
              <c:f>'Mastercurve bestimmen'!$M$404:$M$434</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3.7081254926910623E-13</c:v>
                </c:pt>
                <c:pt idx="1">
                  <c:v>3.7081254926910625E-12</c:v>
                </c:pt>
                <c:pt idx="2">
                  <c:v>3.7081254926910622E-11</c:v>
                </c:pt>
                <c:pt idx="3">
                  <c:v>3.7081254926910623E-10</c:v>
                </c:pt>
                <c:pt idx="4">
                  <c:v>3.7081254926910622E-9</c:v>
                </c:pt>
                <c:pt idx="5">
                  <c:v>3.7081254926910624E-8</c:v>
                </c:pt>
                <c:pt idx="6">
                  <c:v>3.7081254926910624E-7</c:v>
                </c:pt>
                <c:pt idx="7">
                  <c:v>3.7081254926910623E-6</c:v>
                </c:pt>
                <c:pt idx="8">
                  <c:v>3.7081254926910622E-5</c:v>
                </c:pt>
                <c:pt idx="9">
                  <c:v>3.708125492691062E-4</c:v>
                </c:pt>
                <c:pt idx="10">
                  <c:v>3.7081254926910625E-3</c:v>
                </c:pt>
                <c:pt idx="11">
                  <c:v>3.7081254926910626E-2</c:v>
                </c:pt>
                <c:pt idx="12">
                  <c:v>0.37081254926910623</c:v>
                </c:pt>
                <c:pt idx="13">
                  <c:v>3.7081254926910625</c:v>
                </c:pt>
                <c:pt idx="14">
                  <c:v>37.081254926910624</c:v>
                </c:pt>
                <c:pt idx="15">
                  <c:v>370.81254926910623</c:v>
                </c:pt>
                <c:pt idx="16">
                  <c:v>3708.1254926910624</c:v>
                </c:pt>
                <c:pt idx="17">
                  <c:v>37081.254926910624</c:v>
                </c:pt>
                <c:pt idx="18">
                  <c:v>370812.54926910624</c:v>
                </c:pt>
                <c:pt idx="19">
                  <c:v>3708125.4926910624</c:v>
                </c:pt>
                <c:pt idx="20">
                  <c:v>37081254.926910624</c:v>
                </c:pt>
                <c:pt idx="21">
                  <c:v>370812549.26910621</c:v>
                </c:pt>
                <c:pt idx="22">
                  <c:v>3708125492.6910625</c:v>
                </c:pt>
                <c:pt idx="23">
                  <c:v>37081254926.910622</c:v>
                </c:pt>
                <c:pt idx="24">
                  <c:v>370812549269.1062</c:v>
                </c:pt>
                <c:pt idx="25">
                  <c:v>3708125492691.0625</c:v>
                </c:pt>
                <c:pt idx="26">
                  <c:v>37081254926910.625</c:v>
                </c:pt>
                <c:pt idx="27">
                  <c:v>370812549269106.25</c:v>
                </c:pt>
                <c:pt idx="28">
                  <c:v>3708125492691062.5</c:v>
                </c:pt>
                <c:pt idx="29">
                  <c:v>3.7081254926910624E+16</c:v>
                </c:pt>
                <c:pt idx="30">
                  <c:v>3.7081254926910624E+17</c:v>
                </c:pt>
              </c:numCache>
            </c:numRef>
          </c:xVal>
          <c:yVal>
            <c:numRef>
              <c:f>'Mastercurve bestimmen'!$O$404:$O$434</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1.199875806749513E-10</c:v>
                </c:pt>
                <c:pt idx="1">
                  <c:v>1.1998758067495131E-9</c:v>
                </c:pt>
                <c:pt idx="2">
                  <c:v>1.199875806749513E-8</c:v>
                </c:pt>
                <c:pt idx="3">
                  <c:v>1.1998758067495131E-7</c:v>
                </c:pt>
                <c:pt idx="4">
                  <c:v>1.1998758067495128E-6</c:v>
                </c:pt>
                <c:pt idx="5">
                  <c:v>1.199875806749513E-5</c:v>
                </c:pt>
                <c:pt idx="6">
                  <c:v>1.1998758067495131E-4</c:v>
                </c:pt>
                <c:pt idx="7">
                  <c:v>1.1998758067495131E-3</c:v>
                </c:pt>
                <c:pt idx="8">
                  <c:v>1.1998758067495129E-2</c:v>
                </c:pt>
                <c:pt idx="9">
                  <c:v>0.1199875806749513</c:v>
                </c:pt>
                <c:pt idx="10">
                  <c:v>1.199875806749513</c:v>
                </c:pt>
                <c:pt idx="11">
                  <c:v>11.99875806749513</c:v>
                </c:pt>
                <c:pt idx="12">
                  <c:v>119.9875806749513</c:v>
                </c:pt>
                <c:pt idx="13">
                  <c:v>1199.875806749513</c:v>
                </c:pt>
                <c:pt idx="14">
                  <c:v>11998.758067495131</c:v>
                </c:pt>
                <c:pt idx="15">
                  <c:v>119987.5806749513</c:v>
                </c:pt>
                <c:pt idx="16">
                  <c:v>1199875.8067495129</c:v>
                </c:pt>
                <c:pt idx="17">
                  <c:v>11998758.06749513</c:v>
                </c:pt>
                <c:pt idx="18">
                  <c:v>119987580.6749513</c:v>
                </c:pt>
                <c:pt idx="19">
                  <c:v>1199875806.7495129</c:v>
                </c:pt>
                <c:pt idx="20">
                  <c:v>11998758067.495131</c:v>
                </c:pt>
                <c:pt idx="21">
                  <c:v>119987580674.95129</c:v>
                </c:pt>
                <c:pt idx="22">
                  <c:v>1199875806749.5129</c:v>
                </c:pt>
                <c:pt idx="23">
                  <c:v>11998758067495.131</c:v>
                </c:pt>
                <c:pt idx="24">
                  <c:v>119987580674951.3</c:v>
                </c:pt>
                <c:pt idx="25">
                  <c:v>1199875806749513</c:v>
                </c:pt>
                <c:pt idx="26">
                  <c:v>1.199875806749513E+16</c:v>
                </c:pt>
                <c:pt idx="27">
                  <c:v>1.199875806749513E+17</c:v>
                </c:pt>
                <c:pt idx="28">
                  <c:v>1.199875806749513E+18</c:v>
                </c:pt>
                <c:pt idx="29">
                  <c:v>1.1998758067495129E+19</c:v>
                </c:pt>
                <c:pt idx="30">
                  <c:v>1.199875806749513E+20</c:v>
                </c:pt>
              </c:numCache>
            </c:numRef>
          </c:xVal>
          <c:yVal>
            <c:numRef>
              <c:f>'Mastercurve bestimmen'!$P$404:$P$434</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1"/>
        </c:ser>
        <c:ser>
          <c:idx val="7"/>
          <c:order val="7"/>
          <c:tx>
            <c:v>Mastercurve @Tref interpolated</c:v>
          </c:tx>
          <c:spPr>
            <a:ln w="19050" cap="rnd">
              <a:solidFill>
                <a:srgbClr val="FF0000"/>
              </a:solidFill>
              <a:prstDash val="sysDash"/>
              <a:round/>
            </a:ln>
            <a:effectLst/>
          </c:spPr>
          <c:marker>
            <c:symbol val="none"/>
          </c:marker>
          <c:xVal>
            <c:numRef>
              <c:f>'Universal Mastercurve'!$A$72:$A$102</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Mastercurve'!$J$72:$J$102</c:f>
              <c:numCache>
                <c:formatCode>General</c:formatCode>
                <c:ptCount val="31"/>
                <c:pt idx="0">
                  <c:v>7602.5920165015468</c:v>
                </c:pt>
                <c:pt idx="1">
                  <c:v>7602.5920165015468</c:v>
                </c:pt>
                <c:pt idx="2">
                  <c:v>7602.5920165015468</c:v>
                </c:pt>
                <c:pt idx="3">
                  <c:v>7602.5920165015468</c:v>
                </c:pt>
                <c:pt idx="4">
                  <c:v>7602.5920165015468</c:v>
                </c:pt>
                <c:pt idx="5">
                  <c:v>7602.5920165015468</c:v>
                </c:pt>
                <c:pt idx="6">
                  <c:v>7602.5920165015468</c:v>
                </c:pt>
                <c:pt idx="7">
                  <c:v>7293.0605868782868</c:v>
                </c:pt>
                <c:pt idx="8">
                  <c:v>6922.1818208085642</c:v>
                </c:pt>
                <c:pt idx="9">
                  <c:v>6551.9902827115311</c:v>
                </c:pt>
                <c:pt idx="10">
                  <c:v>6243.1473242563861</c:v>
                </c:pt>
                <c:pt idx="11">
                  <c:v>5955.351298415635</c:v>
                </c:pt>
                <c:pt idx="12">
                  <c:v>5677.4322075470409</c:v>
                </c:pt>
                <c:pt idx="13">
                  <c:v>5393.5016852226845</c:v>
                </c:pt>
                <c:pt idx="14">
                  <c:v>5117.9502014439704</c:v>
                </c:pt>
                <c:pt idx="15">
                  <c:v>4780.1388881183493</c:v>
                </c:pt>
                <c:pt idx="16">
                  <c:v>4410.6107431966257</c:v>
                </c:pt>
                <c:pt idx="17">
                  <c:v>3996.015129615565</c:v>
                </c:pt>
                <c:pt idx="18">
                  <c:v>3547.4916738677243</c:v>
                </c:pt>
                <c:pt idx="19">
                  <c:v>3048.3169037428165</c:v>
                </c:pt>
                <c:pt idx="20">
                  <c:v>2476.60268708894</c:v>
                </c:pt>
                <c:pt idx="21">
                  <c:v>1876.3041723557799</c:v>
                </c:pt>
                <c:pt idx="22">
                  <c:v>1356.7798246521356</c:v>
                </c:pt>
                <c:pt idx="23">
                  <c:v>972.6671097611403</c:v>
                </c:pt>
                <c:pt idx="24">
                  <c:v>751.17398759984246</c:v>
                </c:pt>
                <c:pt idx="25">
                  <c:v>632.09144754604006</c:v>
                </c:pt>
                <c:pt idx="26">
                  <c:v>632.09144754604006</c:v>
                </c:pt>
                <c:pt idx="27">
                  <c:v>632.09144754604006</c:v>
                </c:pt>
                <c:pt idx="28">
                  <c:v>632.09144754604006</c:v>
                </c:pt>
                <c:pt idx="29">
                  <c:v>632.09144754604006</c:v>
                </c:pt>
                <c:pt idx="30">
                  <c:v>632.09144754604006</c:v>
                </c:pt>
              </c:numCache>
            </c:numRef>
          </c:yVal>
          <c:smooth val="1"/>
        </c:ser>
        <c:dLbls>
          <c:showLegendKey val="0"/>
          <c:showVal val="0"/>
          <c:showCatName val="0"/>
          <c:showSerName val="0"/>
          <c:showPercent val="0"/>
          <c:showBubbleSize val="0"/>
        </c:dLbls>
        <c:axId val="452925048"/>
        <c:axId val="452925440"/>
      </c:scatterChart>
      <c:valAx>
        <c:axId val="45292504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25440"/>
        <c:crosses val="autoZero"/>
        <c:crossBetween val="midCat"/>
      </c:valAx>
      <c:valAx>
        <c:axId val="452925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25048"/>
        <c:crossesAt val="1.0000000000000012E-22"/>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Mastercurve'!$F$109:$AJ$109</c:f>
              <c:numCache>
                <c:formatCode>0.00E+00</c:formatCode>
                <c:ptCount val="31"/>
                <c:pt idx="0">
                  <c:v>7602.5920165015468</c:v>
                </c:pt>
                <c:pt idx="1">
                  <c:v>7602.5920165015468</c:v>
                </c:pt>
                <c:pt idx="2">
                  <c:v>7602.5920165015468</c:v>
                </c:pt>
                <c:pt idx="3">
                  <c:v>7602.5920165015468</c:v>
                </c:pt>
                <c:pt idx="4">
                  <c:v>7602.5920165015468</c:v>
                </c:pt>
                <c:pt idx="5">
                  <c:v>7602.5920165015468</c:v>
                </c:pt>
                <c:pt idx="6">
                  <c:v>7602.5920165015468</c:v>
                </c:pt>
                <c:pt idx="7">
                  <c:v>7293.0605868782868</c:v>
                </c:pt>
                <c:pt idx="8">
                  <c:v>6922.1818208085642</c:v>
                </c:pt>
                <c:pt idx="9">
                  <c:v>6551.9902827115311</c:v>
                </c:pt>
                <c:pt idx="10">
                  <c:v>6243.1473242563861</c:v>
                </c:pt>
                <c:pt idx="11">
                  <c:v>5955.351298415635</c:v>
                </c:pt>
                <c:pt idx="12">
                  <c:v>5677.4322075470409</c:v>
                </c:pt>
                <c:pt idx="13">
                  <c:v>5393.5016852226845</c:v>
                </c:pt>
                <c:pt idx="14">
                  <c:v>5117.9502014439704</c:v>
                </c:pt>
                <c:pt idx="15">
                  <c:v>4780.1388881183493</c:v>
                </c:pt>
                <c:pt idx="16">
                  <c:v>4410.6107431966257</c:v>
                </c:pt>
                <c:pt idx="17">
                  <c:v>3996.015129615565</c:v>
                </c:pt>
                <c:pt idx="18">
                  <c:v>3547.4916738677243</c:v>
                </c:pt>
                <c:pt idx="19">
                  <c:v>3048.3169037428165</c:v>
                </c:pt>
                <c:pt idx="20">
                  <c:v>2476.60268708894</c:v>
                </c:pt>
                <c:pt idx="21">
                  <c:v>1876.3041723557799</c:v>
                </c:pt>
                <c:pt idx="22">
                  <c:v>1356.7798246521356</c:v>
                </c:pt>
                <c:pt idx="23">
                  <c:v>972.6671097611403</c:v>
                </c:pt>
                <c:pt idx="24">
                  <c:v>751.17398759984246</c:v>
                </c:pt>
                <c:pt idx="25">
                  <c:v>632.09144754604006</c:v>
                </c:pt>
                <c:pt idx="26">
                  <c:v>632.09144754604006</c:v>
                </c:pt>
                <c:pt idx="27">
                  <c:v>632.09144754604006</c:v>
                </c:pt>
                <c:pt idx="28">
                  <c:v>632.09144754604006</c:v>
                </c:pt>
                <c:pt idx="29">
                  <c:v>632.09144754604006</c:v>
                </c:pt>
                <c:pt idx="30">
                  <c:v>632.09144754604006</c:v>
                </c:pt>
              </c:numCache>
            </c:numRef>
          </c:yVal>
          <c:smooth val="1"/>
        </c:ser>
        <c:ser>
          <c:idx val="1"/>
          <c:order val="1"/>
          <c:tx>
            <c:v>original master curve</c:v>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9181.1160299056828</c:v>
                </c:pt>
                <c:pt idx="1">
                  <c:v>9077.3463675861676</c:v>
                </c:pt>
                <c:pt idx="2">
                  <c:v>8691.2001815069289</c:v>
                </c:pt>
                <c:pt idx="3">
                  <c:v>8458.2742491152712</c:v>
                </c:pt>
                <c:pt idx="4">
                  <c:v>8156.831898423362</c:v>
                </c:pt>
                <c:pt idx="5">
                  <c:v>7881.5914260512509</c:v>
                </c:pt>
                <c:pt idx="6">
                  <c:v>7606.6661606574535</c:v>
                </c:pt>
                <c:pt idx="7">
                  <c:v>7279.2574201557536</c:v>
                </c:pt>
                <c:pt idx="8">
                  <c:v>6902.0292474330408</c:v>
                </c:pt>
                <c:pt idx="9">
                  <c:v>6535.62336953467</c:v>
                </c:pt>
                <c:pt idx="10">
                  <c:v>6233.0117566457975</c:v>
                </c:pt>
                <c:pt idx="11">
                  <c:v>5954.8686076295398</c:v>
                </c:pt>
                <c:pt idx="12">
                  <c:v>5670.0377714243405</c:v>
                </c:pt>
                <c:pt idx="13">
                  <c:v>5394.8660244264838</c:v>
                </c:pt>
                <c:pt idx="14">
                  <c:v>5118.3278014032458</c:v>
                </c:pt>
                <c:pt idx="15">
                  <c:v>4803.3107114487439</c:v>
                </c:pt>
                <c:pt idx="16">
                  <c:v>4427.9783104619173</c:v>
                </c:pt>
                <c:pt idx="17">
                  <c:v>3991.9485787288218</c:v>
                </c:pt>
                <c:pt idx="18">
                  <c:v>3511.8403780703661</c:v>
                </c:pt>
                <c:pt idx="19">
                  <c:v>2997.4594846670489</c:v>
                </c:pt>
                <c:pt idx="20">
                  <c:v>2450.3717763631139</c:v>
                </c:pt>
                <c:pt idx="21">
                  <c:v>1872.1916033529214</c:v>
                </c:pt>
                <c:pt idx="22">
                  <c:v>1367.4352796901521</c:v>
                </c:pt>
                <c:pt idx="23">
                  <c:v>983.81788316707048</c:v>
                </c:pt>
                <c:pt idx="24">
                  <c:v>755.23901254503971</c:v>
                </c:pt>
                <c:pt idx="25">
                  <c:v>633.28267950151655</c:v>
                </c:pt>
                <c:pt idx="26">
                  <c:v>577.25386841302372</c:v>
                </c:pt>
                <c:pt idx="27">
                  <c:v>542.55302951702936</c:v>
                </c:pt>
                <c:pt idx="28">
                  <c:v>523.05941286720395</c:v>
                </c:pt>
                <c:pt idx="29">
                  <c:v>513.01384415791551</c:v>
                </c:pt>
                <c:pt idx="30">
                  <c:v>488.70465769298499</c:v>
                </c:pt>
              </c:numCache>
            </c:numRef>
          </c:yVal>
          <c:smooth val="1"/>
        </c:ser>
        <c:ser>
          <c:idx val="2"/>
          <c:order val="2"/>
          <c:tx>
            <c:v>Regression new Mastercurve</c:v>
          </c:tx>
          <c:spPr>
            <a:ln w="19050" cap="rnd">
              <a:solidFill>
                <a:schemeClr val="accent3"/>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Mastercurve'!$F$110:$AJ$110</c:f>
              <c:numCache>
                <c:formatCode>0.00E+00</c:formatCode>
                <c:ptCount val="31"/>
                <c:pt idx="0">
                  <c:v>7609.5747766551567</c:v>
                </c:pt>
                <c:pt idx="1">
                  <c:v>7609.5742853943748</c:v>
                </c:pt>
                <c:pt idx="2">
                  <c:v>7609.5693728196948</c:v>
                </c:pt>
                <c:pt idx="3">
                  <c:v>7609.5202503855098</c:v>
                </c:pt>
                <c:pt idx="4">
                  <c:v>7609.0293571391258</c:v>
                </c:pt>
                <c:pt idx="5">
                  <c:v>7604.1533678575433</c:v>
                </c:pt>
                <c:pt idx="6">
                  <c:v>7558.5276029893239</c:v>
                </c:pt>
                <c:pt idx="7">
                  <c:v>7302.1979835125558</c:v>
                </c:pt>
                <c:pt idx="8">
                  <c:v>6920.7321681299454</c:v>
                </c:pt>
                <c:pt idx="9">
                  <c:v>6553.3681868299718</c:v>
                </c:pt>
                <c:pt idx="10">
                  <c:v>6240.8888298186657</c:v>
                </c:pt>
                <c:pt idx="11">
                  <c:v>5958.6127470134916</c:v>
                </c:pt>
                <c:pt idx="12">
                  <c:v>5673.4215096418848</c:v>
                </c:pt>
                <c:pt idx="13">
                  <c:v>5397.7129833707731</c:v>
                </c:pt>
                <c:pt idx="14">
                  <c:v>5114.1615889200048</c:v>
                </c:pt>
                <c:pt idx="15">
                  <c:v>4783.0678801813756</c:v>
                </c:pt>
                <c:pt idx="16">
                  <c:v>4408.6599189743574</c:v>
                </c:pt>
                <c:pt idx="17">
                  <c:v>3997.1367791068797</c:v>
                </c:pt>
                <c:pt idx="18">
                  <c:v>3546.9338036195431</c:v>
                </c:pt>
                <c:pt idx="19">
                  <c:v>3048.5570702339228</c:v>
                </c:pt>
                <c:pt idx="20">
                  <c:v>2476.5129492262759</c:v>
                </c:pt>
                <c:pt idx="21">
                  <c:v>1876.333402679433</c:v>
                </c:pt>
                <c:pt idx="22">
                  <c:v>1356.7670874389737</c:v>
                </c:pt>
                <c:pt idx="23">
                  <c:v>972.6806696054158</c:v>
                </c:pt>
                <c:pt idx="24">
                  <c:v>751.15675017855051</c:v>
                </c:pt>
                <c:pt idx="25">
                  <c:v>632.10528283794451</c:v>
                </c:pt>
                <c:pt idx="26">
                  <c:v>632.09058963308212</c:v>
                </c:pt>
                <c:pt idx="27">
                  <c:v>632.09058963308212</c:v>
                </c:pt>
                <c:pt idx="28">
                  <c:v>632.09058963308212</c:v>
                </c:pt>
                <c:pt idx="29">
                  <c:v>632.09058963308212</c:v>
                </c:pt>
                <c:pt idx="30">
                  <c:v>632.09058963308212</c:v>
                </c:pt>
              </c:numCache>
            </c:numRef>
          </c:yVal>
          <c:smooth val="1"/>
        </c:ser>
        <c:dLbls>
          <c:showLegendKey val="0"/>
          <c:showVal val="0"/>
          <c:showCatName val="0"/>
          <c:showSerName val="0"/>
          <c:showPercent val="0"/>
          <c:showBubbleSize val="0"/>
        </c:dLbls>
        <c:axId val="454249640"/>
        <c:axId val="454252384"/>
      </c:scatterChart>
      <c:valAx>
        <c:axId val="4542496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52384"/>
        <c:crosses val="autoZero"/>
        <c:crossBetween val="midCat"/>
      </c:valAx>
      <c:valAx>
        <c:axId val="45425238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49640"/>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Mastercurve'!$F$148:$AJ$148</c:f>
              <c:numCache>
                <c:formatCode>0.00%</c:formatCode>
                <c:ptCount val="31"/>
                <c:pt idx="0">
                  <c:v>9.1847098179853614E-4</c:v>
                </c:pt>
                <c:pt idx="1">
                  <c:v>9.1840636426008854E-4</c:v>
                </c:pt>
                <c:pt idx="2">
                  <c:v>9.1776019323455444E-4</c:v>
                </c:pt>
                <c:pt idx="3">
                  <c:v>9.1129891870103793E-4</c:v>
                </c:pt>
                <c:pt idx="4">
                  <c:v>8.4672972370562261E-4</c:v>
                </c:pt>
                <c:pt idx="5">
                  <c:v>2.053709251538927E-4</c:v>
                </c:pt>
                <c:pt idx="6">
                  <c:v>5.7959724021202788E-3</c:v>
                </c:pt>
                <c:pt idx="7">
                  <c:v>1.2528891712087248E-3</c:v>
                </c:pt>
                <c:pt idx="8">
                  <c:v>2.0942135242114655E-4</c:v>
                </c:pt>
                <c:pt idx="9">
                  <c:v>2.103031382809785E-4</c:v>
                </c:pt>
                <c:pt idx="10">
                  <c:v>3.6175574921090101E-4</c:v>
                </c:pt>
                <c:pt idx="11">
                  <c:v>5.4765007712042452E-4</c:v>
                </c:pt>
                <c:pt idx="12">
                  <c:v>7.0642814542544062E-4</c:v>
                </c:pt>
                <c:pt idx="13">
                  <c:v>7.8080964721433479E-4</c:v>
                </c:pt>
                <c:pt idx="14">
                  <c:v>7.4025974752484427E-4</c:v>
                </c:pt>
                <c:pt idx="15">
                  <c:v>6.1274204193243387E-4</c:v>
                </c:pt>
                <c:pt idx="16">
                  <c:v>4.423025145162465E-4</c:v>
                </c:pt>
                <c:pt idx="17">
                  <c:v>2.806920031412804E-4</c:v>
                </c:pt>
                <c:pt idx="18">
                  <c:v>1.5725766244659273E-4</c:v>
                </c:pt>
                <c:pt idx="19">
                  <c:v>7.8786589022742867E-5</c:v>
                </c:pt>
                <c:pt idx="20">
                  <c:v>3.6234258781989482E-5</c:v>
                </c:pt>
                <c:pt idx="21">
                  <c:v>1.5578670070540757E-5</c:v>
                </c:pt>
                <c:pt idx="22">
                  <c:v>9.3878261826250735E-6</c:v>
                </c:pt>
                <c:pt idx="23">
                  <c:v>1.3940889066183498E-5</c:v>
                </c:pt>
                <c:pt idx="24">
                  <c:v>2.2947308581636747E-5</c:v>
                </c:pt>
                <c:pt idx="25">
                  <c:v>2.1888117547182435E-5</c:v>
                </c:pt>
                <c:pt idx="26">
                  <c:v>1.3572608224188242E-6</c:v>
                </c:pt>
                <c:pt idx="27">
                  <c:v>1.3572608224188242E-6</c:v>
                </c:pt>
                <c:pt idx="28">
                  <c:v>1.3572608224188242E-6</c:v>
                </c:pt>
                <c:pt idx="29">
                  <c:v>1.3572608224188242E-6</c:v>
                </c:pt>
                <c:pt idx="30">
                  <c:v>1.3572608224188242E-6</c:v>
                </c:pt>
              </c:numCache>
            </c:numRef>
          </c:yVal>
          <c:smooth val="1"/>
        </c:ser>
        <c:dLbls>
          <c:showLegendKey val="0"/>
          <c:showVal val="0"/>
          <c:showCatName val="0"/>
          <c:showSerName val="0"/>
          <c:showPercent val="0"/>
          <c:showBubbleSize val="0"/>
        </c:dLbls>
        <c:axId val="454252776"/>
        <c:axId val="454249248"/>
      </c:scatterChart>
      <c:valAx>
        <c:axId val="4542527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49248"/>
        <c:crossesAt val="-1.5000000000000005E-3"/>
        <c:crossBetween val="midCat"/>
      </c:valAx>
      <c:valAx>
        <c:axId val="45424924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5277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-11.303886857979826</c:v>
                </c:pt>
                <c:pt idx="1">
                  <c:v>-11.236167274540021</c:v>
                </c:pt>
                <c:pt idx="2">
                  <c:v>-11.168352258845102</c:v>
                </c:pt>
                <c:pt idx="3">
                  <c:v>-11.10034637863996</c:v>
                </c:pt>
                <c:pt idx="4">
                  <c:v>-11.032054201669483</c:v>
                </c:pt>
                <c:pt idx="5">
                  <c:v>-10.963380295678558</c:v>
                </c:pt>
                <c:pt idx="6">
                  <c:v>-10.894229228412076</c:v>
                </c:pt>
                <c:pt idx="7">
                  <c:v>-10.824505567614924</c:v>
                </c:pt>
                <c:pt idx="8">
                  <c:v>-10.754113881031987</c:v>
                </c:pt>
                <c:pt idx="9">
                  <c:v>-10.682958736408157</c:v>
                </c:pt>
                <c:pt idx="10">
                  <c:v>-10.610944701488322</c:v>
                </c:pt>
                <c:pt idx="11">
                  <c:v>-10.537976344017366</c:v>
                </c:pt>
                <c:pt idx="12">
                  <c:v>-10.463958231740182</c:v>
                </c:pt>
                <c:pt idx="13">
                  <c:v>-10.388794932401657</c:v>
                </c:pt>
                <c:pt idx="14">
                  <c:v>-10.312391013746678</c:v>
                </c:pt>
                <c:pt idx="15">
                  <c:v>-10.234651043520135</c:v>
                </c:pt>
                <c:pt idx="16">
                  <c:v>-10.155479589466914</c:v>
                </c:pt>
                <c:pt idx="17">
                  <c:v>-10.074781219331904</c:v>
                </c:pt>
                <c:pt idx="18">
                  <c:v>-9.9924605008599947</c:v>
                </c:pt>
                <c:pt idx="19">
                  <c:v>-9.9084220017960725</c:v>
                </c:pt>
                <c:pt idx="20">
                  <c:v>-9.8225702898850287</c:v>
                </c:pt>
                <c:pt idx="21">
                  <c:v>-9.7348099328717463</c:v>
                </c:pt>
                <c:pt idx="22">
                  <c:v>-9.6450454985011156</c:v>
                </c:pt>
                <c:pt idx="23">
                  <c:v>-9.5531815545180283</c:v>
                </c:pt>
                <c:pt idx="24">
                  <c:v>-9.4591226686673693</c:v>
                </c:pt>
                <c:pt idx="25">
                  <c:v>-9.3627734086940269</c:v>
                </c:pt>
                <c:pt idx="26">
                  <c:v>-9.2640383423428894</c:v>
                </c:pt>
                <c:pt idx="27">
                  <c:v>-9.1628220373588452</c:v>
                </c:pt>
                <c:pt idx="28">
                  <c:v>-9.0590290614867826</c:v>
                </c:pt>
                <c:pt idx="29">
                  <c:v>-8.9525639824715917</c:v>
                </c:pt>
                <c:pt idx="30">
                  <c:v>-8.8433313680581573</c:v>
                </c:pt>
                <c:pt idx="31">
                  <c:v>-8.7312357859913696</c:v>
                </c:pt>
                <c:pt idx="32">
                  <c:v>-8.6161818040161169</c:v>
                </c:pt>
                <c:pt idx="33">
                  <c:v>-8.4980739898772857</c:v>
                </c:pt>
                <c:pt idx="34">
                  <c:v>-8.3768169113197679</c:v>
                </c:pt>
                <c:pt idx="35">
                  <c:v>-8.2523151360884466</c:v>
                </c:pt>
                <c:pt idx="36">
                  <c:v>-8.1244732319282136</c:v>
                </c:pt>
                <c:pt idx="37">
                  <c:v>-7.9931957665839573</c:v>
                </c:pt>
                <c:pt idx="38">
                  <c:v>-7.858387307800565</c:v>
                </c:pt>
                <c:pt idx="39">
                  <c:v>-7.7199524233229226</c:v>
                </c:pt>
                <c:pt idx="40">
                  <c:v>-7.5777956808959228</c:v>
                </c:pt>
                <c:pt idx="41">
                  <c:v>-7.4991824066091475</c:v>
                </c:pt>
                <c:pt idx="42">
                  <c:v>-7.4169767763301264</c:v>
                </c:pt>
                <c:pt idx="43">
                  <c:v>-7.3314037242710803</c:v>
                </c:pt>
                <c:pt idx="44">
                  <c:v>-7.242688184644229</c:v>
                </c:pt>
                <c:pt idx="45">
                  <c:v>-7.1510550916617994</c:v>
                </c:pt>
                <c:pt idx="46">
                  <c:v>-7.0567293795360131</c:v>
                </c:pt>
                <c:pt idx="47">
                  <c:v>-6.9599359824790916</c:v>
                </c:pt>
                <c:pt idx="48">
                  <c:v>-6.860899834703261</c:v>
                </c:pt>
                <c:pt idx="49">
                  <c:v>-6.759845870420742</c:v>
                </c:pt>
                <c:pt idx="50">
                  <c:v>-6.656999023843758</c:v>
                </c:pt>
                <c:pt idx="51">
                  <c:v>-6.5525842291845304</c:v>
                </c:pt>
                <c:pt idx="52">
                  <c:v>-6.4468264206552846</c:v>
                </c:pt>
                <c:pt idx="53">
                  <c:v>-6.3399505324682428</c:v>
                </c:pt>
                <c:pt idx="54">
                  <c:v>-6.2321814988356277</c:v>
                </c:pt>
                <c:pt idx="55">
                  <c:v>-6.1237442539696616</c:v>
                </c:pt>
                <c:pt idx="56">
                  <c:v>-6.0148637320825689</c:v>
                </c:pt>
                <c:pt idx="57">
                  <c:v>-5.905764867386571</c:v>
                </c:pt>
                <c:pt idx="58">
                  <c:v>-5.7966725940938915</c:v>
                </c:pt>
                <c:pt idx="59">
                  <c:v>-5.6878118464167544</c:v>
                </c:pt>
                <c:pt idx="60">
                  <c:v>-5.5794075585673806</c:v>
                </c:pt>
                <c:pt idx="61">
                  <c:v>-5.4716846647579942</c:v>
                </c:pt>
                <c:pt idx="62">
                  <c:v>-5.3648680992008186</c:v>
                </c:pt>
                <c:pt idx="63">
                  <c:v>-5.2591827961080764</c:v>
                </c:pt>
                <c:pt idx="64">
                  <c:v>-5.154853689691989</c:v>
                </c:pt>
                <c:pt idx="65">
                  <c:v>-5.0521057141647807</c:v>
                </c:pt>
                <c:pt idx="66">
                  <c:v>-4.9511113959690221</c:v>
                </c:pt>
                <c:pt idx="67">
                  <c:v>-4.8518336304686693</c:v>
                </c:pt>
                <c:pt idx="68">
                  <c:v>-4.7541829052580233</c:v>
                </c:pt>
                <c:pt idx="69">
                  <c:v>-4.6580697079313902</c:v>
                </c:pt>
                <c:pt idx="70">
                  <c:v>-4.5634045260830725</c:v>
                </c:pt>
                <c:pt idx="71">
                  <c:v>-4.4700978473073736</c:v>
                </c:pt>
                <c:pt idx="72">
                  <c:v>-4.378060159198597</c:v>
                </c:pt>
                <c:pt idx="73">
                  <c:v>-4.2872019493510454</c:v>
                </c:pt>
                <c:pt idx="74">
                  <c:v>-4.1974337053590212</c:v>
                </c:pt>
                <c:pt idx="75">
                  <c:v>-4.1086659148168305</c:v>
                </c:pt>
                <c:pt idx="76">
                  <c:v>-4.0208090653187742</c:v>
                </c:pt>
                <c:pt idx="77">
                  <c:v>-3.9337736444591571</c:v>
                </c:pt>
                <c:pt idx="78">
                  <c:v>-3.8474701398322817</c:v>
                </c:pt>
                <c:pt idx="79">
                  <c:v>-3.7618090390324515</c:v>
                </c:pt>
                <c:pt idx="80">
                  <c:v>-3.6767008296539698</c:v>
                </c:pt>
                <c:pt idx="81">
                  <c:v>-3.5920559992911407</c:v>
                </c:pt>
                <c:pt idx="82">
                  <c:v>-3.5077850355382658</c:v>
                </c:pt>
                <c:pt idx="83">
                  <c:v>-3.4237984259896503</c:v>
                </c:pt>
                <c:pt idx="84">
                  <c:v>-3.3400066582395969</c:v>
                </c:pt>
                <c:pt idx="85">
                  <c:v>-3.2563202198824084</c:v>
                </c:pt>
                <c:pt idx="86">
                  <c:v>-3.1726495985123888</c:v>
                </c:pt>
                <c:pt idx="87">
                  <c:v>-3.0889052817238407</c:v>
                </c:pt>
                <c:pt idx="88">
                  <c:v>-3.004997757111068</c:v>
                </c:pt>
                <c:pt idx="89">
                  <c:v>-2.9208375122683741</c:v>
                </c:pt>
                <c:pt idx="90">
                  <c:v>-2.836335034790062</c:v>
                </c:pt>
                <c:pt idx="91">
                  <c:v>-2.7514119922333014</c:v>
                </c:pt>
                <c:pt idx="92">
                  <c:v>-2.6660347720067237</c:v>
                </c:pt>
                <c:pt idx="93">
                  <c:v>-2.580180941481828</c:v>
                </c:pt>
                <c:pt idx="94">
                  <c:v>-2.4938280680301124</c:v>
                </c:pt>
                <c:pt idx="95">
                  <c:v>-2.406953719023075</c:v>
                </c:pt>
                <c:pt idx="96">
                  <c:v>-2.3195354618322144</c:v>
                </c:pt>
                <c:pt idx="97">
                  <c:v>-2.2315508638290282</c:v>
                </c:pt>
                <c:pt idx="98">
                  <c:v>-2.1429774923850156</c:v>
                </c:pt>
                <c:pt idx="99">
                  <c:v>-2.0537929148716736</c:v>
                </c:pt>
                <c:pt idx="100">
                  <c:v>-1.9639746986605018</c:v>
                </c:pt>
                <c:pt idx="101">
                  <c:v>-1.8735004111229978</c:v>
                </c:pt>
                <c:pt idx="102">
                  <c:v>-1.78234761963066</c:v>
                </c:pt>
                <c:pt idx="103">
                  <c:v>-1.6904938915549863</c:v>
                </c:pt>
                <c:pt idx="104">
                  <c:v>-1.5979167942674755</c:v>
                </c:pt>
                <c:pt idx="105">
                  <c:v>-1.5045938951396254</c:v>
                </c:pt>
                <c:pt idx="106">
                  <c:v>-1.4105027615429344</c:v>
                </c:pt>
                <c:pt idx="107">
                  <c:v>-1.3156209608489013</c:v>
                </c:pt>
                <c:pt idx="108">
                  <c:v>-1.2199260604290234</c:v>
                </c:pt>
                <c:pt idx="109">
                  <c:v>-1.1233956276547996</c:v>
                </c:pt>
                <c:pt idx="110">
                  <c:v>-1.0260072298977279</c:v>
                </c:pt>
                <c:pt idx="111">
                  <c:v>-0.92773843452930682</c:v>
                </c:pt>
                <c:pt idx="112">
                  <c:v>-0.82856680892103429</c:v>
                </c:pt>
                <c:pt idx="113">
                  <c:v>-0.72846992044440895</c:v>
                </c:pt>
                <c:pt idx="114">
                  <c:v>-0.62742533647092869</c:v>
                </c:pt>
                <c:pt idx="115">
                  <c:v>-0.52541062437209196</c:v>
                </c:pt>
                <c:pt idx="116">
                  <c:v>-0.42240335151939701</c:v>
                </c:pt>
                <c:pt idx="117">
                  <c:v>-0.31838108528434211</c:v>
                </c:pt>
                <c:pt idx="118">
                  <c:v>-0.21332139303842546</c:v>
                </c:pt>
                <c:pt idx="119">
                  <c:v>-0.10720184215314536</c:v>
                </c:pt>
                <c:pt idx="120">
                  <c:v>-2.7755575615628914E-17</c:v>
                </c:pt>
                <c:pt idx="121">
                  <c:v>0.10830226094385086</c:v>
                </c:pt>
                <c:pt idx="122">
                  <c:v>0.2177058477786015</c:v>
                </c:pt>
                <c:pt idx="123">
                  <c:v>0.32820736249878507</c:v>
                </c:pt>
                <c:pt idx="124">
                  <c:v>0.43980340709893445</c:v>
                </c:pt>
                <c:pt idx="125">
                  <c:v>0.55249058357358261</c:v>
                </c:pt>
                <c:pt idx="126">
                  <c:v>0.66626549391726242</c:v>
                </c:pt>
                <c:pt idx="127">
                  <c:v>0.78112474012450694</c:v>
                </c:pt>
                <c:pt idx="128">
                  <c:v>0.89706492418984918</c:v>
                </c:pt>
                <c:pt idx="129">
                  <c:v>1.014082648107822</c:v>
                </c:pt>
                <c:pt idx="130">
                  <c:v>1.1321745138729582</c:v>
                </c:pt>
                <c:pt idx="131">
                  <c:v>1.251337123479791</c:v>
                </c:pt>
                <c:pt idx="132">
                  <c:v>1.3715670789228533</c:v>
                </c:pt>
                <c:pt idx="133">
                  <c:v>1.4928609821966778</c:v>
                </c:pt>
                <c:pt idx="134">
                  <c:v>1.6152154352957981</c:v>
                </c:pt>
                <c:pt idx="135">
                  <c:v>1.7386270402147463</c:v>
                </c:pt>
                <c:pt idx="136">
                  <c:v>1.8630923989480559</c:v>
                </c:pt>
                <c:pt idx="137">
                  <c:v>1.98860811349026</c:v>
                </c:pt>
                <c:pt idx="138">
                  <c:v>2.115170785835891</c:v>
                </c:pt>
                <c:pt idx="139">
                  <c:v>2.2427770179794821</c:v>
                </c:pt>
                <c:pt idx="140">
                  <c:v>2.3714234119155666</c:v>
                </c:pt>
                <c:pt idx="141">
                  <c:v>2.5011065696386767</c:v>
                </c:pt>
                <c:pt idx="142">
                  <c:v>2.6318230931433462</c:v>
                </c:pt>
                <c:pt idx="143">
                  <c:v>2.7635695844241077</c:v>
                </c:pt>
                <c:pt idx="144">
                  <c:v>2.8963426454754937</c:v>
                </c:pt>
                <c:pt idx="145">
                  <c:v>3.0301388782920378</c:v>
                </c:pt>
                <c:pt idx="146">
                  <c:v>3.1649548848682727</c:v>
                </c:pt>
                <c:pt idx="147">
                  <c:v>3.3007872671987322</c:v>
                </c:pt>
                <c:pt idx="148">
                  <c:v>3.4376326272779476</c:v>
                </c:pt>
                <c:pt idx="149">
                  <c:v>3.5754875671004527</c:v>
                </c:pt>
                <c:pt idx="150">
                  <c:v>3.7143486886607806</c:v>
                </c:pt>
                <c:pt idx="151">
                  <c:v>3.8542125939534642</c:v>
                </c:pt>
                <c:pt idx="152">
                  <c:v>3.9950758849730361</c:v>
                </c:pt>
                <c:pt idx="153">
                  <c:v>4.1369351637140301</c:v>
                </c:pt>
                <c:pt idx="154">
                  <c:v>4.2797870321709786</c:v>
                </c:pt>
                <c:pt idx="155">
                  <c:v>4.4236280923384133</c:v>
                </c:pt>
                <c:pt idx="156">
                  <c:v>4.5684549462108697</c:v>
                </c:pt>
                <c:pt idx="157">
                  <c:v>4.7142641957828788</c:v>
                </c:pt>
                <c:pt idx="158">
                  <c:v>4.8610524430489752</c:v>
                </c:pt>
                <c:pt idx="159">
                  <c:v>5.008816290003689</c:v>
                </c:pt>
                <c:pt idx="160">
                  <c:v>5.1575523386415565</c:v>
                </c:pt>
                <c:pt idx="161">
                  <c:v>5.3072571909571087</c:v>
                </c:pt>
                <c:pt idx="162">
                  <c:v>5.4579274489448792</c:v>
                </c:pt>
                <c:pt idx="163">
                  <c:v>5.6095597145994009</c:v>
                </c:pt>
                <c:pt idx="164">
                  <c:v>5.7621505899152066</c:v>
                </c:pt>
                <c:pt idx="165">
                  <c:v>5.9156966768868289</c:v>
                </c:pt>
                <c:pt idx="166">
                  <c:v>6.0701906113970923</c:v>
                </c:pt>
                <c:pt idx="167">
                  <c:v>6.2256091648819813</c:v>
                </c:pt>
                <c:pt idx="168">
                  <c:v>6.3819251426657715</c:v>
                </c:pt>
                <c:pt idx="169">
                  <c:v>6.5391113500727371</c:v>
                </c:pt>
                <c:pt idx="170">
                  <c:v>6.6971405924271572</c:v>
                </c:pt>
                <c:pt idx="171">
                  <c:v>6.8559856750533061</c:v>
                </c:pt>
                <c:pt idx="172">
                  <c:v>7.0156194032754593</c:v>
                </c:pt>
                <c:pt idx="173">
                  <c:v>7.1760145824178911</c:v>
                </c:pt>
                <c:pt idx="174">
                  <c:v>7.3371440178048806</c:v>
                </c:pt>
                <c:pt idx="175">
                  <c:v>7.4989805147607003</c:v>
                </c:pt>
                <c:pt idx="176">
                  <c:v>7.6614968786096274</c:v>
                </c:pt>
                <c:pt idx="177">
                  <c:v>7.8246659146759363</c:v>
                </c:pt>
                <c:pt idx="178">
                  <c:v>7.9884604282839042</c:v>
                </c:pt>
                <c:pt idx="179">
                  <c:v>8.1528532247578074</c:v>
                </c:pt>
                <c:pt idx="180">
                  <c:v>8.3178171094219202</c:v>
                </c:pt>
                <c:pt idx="181">
                  <c:v>8.4833248876005172</c:v>
                </c:pt>
                <c:pt idx="182">
                  <c:v>8.6493493646178781</c:v>
                </c:pt>
                <c:pt idx="183">
                  <c:v>8.8158633457982738</c:v>
                </c:pt>
                <c:pt idx="184">
                  <c:v>8.9828396364659842</c:v>
                </c:pt>
                <c:pt idx="185">
                  <c:v>9.1502510419452818</c:v>
                </c:pt>
                <c:pt idx="186">
                  <c:v>9.318070367560443</c:v>
                </c:pt>
                <c:pt idx="187">
                  <c:v>9.4862704186357458</c:v>
                </c:pt>
                <c:pt idx="188">
                  <c:v>9.6548240004954646</c:v>
                </c:pt>
                <c:pt idx="189">
                  <c:v>9.8237039184638721</c:v>
                </c:pt>
                <c:pt idx="190">
                  <c:v>9.9928829778652499</c:v>
                </c:pt>
                <c:pt idx="191">
                  <c:v>10.162333984023869</c:v>
                </c:pt>
                <c:pt idx="192">
                  <c:v>10.332029742264009</c:v>
                </c:pt>
                <c:pt idx="193">
                  <c:v>10.501943057909939</c:v>
                </c:pt>
                <c:pt idx="194">
                  <c:v>10.672046736285942</c:v>
                </c:pt>
                <c:pt idx="195">
                  <c:v>10.84231358271629</c:v>
                </c:pt>
                <c:pt idx="196">
                  <c:v>11.01271640252526</c:v>
                </c:pt>
                <c:pt idx="197">
                  <c:v>11.183228001037126</c:v>
                </c:pt>
                <c:pt idx="198">
                  <c:v>11.353821183576164</c:v>
                </c:pt>
                <c:pt idx="199">
                  <c:v>11.524468755466653</c:v>
                </c:pt>
                <c:pt idx="200">
                  <c:v>11.695143522032865</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-11.303886857979826</c:v>
                </c:pt>
                <c:pt idx="1">
                  <c:v>-7.5777956808959219</c:v>
                </c:pt>
                <c:pt idx="2">
                  <c:v>-5.0521057141647816</c:v>
                </c:pt>
                <c:pt idx="3">
                  <c:v>-2.836335034790062</c:v>
                </c:pt>
                <c:pt idx="4">
                  <c:v>0</c:v>
                </c:pt>
                <c:pt idx="5">
                  <c:v>5.9156966768868289</c:v>
                </c:pt>
                <c:pt idx="6">
                  <c:v>11.695143522032865</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-11.284840730906536</c:v>
                </c:pt>
                <c:pt idx="1">
                  <c:v>-11.222766940104096</c:v>
                </c:pt>
                <c:pt idx="2">
                  <c:v>-11.160560716900703</c:v>
                </c:pt>
                <c:pt idx="3">
                  <c:v>-11.097921207184015</c:v>
                </c:pt>
                <c:pt idx="4">
                  <c:v>-11.034580400178923</c:v>
                </c:pt>
                <c:pt idx="5">
                  <c:v>-10.970301237161836</c:v>
                </c:pt>
                <c:pt idx="6">
                  <c:v>-10.904875787018931</c:v>
                </c:pt>
                <c:pt idx="7">
                  <c:v>-10.838123487247026</c:v>
                </c:pt>
                <c:pt idx="8">
                  <c:v>-10.769889449009366</c:v>
                </c:pt>
                <c:pt idx="9">
                  <c:v>-10.70004282487224</c:v>
                </c:pt>
                <c:pt idx="10">
                  <c:v>-10.628475237861862</c:v>
                </c:pt>
                <c:pt idx="11">
                  <c:v>-10.555099270494736</c:v>
                </c:pt>
                <c:pt idx="12">
                  <c:v>-10.479847012448198</c:v>
                </c:pt>
                <c:pt idx="13">
                  <c:v>-10.402668665551484</c:v>
                </c:pt>
                <c:pt idx="14">
                  <c:v>-10.323531204791431</c:v>
                </c:pt>
                <c:pt idx="15">
                  <c:v>-10.242417094040228</c:v>
                </c:pt>
                <c:pt idx="16">
                  <c:v>-10.15932305522665</c:v>
                </c:pt>
                <c:pt idx="17">
                  <c:v>-10.074258889685435</c:v>
                </c:pt>
                <c:pt idx="18">
                  <c:v>-9.9872463504334039</c:v>
                </c:pt>
                <c:pt idx="19">
                  <c:v>-9.8983180641343367</c:v>
                </c:pt>
                <c:pt idx="20">
                  <c:v>-9.8075165015283368</c:v>
                </c:pt>
                <c:pt idx="21">
                  <c:v>-9.7148929951149849</c:v>
                </c:pt>
                <c:pt idx="22">
                  <c:v>-9.6205068028932601</c:v>
                </c:pt>
                <c:pt idx="23">
                  <c:v>-9.5244242169747153</c:v>
                </c:pt>
                <c:pt idx="24">
                  <c:v>-9.4267177159001978</c:v>
                </c:pt>
                <c:pt idx="25">
                  <c:v>-9.3274651595038023</c:v>
                </c:pt>
                <c:pt idx="26">
                  <c:v>-9.2267490251815616</c:v>
                </c:pt>
                <c:pt idx="27">
                  <c:v>-9.1246556844358331</c:v>
                </c:pt>
                <c:pt idx="28">
                  <c:v>-9.021274718580143</c:v>
                </c:pt>
                <c:pt idx="29">
                  <c:v>-8.9166982725026305</c:v>
                </c:pt>
                <c:pt idx="30">
                  <c:v>-8.8110204454001142</c:v>
                </c:pt>
                <c:pt idx="31">
                  <c:v>-8.7043367174082089</c:v>
                </c:pt>
                <c:pt idx="32">
                  <c:v>-8.5967434110666687</c:v>
                </c:pt>
                <c:pt idx="33">
                  <c:v>-8.4883371865727</c:v>
                </c:pt>
                <c:pt idx="34">
                  <c:v>-8.3792145697885978</c:v>
                </c:pt>
                <c:pt idx="35">
                  <c:v>-8.2694715119837312</c:v>
                </c:pt>
                <c:pt idx="36">
                  <c:v>-8.1592029803044621</c:v>
                </c:pt>
                <c:pt idx="37">
                  <c:v>-8.0485025779792281</c:v>
                </c:pt>
                <c:pt idx="38">
                  <c:v>-7.9374621932796581</c:v>
                </c:pt>
                <c:pt idx="39">
                  <c:v>-7.8261716762721694</c:v>
                </c:pt>
                <c:pt idx="40">
                  <c:v>-7.7147185424081286</c:v>
                </c:pt>
                <c:pt idx="41">
                  <c:v>-7.6031877020143108</c:v>
                </c:pt>
                <c:pt idx="42">
                  <c:v>-7.4916612147589721</c:v>
                </c:pt>
                <c:pt idx="43">
                  <c:v>-7.3802180681824217</c:v>
                </c:pt>
                <c:pt idx="44">
                  <c:v>-7.2689339793947969</c:v>
                </c:pt>
                <c:pt idx="45">
                  <c:v>-7.1578812190570522</c:v>
                </c:pt>
                <c:pt idx="46">
                  <c:v>-7.0471284567751109</c:v>
                </c:pt>
                <c:pt idx="47">
                  <c:v>-6.9367406270505025</c:v>
                </c:pt>
                <c:pt idx="48">
                  <c:v>-6.8267788149445821</c:v>
                </c:pt>
                <c:pt idx="49">
                  <c:v>-6.7173001606269738</c:v>
                </c:pt>
                <c:pt idx="50">
                  <c:v>-6.608357781992515</c:v>
                </c:pt>
                <c:pt idx="51">
                  <c:v>-6.5000007145445977</c:v>
                </c:pt>
                <c:pt idx="52">
                  <c:v>-6.3922738677564395</c:v>
                </c:pt>
                <c:pt idx="53">
                  <c:v>-6.2852179971354092</c:v>
                </c:pt>
                <c:pt idx="54">
                  <c:v>-6.1788696912291607</c:v>
                </c:pt>
                <c:pt idx="55">
                  <c:v>-6.0732613728259608</c:v>
                </c:pt>
                <c:pt idx="56">
                  <c:v>-5.9684213136151998</c:v>
                </c:pt>
                <c:pt idx="57">
                  <c:v>-5.864373661587698</c:v>
                </c:pt>
                <c:pt idx="58">
                  <c:v>-5.7611384804690404</c:v>
                </c:pt>
                <c:pt idx="59">
                  <c:v>-5.6587318004927987</c:v>
                </c:pt>
                <c:pt idx="60">
                  <c:v>-5.5571656798341031</c:v>
                </c:pt>
                <c:pt idx="61">
                  <c:v>-5.4564482760376585</c:v>
                </c:pt>
                <c:pt idx="62">
                  <c:v>-5.3565839267879181</c:v>
                </c:pt>
                <c:pt idx="63">
                  <c:v>-5.2575732393827419</c:v>
                </c:pt>
                <c:pt idx="64">
                  <c:v>-5.1594131882854706</c:v>
                </c:pt>
                <c:pt idx="65">
                  <c:v>-5.062097220144028</c:v>
                </c:pt>
                <c:pt idx="66">
                  <c:v>-4.9656153656791826</c:v>
                </c:pt>
                <c:pt idx="67">
                  <c:v>-4.8699543578578082</c:v>
                </c:pt>
                <c:pt idx="68">
                  <c:v>-4.7750977557805721</c:v>
                </c:pt>
                <c:pt idx="69">
                  <c:v>-4.681026073727069</c:v>
                </c:pt>
                <c:pt idx="70">
                  <c:v>-4.5877169148150907</c:v>
                </c:pt>
                <c:pt idx="71">
                  <c:v>-4.4951451087442909</c:v>
                </c:pt>
                <c:pt idx="72">
                  <c:v>-4.4032828531081725</c:v>
                </c:pt>
                <c:pt idx="73">
                  <c:v>-4.3120998577719023</c:v>
                </c:pt>
                <c:pt idx="74">
                  <c:v>-4.2215634918270819</c:v>
                </c:pt>
                <c:pt idx="75">
                  <c:v>-4.1316389326482694</c:v>
                </c:pt>
                <c:pt idx="76">
                  <c:v>-4.0422893165896028</c:v>
                </c:pt>
                <c:pt idx="77">
                  <c:v>-3.9534758908735075</c:v>
                </c:pt>
                <c:pt idx="78">
                  <c:v>-3.8651581662371783</c:v>
                </c:pt>
                <c:pt idx="79">
                  <c:v>-3.7772940699159681</c:v>
                </c:pt>
                <c:pt idx="80">
                  <c:v>-3.6898400985566244</c:v>
                </c:pt>
                <c:pt idx="81">
                  <c:v>-3.6027514706668073</c:v>
                </c:pt>
                <c:pt idx="82">
                  <c:v>-3.5159822782209926</c:v>
                </c:pt>
                <c:pt idx="83">
                  <c:v>-3.4294856370564717</c:v>
                </c:pt>
                <c:pt idx="84">
                  <c:v>-3.3432138357067869</c:v>
                </c:pt>
                <c:pt idx="85">
                  <c:v>-3.2571184823335408</c:v>
                </c:pt>
                <c:pt idx="86">
                  <c:v>-3.1711506494311634</c:v>
                </c:pt>
                <c:pt idx="87">
                  <c:v>-3.0852610159928218</c:v>
                </c:pt>
                <c:pt idx="88">
                  <c:v>-2.9994000068392812</c:v>
                </c:pt>
                <c:pt idx="89">
                  <c:v>-2.9135179288261468</c:v>
                </c:pt>
                <c:pt idx="90">
                  <c:v>-2.8275651036585301</c:v>
                </c:pt>
                <c:pt idx="91">
                  <c:v>-2.7414919970558183</c:v>
                </c:pt>
                <c:pt idx="92">
                  <c:v>-2.6552493440228182</c:v>
                </c:pt>
                <c:pt idx="93">
                  <c:v>-2.5687882699971851</c:v>
                </c:pt>
                <c:pt idx="94">
                  <c:v>-2.482060407656669</c:v>
                </c:pt>
                <c:pt idx="95">
                  <c:v>-2.3950180091833153</c:v>
                </c:pt>
                <c:pt idx="96">
                  <c:v>-2.3076140537953682</c:v>
                </c:pt>
                <c:pt idx="97">
                  <c:v>-2.2198023503712978</c:v>
                </c:pt>
                <c:pt idx="98">
                  <c:v>-2.1315376350039079</c:v>
                </c:pt>
                <c:pt idx="99">
                  <c:v>-2.0427756633361751</c:v>
                </c:pt>
                <c:pt idx="100">
                  <c:v>-1.9534732975440463</c:v>
                </c:pt>
                <c:pt idx="101">
                  <c:v>-1.8635885878450555</c:v>
                </c:pt>
                <c:pt idx="102">
                  <c:v>-1.7730808484252409</c:v>
                </c:pt>
                <c:pt idx="103">
                  <c:v>-1.6819107276904572</c:v>
                </c:pt>
                <c:pt idx="104">
                  <c:v>-1.5900402727617988</c:v>
                </c:pt>
                <c:pt idx="105">
                  <c:v>-1.4974329881484698</c:v>
                </c:pt>
                <c:pt idx="106">
                  <c:v>-1.4040538885450613</c:v>
                </c:pt>
                <c:pt idx="107">
                  <c:v>-1.3098695457138008</c:v>
                </c:pt>
                <c:pt idx="108">
                  <c:v>-1.2148481294259785</c:v>
                </c:pt>
                <c:pt idx="109">
                  <c:v>-1.1189594424503475</c:v>
                </c:pt>
                <c:pt idx="110">
                  <c:v>-1.0221749495899455</c:v>
                </c:pt>
                <c:pt idx="111">
                  <c:v>-0.924467800782385</c:v>
                </c:pt>
                <c:pt idx="112">
                  <c:v>-0.82581284829227042</c:v>
                </c:pt>
                <c:pt idx="113">
                  <c:v>-0.72618665803804794</c:v>
                </c:pt>
                <c:pt idx="114">
                  <c:v>-0.62556751510918907</c:v>
                </c:pt>
                <c:pt idx="115">
                  <c:v>-0.52393542354323352</c:v>
                </c:pt>
                <c:pt idx="116">
                  <c:v>-0.42127210044584235</c:v>
                </c:pt>
                <c:pt idx="117">
                  <c:v>-0.3175609645506281</c:v>
                </c:pt>
                <c:pt idx="118">
                  <c:v>-0.21278711932914363</c:v>
                </c:pt>
                <c:pt idx="119">
                  <c:v>-0.10693733077503771</c:v>
                </c:pt>
                <c:pt idx="120">
                  <c:v>0</c:v>
                </c:pt>
                <c:pt idx="121">
                  <c:v>0.10803486920726184</c:v>
                </c:pt>
                <c:pt idx="122">
                  <c:v>0.21717570769414951</c:v>
                </c:pt>
                <c:pt idx="123">
                  <c:v>0.32742942295092592</c:v>
                </c:pt>
                <c:pt idx="124">
                  <c:v>0.43880144561898887</c:v>
                </c:pt>
                <c:pt idx="125">
                  <c:v>0.55129578029494841</c:v>
                </c:pt>
                <c:pt idx="126">
                  <c:v>0.66491506041116843</c:v>
                </c:pt>
                <c:pt idx="127">
                  <c:v>0.7796606069598121</c:v>
                </c:pt>
                <c:pt idx="128">
                  <c:v>0.89553249081381714</c:v>
                </c:pt>
                <c:pt idx="129">
                  <c:v>1.012529598384601</c:v>
                </c:pt>
                <c:pt idx="130">
                  <c:v>1.1306497003426816</c:v>
                </c:pt>
                <c:pt idx="131">
                  <c:v>1.2498895231137783</c:v>
                </c:pt>
                <c:pt idx="132">
                  <c:v>1.3702448228493378</c:v>
                </c:pt>
                <c:pt idx="133">
                  <c:v>1.491710461556814</c:v>
                </c:pt>
                <c:pt idx="134">
                  <c:v>1.6142804850614039</c:v>
                </c:pt>
                <c:pt idx="135">
                  <c:v>1.7379482024573336</c:v>
                </c:pt>
                <c:pt idx="136">
                  <c:v>1.8627062666931586</c:v>
                </c:pt>
                <c:pt idx="137">
                  <c:v>1.9885467559219319</c:v>
                </c:pt>
                <c:pt idx="138">
                  <c:v>2.115461255233464</c:v>
                </c:pt>
                <c:pt idx="139">
                  <c:v>2.2434409383722937</c:v>
                </c:pt>
                <c:pt idx="140">
                  <c:v>2.3724766490313596</c:v>
                </c:pt>
                <c:pt idx="141">
                  <c:v>2.5025589812977351</c:v>
                </c:pt>
                <c:pt idx="142">
                  <c:v>2.6336783588131993</c:v>
                </c:pt>
                <c:pt idx="143">
                  <c:v>2.7658251121987592</c:v>
                </c:pt>
                <c:pt idx="144">
                  <c:v>2.8989895542786508</c:v>
                </c:pt>
                <c:pt idx="145">
                  <c:v>3.0331620526257148</c:v>
                </c:pt>
                <c:pt idx="146">
                  <c:v>3.1683330989364071</c:v>
                </c:pt>
                <c:pt idx="147">
                  <c:v>3.3044933747301304</c:v>
                </c:pt>
                <c:pt idx="148">
                  <c:v>3.4416338128538935</c:v>
                </c:pt>
                <c:pt idx="149">
                  <c:v>3.5797456542597459</c:v>
                </c:pt>
                <c:pt idx="150">
                  <c:v>3.7188204995087681</c:v>
                </c:pt>
                <c:pt idx="151">
                  <c:v>3.8588503544418047</c:v>
                </c:pt>
                <c:pt idx="152">
                  <c:v>3.9998276694435009</c:v>
                </c:pt>
                <c:pt idx="153">
                  <c:v>4.1417453717125925</c:v>
                </c:pt>
                <c:pt idx="154">
                  <c:v>4.2845968899377569</c:v>
                </c:pt>
                <c:pt idx="155">
                  <c:v>4.428376170764742</c:v>
                </c:pt>
                <c:pt idx="156">
                  <c:v>4.5730776864268492</c:v>
                </c:pt>
                <c:pt idx="157">
                  <c:v>4.7186964328972527</c:v>
                </c:pt>
                <c:pt idx="158">
                  <c:v>4.8652279179079709</c:v>
                </c:pt>
                <c:pt idx="159">
                  <c:v>5.0126681381667382</c:v>
                </c:pt>
                <c:pt idx="160">
                  <c:v>5.161013545089399</c:v>
                </c:pt>
                <c:pt idx="161">
                  <c:v>5.3102609983517715</c:v>
                </c:pt>
                <c:pt idx="162">
                  <c:v>5.4604077065513854</c:v>
                </c:pt>
                <c:pt idx="163">
                  <c:v>5.6114511542558336</c:v>
                </c:pt>
                <c:pt idx="164">
                  <c:v>5.7633890147008628</c:v>
                </c:pt>
                <c:pt idx="165">
                  <c:v>5.916219047387723</c:v>
                </c:pt>
                <c:pt idx="166">
                  <c:v>6.0699389798156584</c:v>
                </c:pt>
                <c:pt idx="167">
                  <c:v>6.224546372571834</c:v>
                </c:pt>
                <c:pt idx="168">
                  <c:v>6.3800384669873216</c:v>
                </c:pt>
                <c:pt idx="169">
                  <c:v>6.5364120145542008</c:v>
                </c:pt>
                <c:pt idx="170">
                  <c:v>6.6936630872851941</c:v>
                </c:pt>
                <c:pt idx="171">
                  <c:v>6.8517868681836154</c:v>
                </c:pt>
                <c:pt idx="172">
                  <c:v>7.0107774209778215</c:v>
                </c:pt>
                <c:pt idx="173">
                  <c:v>7.1706274382607225</c:v>
                </c:pt>
                <c:pt idx="174">
                  <c:v>7.3313279671612896</c:v>
                </c:pt>
                <c:pt idx="175">
                  <c:v>7.4928681116613722</c:v>
                </c:pt>
                <c:pt idx="176">
                  <c:v>7.6552347106575471</c:v>
                </c:pt>
                <c:pt idx="177">
                  <c:v>7.8184119908540488</c:v>
                </c:pt>
                <c:pt idx="178">
                  <c:v>7.982381193559271</c:v>
                </c:pt>
                <c:pt idx="179">
                  <c:v>8.1471201744446748</c:v>
                </c:pt>
                <c:pt idx="180">
                  <c:v>8.3126029753113038</c:v>
                </c:pt>
                <c:pt idx="181">
                  <c:v>8.4787993668955579</c:v>
                </c:pt>
                <c:pt idx="182">
                  <c:v>8.645674361732155</c:v>
                </c:pt>
                <c:pt idx="183">
                  <c:v>8.8131876960787103</c:v>
                </c:pt>
                <c:pt idx="184">
                  <c:v>8.9812932798926131</c:v>
                </c:pt>
                <c:pt idx="185">
                  <c:v>9.1499386138373602</c:v>
                </c:pt>
                <c:pt idx="186">
                  <c:v>9.319064172281891</c:v>
                </c:pt>
                <c:pt idx="187">
                  <c:v>9.4886027512427411</c:v>
                </c:pt>
                <c:pt idx="188">
                  <c:v>9.6584787802053285</c:v>
                </c:pt>
                <c:pt idx="189">
                  <c:v>9.8286075967470161</c:v>
                </c:pt>
                <c:pt idx="190">
                  <c:v>9.9988946828710041</c:v>
                </c:pt>
                <c:pt idx="191">
                  <c:v>10.169234861946396</c:v>
                </c:pt>
                <c:pt idx="192">
                  <c:v>10.339511455136316</c:v>
                </c:pt>
                <c:pt idx="193">
                  <c:v>10.509595396182197</c:v>
                </c:pt>
                <c:pt idx="194">
                  <c:v>10.67934430339881</c:v>
                </c:pt>
                <c:pt idx="195">
                  <c:v>10.848601507720973</c:v>
                </c:pt>
                <c:pt idx="196">
                  <c:v>11.017195035629253</c:v>
                </c:pt>
                <c:pt idx="197">
                  <c:v>11.184936545768345</c:v>
                </c:pt>
                <c:pt idx="198">
                  <c:v>11.351620218058249</c:v>
                </c:pt>
                <c:pt idx="199">
                  <c:v>11.517021594084635</c:v>
                </c:pt>
                <c:pt idx="200">
                  <c:v>11.680896367541319</c:v>
                </c:pt>
              </c:numCache>
            </c:numRef>
          </c:yVal>
          <c:smooth val="1"/>
        </c:ser>
        <c:dLbls>
          <c:showLegendKey val="0"/>
          <c:showVal val="0"/>
          <c:showCatName val="0"/>
          <c:showSerName val="0"/>
          <c:showPercent val="0"/>
          <c:showBubbleSize val="0"/>
        </c:dLbls>
        <c:axId val="454246896"/>
        <c:axId val="454253952"/>
      </c:scatterChart>
      <c:valAx>
        <c:axId val="45424689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53952"/>
        <c:crossesAt val="-1000"/>
        <c:crossBetween val="midCat"/>
      </c:valAx>
      <c:valAx>
        <c:axId val="454253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4689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460375</xdr:colOff>
      <xdr:row>419</xdr:row>
      <xdr:rowOff>180181</xdr:rowOff>
    </xdr:from>
    <xdr:to>
      <xdr:col>22</xdr:col>
      <xdr:colOff>460375</xdr:colOff>
      <xdr:row>434</xdr:row>
      <xdr:rowOff>65881</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72</xdr:row>
      <xdr:rowOff>190499</xdr:rowOff>
    </xdr:from>
    <xdr:to>
      <xdr:col>19</xdr:col>
      <xdr:colOff>363682</xdr:colOff>
      <xdr:row>93</xdr:row>
      <xdr:rowOff>147204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152</xdr:row>
      <xdr:rowOff>0</xdr:rowOff>
    </xdr:from>
    <xdr:to>
      <xdr:col>19</xdr:col>
      <xdr:colOff>760866</xdr:colOff>
      <xdr:row>174</xdr:row>
      <xdr:rowOff>181841</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753341</xdr:colOff>
      <xdr:row>175</xdr:row>
      <xdr:rowOff>8659</xdr:rowOff>
    </xdr:from>
    <xdr:to>
      <xdr:col>20</xdr:col>
      <xdr:colOff>8659</xdr:colOff>
      <xdr:row>196</xdr:row>
      <xdr:rowOff>84859</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5.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24" t="s">
        <v>107</v>
      </c>
      <c r="E2" s="124"/>
      <c r="F2" s="124"/>
      <c r="G2" s="124"/>
      <c r="H2" s="124"/>
      <c r="I2" s="124"/>
      <c r="J2" s="124"/>
      <c r="K2" s="124"/>
      <c r="L2" s="124"/>
      <c r="M2" s="124"/>
    </row>
    <row r="3" spans="1:13" x14ac:dyDescent="0.25">
      <c r="D3" s="124"/>
      <c r="E3" s="124"/>
      <c r="F3" s="124"/>
      <c r="G3" s="124"/>
      <c r="H3" s="124"/>
      <c r="I3" s="124"/>
      <c r="J3" s="124"/>
      <c r="K3" s="124"/>
      <c r="L3" s="124"/>
      <c r="M3" s="124"/>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69" workbookViewId="0">
      <selection activeCell="B74" sqref="B74"/>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151</v>
      </c>
    </row>
    <row r="22" spans="1:2" s="11" customFormat="1" x14ac:dyDescent="0.25">
      <c r="A22" s="61" t="s">
        <v>157</v>
      </c>
      <c r="B22" s="99">
        <f>CTE!N8-0.5</f>
        <v>161</v>
      </c>
    </row>
    <row r="23" spans="1:2" s="11" customFormat="1" x14ac:dyDescent="0.25">
      <c r="A23" s="61" t="s">
        <v>158</v>
      </c>
      <c r="B23" s="99">
        <f>CTE!N9</f>
        <v>180.5</v>
      </c>
    </row>
    <row r="24" spans="1:2" s="11" customFormat="1" x14ac:dyDescent="0.25"/>
    <row r="25" spans="1:2" s="11" customFormat="1" x14ac:dyDescent="0.25">
      <c r="A25" s="61" t="s">
        <v>147</v>
      </c>
      <c r="B25" s="53">
        <f>CTE!O5</f>
        <v>1.9178677428571428E-5</v>
      </c>
    </row>
    <row r="26" spans="1:2" s="11" customFormat="1" x14ac:dyDescent="0.25">
      <c r="A26" s="61" t="s">
        <v>148</v>
      </c>
      <c r="B26" s="53">
        <f>CTE!O6</f>
        <v>2.1154238571428571E-5</v>
      </c>
    </row>
    <row r="27" spans="1:2" s="11" customFormat="1" x14ac:dyDescent="0.25">
      <c r="A27" s="61" t="s">
        <v>149</v>
      </c>
      <c r="B27" s="53">
        <f>CTE!O8</f>
        <v>5.9200051428571433E-5</v>
      </c>
    </row>
    <row r="28" spans="1:2" s="11" customFormat="1" x14ac:dyDescent="0.25">
      <c r="A28" s="61" t="s">
        <v>150</v>
      </c>
      <c r="B28" s="53">
        <f>CTE!O9</f>
        <v>5.9157857142857142E-5</v>
      </c>
    </row>
    <row r="29" spans="1:2" s="11" customFormat="1" x14ac:dyDescent="0.25">
      <c r="A29" s="61"/>
    </row>
    <row r="30" spans="1:2" s="11" customFormat="1" x14ac:dyDescent="0.25">
      <c r="A30" s="61" t="s">
        <v>151</v>
      </c>
      <c r="B30" s="52">
        <f>CTE!P5</f>
        <v>1.9777143684210526E-5</v>
      </c>
    </row>
    <row r="31" spans="1:2" s="11" customFormat="1" x14ac:dyDescent="0.25">
      <c r="A31" s="61" t="s">
        <v>152</v>
      </c>
      <c r="B31" s="52">
        <f>CTE!P6</f>
        <v>2.1845439578947371E-5</v>
      </c>
    </row>
    <row r="32" spans="1:2" s="11" customFormat="1" x14ac:dyDescent="0.25">
      <c r="A32" s="61" t="s">
        <v>153</v>
      </c>
      <c r="B32" s="52">
        <f>CTE!P8</f>
        <v>6.052054E-5</v>
      </c>
    </row>
    <row r="33" spans="1:2" s="11" customFormat="1" x14ac:dyDescent="0.25">
      <c r="A33" s="61" t="s">
        <v>154</v>
      </c>
      <c r="B33" s="52">
        <f>CTE!P9</f>
        <v>6.0679988421052626E-5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0.10748456572624676</v>
      </c>
      <c r="D59" s="55">
        <v>1</v>
      </c>
    </row>
    <row r="60" spans="1:4" s="11" customFormat="1" x14ac:dyDescent="0.25">
      <c r="A60" s="54">
        <v>2</v>
      </c>
      <c r="B60" s="56">
        <f>'Shiftfunktion bestimmen'!N2</f>
        <v>5.4883446569532301E-4</v>
      </c>
      <c r="D60" s="55">
        <v>2</v>
      </c>
    </row>
    <row r="61" spans="1:4" s="11" customFormat="1" x14ac:dyDescent="0.25">
      <c r="A61" s="54">
        <v>3</v>
      </c>
      <c r="B61" s="56">
        <f>'Shiftfunktion bestimmen'!N3</f>
        <v>1.5339339255846075E-6</v>
      </c>
      <c r="D61" s="55">
        <v>3</v>
      </c>
    </row>
    <row r="62" spans="1:4" s="11" customFormat="1" x14ac:dyDescent="0.25">
      <c r="A62" s="54">
        <v>4</v>
      </c>
      <c r="B62" s="56">
        <f>'Shiftfunktion bestimmen'!N4</f>
        <v>-6.525610659392276E-8</v>
      </c>
      <c r="D62" s="55">
        <v>4</v>
      </c>
    </row>
    <row r="63" spans="1:4" s="11" customFormat="1" x14ac:dyDescent="0.25">
      <c r="A63" s="54">
        <v>5</v>
      </c>
      <c r="B63" s="56">
        <f>'Shiftfunktion bestimmen'!N5</f>
        <v>3.3101419368462484E-10</v>
      </c>
      <c r="D63" s="55">
        <v>5</v>
      </c>
    </row>
    <row r="64" spans="1:4" s="11" customFormat="1" x14ac:dyDescent="0.25">
      <c r="A64" s="54">
        <v>6</v>
      </c>
      <c r="B64" s="56">
        <f>'Shiftfunktion bestimmen'!N6</f>
        <v>6.5236505719254556E-12</v>
      </c>
      <c r="D64" s="55">
        <v>6</v>
      </c>
    </row>
    <row r="65" spans="1:5" s="11" customFormat="1" x14ac:dyDescent="0.25">
      <c r="A65" s="54">
        <v>7</v>
      </c>
      <c r="B65" s="56">
        <f>'Shiftfunktion bestimmen'!N7</f>
        <v>-3.6764110702996991E-14</v>
      </c>
      <c r="D65" s="55">
        <v>7</v>
      </c>
    </row>
    <row r="66" spans="1:5" x14ac:dyDescent="0.25">
      <c r="A66" s="54">
        <v>8</v>
      </c>
      <c r="B66" s="56">
        <f>'Shiftfunktion bestimmen'!N8</f>
        <v>-3.3777797062589117E-16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'Universal Mastercurve'!C111</f>
        <v>0.25303327827068972</v>
      </c>
      <c r="D74" s="51">
        <v>1</v>
      </c>
      <c r="E74" s="56">
        <f>'Universal Mastercurve'!A111</f>
        <v>1.0000000000000001E-20</v>
      </c>
    </row>
    <row r="75" spans="1:5" x14ac:dyDescent="0.25">
      <c r="A75" s="50">
        <f>A74+1</f>
        <v>2</v>
      </c>
      <c r="B75" s="56">
        <f>'Universal Mastercurve'!C112</f>
        <v>0</v>
      </c>
      <c r="D75" s="51">
        <v>2</v>
      </c>
      <c r="E75" s="56">
        <f>'Universal Mastercurve'!A112</f>
        <v>3.9038946506297401E-14</v>
      </c>
    </row>
    <row r="76" spans="1:5" x14ac:dyDescent="0.25">
      <c r="A76" s="50">
        <f t="shared" ref="A76:A104" si="0">A75+1</f>
        <v>3</v>
      </c>
      <c r="B76" s="56">
        <f>'Universal Mastercurve'!C113</f>
        <v>0</v>
      </c>
      <c r="D76" s="51">
        <v>3</v>
      </c>
      <c r="E76" s="56">
        <f>'Universal Mastercurve'!A113</f>
        <v>4.3276437088188502E-13</v>
      </c>
    </row>
    <row r="77" spans="1:5" x14ac:dyDescent="0.25">
      <c r="A77" s="50">
        <f t="shared" si="0"/>
        <v>4</v>
      </c>
      <c r="B77" s="56">
        <f>'Universal Mastercurve'!C114</f>
        <v>0</v>
      </c>
      <c r="D77" s="51">
        <v>4</v>
      </c>
      <c r="E77" s="56">
        <f>'Universal Mastercurve'!A114</f>
        <v>4.7973886968128502E-12</v>
      </c>
    </row>
    <row r="78" spans="1:5" x14ac:dyDescent="0.25">
      <c r="A78" s="50">
        <f t="shared" si="0"/>
        <v>5</v>
      </c>
      <c r="B78" s="56">
        <f>'Universal Mastercurve'!C115</f>
        <v>0</v>
      </c>
      <c r="D78" s="51">
        <v>5</v>
      </c>
      <c r="E78" s="56">
        <f>'Universal Mastercurve'!A115</f>
        <v>5.31812225239524E-11</v>
      </c>
    </row>
    <row r="79" spans="1:5" x14ac:dyDescent="0.25">
      <c r="A79" s="50">
        <f t="shared" si="0"/>
        <v>6</v>
      </c>
      <c r="B79" s="56">
        <f>'Universal Mastercurve'!C116</f>
        <v>0</v>
      </c>
      <c r="D79" s="51">
        <v>6</v>
      </c>
      <c r="E79" s="56">
        <f>'Universal Mastercurve'!A116</f>
        <v>5.8953789402578301E-10</v>
      </c>
    </row>
    <row r="80" spans="1:5" x14ac:dyDescent="0.25">
      <c r="A80" s="50">
        <f t="shared" si="0"/>
        <v>7</v>
      </c>
      <c r="B80" s="56">
        <f>'Universal Mastercurve'!C117</f>
        <v>3.0824824636448495E-2</v>
      </c>
      <c r="D80" s="51">
        <v>7</v>
      </c>
      <c r="E80" s="56">
        <f>'Universal Mastercurve'!A117</f>
        <v>6.5352940755699598E-9</v>
      </c>
    </row>
    <row r="81" spans="1:5" x14ac:dyDescent="0.25">
      <c r="A81" s="50">
        <f t="shared" si="0"/>
        <v>8</v>
      </c>
      <c r="B81" s="56">
        <f>'Universal Mastercurve'!C118</f>
        <v>4.2846818545000345E-2</v>
      </c>
      <c r="D81" s="51">
        <v>8</v>
      </c>
      <c r="E81" s="56">
        <f>'Universal Mastercurve'!A118</f>
        <v>7.2446689325643296E-8</v>
      </c>
    </row>
    <row r="82" spans="1:5" x14ac:dyDescent="0.25">
      <c r="A82" s="50">
        <f t="shared" si="0"/>
        <v>9</v>
      </c>
      <c r="B82" s="56">
        <f>'Universal Mastercurve'!C119</f>
        <v>3.7164291060626124E-2</v>
      </c>
      <c r="D82" s="51">
        <f>A82</f>
        <v>9</v>
      </c>
      <c r="E82" s="56">
        <f>'Universal Mastercurve'!A119</f>
        <v>8.03104303120212E-7</v>
      </c>
    </row>
    <row r="83" spans="1:5" x14ac:dyDescent="0.25">
      <c r="A83" s="50">
        <f t="shared" si="0"/>
        <v>10</v>
      </c>
      <c r="B83" s="56">
        <f>'Universal Mastercurve'!C120</f>
        <v>3.0383141180263203E-2</v>
      </c>
      <c r="C83" s="11"/>
      <c r="D83" s="51">
        <f t="shared" ref="D83:D104" si="1">A83</f>
        <v>10</v>
      </c>
      <c r="E83" s="56">
        <f>'Universal Mastercurve'!A120</f>
        <v>8.9027742702096099E-6</v>
      </c>
    </row>
    <row r="84" spans="1:5" x14ac:dyDescent="0.25">
      <c r="A84" s="50">
        <f t="shared" si="0"/>
        <v>11</v>
      </c>
      <c r="B84" s="56">
        <f>'Universal Mastercurve'!C121</f>
        <v>2.8136242516978716E-2</v>
      </c>
      <c r="C84" s="11"/>
      <c r="D84" s="51">
        <f t="shared" si="1"/>
        <v>11</v>
      </c>
      <c r="E84" s="56">
        <f>'Universal Mastercurve'!A121</f>
        <v>9.86912775817142E-5</v>
      </c>
    </row>
    <row r="85" spans="1:5" x14ac:dyDescent="0.25">
      <c r="A85" s="50">
        <f t="shared" si="0"/>
        <v>12</v>
      </c>
      <c r="B85" s="56">
        <f>'Universal Mastercurve'!C122</f>
        <v>3.0696319999992488E-2</v>
      </c>
      <c r="C85" s="11"/>
      <c r="D85" s="51">
        <f t="shared" si="1"/>
        <v>12</v>
      </c>
      <c r="E85" s="56">
        <f>'Universal Mastercurve'!A122</f>
        <v>1.0940374286813801E-3</v>
      </c>
    </row>
    <row r="86" spans="1:5" x14ac:dyDescent="0.25">
      <c r="A86" s="50">
        <f t="shared" si="0"/>
        <v>13</v>
      </c>
      <c r="B86" s="56">
        <f>'Universal Mastercurve'!C123</f>
        <v>2.5943361216110947E-2</v>
      </c>
      <c r="C86" s="11"/>
      <c r="D86" s="51">
        <f t="shared" si="1"/>
        <v>13</v>
      </c>
      <c r="E86" s="56">
        <f>'Universal Mastercurve'!A123</f>
        <v>1.2127899493091E-2</v>
      </c>
    </row>
    <row r="87" spans="1:5" x14ac:dyDescent="0.25">
      <c r="A87" s="50">
        <f t="shared" si="0"/>
        <v>14</v>
      </c>
      <c r="B87" s="56">
        <f>'Universal Mastercurve'!C124</f>
        <v>3.1154308978647429E-2</v>
      </c>
      <c r="C87" s="11"/>
      <c r="D87" s="51">
        <f t="shared" si="1"/>
        <v>14</v>
      </c>
      <c r="E87" s="56">
        <f>'Universal Mastercurve'!A124</f>
        <v>0.13444324870292301</v>
      </c>
    </row>
    <row r="88" spans="1:5" x14ac:dyDescent="0.25">
      <c r="A88" s="50">
        <f t="shared" si="0"/>
        <v>15</v>
      </c>
      <c r="B88" s="56">
        <f>'Universal Mastercurve'!C125</f>
        <v>3.6187410343678422E-2</v>
      </c>
      <c r="C88" s="11"/>
      <c r="D88" s="51">
        <f t="shared" si="1"/>
        <v>15</v>
      </c>
      <c r="E88" s="56">
        <f>'Universal Mastercurve'!A125</f>
        <v>1.49036419143257</v>
      </c>
    </row>
    <row r="89" spans="1:5" x14ac:dyDescent="0.25">
      <c r="A89" s="50">
        <f t="shared" si="0"/>
        <v>16</v>
      </c>
      <c r="B89" s="56">
        <f>'Universal Mastercurve'!C126</f>
        <v>4.0354926294586486E-2</v>
      </c>
      <c r="C89" s="11"/>
      <c r="D89" s="51">
        <f t="shared" si="1"/>
        <v>16</v>
      </c>
      <c r="E89" s="56">
        <f>'Universal Mastercurve'!A126</f>
        <v>16.521360830937301</v>
      </c>
    </row>
    <row r="90" spans="1:5" x14ac:dyDescent="0.25">
      <c r="A90" s="50">
        <f t="shared" si="0"/>
        <v>17</v>
      </c>
      <c r="B90" s="56">
        <f>'Universal Mastercurve'!C127</f>
        <v>4.3724997465199839E-2</v>
      </c>
      <c r="C90" s="11"/>
      <c r="D90" s="51">
        <f t="shared" si="1"/>
        <v>17</v>
      </c>
      <c r="E90" s="56">
        <f>'Universal Mastercurve'!A127</f>
        <v>183.146753843879</v>
      </c>
    </row>
    <row r="91" spans="1:5" x14ac:dyDescent="0.25">
      <c r="A91" s="50">
        <f t="shared" si="0"/>
        <v>18</v>
      </c>
      <c r="B91" s="56">
        <f>'Universal Mastercurve'!C128</f>
        <v>4.8784567640000866E-2</v>
      </c>
      <c r="C91" s="11"/>
      <c r="D91" s="51">
        <f t="shared" si="1"/>
        <v>18</v>
      </c>
      <c r="E91" s="56">
        <f>'Universal Mastercurve'!A128</f>
        <v>2030.26456396616</v>
      </c>
    </row>
    <row r="92" spans="1:5" x14ac:dyDescent="0.25">
      <c r="A92" s="50">
        <f t="shared" si="0"/>
        <v>19</v>
      </c>
      <c r="B92" s="56">
        <f>'Universal Mastercurve'!C129</f>
        <v>5.2453032060671236E-2</v>
      </c>
      <c r="C92" s="11"/>
      <c r="D92" s="51">
        <f t="shared" si="1"/>
        <v>19</v>
      </c>
      <c r="E92" s="56">
        <f>'Universal Mastercurve'!A129</f>
        <v>22506.400540467101</v>
      </c>
    </row>
    <row r="93" spans="1:5" x14ac:dyDescent="0.25">
      <c r="A93" s="50">
        <f t="shared" si="0"/>
        <v>20</v>
      </c>
      <c r="B93" s="56">
        <f>'Universal Mastercurve'!C130</f>
        <v>7.4670570331975966E-2</v>
      </c>
      <c r="C93" s="11"/>
      <c r="D93" s="51">
        <f t="shared" si="1"/>
        <v>20</v>
      </c>
      <c r="E93" s="56">
        <f>'Universal Mastercurve'!A130</f>
        <v>249493.62476110301</v>
      </c>
    </row>
    <row r="94" spans="1:5" x14ac:dyDescent="0.25">
      <c r="A94" s="50">
        <f t="shared" si="0"/>
        <v>21</v>
      </c>
      <c r="B94" s="56">
        <f>'Universal Mastercurve'!C131</f>
        <v>1.1372499373365461E-2</v>
      </c>
      <c r="C94" s="11"/>
      <c r="D94" s="51">
        <f t="shared" si="1"/>
        <v>21</v>
      </c>
      <c r="E94" s="56">
        <f>'Universal Mastercurve'!A131</f>
        <v>2765749.6224023802</v>
      </c>
    </row>
    <row r="95" spans="1:5" x14ac:dyDescent="0.25">
      <c r="A95" s="50">
        <f t="shared" si="0"/>
        <v>22</v>
      </c>
      <c r="B95" s="56">
        <f>'Universal Mastercurve'!C132</f>
        <v>7.5722035210341931E-2</v>
      </c>
      <c r="C95" s="11"/>
      <c r="D95" s="51">
        <f t="shared" si="1"/>
        <v>22</v>
      </c>
      <c r="E95" s="56">
        <f>'Universal Mastercurve'!A132</f>
        <v>10000000</v>
      </c>
    </row>
    <row r="96" spans="1:5" x14ac:dyDescent="0.25">
      <c r="A96" s="50">
        <f t="shared" si="0"/>
        <v>23</v>
      </c>
      <c r="B96" s="56">
        <f>'Universal Mastercurve'!C133</f>
        <v>1.273155811000683E-2</v>
      </c>
      <c r="C96" s="11"/>
      <c r="D96" s="51">
        <f t="shared" si="1"/>
        <v>23</v>
      </c>
      <c r="E96" s="56">
        <f>'Universal Mastercurve'!A133</f>
        <v>100000000</v>
      </c>
    </row>
    <row r="97" spans="1:5" x14ac:dyDescent="0.25">
      <c r="A97" s="50">
        <f t="shared" si="0"/>
        <v>24</v>
      </c>
      <c r="B97" s="56">
        <f>'Universal Mastercurve'!C134</f>
        <v>3.176890270711074E-2</v>
      </c>
      <c r="C97" s="11"/>
      <c r="D97" s="51">
        <f t="shared" si="1"/>
        <v>24</v>
      </c>
      <c r="E97" s="56">
        <f>'Universal Mastercurve'!A134</f>
        <v>1000000000</v>
      </c>
    </row>
    <row r="98" spans="1:5" x14ac:dyDescent="0.25">
      <c r="A98" s="50">
        <f t="shared" si="0"/>
        <v>25</v>
      </c>
      <c r="B98" s="56">
        <f>'Universal Mastercurve'!C135</f>
        <v>0</v>
      </c>
      <c r="C98" s="11"/>
      <c r="D98" s="51">
        <f t="shared" si="1"/>
        <v>25</v>
      </c>
      <c r="E98" s="56">
        <f>'Universal Mastercurve'!A135</f>
        <v>10000000000</v>
      </c>
    </row>
    <row r="99" spans="1:5" x14ac:dyDescent="0.25">
      <c r="A99" s="50">
        <f t="shared" si="0"/>
        <v>26</v>
      </c>
      <c r="B99" s="56">
        <f>'Universal Mastercurve'!C136</f>
        <v>0</v>
      </c>
      <c r="C99" s="11"/>
      <c r="D99" s="51">
        <f t="shared" si="1"/>
        <v>26</v>
      </c>
      <c r="E99" s="56">
        <f>'Universal Mastercurve'!A136</f>
        <v>100000000000</v>
      </c>
    </row>
    <row r="100" spans="1:5" x14ac:dyDescent="0.25">
      <c r="A100" s="50">
        <f t="shared" si="0"/>
        <v>27</v>
      </c>
      <c r="B100" s="56">
        <f>'Universal Mastercurve'!C137</f>
        <v>0</v>
      </c>
      <c r="C100" s="11"/>
      <c r="D100" s="51">
        <f t="shared" si="1"/>
        <v>27</v>
      </c>
      <c r="E100" s="56">
        <f>'Universal Mastercurve'!A137</f>
        <v>1000000000000</v>
      </c>
    </row>
    <row r="101" spans="1:5" x14ac:dyDescent="0.25">
      <c r="A101" s="50">
        <f t="shared" si="0"/>
        <v>28</v>
      </c>
      <c r="B101" s="56">
        <f>'Universal Mastercurve'!C138</f>
        <v>0</v>
      </c>
      <c r="C101" s="11"/>
      <c r="D101" s="51">
        <f t="shared" si="1"/>
        <v>28</v>
      </c>
      <c r="E101" s="56">
        <f>'Universal Mastercurve'!A138</f>
        <v>10000000000000</v>
      </c>
    </row>
    <row r="102" spans="1:5" x14ac:dyDescent="0.25">
      <c r="A102" s="50">
        <f t="shared" si="0"/>
        <v>29</v>
      </c>
      <c r="B102" s="56">
        <f>'Universal Mastercurve'!C139</f>
        <v>0</v>
      </c>
      <c r="C102" s="11"/>
      <c r="D102" s="51">
        <f t="shared" si="1"/>
        <v>29</v>
      </c>
      <c r="E102" s="56">
        <f>'Universal Mastercurve'!A139</f>
        <v>100000000000000</v>
      </c>
    </row>
    <row r="103" spans="1:5" x14ac:dyDescent="0.25">
      <c r="A103" s="50">
        <f t="shared" si="0"/>
        <v>30</v>
      </c>
      <c r="B103" s="56">
        <f>'Universal Mastercurve'!C140</f>
        <v>0</v>
      </c>
      <c r="C103" s="11"/>
      <c r="D103" s="51">
        <f t="shared" si="1"/>
        <v>30</v>
      </c>
      <c r="E103" s="56">
        <f>'Universal Mastercurve'!A140</f>
        <v>1000000000000000</v>
      </c>
    </row>
    <row r="104" spans="1:5" x14ac:dyDescent="0.25">
      <c r="A104" s="50">
        <f t="shared" si="0"/>
        <v>31</v>
      </c>
      <c r="B104" s="56">
        <f>'Universal Mastercurve'!C141</f>
        <v>0</v>
      </c>
      <c r="C104" s="11"/>
      <c r="D104" s="51">
        <f t="shared" si="1"/>
        <v>31</v>
      </c>
      <c r="E104" s="56">
        <f>'Universal Mastercurve'!A141</f>
        <v>1E+16</v>
      </c>
    </row>
    <row r="105" spans="1:5" x14ac:dyDescent="0.25">
      <c r="A105" s="11"/>
    </row>
    <row r="106" spans="1:5" s="11" customFormat="1" x14ac:dyDescent="0.25"/>
    <row r="107" spans="1:5" s="11" customFormat="1" x14ac:dyDescent="0.25">
      <c r="A107" s="61" t="str">
        <f>STUTT!B2</f>
        <v>mp,ex,MatID,</v>
      </c>
      <c r="B107" s="52">
        <f>STUTT!C2</f>
        <v>27691.328000000001</v>
      </c>
    </row>
    <row r="108" spans="1:5" s="11" customFormat="1" x14ac:dyDescent="0.25">
      <c r="A108" s="61" t="str">
        <f>STUTT!B3</f>
        <v>mp,PRXY,MatID,</v>
      </c>
      <c r="B108" s="52">
        <f>STUTT!C3</f>
        <v>0.35195679000000002</v>
      </c>
    </row>
    <row r="109" spans="1:5" s="11" customFormat="1" x14ac:dyDescent="0.25">
      <c r="A109" s="61" t="str">
        <f>STUTT!B4</f>
        <v>mp,ey,MatID,</v>
      </c>
      <c r="B109" s="52">
        <f>STUTT!C4</f>
        <v>27960.883999999998</v>
      </c>
    </row>
    <row r="110" spans="1:5" s="11" customFormat="1" x14ac:dyDescent="0.25">
      <c r="A110" s="61" t="str">
        <f>STUTT!B5</f>
        <v>mp,PRYZ,MatID,</v>
      </c>
      <c r="B110" s="52">
        <f>STUTT!C5</f>
        <v>0.35541003999999998</v>
      </c>
    </row>
    <row r="111" spans="1:5" s="11" customFormat="1" x14ac:dyDescent="0.25">
      <c r="A111" s="61" t="str">
        <f>STUTT!B6</f>
        <v>mp,ez,MatID,</v>
      </c>
      <c r="B111" s="52">
        <f>STUTT!C6</f>
        <v>27691.328000000001</v>
      </c>
    </row>
    <row r="112" spans="1:5" s="11" customFormat="1" x14ac:dyDescent="0.25">
      <c r="A112" s="61" t="str">
        <f>STUTT!B7</f>
        <v>mp,PRXZ,MatID,</v>
      </c>
      <c r="B112" s="52">
        <f>STUTT!C7</f>
        <v>0.35911014000000002</v>
      </c>
    </row>
    <row r="113" spans="1:4" s="11" customFormat="1" x14ac:dyDescent="0.25">
      <c r="A113" s="61" t="str">
        <f>STUTT!B8</f>
        <v>MP,GXZ,</v>
      </c>
      <c r="B113" s="52" t="str">
        <f>STUTT!C8</f>
        <v>MatID,</v>
      </c>
      <c r="C113" s="125">
        <f>STUTT!D8</f>
        <v>10187.300999999999</v>
      </c>
      <c r="D113" s="125"/>
    </row>
    <row r="114" spans="1:4" s="11" customFormat="1" x14ac:dyDescent="0.25">
      <c r="A114" s="61" t="str">
        <f>STUTT!B9</f>
        <v>MP,GXY,</v>
      </c>
      <c r="B114" s="52" t="str">
        <f>STUTT!C9</f>
        <v>MatID,</v>
      </c>
      <c r="C114" s="125">
        <f>STUTT!D9</f>
        <v>10360.254000000001</v>
      </c>
      <c r="D114" s="125"/>
    </row>
    <row r="115" spans="1:4" x14ac:dyDescent="0.25">
      <c r="A115" s="61" t="str">
        <f>STUTT!B10</f>
        <v>MP,GYZ,</v>
      </c>
      <c r="B115" s="52" t="str">
        <f>STUTT!C10</f>
        <v>MatID,</v>
      </c>
      <c r="C115" s="125">
        <f>STUTT!D10</f>
        <v>10360.254000000001</v>
      </c>
      <c r="D115" s="125"/>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1.0879999999999999E-7</v>
      </c>
      <c r="C3" s="3">
        <v>3.8299999999999999E-8</v>
      </c>
      <c r="D3" s="3">
        <v>1.0879999999999999E-7</v>
      </c>
      <c r="E3" s="3">
        <v>-1.0000000000000001E-5</v>
      </c>
      <c r="F3" s="3">
        <v>-1.0000000000000001E-5</v>
      </c>
      <c r="G3" s="3">
        <v>-1.0000000000000001E-5</v>
      </c>
      <c r="H3" s="3">
        <v>-3.3571118E-6</v>
      </c>
      <c r="I3" s="3">
        <v>-9.3909650000000005E-7</v>
      </c>
      <c r="J3" s="3">
        <v>-3.3571118E-6</v>
      </c>
      <c r="L3" s="48">
        <f>ABS(H3/(-0.5)/$L$1)</f>
        <v>1.9183496000000003E-5</v>
      </c>
      <c r="R3">
        <f>ABS(I3/(-0.5)/$R$1)</f>
        <v>1.9770452631578948E-5</v>
      </c>
    </row>
    <row r="4" spans="1:18" x14ac:dyDescent="0.25">
      <c r="A4">
        <v>-39</v>
      </c>
      <c r="B4" s="3">
        <v>-1.0879999999999999E-7</v>
      </c>
      <c r="C4" s="3">
        <v>-3.8229999999999999E-8</v>
      </c>
      <c r="D4" s="3">
        <v>-1.0879999999999999E-7</v>
      </c>
      <c r="E4" s="3">
        <v>1.0000000000000001E-5</v>
      </c>
      <c r="F4" s="3">
        <v>1.0000000000000001E-5</v>
      </c>
      <c r="G4" s="3">
        <v>1.0000000000000001E-5</v>
      </c>
      <c r="H4" s="3">
        <v>3.3570912999999998E-6</v>
      </c>
      <c r="I4" s="3">
        <v>9.3910432999999997E-7</v>
      </c>
      <c r="J4" s="3">
        <v>3.3570912999999998E-6</v>
      </c>
      <c r="L4" s="48">
        <f t="shared" ref="L4:L14" si="0">ABS(H4/(-0.5)/$L$1)</f>
        <v>1.9183378857142858E-5</v>
      </c>
      <c r="N4" s="39" t="s">
        <v>27</v>
      </c>
      <c r="O4" s="39" t="s">
        <v>131</v>
      </c>
      <c r="P4" s="85" t="s">
        <v>132</v>
      </c>
      <c r="R4" s="11">
        <f t="shared" ref="R4:R14" si="1">ABS(I4/(-0.5)/$R$1)</f>
        <v>1.9770617473684209E-5</v>
      </c>
    </row>
    <row r="5" spans="1:18" x14ac:dyDescent="0.25">
      <c r="A5">
        <v>0</v>
      </c>
      <c r="B5" s="3">
        <v>1.1000000000000001E-7</v>
      </c>
      <c r="C5" s="3">
        <v>3.5479999999999997E-8</v>
      </c>
      <c r="D5" s="3">
        <v>1.1000000000000001E-7</v>
      </c>
      <c r="E5" s="3">
        <v>-1.0000000000000001E-5</v>
      </c>
      <c r="F5" s="3">
        <v>-1.0000000000000001E-5</v>
      </c>
      <c r="G5" s="3">
        <v>-1.0000000000000001E-5</v>
      </c>
      <c r="H5" s="3">
        <v>-3.3562790999999999E-6</v>
      </c>
      <c r="I5" s="3">
        <v>-9.3941038999999995E-7</v>
      </c>
      <c r="J5" s="3">
        <v>-3.3562790999999999E-6</v>
      </c>
      <c r="L5" s="48">
        <f t="shared" si="0"/>
        <v>1.9178737714285714E-5</v>
      </c>
      <c r="M5" s="48"/>
      <c r="N5" s="10">
        <f>(INDEX(A:A,ROW(A2)*2+1)+INDEX(A:A,ROW(A2)*2+2))/2</f>
        <v>0.5</v>
      </c>
      <c r="O5" s="89">
        <f>(INDEX(L:L,ROW(L2)*2+1)+INDEX(L:L,ROW(L2)*2+2))/2</f>
        <v>1.9178677428571428E-5</v>
      </c>
      <c r="P5" s="89">
        <f>(INDEX(R:R,ROW(M2)*2+1)+INDEX(R:R,ROW(R2)*2+2))/2</f>
        <v>1.9777143684210526E-5</v>
      </c>
      <c r="R5" s="11">
        <f t="shared" si="1"/>
        <v>1.9777060842105263E-5</v>
      </c>
    </row>
    <row r="6" spans="1:18" x14ac:dyDescent="0.25">
      <c r="A6">
        <v>1</v>
      </c>
      <c r="B6" s="3">
        <v>-1.1000000000000001E-7</v>
      </c>
      <c r="C6" s="3">
        <v>-3.5409999999999997E-8</v>
      </c>
      <c r="D6" s="3">
        <v>-1.1000000000000001E-7</v>
      </c>
      <c r="E6" s="3">
        <v>1.0000000000000001E-5</v>
      </c>
      <c r="F6" s="3">
        <v>1.0000000000000001E-5</v>
      </c>
      <c r="G6" s="3">
        <v>1.0000000000000001E-5</v>
      </c>
      <c r="H6" s="3">
        <v>3.3562580000000001E-6</v>
      </c>
      <c r="I6" s="3">
        <v>9.3941826000000002E-7</v>
      </c>
      <c r="J6" s="3">
        <v>3.3562580000000001E-6</v>
      </c>
      <c r="L6" s="48">
        <f t="shared" si="0"/>
        <v>1.9178617142857144E-5</v>
      </c>
      <c r="M6" s="49"/>
      <c r="N6" s="10">
        <f>(INDEX(A:A,ROW(A3)*2+1)+INDEX(A:A,ROW(A3)*2+2))/2</f>
        <v>151.5</v>
      </c>
      <c r="O6" s="89">
        <f t="shared" ref="O6:O7" si="2">(INDEX(L:L,ROW(L3)*2+1)+INDEX(L:L,ROW(L3)*2+2))/2</f>
        <v>2.1154238571428571E-5</v>
      </c>
      <c r="P6" s="89">
        <f t="shared" ref="P6:P9" si="3">(INDEX(R:R,ROW(M3)*2+1)+INDEX(R:R,ROW(R3)*2+2))/2</f>
        <v>2.1845439578947371E-5</v>
      </c>
      <c r="R6" s="11">
        <f t="shared" si="1"/>
        <v>1.9777226526315789E-5</v>
      </c>
    </row>
    <row r="7" spans="1:18" x14ac:dyDescent="0.25">
      <c r="A7">
        <v>151</v>
      </c>
      <c r="B7" s="3">
        <v>1.268E-7</v>
      </c>
      <c r="C7" s="3">
        <v>1.7590000000000001E-7</v>
      </c>
      <c r="D7" s="3">
        <v>1.268E-7</v>
      </c>
      <c r="E7" s="3">
        <v>-1.0689999999999999E-5</v>
      </c>
      <c r="F7" s="3">
        <v>-1.0689999999999999E-5</v>
      </c>
      <c r="G7" s="3">
        <v>-1.0689999999999999E-5</v>
      </c>
      <c r="H7" s="3">
        <v>-3.5274511000000002E-6</v>
      </c>
      <c r="I7" s="3">
        <v>-9.8912186000000008E-7</v>
      </c>
      <c r="J7" s="3">
        <v>-3.5274511000000002E-6</v>
      </c>
      <c r="L7" s="48">
        <f t="shared" si="0"/>
        <v>2.015686342857143E-5</v>
      </c>
      <c r="M7" s="48"/>
      <c r="N7" s="10">
        <f>(INDEX(A:A,ROW(A4)*2+1)+INDEX(A:A,ROW(A4)*2+2))/2</f>
        <v>156.5</v>
      </c>
      <c r="O7" s="89">
        <f t="shared" si="2"/>
        <v>4.1120605142857142E-5</v>
      </c>
      <c r="P7" s="89">
        <f t="shared" si="3"/>
        <v>4.226697684210527E-5</v>
      </c>
      <c r="R7" s="11">
        <f t="shared" si="1"/>
        <v>2.082361810526316E-5</v>
      </c>
    </row>
    <row r="8" spans="1:18" x14ac:dyDescent="0.25">
      <c r="A8">
        <v>152</v>
      </c>
      <c r="B8" s="3">
        <v>-1.515E-7</v>
      </c>
      <c r="C8" s="3">
        <v>-4.7759999999999999E-7</v>
      </c>
      <c r="D8" s="3">
        <v>-1.515E-7</v>
      </c>
      <c r="E8" s="3">
        <v>1.206E-5</v>
      </c>
      <c r="F8" s="3">
        <v>1.206E-5</v>
      </c>
      <c r="G8" s="3">
        <v>1.206E-5</v>
      </c>
      <c r="H8" s="3">
        <v>3.8765323999999999E-6</v>
      </c>
      <c r="I8" s="3">
        <v>1.0861949E-6</v>
      </c>
      <c r="J8" s="3">
        <v>3.8765323999999999E-6</v>
      </c>
      <c r="L8" s="48">
        <f t="shared" si="0"/>
        <v>2.2151613714285715E-5</v>
      </c>
      <c r="M8" s="49"/>
      <c r="N8" s="10">
        <f>(INDEX(A:A,ROW(A5)*2+1)+INDEX(A:A,ROW(A5)*2+2))/2</f>
        <v>161.5</v>
      </c>
      <c r="O8" s="89">
        <f t="shared" ref="O8:O9" si="4">(INDEX(L:L,ROW(L5)*2+1)+INDEX(L:L,ROW(L5)*2+2))/2</f>
        <v>5.9200051428571433E-5</v>
      </c>
      <c r="P8" s="89">
        <f t="shared" si="3"/>
        <v>6.052054E-5</v>
      </c>
      <c r="R8" s="11">
        <f t="shared" si="1"/>
        <v>2.2867261052631578E-5</v>
      </c>
    </row>
    <row r="9" spans="1:18" x14ac:dyDescent="0.25">
      <c r="A9">
        <v>156</v>
      </c>
      <c r="B9" s="3">
        <v>3.7329999999999999E-7</v>
      </c>
      <c r="C9" s="3">
        <v>3.1930000000000002E-6</v>
      </c>
      <c r="D9" s="3">
        <v>3.7329999999999999E-7</v>
      </c>
      <c r="E9" s="3">
        <v>-2.444E-5</v>
      </c>
      <c r="F9" s="3">
        <v>-2.444E-5</v>
      </c>
      <c r="G9" s="3">
        <v>-2.444E-5</v>
      </c>
      <c r="H9" s="3">
        <v>-7.0206212999999999E-6</v>
      </c>
      <c r="I9" s="3">
        <v>-1.9594163000000001E-6</v>
      </c>
      <c r="J9" s="3">
        <v>-7.0206212999999999E-6</v>
      </c>
      <c r="L9" s="48">
        <f t="shared" si="0"/>
        <v>4.0117836000000003E-5</v>
      </c>
      <c r="M9" s="48"/>
      <c r="N9" s="10">
        <f>(INDEX(A:A,ROW(A6)*2+1)+INDEX(A:A,ROW(A6)*2+2))/2</f>
        <v>180.5</v>
      </c>
      <c r="O9" s="89">
        <f t="shared" si="4"/>
        <v>5.9157857142857142E-5</v>
      </c>
      <c r="P9" s="89">
        <f t="shared" si="3"/>
        <v>6.0679988421052626E-5</v>
      </c>
      <c r="R9" s="11">
        <f t="shared" si="1"/>
        <v>4.1250869473684213E-5</v>
      </c>
    </row>
    <row r="10" spans="1:18" x14ac:dyDescent="0.25">
      <c r="A10">
        <v>157</v>
      </c>
      <c r="B10" s="3">
        <v>-3.967E-7</v>
      </c>
      <c r="C10" s="3">
        <v>-3.4979999999999998E-6</v>
      </c>
      <c r="D10" s="3">
        <v>-3.967E-7</v>
      </c>
      <c r="E10" s="3">
        <v>2.5809999999999999E-5</v>
      </c>
      <c r="F10" s="3">
        <v>2.5809999999999999E-5</v>
      </c>
      <c r="G10" s="3">
        <v>2.5809999999999999E-5</v>
      </c>
      <c r="H10" s="3">
        <v>7.3715904999999997E-6</v>
      </c>
      <c r="I10" s="3">
        <v>2.0559465000000002E-6</v>
      </c>
      <c r="J10" s="3">
        <v>7.3715904999999997E-6</v>
      </c>
      <c r="L10" s="48">
        <f t="shared" si="0"/>
        <v>4.2123374285714289E-5</v>
      </c>
      <c r="M10" s="49"/>
      <c r="N10" s="10"/>
      <c r="O10" s="3"/>
      <c r="R10" s="11">
        <f t="shared" si="1"/>
        <v>4.3283084210526321E-5</v>
      </c>
    </row>
    <row r="11" spans="1:18" x14ac:dyDescent="0.25">
      <c r="A11">
        <v>161</v>
      </c>
      <c r="B11" s="3">
        <v>5.7840000000000004E-7</v>
      </c>
      <c r="C11" s="3">
        <v>6.117E-6</v>
      </c>
      <c r="D11" s="3">
        <v>5.7840000000000004E-7</v>
      </c>
      <c r="E11" s="3">
        <v>-3.7499999999999997E-5</v>
      </c>
      <c r="F11" s="3">
        <v>-3.7499999999999997E-5</v>
      </c>
      <c r="G11" s="3">
        <v>-3.7499999999999997E-5</v>
      </c>
      <c r="H11" s="3">
        <v>-1.0360211E-5</v>
      </c>
      <c r="I11" s="3">
        <v>-2.8745259000000001E-6</v>
      </c>
      <c r="J11" s="3">
        <v>-1.0360211E-5</v>
      </c>
      <c r="L11" s="48">
        <f t="shared" si="0"/>
        <v>5.9201205714285719E-5</v>
      </c>
      <c r="M11" s="48"/>
      <c r="N11" s="10"/>
      <c r="O11" s="3"/>
      <c r="R11" s="11">
        <f t="shared" si="1"/>
        <v>6.0516334736842108E-5</v>
      </c>
    </row>
    <row r="12" spans="1:18" x14ac:dyDescent="0.25">
      <c r="A12">
        <v>162</v>
      </c>
      <c r="B12" s="3">
        <v>-5.7950000000000002E-7</v>
      </c>
      <c r="C12" s="3">
        <v>-6.1129999999999997E-6</v>
      </c>
      <c r="D12" s="3">
        <v>-5.7950000000000002E-7</v>
      </c>
      <c r="E12" s="3">
        <v>3.7499999999999997E-5</v>
      </c>
      <c r="F12" s="3">
        <v>3.7499999999999997E-5</v>
      </c>
      <c r="G12" s="3">
        <v>3.7499999999999997E-5</v>
      </c>
      <c r="H12" s="3">
        <v>1.0359806999999999E-5</v>
      </c>
      <c r="I12" s="3">
        <v>2.8749254E-6</v>
      </c>
      <c r="J12" s="3">
        <v>1.0359806999999999E-5</v>
      </c>
      <c r="L12" s="48">
        <f t="shared" si="0"/>
        <v>5.9198897142857147E-5</v>
      </c>
      <c r="M12" s="49"/>
      <c r="N12" s="10"/>
      <c r="O12" s="3"/>
      <c r="R12" s="11">
        <f t="shared" si="1"/>
        <v>6.0524745263157893E-5</v>
      </c>
    </row>
    <row r="13" spans="1:18" x14ac:dyDescent="0.25">
      <c r="A13">
        <v>180</v>
      </c>
      <c r="B13" s="3">
        <v>6.0019999999999999E-7</v>
      </c>
      <c r="C13" s="3">
        <v>6.0449999999999997E-6</v>
      </c>
      <c r="D13" s="3">
        <v>6.0019999999999999E-7</v>
      </c>
      <c r="E13" s="3">
        <v>-3.7499999999999997E-5</v>
      </c>
      <c r="F13" s="3">
        <v>-3.7499999999999997E-5</v>
      </c>
      <c r="G13" s="3">
        <v>-3.7499999999999997E-5</v>
      </c>
      <c r="H13" s="3">
        <v>-1.035282E-5</v>
      </c>
      <c r="I13" s="3">
        <v>-2.8820989000000001E-6</v>
      </c>
      <c r="J13" s="3">
        <v>-1.035282E-5</v>
      </c>
      <c r="L13" s="48">
        <f t="shared" si="0"/>
        <v>5.9158971428571432E-5</v>
      </c>
      <c r="M13" s="48"/>
      <c r="N13" s="10"/>
      <c r="O13" s="3"/>
      <c r="R13" s="11">
        <f t="shared" si="1"/>
        <v>6.0675766315789475E-5</v>
      </c>
    </row>
    <row r="14" spans="1:18" x14ac:dyDescent="0.25">
      <c r="A14" s="11">
        <v>181</v>
      </c>
      <c r="B14" s="3">
        <v>-6.0129999999999996E-7</v>
      </c>
      <c r="C14" s="3">
        <v>-6.0410000000000003E-6</v>
      </c>
      <c r="D14" s="3">
        <v>-6.0129999999999996E-7</v>
      </c>
      <c r="E14" s="3">
        <v>3.7499999999999997E-5</v>
      </c>
      <c r="F14" s="3">
        <v>3.7499999999999997E-5</v>
      </c>
      <c r="G14" s="3">
        <v>3.7499999999999997E-5</v>
      </c>
      <c r="H14" s="3">
        <v>1.035243E-5</v>
      </c>
      <c r="I14" s="3">
        <v>2.8824999999999999E-6</v>
      </c>
      <c r="J14" s="3">
        <v>1.035243E-5</v>
      </c>
      <c r="L14" s="48">
        <f t="shared" si="0"/>
        <v>5.9156742857142859E-5</v>
      </c>
      <c r="M14" s="49"/>
      <c r="N14" s="10"/>
      <c r="O14" s="3"/>
      <c r="R14" s="11">
        <f t="shared" si="1"/>
        <v>6.0684210526315785E-5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27691.328000000001</v>
      </c>
    </row>
    <row r="3" spans="2:4" x14ac:dyDescent="0.25">
      <c r="B3" t="s">
        <v>119</v>
      </c>
      <c r="C3" s="3">
        <v>0.35195679000000002</v>
      </c>
    </row>
    <row r="4" spans="2:4" x14ac:dyDescent="0.25">
      <c r="B4" t="s">
        <v>120</v>
      </c>
      <c r="C4" s="3">
        <v>27960.883999999998</v>
      </c>
    </row>
    <row r="5" spans="2:4" x14ac:dyDescent="0.25">
      <c r="B5" t="s">
        <v>121</v>
      </c>
      <c r="C5" s="3">
        <v>0.35541003999999998</v>
      </c>
    </row>
    <row r="6" spans="2:4" x14ac:dyDescent="0.25">
      <c r="B6" t="s">
        <v>122</v>
      </c>
      <c r="C6" s="3">
        <v>27691.328000000001</v>
      </c>
    </row>
    <row r="7" spans="2:4" x14ac:dyDescent="0.25">
      <c r="B7" t="s">
        <v>123</v>
      </c>
      <c r="C7" s="3">
        <v>0.35911014000000002</v>
      </c>
    </row>
    <row r="8" spans="2:4" x14ac:dyDescent="0.25">
      <c r="B8" t="s">
        <v>124</v>
      </c>
      <c r="C8" t="s">
        <v>125</v>
      </c>
      <c r="D8" s="3">
        <v>10187.300999999999</v>
      </c>
    </row>
    <row r="9" spans="2:4" x14ac:dyDescent="0.25">
      <c r="B9" t="s">
        <v>126</v>
      </c>
      <c r="C9" t="s">
        <v>125</v>
      </c>
      <c r="D9" s="3">
        <v>10360.254000000001</v>
      </c>
    </row>
    <row r="10" spans="2:4" x14ac:dyDescent="0.25">
      <c r="B10" t="s">
        <v>127</v>
      </c>
      <c r="C10" t="s">
        <v>125</v>
      </c>
      <c r="D10" s="3">
        <v>10360.254000000001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26" t="s">
        <v>7</v>
      </c>
      <c r="B1" s="126"/>
      <c r="C1" s="126"/>
      <c r="D1" s="126"/>
      <c r="E1" s="126"/>
      <c r="F1" s="126"/>
      <c r="G1" s="126"/>
      <c r="H1" s="126"/>
      <c r="I1" s="126"/>
      <c r="J1" s="126"/>
      <c r="K1" s="126"/>
      <c r="M1" s="126" t="s">
        <v>8</v>
      </c>
      <c r="N1" s="126"/>
      <c r="O1" s="126"/>
      <c r="P1" s="126"/>
      <c r="Q1" s="126"/>
      <c r="R1" s="126"/>
      <c r="S1" s="126"/>
      <c r="T1" s="126"/>
      <c r="U1" s="126"/>
      <c r="V1" s="126"/>
      <c r="W1" s="126"/>
      <c r="X1" s="126"/>
      <c r="Z1" s="127" t="s">
        <v>10</v>
      </c>
      <c r="AA1" s="127"/>
      <c r="AB1" s="127"/>
      <c r="AC1" s="127"/>
      <c r="AD1" s="127"/>
      <c r="AE1" s="127"/>
      <c r="AF1" s="127"/>
      <c r="AG1" s="127"/>
      <c r="AH1" s="127"/>
      <c r="AI1" s="127"/>
      <c r="AJ1" s="127"/>
      <c r="AL1" s="126" t="s">
        <v>11</v>
      </c>
      <c r="AM1" s="126"/>
      <c r="AN1" s="126"/>
      <c r="AO1" s="126"/>
      <c r="AP1" s="126"/>
      <c r="AQ1" s="126"/>
      <c r="AR1" s="126"/>
      <c r="AS1" s="126"/>
      <c r="AT1" s="126"/>
      <c r="AU1" s="126"/>
      <c r="AV1" s="126"/>
      <c r="AX1" s="126" t="s">
        <v>12</v>
      </c>
      <c r="AY1" s="126"/>
      <c r="AZ1" s="126"/>
      <c r="BA1" s="126"/>
      <c r="BB1" s="126"/>
      <c r="BC1" s="126"/>
      <c r="BD1" s="126"/>
      <c r="BE1" s="126"/>
      <c r="BF1" s="126"/>
      <c r="BG1" s="126"/>
      <c r="BH1" s="126"/>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-3.5999508571428571E-4</v>
      </c>
      <c r="C3" s="2">
        <f>IF('Modell einstellen'!$B$2="Ja",creep_res0!O3,creep_res0!C3)</f>
        <v>-3.6499157142857151E-4</v>
      </c>
      <c r="D3" s="2">
        <f>IF('Modell einstellen'!$B$2="Ja",creep_res25!O3,creep_res25!C3)</f>
        <v>-3.7633954285714287E-4</v>
      </c>
      <c r="E3" s="2">
        <f>IF('Modell einstellen'!$B$2="Ja",creep_res50!O3,creep_res50!C3)</f>
        <v>-3.8382265714285714E-4</v>
      </c>
      <c r="F3" s="2">
        <f>IF('Modell einstellen'!$B$2="Ja",creep_res80!O3,creep_res80!C3)</f>
        <v>-3.9366482857142865E-4</v>
      </c>
      <c r="G3" s="2">
        <f>IF('Modell einstellen'!$B$2="Ja",creep_res125!O3,creep_res125!C3)</f>
        <v>-4.2099691428571434E-4</v>
      </c>
      <c r="H3" s="2">
        <f>IF('Modell einstellen'!$B$2="Ja",creep_res160!O3,creep_res160!C3)</f>
        <v>-4.5570065714285718E-4</v>
      </c>
      <c r="M3" s="9">
        <v>-10</v>
      </c>
      <c r="N3" s="2">
        <f t="shared" ref="N3:N33" si="4">A3</f>
        <v>1.0000000000000001E-15</v>
      </c>
      <c r="O3" s="2">
        <f t="shared" ref="O3:O33" si="5">$M$3/B3</f>
        <v>27778.156971666598</v>
      </c>
      <c r="P3" s="2">
        <f t="shared" ref="P3:P33" si="6">$M$3/C3</f>
        <v>27397.892945473101</v>
      </c>
      <c r="Q3" s="2">
        <f t="shared" ref="Q3:Q33" si="7">$M$3/D3</f>
        <v>26571.749341248375</v>
      </c>
      <c r="R3" s="2">
        <f t="shared" ref="R3:R33" si="8">$M$3/E3</f>
        <v>26053.699055806504</v>
      </c>
      <c r="S3" s="2">
        <f t="shared" ref="S3:S33" si="9">$M$3/F3</f>
        <v>25402.320131795943</v>
      </c>
      <c r="T3" s="2">
        <f t="shared" ref="T3:T33" si="10">$M$3/G3</f>
        <v>23753.143219509173</v>
      </c>
      <c r="U3" s="2">
        <f t="shared" ref="U3:U33" si="11">$M$3/H3</f>
        <v>21944.22993088884</v>
      </c>
      <c r="Z3" s="2">
        <v>1.0000000000000001E-15</v>
      </c>
      <c r="AA3" s="3">
        <f>IF('Modell einstellen'!$B$2="Ja",'creep_res-40'!P3,'creep_res-40'!L3)</f>
        <v>0.35918667302442542</v>
      </c>
      <c r="AB3" s="2">
        <f>IF('Modell einstellen'!$B$2="Ja",creep_res0!P3,creep_res0!L3)</f>
        <v>0.36097437866471271</v>
      </c>
      <c r="AC3" s="2">
        <f>IF('Modell einstellen'!$B$2="Ja",creep_res25!P3,creep_res25!L3)</f>
        <v>0.36545239845719868</v>
      </c>
      <c r="AD3" s="2">
        <f>IF('Modell einstellen'!$B$2="Ja",creep_res50!P3,creep_res50!L3)</f>
        <v>0.36817847349590693</v>
      </c>
      <c r="AE3" s="2">
        <f>IF('Modell einstellen'!$B$2="Ja",creep_res80!P3,creep_res80!L3)</f>
        <v>0.3716299195494005</v>
      </c>
      <c r="AF3" s="2">
        <f>IF('Modell einstellen'!$B$2="Ja",creep_res125!P3,creep_res125!L3)</f>
        <v>0.38085536018859178</v>
      </c>
      <c r="AG3" s="2">
        <f>IF('Modell einstellen'!$B$2="Ja",creep_res160!P3,creep_res160!L3)</f>
        <v>0.39151321954894824</v>
      </c>
      <c r="AL3" s="2">
        <f t="shared" ref="AL3:AL33" si="12">Z3</f>
        <v>1.0000000000000001E-15</v>
      </c>
      <c r="AM3" s="2">
        <f t="shared" ref="AM3:AM33" si="13">O3/(2*(1+AA3))</f>
        <v>10218.668827091791</v>
      </c>
      <c r="AN3" s="2">
        <f t="shared" ref="AN3:AN33" si="14">P3/(2*(1+AB3))</f>
        <v>10065.543251576082</v>
      </c>
      <c r="AO3" s="2">
        <f t="shared" ref="AO3:AO33" si="15">Q3/(2*(1+AC3))</f>
        <v>9730.0167223959397</v>
      </c>
      <c r="AP3" s="2">
        <f t="shared" ref="AP3:AP33" si="16">R3/(2*(1+AD3))</f>
        <v>9521.3086452220268</v>
      </c>
      <c r="AQ3" s="2">
        <f t="shared" ref="AQ3:AQ33" si="17">S3/(2*(1+AE3))</f>
        <v>9259.9030429946288</v>
      </c>
      <c r="AR3" s="2">
        <f t="shared" ref="AR3:AR33" si="18">T3/(2*(1+AF3))</f>
        <v>8600.88026028485</v>
      </c>
      <c r="AS3" s="2">
        <f t="shared" ref="AS3:AS33" si="19">U3/(2*(1+AG3))</f>
        <v>7885.0238799750496</v>
      </c>
      <c r="AX3" s="2">
        <f>AL3</f>
        <v>1.0000000000000001E-15</v>
      </c>
      <c r="AY3" s="37">
        <f t="shared" ref="AY3:AY33" si="20">O3/(3*(1-(2*AA3)))</f>
        <v>32878.229128228493</v>
      </c>
      <c r="AZ3" s="37">
        <f t="shared" ref="AZ3:AZ33" si="21">P3/(3*(1-(2*AB3)))</f>
        <v>32845.136364466423</v>
      </c>
      <c r="BA3" s="37">
        <f t="shared" ref="BA3:BA33" si="22">Q3/(3*(1-(2*AC3)))</f>
        <v>32914.930027937065</v>
      </c>
      <c r="BB3" s="37">
        <f t="shared" ref="BB3:BB33" si="23">R3/(3*(1-(2*AD3)))</f>
        <v>32940.622758096513</v>
      </c>
      <c r="BC3" s="37">
        <f t="shared" ref="BC3:BC33" si="24">S3/(3*(1-(2*AE3)))</f>
        <v>32980.582446509005</v>
      </c>
      <c r="BD3" s="37">
        <f t="shared" ref="BD3:BD33" si="25">T3/(3*(1-(2*AF3)))</f>
        <v>33227.321090717371</v>
      </c>
      <c r="BE3" s="37">
        <f t="shared" ref="BE3:BE33" si="26">U3/(3*(1-(2*AG3)))</f>
        <v>33712.602032634866</v>
      </c>
    </row>
    <row r="4" spans="1:308" x14ac:dyDescent="0.25">
      <c r="A4" s="2">
        <f>'creep_res-40'!A4</f>
        <v>1E-14</v>
      </c>
      <c r="B4" s="3">
        <f>'creep_res-40'!O4</f>
        <v>-3.6278599999999998E-4</v>
      </c>
      <c r="C4" s="2">
        <f>IF('Modell einstellen'!$B$2="Ja",creep_res0!O4,creep_res0!C4)</f>
        <v>-3.7702474285714288E-4</v>
      </c>
      <c r="D4" s="2">
        <f>IF('Modell einstellen'!$B$2="Ja",creep_res25!O4,creep_res25!C4)</f>
        <v>-3.8540391428571434E-4</v>
      </c>
      <c r="E4" s="2">
        <f>IF('Modell einstellen'!$B$2="Ja",creep_res50!O4,creep_res50!C4)</f>
        <v>-3.9338445714285714E-4</v>
      </c>
      <c r="F4" s="2">
        <f>IF('Modell einstellen'!$B$2="Ja",creep_res80!O4,creep_res80!C4)</f>
        <v>-4.0491805714285717E-4</v>
      </c>
      <c r="G4" s="2">
        <f>IF('Modell einstellen'!$B$2="Ja",creep_res125!O4,creep_res125!C4)</f>
        <v>-4.3679314285714293E-4</v>
      </c>
      <c r="H4" s="2">
        <f>IF('Modell einstellen'!$B$2="Ja",creep_res160!O4,creep_res160!C4)</f>
        <v>-4.7502377142857145E-4</v>
      </c>
      <c r="M4" s="9">
        <f t="shared" ref="M4:M31" si="27">M3</f>
        <v>-10</v>
      </c>
      <c r="N4" s="2">
        <f t="shared" si="4"/>
        <v>1E-14</v>
      </c>
      <c r="O4" s="2">
        <f t="shared" si="5"/>
        <v>27564.45948851389</v>
      </c>
      <c r="P4" s="2">
        <f t="shared" si="6"/>
        <v>26523.458180008798</v>
      </c>
      <c r="Q4" s="2">
        <f t="shared" si="7"/>
        <v>25946.804454577039</v>
      </c>
      <c r="R4" s="2">
        <f t="shared" si="8"/>
        <v>25420.424773845374</v>
      </c>
      <c r="S4" s="2">
        <f t="shared" si="9"/>
        <v>24696.354789808618</v>
      </c>
      <c r="T4" s="2">
        <f t="shared" si="10"/>
        <v>22894.132299303492</v>
      </c>
      <c r="U4" s="2">
        <f t="shared" si="11"/>
        <v>21051.578050349599</v>
      </c>
      <c r="Z4" s="2">
        <v>1E-14</v>
      </c>
      <c r="AA4" s="3">
        <f>IF('Modell einstellen'!$B$2="Ja",'creep_res-40'!P4,'creep_res-40'!L4)</f>
        <v>0.36043716445192803</v>
      </c>
      <c r="AB4" s="2">
        <f>IF('Modell einstellen'!$B$2="Ja",creep_res0!P4,creep_res0!L4)</f>
        <v>0.3659566109567951</v>
      </c>
      <c r="AC4" s="2">
        <f>IF('Modell einstellen'!$B$2="Ja",creep_res25!P4,creep_res25!L4)</f>
        <v>0.36905797605880936</v>
      </c>
      <c r="AD4" s="2">
        <f>IF('Modell einstellen'!$B$2="Ja",creep_res50!P4,creep_res50!L4)</f>
        <v>0.37185876179580335</v>
      </c>
      <c r="AE4" s="2">
        <f>IF('Modell einstellen'!$B$2="Ja",creep_res80!P4,creep_res80!L4)</f>
        <v>0.37577445651790431</v>
      </c>
      <c r="AF4" s="2">
        <f>IF('Modell einstellen'!$B$2="Ja",creep_res125!P4,creep_res125!L4)</f>
        <v>0.38609265844047785</v>
      </c>
      <c r="AG4" s="2">
        <f>IF('Modell einstellen'!$B$2="Ja",creep_res160!P4,creep_res160!L4)</f>
        <v>0.39725240216549768</v>
      </c>
      <c r="AL4" s="2">
        <f t="shared" si="12"/>
        <v>1E-14</v>
      </c>
      <c r="AM4" s="2">
        <f t="shared" si="13"/>
        <v>10130.735990154546</v>
      </c>
      <c r="AN4" s="2">
        <f t="shared" si="14"/>
        <v>9708.7484211633309</v>
      </c>
      <c r="AO4" s="2">
        <f t="shared" si="15"/>
        <v>9476.1525473419642</v>
      </c>
      <c r="AP4" s="2">
        <f t="shared" si="16"/>
        <v>9264.9569626866305</v>
      </c>
      <c r="AQ4" s="2">
        <f t="shared" si="17"/>
        <v>8975.4373156175916</v>
      </c>
      <c r="AR4" s="2">
        <f t="shared" si="18"/>
        <v>8258.5143784911779</v>
      </c>
      <c r="AS4" s="2">
        <f t="shared" si="19"/>
        <v>7533.2051738552464</v>
      </c>
      <c r="AX4" s="2">
        <f t="shared" ref="AX4:AX32" si="28">AL4</f>
        <v>1E-14</v>
      </c>
      <c r="AY4" s="37">
        <f t="shared" si="20"/>
        <v>32917.621395250077</v>
      </c>
      <c r="AZ4" s="37">
        <f t="shared" si="21"/>
        <v>32978.697382158534</v>
      </c>
      <c r="BA4" s="37">
        <f t="shared" si="22"/>
        <v>33025.817678199324</v>
      </c>
      <c r="BB4" s="37">
        <f t="shared" si="23"/>
        <v>33063.028902188402</v>
      </c>
      <c r="BC4" s="37">
        <f t="shared" si="24"/>
        <v>33133.758293663705</v>
      </c>
      <c r="BD4" s="37">
        <f t="shared" si="25"/>
        <v>33498.180752086977</v>
      </c>
      <c r="BE4" s="37">
        <f t="shared" si="26"/>
        <v>34147.721364506273</v>
      </c>
      <c r="BF4" s="5"/>
      <c r="BG4" s="5"/>
    </row>
    <row r="5" spans="1:308" x14ac:dyDescent="0.25">
      <c r="A5" s="2">
        <f>'creep_res-40'!A5</f>
        <v>1E-13</v>
      </c>
      <c r="B5" s="3">
        <f>'creep_res-40'!O5</f>
        <v>-3.7324014285714294E-4</v>
      </c>
      <c r="C5" s="2">
        <f>IF('Modell einstellen'!$B$2="Ja",creep_res0!O5,creep_res0!C5)</f>
        <v>-3.8432448571428576E-4</v>
      </c>
      <c r="D5" s="2">
        <f>IF('Modell einstellen'!$B$2="Ja",creep_res25!O5,creep_res25!C5)</f>
        <v>-3.9335028571428572E-4</v>
      </c>
      <c r="E5" s="2">
        <f>IF('Modell einstellen'!$B$2="Ja",creep_res50!O5,creep_res50!C5)</f>
        <v>-4.0219902857142859E-4</v>
      </c>
      <c r="F5" s="2">
        <f>IF('Modell einstellen'!$B$2="Ja",creep_res80!O5,creep_res80!C5)</f>
        <v>-4.1571082857142861E-4</v>
      </c>
      <c r="G5" s="2">
        <f>IF('Modell einstellen'!$B$2="Ja",creep_res125!O5,creep_res125!C5)</f>
        <v>-4.5152640000000003E-4</v>
      </c>
      <c r="H5" s="2">
        <f>IF('Modell einstellen'!$B$2="Ja",creep_res160!O5,creep_res160!C5)</f>
        <v>-4.9555025714285712E-4</v>
      </c>
      <c r="M5" s="9">
        <f t="shared" si="27"/>
        <v>-10</v>
      </c>
      <c r="N5" s="2">
        <f t="shared" si="4"/>
        <v>1E-13</v>
      </c>
      <c r="O5" s="2">
        <f t="shared" si="5"/>
        <v>26792.4021340531</v>
      </c>
      <c r="P5" s="2">
        <f t="shared" si="6"/>
        <v>26019.67965016466</v>
      </c>
      <c r="Q5" s="2">
        <f t="shared" si="7"/>
        <v>25422.633116538804</v>
      </c>
      <c r="R5" s="2">
        <f t="shared" si="8"/>
        <v>24863.312165419735</v>
      </c>
      <c r="S5" s="2">
        <f t="shared" si="9"/>
        <v>24055.182864407325</v>
      </c>
      <c r="T5" s="2">
        <f t="shared" si="10"/>
        <v>22147.099261527121</v>
      </c>
      <c r="U5" s="2">
        <f t="shared" si="11"/>
        <v>20179.587954723233</v>
      </c>
      <c r="Z5" s="2">
        <v>1E-13</v>
      </c>
      <c r="AA5" s="3">
        <f>IF('Modell einstellen'!$B$2="Ja",'creep_res-40'!P5,'creep_res-40'!L5)</f>
        <v>0.36479927706444065</v>
      </c>
      <c r="AB5" s="2">
        <f>IF('Modell einstellen'!$B$2="Ja",creep_res0!P5,creep_res0!L5)</f>
        <v>0.36886885092708488</v>
      </c>
      <c r="AC5" s="2">
        <f>IF('Modell einstellen'!$B$2="Ja",creep_res25!P5,creep_res25!L5)</f>
        <v>0.37211216320458834</v>
      </c>
      <c r="AD5" s="2">
        <f>IF('Modell einstellen'!$B$2="Ja",creep_res50!P5,creep_res50!L5)</f>
        <v>0.3751344998631097</v>
      </c>
      <c r="AE5" s="2">
        <f>IF('Modell einstellen'!$B$2="Ja",creep_res80!P5,creep_res80!L5)</f>
        <v>0.37959892999797451</v>
      </c>
      <c r="AF5" s="2">
        <f>IF('Modell einstellen'!$B$2="Ja",creep_res125!P5,creep_res125!L5)</f>
        <v>0.39077334759859633</v>
      </c>
      <c r="AG5" s="2">
        <f>IF('Modell einstellen'!$B$2="Ja",creep_res160!P5,creep_res160!L5)</f>
        <v>0.40306722818195923</v>
      </c>
      <c r="AL5" s="2">
        <f t="shared" si="12"/>
        <v>1E-13</v>
      </c>
      <c r="AM5" s="2">
        <f t="shared" si="13"/>
        <v>9815.5100842671618</v>
      </c>
      <c r="AN5" s="2">
        <f t="shared" si="14"/>
        <v>9504.080552546171</v>
      </c>
      <c r="AO5" s="2">
        <f t="shared" si="15"/>
        <v>9264.0506360514537</v>
      </c>
      <c r="AP5" s="2">
        <f t="shared" si="16"/>
        <v>9040.3201170121174</v>
      </c>
      <c r="AQ5" s="2">
        <f t="shared" si="17"/>
        <v>8718.1797337443004</v>
      </c>
      <c r="AR5" s="2">
        <f t="shared" si="18"/>
        <v>7962.1526037178537</v>
      </c>
      <c r="AS5" s="2">
        <f t="shared" si="19"/>
        <v>7191.2405725815324</v>
      </c>
      <c r="AX5" s="2">
        <f t="shared" si="28"/>
        <v>1E-13</v>
      </c>
      <c r="AY5" s="37">
        <f t="shared" si="20"/>
        <v>33027.932534087544</v>
      </c>
      <c r="AZ5" s="37">
        <f t="shared" si="21"/>
        <v>33070.809686995737</v>
      </c>
      <c r="BA5" s="37">
        <f t="shared" si="22"/>
        <v>33131.419105957953</v>
      </c>
      <c r="BB5" s="37">
        <f t="shared" si="23"/>
        <v>33186.791838901372</v>
      </c>
      <c r="BC5" s="37">
        <f t="shared" si="24"/>
        <v>33298.683674492604</v>
      </c>
      <c r="BD5" s="37">
        <f t="shared" si="25"/>
        <v>33793.796011339487</v>
      </c>
      <c r="BE5" s="37">
        <f t="shared" si="26"/>
        <v>34696.879043487541</v>
      </c>
    </row>
    <row r="6" spans="1:308" x14ac:dyDescent="0.25">
      <c r="A6" s="2">
        <f>'creep_res-40'!A6</f>
        <v>9.9999999999999998E-13</v>
      </c>
      <c r="B6" s="3">
        <f>'creep_res-40'!O6</f>
        <v>-3.806628857142857E-4</v>
      </c>
      <c r="C6" s="2">
        <f>IF('Modell einstellen'!$B$2="Ja",creep_res0!O6,creep_res0!C6)</f>
        <v>-3.9200328571428571E-4</v>
      </c>
      <c r="D6" s="2">
        <f>IF('Modell einstellen'!$B$2="Ja",creep_res25!O6,creep_res25!C6)</f>
        <v>-4.0201937142857143E-4</v>
      </c>
      <c r="E6" s="2">
        <f>IF('Modell einstellen'!$B$2="Ja",creep_res50!O6,creep_res50!C6)</f>
        <v>-4.1229211428571433E-4</v>
      </c>
      <c r="F6" s="2">
        <f>IF('Modell einstellen'!$B$2="Ja",creep_res80!O6,creep_res80!C6)</f>
        <v>-4.2745811428571433E-4</v>
      </c>
      <c r="G6" s="2">
        <f>IF('Modell einstellen'!$B$2="Ja",creep_res125!O6,creep_res125!C6)</f>
        <v>-4.6579128571428574E-4</v>
      </c>
      <c r="H6" s="2">
        <f>IF('Modell einstellen'!$B$2="Ja",creep_res160!O6,creep_res160!C6)</f>
        <v>-5.2058842857142867E-4</v>
      </c>
      <c r="M6" s="9">
        <f t="shared" si="27"/>
        <v>-10</v>
      </c>
      <c r="N6" s="2">
        <f t="shared" si="4"/>
        <v>9.9999999999999998E-13</v>
      </c>
      <c r="O6" s="2">
        <f t="shared" si="5"/>
        <v>26269.963201786119</v>
      </c>
      <c r="P6" s="2">
        <f t="shared" si="6"/>
        <v>25509.990258828006</v>
      </c>
      <c r="Q6" s="2">
        <f t="shared" si="7"/>
        <v>24874.423250962038</v>
      </c>
      <c r="R6" s="2">
        <f t="shared" si="8"/>
        <v>24254.64774489987</v>
      </c>
      <c r="S6" s="2">
        <f t="shared" si="9"/>
        <v>23394.104979642449</v>
      </c>
      <c r="T6" s="2">
        <f t="shared" si="10"/>
        <v>21468.84303484792</v>
      </c>
      <c r="U6" s="2">
        <f t="shared" si="11"/>
        <v>19209.032416339858</v>
      </c>
      <c r="Z6" s="2">
        <v>9.9999999999999998E-13</v>
      </c>
      <c r="AA6" s="3">
        <f>IF('Modell einstellen'!$B$2="Ja",'creep_res-40'!P6,'creep_res-40'!L6)</f>
        <v>0.36782979555738898</v>
      </c>
      <c r="AB6" s="2">
        <f>IF('Modell einstellen'!$B$2="Ja",creep_res0!P6,creep_res0!L6)</f>
        <v>0.37185836999179678</v>
      </c>
      <c r="AC6" s="2">
        <f>IF('Modell einstellen'!$B$2="Ja",creep_res25!P6,creep_res25!L6)</f>
        <v>0.37536169188151419</v>
      </c>
      <c r="AD6" s="2">
        <f>IF('Modell einstellen'!$B$2="Ja",creep_res50!P6,creep_res50!L6)</f>
        <v>0.37878089764926726</v>
      </c>
      <c r="AE6" s="2">
        <f>IF('Modell einstellen'!$B$2="Ja",creep_res80!P6,creep_res80!L6)</f>
        <v>0.38363343736803218</v>
      </c>
      <c r="AF6" s="2">
        <f>IF('Modell einstellen'!$B$2="Ja",creep_res125!P6,creep_res125!L6)</f>
        <v>0.39514674107563202</v>
      </c>
      <c r="AG6" s="2">
        <f>IF('Modell einstellen'!$B$2="Ja",creep_res160!P6,creep_res160!L6)</f>
        <v>0.4098448760866481</v>
      </c>
      <c r="AL6" s="2">
        <f t="shared" si="12"/>
        <v>9.9999999999999998E-13</v>
      </c>
      <c r="AM6" s="2">
        <f t="shared" si="13"/>
        <v>9602.7895017015398</v>
      </c>
      <c r="AN6" s="2">
        <f t="shared" si="14"/>
        <v>9297.6034614201999</v>
      </c>
      <c r="AO6" s="2">
        <f t="shared" si="15"/>
        <v>9042.8661048910981</v>
      </c>
      <c r="AP6" s="2">
        <f t="shared" si="16"/>
        <v>8795.6860246078559</v>
      </c>
      <c r="AQ6" s="2">
        <f t="shared" si="17"/>
        <v>8453.8665906134283</v>
      </c>
      <c r="AR6" s="2">
        <f t="shared" si="18"/>
        <v>7694.1164691736458</v>
      </c>
      <c r="AS6" s="2">
        <f t="shared" si="19"/>
        <v>6812.4631092957497</v>
      </c>
      <c r="AX6" s="2">
        <f t="shared" si="28"/>
        <v>9.9999999999999998E-13</v>
      </c>
      <c r="AY6" s="37">
        <f t="shared" si="20"/>
        <v>33126.431322112228</v>
      </c>
      <c r="AZ6" s="37">
        <f t="shared" si="21"/>
        <v>33179.420636882976</v>
      </c>
      <c r="BA6" s="37">
        <f t="shared" si="22"/>
        <v>33262.142844177419</v>
      </c>
      <c r="BB6" s="37">
        <f t="shared" si="23"/>
        <v>33348.219978731839</v>
      </c>
      <c r="BC6" s="37">
        <f t="shared" si="24"/>
        <v>33506.339006837261</v>
      </c>
      <c r="BD6" s="37">
        <f t="shared" si="25"/>
        <v>34125.219783478031</v>
      </c>
      <c r="BE6" s="37">
        <f t="shared" si="26"/>
        <v>35511.075397115274</v>
      </c>
    </row>
    <row r="7" spans="1:308" x14ac:dyDescent="0.25">
      <c r="A7" s="2">
        <f>'creep_res-40'!A7</f>
        <v>9.9999999999999994E-12</v>
      </c>
      <c r="B7" s="3">
        <f>'creep_res-40'!O7</f>
        <v>-3.878932285714286E-4</v>
      </c>
      <c r="C7" s="2">
        <f>IF('Modell einstellen'!$B$2="Ja",creep_res0!O7,creep_res0!C7)</f>
        <v>-4.0057774285714288E-4</v>
      </c>
      <c r="D7" s="2">
        <f>IF('Modell einstellen'!$B$2="Ja",creep_res25!O7,creep_res25!C7)</f>
        <v>-4.1216908571428576E-4</v>
      </c>
      <c r="E7" s="2">
        <f>IF('Modell einstellen'!$B$2="Ja",creep_res50!O7,creep_res50!C7)</f>
        <v>-4.237640857142858E-4</v>
      </c>
      <c r="F7" s="2">
        <f>IF('Modell einstellen'!$B$2="Ja",creep_res80!O7,creep_res80!C7)</f>
        <v>-4.4150500000000002E-4</v>
      </c>
      <c r="G7" s="2">
        <f>IF('Modell einstellen'!$B$2="Ja",creep_res125!O7,creep_res125!C7)</f>
        <v>-4.8305622857142865E-4</v>
      </c>
      <c r="H7" s="2">
        <f>IF('Modell einstellen'!$B$2="Ja",creep_res160!O7,creep_res160!C7)</f>
        <v>-5.4701862857142855E-4</v>
      </c>
      <c r="M7" s="9">
        <f t="shared" si="27"/>
        <v>-10</v>
      </c>
      <c r="N7" s="2">
        <f t="shared" si="4"/>
        <v>9.9999999999999994E-12</v>
      </c>
      <c r="O7" s="2">
        <f t="shared" si="5"/>
        <v>25780.290202097585</v>
      </c>
      <c r="P7" s="2">
        <f t="shared" si="6"/>
        <v>24963.943150396844</v>
      </c>
      <c r="Q7" s="2">
        <f t="shared" si="7"/>
        <v>24261.887527712272</v>
      </c>
      <c r="R7" s="2">
        <f t="shared" si="8"/>
        <v>23598.035645574491</v>
      </c>
      <c r="S7" s="2">
        <f t="shared" si="9"/>
        <v>22649.800115513979</v>
      </c>
      <c r="T7" s="2">
        <f t="shared" si="10"/>
        <v>20701.523774103076</v>
      </c>
      <c r="U7" s="2">
        <f t="shared" si="11"/>
        <v>18280.913076243109</v>
      </c>
      <c r="Z7" s="2">
        <v>9.9999999999999994E-12</v>
      </c>
      <c r="AA7" s="3">
        <f>IF('Modell einstellen'!$B$2="Ja",'creep_res-40'!P7,'creep_res-40'!L7)</f>
        <v>0.37070936236282398</v>
      </c>
      <c r="AB7" s="2">
        <f>IF('Modell einstellen'!$B$2="Ja",creep_res0!P7,creep_res0!L7)</f>
        <v>0.37511400854522908</v>
      </c>
      <c r="AC7" s="2">
        <f>IF('Modell einstellen'!$B$2="Ja",creep_res25!P7,creep_res25!L7)</f>
        <v>0.37905983522157827</v>
      </c>
      <c r="AD7" s="2">
        <f>IF('Modell einstellen'!$B$2="Ja",creep_res50!P7,creep_res50!L7)</f>
        <v>0.38280144821818979</v>
      </c>
      <c r="AE7" s="2">
        <f>IF('Modell einstellen'!$B$2="Ja",creep_res80!P7,creep_res80!L7)</f>
        <v>0.38828927677570391</v>
      </c>
      <c r="AF7" s="2">
        <f>IF('Modell einstellen'!$B$2="Ja",creep_res125!P7,creep_res125!L7)</f>
        <v>0.40024421883332356</v>
      </c>
      <c r="AG7" s="2">
        <f>IF('Modell einstellen'!$B$2="Ja",creep_res160!P7,creep_res160!L7)</f>
        <v>0.41669179508746956</v>
      </c>
      <c r="AL7" s="2">
        <f t="shared" si="12"/>
        <v>9.9999999999999994E-12</v>
      </c>
      <c r="AM7" s="2">
        <f t="shared" si="13"/>
        <v>9403.9958104822508</v>
      </c>
      <c r="AN7" s="2">
        <f t="shared" si="14"/>
        <v>9077.0448832845814</v>
      </c>
      <c r="AO7" s="2">
        <f t="shared" si="15"/>
        <v>8796.5318501985184</v>
      </c>
      <c r="AP7" s="2">
        <f t="shared" si="16"/>
        <v>8532.6912536798991</v>
      </c>
      <c r="AQ7" s="2">
        <f t="shared" si="17"/>
        <v>8157.4497816903277</v>
      </c>
      <c r="AR7" s="2">
        <f t="shared" si="18"/>
        <v>7392.1118529421537</v>
      </c>
      <c r="AS7" s="2">
        <f t="shared" si="19"/>
        <v>6451.9725248759578</v>
      </c>
      <c r="AX7" s="2">
        <f t="shared" si="28"/>
        <v>9.9999999999999994E-12</v>
      </c>
      <c r="AY7" s="37">
        <f t="shared" si="20"/>
        <v>33232.994377679985</v>
      </c>
      <c r="AZ7" s="37">
        <f t="shared" si="21"/>
        <v>33315.643678415632</v>
      </c>
      <c r="BA7" s="37">
        <f t="shared" si="22"/>
        <v>33435.111723998991</v>
      </c>
      <c r="BB7" s="37">
        <f t="shared" si="23"/>
        <v>33558.485844186886</v>
      </c>
      <c r="BC7" s="37">
        <f t="shared" si="24"/>
        <v>33792.339508352357</v>
      </c>
      <c r="BD7" s="37">
        <f t="shared" si="25"/>
        <v>34587.007609971733</v>
      </c>
      <c r="BE7" s="37">
        <f t="shared" si="26"/>
        <v>36572.854369380897</v>
      </c>
    </row>
    <row r="8" spans="1:308" x14ac:dyDescent="0.25">
      <c r="A8" s="2">
        <f>'creep_res-40'!A8</f>
        <v>1E-10</v>
      </c>
      <c r="B8" s="3">
        <f>'creep_res-40'!O8</f>
        <v>-3.9618314285714287E-4</v>
      </c>
      <c r="C8" s="2">
        <f>IF('Modell einstellen'!$B$2="Ja",creep_res0!O8,creep_res0!C8)</f>
        <v>-4.1050514285714286E-4</v>
      </c>
      <c r="D8" s="2">
        <f>IF('Modell einstellen'!$B$2="Ja",creep_res25!O8,creep_res25!C8)</f>
        <v>-4.2365497142857146E-4</v>
      </c>
      <c r="E8" s="2">
        <f>IF('Modell einstellen'!$B$2="Ja",creep_res50!O8,creep_res50!C8)</f>
        <v>-4.3715760000000002E-4</v>
      </c>
      <c r="F8" s="2">
        <f>IF('Modell einstellen'!$B$2="Ja",creep_res80!O8,creep_res80!C8)</f>
        <v>-4.554939428571429E-4</v>
      </c>
      <c r="G8" s="2">
        <f>IF('Modell einstellen'!$B$2="Ja",creep_res125!O8,creep_res125!C8)</f>
        <v>-5.0552008571428568E-4</v>
      </c>
      <c r="H8" s="2">
        <f>IF('Modell einstellen'!$B$2="Ja",creep_res160!O8,creep_res160!C8)</f>
        <v>-5.7006357142857145E-4</v>
      </c>
      <c r="M8" s="9">
        <f t="shared" si="27"/>
        <v>-10</v>
      </c>
      <c r="N8" s="2">
        <f t="shared" si="4"/>
        <v>1E-10</v>
      </c>
      <c r="O8" s="2">
        <f t="shared" si="5"/>
        <v>25240.85181384367</v>
      </c>
      <c r="P8" s="2">
        <f t="shared" si="6"/>
        <v>24360.23074010557</v>
      </c>
      <c r="Q8" s="2">
        <f t="shared" si="7"/>
        <v>23604.113428150831</v>
      </c>
      <c r="R8" s="2">
        <f t="shared" si="8"/>
        <v>22875.045521340588</v>
      </c>
      <c r="S8" s="2">
        <f t="shared" si="9"/>
        <v>21954.188758853183</v>
      </c>
      <c r="T8" s="2">
        <f t="shared" si="10"/>
        <v>19781.607660297574</v>
      </c>
      <c r="U8" s="2">
        <f t="shared" si="11"/>
        <v>17541.903221319928</v>
      </c>
      <c r="Z8" s="2">
        <v>1E-10</v>
      </c>
      <c r="AA8" s="3">
        <f>IF('Modell einstellen'!$B$2="Ja",'creep_res-40'!P8,'creep_res-40'!L8)</f>
        <v>0.37393080112300153</v>
      </c>
      <c r="AB8" s="2">
        <f>IF('Modell einstellen'!$B$2="Ja",creep_res0!P8,creep_res0!L8)</f>
        <v>0.37877846666963633</v>
      </c>
      <c r="AC8" s="2">
        <f>IF('Modell einstellen'!$B$2="Ja",creep_res25!P8,creep_res25!L8)</f>
        <v>0.38311924852056162</v>
      </c>
      <c r="AD8" s="2">
        <f>IF('Modell einstellen'!$B$2="Ja",creep_res50!P8,creep_res50!L8)</f>
        <v>0.38733544019038313</v>
      </c>
      <c r="AE8" s="2">
        <f>IF('Modell einstellen'!$B$2="Ja",creep_res80!P8,creep_res80!L8)</f>
        <v>0.39277062991209288</v>
      </c>
      <c r="AF8" s="2">
        <f>IF('Modell einstellen'!$B$2="Ja",creep_res125!P8,creep_res125!L8)</f>
        <v>0.40660009383264306</v>
      </c>
      <c r="AG8" s="2">
        <f>IF('Modell einstellen'!$B$2="Ja",creep_res160!P8,creep_res160!L8)</f>
        <v>0.42244610312884906</v>
      </c>
      <c r="AL8" s="2">
        <f t="shared" si="12"/>
        <v>1E-10</v>
      </c>
      <c r="AM8" s="2">
        <f t="shared" si="13"/>
        <v>9185.6343104080297</v>
      </c>
      <c r="AN8" s="2">
        <f t="shared" si="14"/>
        <v>8833.9901329277236</v>
      </c>
      <c r="AO8" s="2">
        <f t="shared" si="15"/>
        <v>8532.9278199977016</v>
      </c>
      <c r="AP8" s="2">
        <f t="shared" si="16"/>
        <v>8244.2374276121209</v>
      </c>
      <c r="AQ8" s="2">
        <f t="shared" si="17"/>
        <v>7881.4803699008435</v>
      </c>
      <c r="AR8" s="2">
        <f t="shared" si="18"/>
        <v>7031.7099177768096</v>
      </c>
      <c r="AS8" s="2">
        <f t="shared" si="19"/>
        <v>6166.1047060884439</v>
      </c>
      <c r="AX8" s="2">
        <f t="shared" si="28"/>
        <v>1E-10</v>
      </c>
      <c r="AY8" s="37">
        <f t="shared" si="20"/>
        <v>33369.04393074676</v>
      </c>
      <c r="AZ8" s="37">
        <f t="shared" si="21"/>
        <v>33492.716559024913</v>
      </c>
      <c r="BA8" s="37">
        <f t="shared" si="22"/>
        <v>33658.398452236819</v>
      </c>
      <c r="BB8" s="37">
        <f t="shared" si="23"/>
        <v>33839.457530678323</v>
      </c>
      <c r="BC8" s="37">
        <f t="shared" si="24"/>
        <v>34123.407204660194</v>
      </c>
      <c r="BD8" s="37">
        <f t="shared" si="25"/>
        <v>35299.121223334449</v>
      </c>
      <c r="BE8" s="37">
        <f t="shared" si="26"/>
        <v>37698.306014771195</v>
      </c>
    </row>
    <row r="9" spans="1:308" x14ac:dyDescent="0.25">
      <c r="A9" s="2">
        <f>'creep_res-40'!A9</f>
        <v>1.0000000000000001E-9</v>
      </c>
      <c r="B9" s="3">
        <f>'creep_res-40'!O9</f>
        <v>-4.0530537142857145E-4</v>
      </c>
      <c r="C9" s="2">
        <f>IF('Modell einstellen'!$B$2="Ja",creep_res0!O9,creep_res0!C9)</f>
        <v>-4.2189285714285712E-4</v>
      </c>
      <c r="D9" s="2">
        <f>IF('Modell einstellen'!$B$2="Ja",creep_res25!O9,creep_res25!C9)</f>
        <v>-4.3714400000000004E-4</v>
      </c>
      <c r="E9" s="2">
        <f>IF('Modell einstellen'!$B$2="Ja",creep_res50!O9,creep_res50!C9)</f>
        <v>-4.5135482857142859E-4</v>
      </c>
      <c r="F9" s="2">
        <f>IF('Modell einstellen'!$B$2="Ja",creep_res80!O9,creep_res80!C9)</f>
        <v>-4.7038757142857146E-4</v>
      </c>
      <c r="G9" s="2">
        <f>IF('Modell einstellen'!$B$2="Ja",creep_res125!O9,creep_res125!C9)</f>
        <v>-5.3161102857142862E-4</v>
      </c>
      <c r="H9" s="2">
        <f>IF('Modell einstellen'!$B$2="Ja",creep_res160!O9,creep_res160!C9)</f>
        <v>-5.9517077142857142E-4</v>
      </c>
      <c r="M9" s="9">
        <f t="shared" si="27"/>
        <v>-10</v>
      </c>
      <c r="N9" s="2">
        <f t="shared" si="4"/>
        <v>1.0000000000000001E-9</v>
      </c>
      <c r="O9" s="2">
        <f t="shared" si="5"/>
        <v>24672.754680633043</v>
      </c>
      <c r="P9" s="2">
        <f t="shared" si="6"/>
        <v>23702.700414797258</v>
      </c>
      <c r="Q9" s="2">
        <f t="shared" si="7"/>
        <v>22875.757187562907</v>
      </c>
      <c r="R9" s="2">
        <f t="shared" si="8"/>
        <v>22155.517936189448</v>
      </c>
      <c r="S9" s="2">
        <f t="shared" si="9"/>
        <v>21259.065093131409</v>
      </c>
      <c r="T9" s="2">
        <f t="shared" si="10"/>
        <v>18810.745944967493</v>
      </c>
      <c r="U9" s="2">
        <f t="shared" si="11"/>
        <v>16801.90036213856</v>
      </c>
      <c r="Z9" s="2">
        <v>1.0000000000000001E-9</v>
      </c>
      <c r="AA9" s="3">
        <f>IF('Modell einstellen'!$B$2="Ja",'creep_res-40'!P9,'creep_res-40'!L9)</f>
        <v>0.37738349384252629</v>
      </c>
      <c r="AB9" s="2">
        <f>IF('Modell einstellen'!$B$2="Ja",creep_res0!P9,creep_res0!L9)</f>
        <v>0.38285604672818085</v>
      </c>
      <c r="AC9" s="2">
        <f>IF('Modell einstellen'!$B$2="Ja",creep_res25!P9,creep_res25!L9)</f>
        <v>0.38772336542910996</v>
      </c>
      <c r="AD9" s="2">
        <f>IF('Modell einstellen'!$B$2="Ja",creep_res50!P9,creep_res50!L9)</f>
        <v>0.39197927838718466</v>
      </c>
      <c r="AE9" s="2">
        <f>IF('Modell einstellen'!$B$2="Ja",creep_res80!P9,creep_res80!L9)</f>
        <v>0.39737282903186527</v>
      </c>
      <c r="AF9" s="2">
        <f>IF('Modell einstellen'!$B$2="Ja",creep_res125!P9,creep_res125!L9)</f>
        <v>0.41365429589604341</v>
      </c>
      <c r="AG9" s="2">
        <f>IF('Modell einstellen'!$B$2="Ja",creep_res160!P9,creep_res160!L9)</f>
        <v>0.42847665762388393</v>
      </c>
      <c r="AL9" s="2">
        <f t="shared" si="12"/>
        <v>1.0000000000000001E-9</v>
      </c>
      <c r="AM9" s="2">
        <f t="shared" si="13"/>
        <v>8956.3853461764484</v>
      </c>
      <c r="AN9" s="2">
        <f t="shared" si="14"/>
        <v>8570.1980588932365</v>
      </c>
      <c r="AO9" s="2">
        <f t="shared" si="15"/>
        <v>8242.1892422663423</v>
      </c>
      <c r="AP9" s="2">
        <f t="shared" si="16"/>
        <v>7958.2786468847135</v>
      </c>
      <c r="AQ9" s="2">
        <f t="shared" si="17"/>
        <v>7606.797789198542</v>
      </c>
      <c r="AR9" s="2">
        <f t="shared" si="18"/>
        <v>6653.2341038317008</v>
      </c>
      <c r="AS9" s="2">
        <f t="shared" si="19"/>
        <v>5881.0552739751101</v>
      </c>
      <c r="AX9" s="2">
        <f t="shared" si="28"/>
        <v>1.0000000000000001E-9</v>
      </c>
      <c r="AY9" s="37">
        <f t="shared" si="20"/>
        <v>33536.478154290198</v>
      </c>
      <c r="AZ9" s="37">
        <f t="shared" si="21"/>
        <v>33723.038695529671</v>
      </c>
      <c r="BA9" s="37">
        <f t="shared" si="22"/>
        <v>33957.432127339969</v>
      </c>
      <c r="BB9" s="37">
        <f t="shared" si="23"/>
        <v>34184.055314255194</v>
      </c>
      <c r="BC9" s="37">
        <f t="shared" si="24"/>
        <v>34524.750922170912</v>
      </c>
      <c r="BD9" s="37">
        <f t="shared" si="25"/>
        <v>36308.978619094836</v>
      </c>
      <c r="BE9" s="37">
        <f t="shared" si="26"/>
        <v>39152.486922342272</v>
      </c>
    </row>
    <row r="10" spans="1:308" x14ac:dyDescent="0.25">
      <c r="A10" s="2">
        <f>'creep_res-40'!A10</f>
        <v>1E-8</v>
      </c>
      <c r="B10" s="3">
        <f>'creep_res-40'!O10</f>
        <v>-4.1631285714285719E-4</v>
      </c>
      <c r="C10" s="2">
        <f>IF('Modell einstellen'!$B$2="Ja",creep_res0!O10,creep_res0!C10)</f>
        <v>-4.350891142857143E-4</v>
      </c>
      <c r="D10" s="2">
        <f>IF('Modell einstellen'!$B$2="Ja",creep_res25!O10,creep_res25!C10)</f>
        <v>-4.5126900000000002E-4</v>
      </c>
      <c r="E10" s="2">
        <f>IF('Modell einstellen'!$B$2="Ja",creep_res50!O10,creep_res50!C10)</f>
        <v>-4.6574105714285716E-4</v>
      </c>
      <c r="F10" s="2">
        <f>IF('Modell einstellen'!$B$2="Ja",creep_res80!O10,creep_res80!C10)</f>
        <v>-4.8958205714285719E-4</v>
      </c>
      <c r="G10" s="2">
        <f>IF('Modell einstellen'!$B$2="Ja",creep_res125!O10,creep_res125!C10)</f>
        <v>-5.5661174285714281E-4</v>
      </c>
      <c r="H10" s="2">
        <f>IF('Modell einstellen'!$B$2="Ja",creep_res160!O10,creep_res160!C10)</f>
        <v>-6.2135062857142864E-4</v>
      </c>
      <c r="M10" s="9">
        <f t="shared" si="27"/>
        <v>-10</v>
      </c>
      <c r="N10" s="2">
        <f t="shared" si="4"/>
        <v>1E-8</v>
      </c>
      <c r="O10" s="2">
        <f t="shared" si="5"/>
        <v>24020.396748324576</v>
      </c>
      <c r="P10" s="2">
        <f t="shared" si="6"/>
        <v>22983.797276603891</v>
      </c>
      <c r="Q10" s="2">
        <f t="shared" si="7"/>
        <v>22159.731778606551</v>
      </c>
      <c r="R10" s="2">
        <f t="shared" si="8"/>
        <v>21471.158375742449</v>
      </c>
      <c r="S10" s="2">
        <f t="shared" si="9"/>
        <v>20425.585157999485</v>
      </c>
      <c r="T10" s="2">
        <f t="shared" si="10"/>
        <v>17965.844465783306</v>
      </c>
      <c r="U10" s="2">
        <f t="shared" si="11"/>
        <v>16093.972614128335</v>
      </c>
      <c r="Z10" s="2">
        <v>1E-8</v>
      </c>
      <c r="AA10" s="3">
        <f>IF('Modell einstellen'!$B$2="Ja",'creep_res-40'!P10,'creep_res-40'!L10)</f>
        <v>0.38142777238272035</v>
      </c>
      <c r="AB10" s="2">
        <f>IF('Modell einstellen'!$B$2="Ja",creep_res0!P10,creep_res0!L10)</f>
        <v>0.38742078388013651</v>
      </c>
      <c r="AC10" s="2">
        <f>IF('Modell einstellen'!$B$2="Ja",creep_res25!P10,creep_res25!L10)</f>
        <v>0.39238278847301405</v>
      </c>
      <c r="AD10" s="2">
        <f>IF('Modell einstellen'!$B$2="Ja",creep_res50!P10,creep_res50!L10)</f>
        <v>0.39652056197751084</v>
      </c>
      <c r="AE10" s="2">
        <f>IF('Modell einstellen'!$B$2="Ja",creep_res80!P10,creep_res80!L10)</f>
        <v>0.40307057821680203</v>
      </c>
      <c r="AF10" s="2">
        <f>IF('Modell einstellen'!$B$2="Ja",creep_res125!P10,creep_res125!L10)</f>
        <v>0.42014317648757582</v>
      </c>
      <c r="AG10" s="2">
        <f>IF('Modell einstellen'!$B$2="Ja",creep_res160!P10,creep_res160!L10)</f>
        <v>0.43456650103056604</v>
      </c>
      <c r="AL10" s="2">
        <f t="shared" si="12"/>
        <v>1E-8</v>
      </c>
      <c r="AM10" s="2">
        <f t="shared" si="13"/>
        <v>8694.0472851843733</v>
      </c>
      <c r="AN10" s="2">
        <f t="shared" si="14"/>
        <v>8282.9223634397895</v>
      </c>
      <c r="AO10" s="2">
        <f t="shared" si="15"/>
        <v>7957.4855284258747</v>
      </c>
      <c r="AP10" s="2">
        <f t="shared" si="16"/>
        <v>7687.376383967704</v>
      </c>
      <c r="AQ10" s="2">
        <f t="shared" si="17"/>
        <v>7278.8872759198184</v>
      </c>
      <c r="AR10" s="2">
        <f t="shared" si="18"/>
        <v>6325.3637954371716</v>
      </c>
      <c r="AS10" s="2">
        <f t="shared" si="19"/>
        <v>5609.3504910949478</v>
      </c>
      <c r="AX10" s="2">
        <f t="shared" si="28"/>
        <v>1E-8</v>
      </c>
      <c r="AY10" s="37">
        <f t="shared" si="20"/>
        <v>33763.382357764502</v>
      </c>
      <c r="AZ10" s="37">
        <f t="shared" si="21"/>
        <v>34026.110781900396</v>
      </c>
      <c r="BA10" s="37">
        <f t="shared" si="22"/>
        <v>34318.754197061076</v>
      </c>
      <c r="BB10" s="37">
        <f t="shared" si="23"/>
        <v>34582.004544510135</v>
      </c>
      <c r="BC10" s="37">
        <f t="shared" si="24"/>
        <v>35121.061596903281</v>
      </c>
      <c r="BD10" s="37">
        <f t="shared" si="25"/>
        <v>37495.949366155641</v>
      </c>
      <c r="BE10" s="37">
        <f t="shared" si="26"/>
        <v>40993.203959250131</v>
      </c>
    </row>
    <row r="11" spans="1:308" x14ac:dyDescent="0.25">
      <c r="A11" s="2">
        <f>'creep_res-40'!A11</f>
        <v>9.9999999999999995E-8</v>
      </c>
      <c r="B11" s="3">
        <f>'creep_res-40'!O11</f>
        <v>-4.2841082857142859E-4</v>
      </c>
      <c r="C11" s="2">
        <f>IF('Modell einstellen'!$B$2="Ja",creep_res0!O11,creep_res0!C11)</f>
        <v>-4.4929674285714289E-4</v>
      </c>
      <c r="D11" s="2">
        <f>IF('Modell einstellen'!$B$2="Ja",creep_res25!O11,creep_res25!C11)</f>
        <v>-4.6570742857142861E-4</v>
      </c>
      <c r="E11" s="2">
        <f>IF('Modell einstellen'!$B$2="Ja",creep_res50!O11,creep_res50!C11)</f>
        <v>-4.8362802857142864E-4</v>
      </c>
      <c r="F11" s="2">
        <f>IF('Modell einstellen'!$B$2="Ja",creep_res80!O11,creep_res80!C11)</f>
        <v>-5.1373637142857148E-4</v>
      </c>
      <c r="G11" s="2">
        <f>IF('Modell einstellen'!$B$2="Ja",creep_res125!O11,creep_res125!C11)</f>
        <v>-5.7996000000000002E-4</v>
      </c>
      <c r="H11" s="2">
        <f>IF('Modell einstellen'!$B$2="Ja",creep_res160!O11,creep_res160!C11)</f>
        <v>-6.5162028571428578E-4</v>
      </c>
      <c r="M11" s="9">
        <f t="shared" si="27"/>
        <v>-10</v>
      </c>
      <c r="N11" s="2">
        <f t="shared" si="4"/>
        <v>9.9999999999999995E-8</v>
      </c>
      <c r="O11" s="2">
        <f t="shared" si="5"/>
        <v>23342.080388924409</v>
      </c>
      <c r="P11" s="2">
        <f t="shared" si="6"/>
        <v>22257.005328835807</v>
      </c>
      <c r="Q11" s="2">
        <f t="shared" si="7"/>
        <v>21472.708800620374</v>
      </c>
      <c r="R11" s="2">
        <f t="shared" si="8"/>
        <v>20677.048080812518</v>
      </c>
      <c r="S11" s="2">
        <f t="shared" si="9"/>
        <v>19465.236561298003</v>
      </c>
      <c r="T11" s="2">
        <f t="shared" si="10"/>
        <v>17242.568452996758</v>
      </c>
      <c r="U11" s="2">
        <f t="shared" si="11"/>
        <v>15346.360785926596</v>
      </c>
      <c r="Z11" s="2">
        <v>9.9999999999999995E-8</v>
      </c>
      <c r="AA11" s="3">
        <f>IF('Modell einstellen'!$B$2="Ja",'creep_res-40'!P11,'creep_res-40'!L11)</f>
        <v>0.38573236010641054</v>
      </c>
      <c r="AB11" s="2">
        <f>IF('Modell einstellen'!$B$2="Ja",creep_res0!P11,creep_res0!L11)</f>
        <v>0.39216940684317697</v>
      </c>
      <c r="AC11" s="2">
        <f>IF('Modell einstellen'!$B$2="Ja",creep_res25!P11,creep_res25!L11)</f>
        <v>0.39697961196974679</v>
      </c>
      <c r="AD11" s="2">
        <f>IF('Modell einstellen'!$B$2="Ja",creep_res50!P11,creep_res50!L11)</f>
        <v>0.40195329574718602</v>
      </c>
      <c r="AE11" s="2">
        <f>IF('Modell einstellen'!$B$2="Ja",creep_res80!P11,creep_res80!L11)</f>
        <v>0.40992917823944497</v>
      </c>
      <c r="AF11" s="2">
        <f>IF('Modell einstellen'!$B$2="Ja",creep_res125!P11,creep_res125!L11)</f>
        <v>0.42597248578719715</v>
      </c>
      <c r="AG11" s="2">
        <f>IF('Modell einstellen'!$B$2="Ja",creep_res160!P11,creep_res160!L11)</f>
        <v>0.44137137710787738</v>
      </c>
      <c r="AL11" s="2">
        <f t="shared" si="12"/>
        <v>9.9999999999999995E-8</v>
      </c>
      <c r="AM11" s="2">
        <f t="shared" si="13"/>
        <v>8422.2902852365987</v>
      </c>
      <c r="AN11" s="2">
        <f t="shared" si="14"/>
        <v>7993.641154385381</v>
      </c>
      <c r="AO11" s="2">
        <f t="shared" si="15"/>
        <v>7685.4052187432317</v>
      </c>
      <c r="AP11" s="2">
        <f t="shared" si="16"/>
        <v>7374.3712231841728</v>
      </c>
      <c r="AQ11" s="2">
        <f t="shared" si="17"/>
        <v>6902.9128773701668</v>
      </c>
      <c r="AR11" s="2">
        <f t="shared" si="18"/>
        <v>6045.8980186697399</v>
      </c>
      <c r="AS11" s="2">
        <f t="shared" si="19"/>
        <v>5323.5276590267758</v>
      </c>
      <c r="AX11" s="2">
        <f t="shared" si="28"/>
        <v>9.9999999999999995E-8</v>
      </c>
      <c r="AY11" s="37">
        <f t="shared" si="20"/>
        <v>34045.918294192881</v>
      </c>
      <c r="AZ11" s="37">
        <f t="shared" si="21"/>
        <v>34401.191531464567</v>
      </c>
      <c r="BA11" s="37">
        <f t="shared" si="22"/>
        <v>34738.607265315688</v>
      </c>
      <c r="BB11" s="37">
        <f t="shared" si="23"/>
        <v>35148.296991701412</v>
      </c>
      <c r="BC11" s="37">
        <f t="shared" si="24"/>
        <v>36018.391196364231</v>
      </c>
      <c r="BD11" s="37">
        <f t="shared" si="25"/>
        <v>38820.179758727929</v>
      </c>
      <c r="BE11" s="37">
        <f t="shared" si="26"/>
        <v>43625.906110069838</v>
      </c>
    </row>
    <row r="12" spans="1:308" x14ac:dyDescent="0.25">
      <c r="A12" s="2">
        <f>'creep_res-40'!A12</f>
        <v>9.9999999999999995E-7</v>
      </c>
      <c r="B12" s="3">
        <f>'creep_res-40'!O12</f>
        <v>-4.4282602857142865E-4</v>
      </c>
      <c r="C12" s="2">
        <f>IF('Modell einstellen'!$B$2="Ja",creep_res0!O12,creep_res0!C12)</f>
        <v>-4.6354088571428579E-4</v>
      </c>
      <c r="D12" s="2">
        <f>IF('Modell einstellen'!$B$2="Ja",creep_res25!O12,creep_res25!C12)</f>
        <v>-4.8378871428571426E-4</v>
      </c>
      <c r="E12" s="2">
        <f>IF('Modell einstellen'!$B$2="Ja",creep_res50!O12,creep_res50!C12)</f>
        <v>-5.0662740000000008E-4</v>
      </c>
      <c r="F12" s="2">
        <f>IF('Modell einstellen'!$B$2="Ja",creep_res80!O12,creep_res80!C12)</f>
        <v>-5.4002100000000001E-4</v>
      </c>
      <c r="G12" s="2">
        <f>IF('Modell einstellen'!$B$2="Ja",creep_res125!O12,creep_res125!C12)</f>
        <v>-6.0558114285714289E-4</v>
      </c>
      <c r="H12" s="2">
        <f>IF('Modell einstellen'!$B$2="Ja",creep_res160!O12,creep_res160!C12)</f>
        <v>-6.8221957142857142E-4</v>
      </c>
      <c r="M12" s="9">
        <f t="shared" si="27"/>
        <v>-10</v>
      </c>
      <c r="N12" s="2">
        <f t="shared" si="4"/>
        <v>9.9999999999999995E-7</v>
      </c>
      <c r="O12" s="2">
        <f t="shared" si="5"/>
        <v>22582.231745185189</v>
      </c>
      <c r="P12" s="2">
        <f t="shared" si="6"/>
        <v>21573.070053120908</v>
      </c>
      <c r="Q12" s="2">
        <f t="shared" si="7"/>
        <v>20670.180400475889</v>
      </c>
      <c r="R12" s="2">
        <f t="shared" si="8"/>
        <v>19738.371829079908</v>
      </c>
      <c r="S12" s="2">
        <f t="shared" si="9"/>
        <v>18517.798381914778</v>
      </c>
      <c r="T12" s="2">
        <f t="shared" si="10"/>
        <v>16513.063720610284</v>
      </c>
      <c r="U12" s="2">
        <f t="shared" si="11"/>
        <v>14658.037410243078</v>
      </c>
      <c r="Z12" s="2">
        <v>9.9999999999999995E-7</v>
      </c>
      <c r="AA12" s="3">
        <f>IF('Modell einstellen'!$B$2="Ja",'creep_res-40'!P12,'creep_res-40'!L12)</f>
        <v>0.39068337123814695</v>
      </c>
      <c r="AB12" s="2">
        <f>IF('Modell einstellen'!$B$2="Ja",creep_res0!P12,creep_res0!L12)</f>
        <v>0.39676538934984368</v>
      </c>
      <c r="AC12" s="2">
        <f>IF('Modell einstellen'!$B$2="Ja",creep_res25!P12,creep_res25!L12)</f>
        <v>0.40251787010917695</v>
      </c>
      <c r="AD12" s="2">
        <f>IF('Modell einstellen'!$B$2="Ja",creep_res50!P12,creep_res50!L12)</f>
        <v>0.40864505157044401</v>
      </c>
      <c r="AE12" s="2">
        <f>IF('Modell einstellen'!$B$2="Ja",creep_res80!P12,creep_res80!L12)</f>
        <v>0.41707084936114919</v>
      </c>
      <c r="AF12" s="2">
        <f>IF('Modell einstellen'!$B$2="Ja",creep_res125!P12,creep_res125!L12)</f>
        <v>0.43215616262820034</v>
      </c>
      <c r="AG12" s="2">
        <f>IF('Modell einstellen'!$B$2="Ja",creep_res160!P12,creep_res160!L12)</f>
        <v>0.4480558312080925</v>
      </c>
      <c r="AL12" s="2">
        <f t="shared" si="12"/>
        <v>9.9999999999999995E-7</v>
      </c>
      <c r="AM12" s="2">
        <f t="shared" si="13"/>
        <v>8119.1133122846923</v>
      </c>
      <c r="AN12" s="2">
        <f t="shared" si="14"/>
        <v>7722.5102431706819</v>
      </c>
      <c r="AO12" s="2">
        <f t="shared" si="15"/>
        <v>7368.9543787655439</v>
      </c>
      <c r="AP12" s="2">
        <f t="shared" si="16"/>
        <v>7006.1552436770207</v>
      </c>
      <c r="AQ12" s="2">
        <f t="shared" si="17"/>
        <v>6533.8294095397778</v>
      </c>
      <c r="AR12" s="2">
        <f t="shared" si="18"/>
        <v>5765.1058423358591</v>
      </c>
      <c r="AS12" s="2">
        <f t="shared" si="19"/>
        <v>5061.2818561056738</v>
      </c>
      <c r="AX12" s="2">
        <f t="shared" si="28"/>
        <v>9.9999999999999995E-7</v>
      </c>
      <c r="AY12" s="37">
        <f t="shared" si="20"/>
        <v>34429.394077487086</v>
      </c>
      <c r="AZ12" s="37">
        <f t="shared" si="21"/>
        <v>34828.548806220606</v>
      </c>
      <c r="BA12" s="37">
        <f t="shared" si="22"/>
        <v>35340.11895928318</v>
      </c>
      <c r="BB12" s="37">
        <f t="shared" si="23"/>
        <v>36010.404414126533</v>
      </c>
      <c r="BC12" s="37">
        <f t="shared" si="24"/>
        <v>37216.102016523655</v>
      </c>
      <c r="BD12" s="37">
        <f t="shared" si="25"/>
        <v>40566.356405900551</v>
      </c>
      <c r="BE12" s="37">
        <f t="shared" si="26"/>
        <v>47031.385656153085</v>
      </c>
    </row>
    <row r="13" spans="1:308" x14ac:dyDescent="0.25">
      <c r="A13" s="2">
        <f>'creep_res-40'!A13</f>
        <v>1.0000000000000001E-5</v>
      </c>
      <c r="B13" s="3">
        <f>'creep_res-40'!O13</f>
        <v>-4.5658385714285717E-4</v>
      </c>
      <c r="C13" s="2">
        <f>IF('Modell einstellen'!$B$2="Ja",creep_res0!O13,creep_res0!C13)</f>
        <v>-4.8108748571428574E-4</v>
      </c>
      <c r="D13" s="2">
        <f>IF('Modell einstellen'!$B$2="Ja",creep_res25!O13,creep_res25!C13)</f>
        <v>-5.0694940000000006E-4</v>
      </c>
      <c r="E13" s="2">
        <f>IF('Modell einstellen'!$B$2="Ja",creep_res50!O13,creep_res50!C13)</f>
        <v>-5.3271571428571435E-4</v>
      </c>
      <c r="F13" s="2">
        <f>IF('Modell einstellen'!$B$2="Ja",creep_res80!O13,creep_res80!C13)</f>
        <v>-5.6337371428571439E-4</v>
      </c>
      <c r="G13" s="2">
        <f>IF('Modell einstellen'!$B$2="Ja",creep_res125!O13,creep_res125!C13)</f>
        <v>-6.3340537142857146E-4</v>
      </c>
      <c r="H13" s="2">
        <f>IF('Modell einstellen'!$B$2="Ja",creep_res160!O13,creep_res160!C13)</f>
        <v>-7.24981542857143E-4</v>
      </c>
      <c r="M13" s="9">
        <f t="shared" si="27"/>
        <v>-10</v>
      </c>
      <c r="N13" s="2">
        <f t="shared" si="4"/>
        <v>1.0000000000000001E-5</v>
      </c>
      <c r="O13" s="2">
        <f t="shared" si="5"/>
        <v>21901.781772523715</v>
      </c>
      <c r="P13" s="2">
        <f t="shared" si="6"/>
        <v>20786.240126684414</v>
      </c>
      <c r="Q13" s="2">
        <f t="shared" si="7"/>
        <v>19725.834570471921</v>
      </c>
      <c r="R13" s="2">
        <f t="shared" si="8"/>
        <v>18771.738343420904</v>
      </c>
      <c r="S13" s="2">
        <f t="shared" si="9"/>
        <v>17750.206916697767</v>
      </c>
      <c r="T13" s="2">
        <f t="shared" si="10"/>
        <v>15787.67792487483</v>
      </c>
      <c r="U13" s="2">
        <f t="shared" si="11"/>
        <v>13793.454603809812</v>
      </c>
      <c r="Z13" s="2">
        <v>1.0000000000000001E-5</v>
      </c>
      <c r="AA13" s="3">
        <f>IF('Modell einstellen'!$B$2="Ja",'creep_res-40'!P13,'creep_res-40'!L13)</f>
        <v>0.39525261358655128</v>
      </c>
      <c r="AB13" s="2">
        <f>IF('Modell einstellen'!$B$2="Ja",creep_res0!P13,creep_res0!L13)</f>
        <v>0.40221594385387111</v>
      </c>
      <c r="AC13" s="2">
        <f>IF('Modell einstellen'!$B$2="Ja",creep_res25!P13,creep_res25!L13)</f>
        <v>0.4093140825720053</v>
      </c>
      <c r="AD13" s="2">
        <f>IF('Modell einstellen'!$B$2="Ja",creep_res50!P13,creep_res50!L13)</f>
        <v>0.41590602867785276</v>
      </c>
      <c r="AE13" s="2">
        <f>IF('Modell einstellen'!$B$2="Ja",creep_res80!P13,creep_res80!L13)</f>
        <v>0.42318615199857185</v>
      </c>
      <c r="AF13" s="2">
        <f>IF('Modell einstellen'!$B$2="Ja",creep_res125!P13,creep_res125!L13)</f>
        <v>0.43864868663660572</v>
      </c>
      <c r="AG13" s="2">
        <f>IF('Modell einstellen'!$B$2="Ja",creep_res160!P13,creep_res160!L13)</f>
        <v>0.45703185192419077</v>
      </c>
      <c r="AL13" s="2">
        <f t="shared" si="12"/>
        <v>1.0000000000000001E-5</v>
      </c>
      <c r="AM13" s="2">
        <f t="shared" si="13"/>
        <v>7848.6797155048253</v>
      </c>
      <c r="AN13" s="2">
        <f t="shared" si="14"/>
        <v>7411.9254661857585</v>
      </c>
      <c r="AO13" s="2">
        <f t="shared" si="15"/>
        <v>6998.3812744112274</v>
      </c>
      <c r="AP13" s="2">
        <f t="shared" si="16"/>
        <v>6628.8785990090082</v>
      </c>
      <c r="AQ13" s="2">
        <f t="shared" si="17"/>
        <v>6236.0805337275306</v>
      </c>
      <c r="AR13" s="2">
        <f t="shared" si="18"/>
        <v>5486.9816625574504</v>
      </c>
      <c r="AS13" s="2">
        <f t="shared" si="19"/>
        <v>4733.4087396901623</v>
      </c>
      <c r="AX13" s="2">
        <f t="shared" si="28"/>
        <v>1.0000000000000001E-5</v>
      </c>
      <c r="AY13" s="37">
        <f t="shared" si="20"/>
        <v>34848.57319188078</v>
      </c>
      <c r="AZ13" s="37">
        <f t="shared" si="21"/>
        <v>35428.816220000408</v>
      </c>
      <c r="BA13" s="37">
        <f t="shared" si="22"/>
        <v>36253.02790468061</v>
      </c>
      <c r="BB13" s="37">
        <f t="shared" si="23"/>
        <v>37203.892360508056</v>
      </c>
      <c r="BC13" s="37">
        <f t="shared" si="24"/>
        <v>38513.469855000949</v>
      </c>
      <c r="BD13" s="37">
        <f t="shared" si="25"/>
        <v>42888.725764683921</v>
      </c>
      <c r="BE13" s="37">
        <f t="shared" si="26"/>
        <v>53502.634011104579</v>
      </c>
    </row>
    <row r="14" spans="1:308" x14ac:dyDescent="0.25">
      <c r="A14" s="2">
        <f>'creep_res-40'!A14</f>
        <v>1E-4</v>
      </c>
      <c r="B14" s="3">
        <f>'creep_res-40'!O14</f>
        <v>-4.7222405714285716E-4</v>
      </c>
      <c r="C14" s="2">
        <f>IF('Modell einstellen'!$B$2="Ja",creep_res0!O14,creep_res0!C14)</f>
        <v>-5.0375437142857141E-4</v>
      </c>
      <c r="D14" s="2">
        <f>IF('Modell einstellen'!$B$2="Ja",creep_res25!O14,creep_res25!C14)</f>
        <v>-5.3302717142857147E-4</v>
      </c>
      <c r="E14" s="2">
        <f>IF('Modell einstellen'!$B$2="Ja",creep_res50!O14,creep_res50!C14)</f>
        <v>-5.569610571428572E-4</v>
      </c>
      <c r="F14" s="2">
        <f>IF('Modell einstellen'!$B$2="Ja",creep_res80!O14,creep_res80!C14)</f>
        <v>-5.8787177142857142E-4</v>
      </c>
      <c r="G14" s="2">
        <f>IF('Modell einstellen'!$B$2="Ja",creep_res125!O14,creep_res125!C14)</f>
        <v>-6.6375940000000001E-4</v>
      </c>
      <c r="H14" s="2">
        <f>IF('Modell einstellen'!$B$2="Ja",creep_res160!O14,creep_res160!C14)</f>
        <v>-7.7555411428571427E-4</v>
      </c>
      <c r="M14" s="9">
        <f t="shared" si="27"/>
        <v>-10</v>
      </c>
      <c r="N14" s="2">
        <f t="shared" si="4"/>
        <v>1E-4</v>
      </c>
      <c r="O14" s="2">
        <f t="shared" si="5"/>
        <v>21176.388302840744</v>
      </c>
      <c r="P14" s="2">
        <f t="shared" si="6"/>
        <v>19850.944363304498</v>
      </c>
      <c r="Q14" s="2">
        <f t="shared" si="7"/>
        <v>18760.769686841479</v>
      </c>
      <c r="R14" s="2">
        <f t="shared" si="8"/>
        <v>17954.576665195927</v>
      </c>
      <c r="S14" s="2">
        <f t="shared" si="9"/>
        <v>17010.512302196905</v>
      </c>
      <c r="T14" s="2">
        <f t="shared" si="10"/>
        <v>15065.700011178749</v>
      </c>
      <c r="U14" s="2">
        <f t="shared" si="11"/>
        <v>12894.006769869315</v>
      </c>
      <c r="Z14" s="2">
        <v>1E-4</v>
      </c>
      <c r="AA14" s="3">
        <f>IF('Modell einstellen'!$B$2="Ja",'creep_res-40'!P14,'creep_res-40'!L14)</f>
        <v>0.40026364603437042</v>
      </c>
      <c r="AB14" s="2">
        <f>IF('Modell einstellen'!$B$2="Ja",creep_res0!P14,creep_res0!L14)</f>
        <v>0.40896594559151084</v>
      </c>
      <c r="AC14" s="2">
        <f>IF('Modell einstellen'!$B$2="Ja",creep_res25!P14,creep_res25!L14)</f>
        <v>0.41663750617698336</v>
      </c>
      <c r="AD14" s="2">
        <f>IF('Modell einstellen'!$B$2="Ja",creep_res50!P14,creep_res50!L14)</f>
        <v>0.42239884737773664</v>
      </c>
      <c r="AE14" s="2">
        <f>IF('Modell einstellen'!$B$2="Ja",creep_res80!P14,creep_res80!L14)</f>
        <v>0.42935574580112512</v>
      </c>
      <c r="AF14" s="2">
        <f>IF('Modell einstellen'!$B$2="Ja",creep_res125!P14,creep_res125!L14)</f>
        <v>0.44552335422400691</v>
      </c>
      <c r="AG14" s="2">
        <f>IF('Modell einstellen'!$B$2="Ja",creep_res160!P14,creep_res160!L14)</f>
        <v>0.46730146195195965</v>
      </c>
      <c r="AL14" s="2">
        <f t="shared" si="12"/>
        <v>1E-4</v>
      </c>
      <c r="AM14" s="2">
        <f t="shared" si="13"/>
        <v>7561.5718378512247</v>
      </c>
      <c r="AN14" s="2">
        <f t="shared" si="14"/>
        <v>7044.5082173262499</v>
      </c>
      <c r="AO14" s="2">
        <f t="shared" si="15"/>
        <v>6621.5844226341051</v>
      </c>
      <c r="AP14" s="2">
        <f t="shared" si="16"/>
        <v>6311.3720523241727</v>
      </c>
      <c r="AQ14" s="2">
        <f t="shared" si="17"/>
        <v>5950.4123980915811</v>
      </c>
      <c r="AR14" s="2">
        <f t="shared" si="18"/>
        <v>5211.1575946368548</v>
      </c>
      <c r="AS14" s="2">
        <f t="shared" si="19"/>
        <v>4393.7824312927287</v>
      </c>
      <c r="AX14" s="2">
        <f t="shared" si="28"/>
        <v>1E-4</v>
      </c>
      <c r="AY14" s="37">
        <f t="shared" si="20"/>
        <v>35387.277658954059</v>
      </c>
      <c r="AZ14" s="37">
        <f t="shared" si="21"/>
        <v>36343.440361027038</v>
      </c>
      <c r="BA14" s="37">
        <f t="shared" si="22"/>
        <v>37508.414208976021</v>
      </c>
      <c r="BB14" s="37">
        <f t="shared" si="23"/>
        <v>38561.662334649511</v>
      </c>
      <c r="BC14" s="37">
        <f t="shared" si="24"/>
        <v>40131.860911409232</v>
      </c>
      <c r="BD14" s="37">
        <f t="shared" si="25"/>
        <v>46092.228442039224</v>
      </c>
      <c r="BE14" s="37">
        <f t="shared" si="26"/>
        <v>65721.627222423907</v>
      </c>
    </row>
    <row r="15" spans="1:308" x14ac:dyDescent="0.25">
      <c r="A15" s="2">
        <f>'creep_res-40'!A15</f>
        <v>1E-3</v>
      </c>
      <c r="B15" s="3">
        <f>'creep_res-40'!O15</f>
        <v>-4.9287082857142855E-4</v>
      </c>
      <c r="C15" s="2">
        <f>IF('Modell einstellen'!$B$2="Ja",creep_res0!O15,creep_res0!C15)</f>
        <v>-5.2969905714285719E-4</v>
      </c>
      <c r="D15" s="2">
        <f>IF('Modell einstellen'!$B$2="Ja",creep_res25!O15,creep_res25!C15)</f>
        <v>-5.5704579999999999E-4</v>
      </c>
      <c r="E15" s="2">
        <f>IF('Modell einstellen'!$B$2="Ja",creep_res50!O15,creep_res50!C15)</f>
        <v>-5.8063117142857139E-4</v>
      </c>
      <c r="F15" s="2">
        <f>IF('Modell einstellen'!$B$2="Ja",creep_res80!O15,creep_res80!C15)</f>
        <v>-6.1364405714285717E-4</v>
      </c>
      <c r="G15" s="2">
        <f>IF('Modell einstellen'!$B$2="Ja",creep_res125!O15,creep_res125!C15)</f>
        <v>-6.9877779999999998E-4</v>
      </c>
      <c r="H15" s="2">
        <f>IF('Modell einstellen'!$B$2="Ja",creep_res160!O15,creep_res160!C15)</f>
        <v>-8.4309208571428575E-4</v>
      </c>
      <c r="M15" s="9">
        <f t="shared" si="27"/>
        <v>-10</v>
      </c>
      <c r="N15" s="2">
        <f t="shared" si="4"/>
        <v>1E-3</v>
      </c>
      <c r="O15" s="2">
        <f t="shared" si="5"/>
        <v>20289.291677060097</v>
      </c>
      <c r="P15" s="2">
        <f t="shared" si="6"/>
        <v>18878.644137935571</v>
      </c>
      <c r="Q15" s="2">
        <f t="shared" si="7"/>
        <v>17951.845252221632</v>
      </c>
      <c r="R15" s="2">
        <f t="shared" si="8"/>
        <v>17222.637178428147</v>
      </c>
      <c r="S15" s="2">
        <f t="shared" si="9"/>
        <v>16296.091982965276</v>
      </c>
      <c r="T15" s="2">
        <f t="shared" si="10"/>
        <v>14310.70076925741</v>
      </c>
      <c r="U15" s="2">
        <f t="shared" si="11"/>
        <v>11861.100548142122</v>
      </c>
      <c r="Z15" s="2">
        <v>1E-3</v>
      </c>
      <c r="AA15" s="3">
        <f>IF('Modell einstellen'!$B$2="Ja",'creep_res-40'!P15,'creep_res-40'!L15)</f>
        <v>0.40661691191299681</v>
      </c>
      <c r="AB15" s="2">
        <f>IF('Modell einstellen'!$B$2="Ja",creep_res0!P15,creep_res0!L15)</f>
        <v>0.41636047034146129</v>
      </c>
      <c r="AC15" s="2">
        <f>IF('Modell einstellen'!$B$2="Ja",creep_res25!P15,creep_res25!L15)</f>
        <v>0.42313240927150236</v>
      </c>
      <c r="AD15" s="2">
        <f>IF('Modell einstellen'!$B$2="Ja",creep_res50!P15,creep_res50!L15)</f>
        <v>0.42849750549783489</v>
      </c>
      <c r="AE15" s="2">
        <f>IF('Modell einstellen'!$B$2="Ja",creep_res80!P15,creep_res80!L15)</f>
        <v>0.43564310571479736</v>
      </c>
      <c r="AF15" s="2">
        <f>IF('Modell einstellen'!$B$2="Ja",creep_res125!P15,creep_res125!L15)</f>
        <v>0.4531691925939425</v>
      </c>
      <c r="AG15" s="2">
        <f>IF('Modell einstellen'!$B$2="Ja",creep_res160!P15,creep_res160!L15)</f>
        <v>0.48037016664812376</v>
      </c>
      <c r="AL15" s="2">
        <f t="shared" si="12"/>
        <v>1E-3</v>
      </c>
      <c r="AM15" s="2">
        <f t="shared" si="13"/>
        <v>7212.0886309644511</v>
      </c>
      <c r="AN15" s="2">
        <f t="shared" si="14"/>
        <v>6664.4913259208079</v>
      </c>
      <c r="AO15" s="2">
        <f t="shared" si="15"/>
        <v>6307.1591705971805</v>
      </c>
      <c r="AP15" s="2">
        <f t="shared" si="16"/>
        <v>6028.2349504089671</v>
      </c>
      <c r="AQ15" s="2">
        <f t="shared" si="17"/>
        <v>5675.5372968728034</v>
      </c>
      <c r="AR15" s="2">
        <f t="shared" si="18"/>
        <v>4923.9623445747775</v>
      </c>
      <c r="AS15" s="2">
        <f t="shared" si="19"/>
        <v>4006.1265808261332</v>
      </c>
      <c r="AX15" s="2">
        <f t="shared" si="28"/>
        <v>1E-3</v>
      </c>
      <c r="AY15" s="37">
        <f t="shared" si="20"/>
        <v>36211.574088156383</v>
      </c>
      <c r="AZ15" s="37">
        <f t="shared" si="21"/>
        <v>37619.06245170653</v>
      </c>
      <c r="BA15" s="37">
        <f t="shared" si="22"/>
        <v>38923.741206765451</v>
      </c>
      <c r="BB15" s="37">
        <f t="shared" si="23"/>
        <v>40144.606838172716</v>
      </c>
      <c r="BC15" s="37">
        <f t="shared" si="24"/>
        <v>42202.398991753347</v>
      </c>
      <c r="BD15" s="37">
        <f t="shared" si="25"/>
        <v>50930.507650562598</v>
      </c>
      <c r="BE15" s="37">
        <f t="shared" si="26"/>
        <v>100706.41232255145</v>
      </c>
    </row>
    <row r="16" spans="1:308" x14ac:dyDescent="0.25">
      <c r="A16" s="2">
        <f>'creep_res-40'!A16</f>
        <v>0.01</v>
      </c>
      <c r="B16" s="3">
        <f>'creep_res-40'!O16</f>
        <v>-5.1801585714285716E-4</v>
      </c>
      <c r="C16" s="2">
        <f>IF('Modell einstellen'!$B$2="Ja",creep_res0!O16,creep_res0!C16)</f>
        <v>-5.5408702857142863E-4</v>
      </c>
      <c r="D16" s="2">
        <f>IF('Modell einstellen'!$B$2="Ja",creep_res25!O16,creep_res25!C16)</f>
        <v>-5.8081520000000011E-4</v>
      </c>
      <c r="E16" s="2">
        <f>IF('Modell einstellen'!$B$2="Ja",creep_res50!O16,creep_res50!C16)</f>
        <v>-6.0616185714285715E-4</v>
      </c>
      <c r="F16" s="2">
        <f>IF('Modell einstellen'!$B$2="Ja",creep_res80!O16,creep_res80!C16)</f>
        <v>-6.4314922857142858E-4</v>
      </c>
      <c r="G16" s="2">
        <f>IF('Modell einstellen'!$B$2="Ja",creep_res125!O16,creep_res125!C16)</f>
        <v>-7.4557468571428585E-4</v>
      </c>
      <c r="H16" s="2">
        <f>IF('Modell einstellen'!$B$2="Ja",creep_res160!O16,creep_res160!C16)</f>
        <v>-9.3429554285714294E-4</v>
      </c>
      <c r="M16" s="9">
        <f t="shared" si="27"/>
        <v>-10</v>
      </c>
      <c r="N16" s="2">
        <f t="shared" si="4"/>
        <v>0.01</v>
      </c>
      <c r="O16" s="2">
        <f t="shared" si="5"/>
        <v>19304.428353130945</v>
      </c>
      <c r="P16" s="2">
        <f t="shared" si="6"/>
        <v>18047.706378874158</v>
      </c>
      <c r="Q16" s="2">
        <f t="shared" si="7"/>
        <v>17217.180266632138</v>
      </c>
      <c r="R16" s="2">
        <f t="shared" si="8"/>
        <v>16497.243899731639</v>
      </c>
      <c r="S16" s="2">
        <f t="shared" si="9"/>
        <v>15548.491012283619</v>
      </c>
      <c r="T16" s="2">
        <f t="shared" si="10"/>
        <v>13412.472541794603</v>
      </c>
      <c r="U16" s="2">
        <f t="shared" si="11"/>
        <v>10703.251317478494</v>
      </c>
      <c r="Z16" s="2">
        <v>0.01</v>
      </c>
      <c r="AA16" s="3">
        <f>IF('Modell einstellen'!$B$2="Ja",'creep_res-40'!P16,'creep_res-40'!L16)</f>
        <v>0.41402304562656794</v>
      </c>
      <c r="AB16" s="2">
        <f>IF('Modell einstellen'!$B$2="Ja",creep_res0!P16,creep_res0!L16)</f>
        <v>0.42304896301488693</v>
      </c>
      <c r="AC16" s="2">
        <f>IF('Modell einstellen'!$B$2="Ja",creep_res25!P16,creep_res25!L16)</f>
        <v>0.4293171833558862</v>
      </c>
      <c r="AD16" s="2">
        <f>IF('Modell einstellen'!$B$2="Ja",creep_res50!P16,creep_res50!L16)</f>
        <v>0.43486516213373472</v>
      </c>
      <c r="AE16" s="2">
        <f>IF('Modell einstellen'!$B$2="Ja",creep_res80!P16,creep_res80!L16)</f>
        <v>0.44259302540005935</v>
      </c>
      <c r="AF16" s="2">
        <f>IF('Modell einstellen'!$B$2="Ja",creep_res125!P16,creep_res125!L16)</f>
        <v>0.46296053736343123</v>
      </c>
      <c r="AG16" s="2">
        <f>IF('Modell einstellen'!$B$2="Ja",creep_res160!P16,creep_res160!L16)</f>
        <v>0.49644199461632577</v>
      </c>
      <c r="AL16" s="2">
        <f t="shared" si="12"/>
        <v>0.01</v>
      </c>
      <c r="AM16" s="2">
        <f t="shared" si="13"/>
        <v>6826.065675816817</v>
      </c>
      <c r="AN16" s="2">
        <f t="shared" si="14"/>
        <v>6341.2106146502829</v>
      </c>
      <c r="AO16" s="2">
        <f t="shared" si="15"/>
        <v>6022.8689849680577</v>
      </c>
      <c r="AP16" s="2">
        <f t="shared" si="16"/>
        <v>5748.7087759518809</v>
      </c>
      <c r="AQ16" s="2">
        <f t="shared" si="17"/>
        <v>5389.077424650558</v>
      </c>
      <c r="AR16" s="2">
        <f t="shared" si="18"/>
        <v>4584.0172032140918</v>
      </c>
      <c r="AS16" s="2">
        <f t="shared" si="19"/>
        <v>3576.233277328839</v>
      </c>
      <c r="AX16" s="2">
        <f t="shared" si="28"/>
        <v>0.01</v>
      </c>
      <c r="AY16" s="37">
        <f t="shared" si="20"/>
        <v>37421.710840644082</v>
      </c>
      <c r="AZ16" s="37">
        <f t="shared" si="21"/>
        <v>39089.155663069367</v>
      </c>
      <c r="BA16" s="37">
        <f t="shared" si="22"/>
        <v>40597.279235301292</v>
      </c>
      <c r="BB16" s="37">
        <f t="shared" si="23"/>
        <v>42213.057405633284</v>
      </c>
      <c r="BC16" s="37">
        <f t="shared" si="24"/>
        <v>45141.120687391449</v>
      </c>
      <c r="BD16" s="37">
        <f t="shared" si="25"/>
        <v>60352.173902547278</v>
      </c>
      <c r="BE16" s="37">
        <f t="shared" si="26"/>
        <v>501369.45485383167</v>
      </c>
    </row>
    <row r="17" spans="1:57" x14ac:dyDescent="0.25">
      <c r="A17" s="2">
        <f>'creep_res-40'!A17</f>
        <v>0.1</v>
      </c>
      <c r="B17" s="3">
        <f>'creep_res-40'!O17</f>
        <v>-5.4382945714285722E-4</v>
      </c>
      <c r="C17" s="2">
        <f>IF('Modell einstellen'!$B$2="Ja",creep_res0!O17,creep_res0!C17)</f>
        <v>-5.774936857142857E-4</v>
      </c>
      <c r="D17" s="2">
        <f>IF('Modell einstellen'!$B$2="Ja",creep_res25!O17,creep_res25!C17)</f>
        <v>-6.0632237142857145E-4</v>
      </c>
      <c r="E17" s="2">
        <f>IF('Modell einstellen'!$B$2="Ja",creep_res50!O17,creep_res50!C17)</f>
        <v>-6.3452037142857146E-4</v>
      </c>
      <c r="F17" s="2">
        <f>IF('Modell einstellen'!$B$2="Ja",creep_res80!O17,creep_res80!C17)</f>
        <v>-6.7329702857142854E-4</v>
      </c>
      <c r="G17" s="2">
        <f>IF('Modell einstellen'!$B$2="Ja",creep_res125!O17,creep_res125!C17)</f>
        <v>-8.0384180000000007E-4</v>
      </c>
      <c r="H17" s="2">
        <f>IF('Modell einstellen'!$B$2="Ja",creep_res160!O17,creep_res160!C17)</f>
        <v>-1.0801062E-3</v>
      </c>
      <c r="M17" s="9">
        <f t="shared" si="27"/>
        <v>-10</v>
      </c>
      <c r="N17" s="2">
        <f t="shared" si="4"/>
        <v>0.1</v>
      </c>
      <c r="O17" s="2">
        <f t="shared" si="5"/>
        <v>18388.117577406487</v>
      </c>
      <c r="P17" s="2">
        <f t="shared" si="6"/>
        <v>17316.206648443753</v>
      </c>
      <c r="Q17" s="2">
        <f t="shared" si="7"/>
        <v>16492.876514582083</v>
      </c>
      <c r="R17" s="2">
        <f t="shared" si="8"/>
        <v>15759.935299611905</v>
      </c>
      <c r="S17" s="2">
        <f t="shared" si="9"/>
        <v>14852.2859535227</v>
      </c>
      <c r="T17" s="2">
        <f t="shared" si="10"/>
        <v>12440.258767334566</v>
      </c>
      <c r="U17" s="2">
        <f t="shared" si="11"/>
        <v>9258.3488549551894</v>
      </c>
      <c r="Z17" s="2">
        <v>0.1</v>
      </c>
      <c r="AA17" s="3">
        <f>IF('Modell einstellen'!$B$2="Ja",'creep_res-40'!P17,'creep_res-40'!L17)</f>
        <v>0.4213196458490584</v>
      </c>
      <c r="AB17" s="2">
        <f>IF('Modell einstellen'!$B$2="Ja",creep_res0!P17,creep_res0!L17)</f>
        <v>0.42922859416298381</v>
      </c>
      <c r="AC17" s="2">
        <f>IF('Modell einstellen'!$B$2="Ja",creep_res25!P17,creep_res25!L17)</f>
        <v>0.43574343266615878</v>
      </c>
      <c r="AD17" s="2">
        <f>IF('Modell einstellen'!$B$2="Ja",creep_res50!P17,creep_res50!L17)</f>
        <v>0.44169083752934107</v>
      </c>
      <c r="AE17" s="2">
        <f>IF('Modell einstellen'!$B$2="Ja",creep_res80!P17,creep_res80!L17)</f>
        <v>0.4494153631027461</v>
      </c>
      <c r="AF17" s="2">
        <f>IF('Modell einstellen'!$B$2="Ja",creep_res125!P17,creep_res125!L17)</f>
        <v>0.47355017936542809</v>
      </c>
      <c r="AG17" s="2">
        <f>IF('Modell einstellen'!$B$2="Ja",creep_res160!P17,creep_res160!L17)</f>
        <v>0.51303529227033418</v>
      </c>
      <c r="AL17" s="2">
        <f t="shared" si="12"/>
        <v>0.1</v>
      </c>
      <c r="AM17" s="2">
        <f t="shared" si="13"/>
        <v>6468.6777640443843</v>
      </c>
      <c r="AN17" s="2">
        <f t="shared" si="14"/>
        <v>6057.8856031721252</v>
      </c>
      <c r="AO17" s="2">
        <f t="shared" si="15"/>
        <v>5743.6712365645317</v>
      </c>
      <c r="AP17" s="2">
        <f t="shared" si="16"/>
        <v>5465.7818754747968</v>
      </c>
      <c r="AQ17" s="2">
        <f t="shared" si="17"/>
        <v>5123.5437168709832</v>
      </c>
      <c r="AR17" s="2">
        <f t="shared" si="18"/>
        <v>4221.1859974432145</v>
      </c>
      <c r="AS17" s="2">
        <f t="shared" si="19"/>
        <v>3059.5283871610445</v>
      </c>
      <c r="AX17" s="2">
        <f t="shared" si="28"/>
        <v>0.1</v>
      </c>
      <c r="AY17" s="37">
        <f t="shared" si="20"/>
        <v>38951.098987451682</v>
      </c>
      <c r="AZ17" s="37">
        <f t="shared" si="21"/>
        <v>40779.668105699609</v>
      </c>
      <c r="BA17" s="37">
        <f t="shared" si="22"/>
        <v>42778.705220106953</v>
      </c>
      <c r="BB17" s="37">
        <f t="shared" si="23"/>
        <v>45047.052160805426</v>
      </c>
      <c r="BC17" s="37">
        <f t="shared" si="24"/>
        <v>48935.430677929115</v>
      </c>
      <c r="BD17" s="37">
        <f t="shared" si="25"/>
        <v>78389.055633608659</v>
      </c>
      <c r="BE17" s="37">
        <f t="shared" si="26"/>
        <v>-118375.41579364783</v>
      </c>
    </row>
    <row r="18" spans="1:57" x14ac:dyDescent="0.25">
      <c r="A18" s="2">
        <f>'creep_res-40'!A18</f>
        <v>1</v>
      </c>
      <c r="B18" s="3">
        <f>'creep_res-40'!O18</f>
        <v>-5.6631957142857148E-4</v>
      </c>
      <c r="C18" s="2">
        <f>IF('Modell einstellen'!$B$2="Ja",creep_res0!O18,creep_res0!C18)</f>
        <v>-6.0290725714285721E-4</v>
      </c>
      <c r="D18" s="2">
        <f>IF('Modell einstellen'!$B$2="Ja",creep_res25!O18,creep_res25!C18)</f>
        <v>-6.3484974285714293E-4</v>
      </c>
      <c r="E18" s="2">
        <f>IF('Modell einstellen'!$B$2="Ja",creep_res50!O18,creep_res50!C18)</f>
        <v>-6.6471354285714285E-4</v>
      </c>
      <c r="F18" s="2">
        <f>IF('Modell einstellen'!$B$2="Ja",creep_res80!O18,creep_res80!C18)</f>
        <v>-7.1481365714285718E-4</v>
      </c>
      <c r="G18" s="2">
        <f>IF('Modell einstellen'!$B$2="Ja",creep_res125!O18,creep_res125!C18)</f>
        <v>-8.9073805714285725E-4</v>
      </c>
      <c r="H18" s="2">
        <f>IF('Modell einstellen'!$B$2="Ja",creep_res160!O18,creep_res160!C18)</f>
        <v>-1.3319143428571429E-3</v>
      </c>
      <c r="M18" s="9">
        <f t="shared" si="27"/>
        <v>-10</v>
      </c>
      <c r="N18" s="2">
        <f t="shared" si="4"/>
        <v>1</v>
      </c>
      <c r="O18" s="2">
        <f t="shared" si="5"/>
        <v>17657.874642711824</v>
      </c>
      <c r="P18" s="2">
        <f t="shared" si="6"/>
        <v>16586.298939889071</v>
      </c>
      <c r="Q18" s="2">
        <f t="shared" si="7"/>
        <v>15751.758762624639</v>
      </c>
      <c r="R18" s="2">
        <f t="shared" si="8"/>
        <v>15044.074409883286</v>
      </c>
      <c r="S18" s="2">
        <f t="shared" si="9"/>
        <v>13989.659962528494</v>
      </c>
      <c r="T18" s="2">
        <f t="shared" si="10"/>
        <v>11226.645049922003</v>
      </c>
      <c r="U18" s="2">
        <f t="shared" si="11"/>
        <v>7507.9903250749585</v>
      </c>
      <c r="Z18" s="2">
        <v>1</v>
      </c>
      <c r="AA18" s="3">
        <f>IF('Modell einstellen'!$B$2="Ja",'creep_res-40'!P18,'creep_res-40'!L18)</f>
        <v>0.42745693055183126</v>
      </c>
      <c r="AB18" s="2">
        <f>IF('Modell einstellen'!$B$2="Ja",creep_res0!P18,creep_res0!L18)</f>
        <v>0.43572199258886246</v>
      </c>
      <c r="AC18" s="2">
        <f>IF('Modell einstellen'!$B$2="Ja",creep_res25!P18,creep_res25!L18)</f>
        <v>0.44266577184675554</v>
      </c>
      <c r="AD18" s="2">
        <f>IF('Modell einstellen'!$B$2="Ja",creep_res50!P18,creep_res50!L18)</f>
        <v>0.44859117401119813</v>
      </c>
      <c r="AE18" s="2">
        <f>IF('Modell einstellen'!$B$2="Ja",creep_res80!P18,creep_res80!L18)</f>
        <v>0.45747459138001917</v>
      </c>
      <c r="AF18" s="2">
        <f>IF('Modell einstellen'!$B$2="Ja",creep_res125!P18,creep_res125!L18)</f>
        <v>0.48111219613962503</v>
      </c>
      <c r="AG18" s="2">
        <f>IF('Modell einstellen'!$B$2="Ja",creep_res160!P18,creep_res160!L18)</f>
        <v>0.52011225432300434</v>
      </c>
      <c r="AL18" s="2">
        <f t="shared" si="12"/>
        <v>1</v>
      </c>
      <c r="AM18" s="2">
        <f t="shared" si="13"/>
        <v>6185.0814076350389</v>
      </c>
      <c r="AN18" s="2">
        <f t="shared" si="14"/>
        <v>5776.2920069159836</v>
      </c>
      <c r="AO18" s="2">
        <f t="shared" si="15"/>
        <v>5459.2543435964462</v>
      </c>
      <c r="AP18" s="2">
        <f t="shared" si="16"/>
        <v>5192.657072535425</v>
      </c>
      <c r="AQ18" s="2">
        <f t="shared" si="17"/>
        <v>4799.280908658001</v>
      </c>
      <c r="AR18" s="2">
        <f t="shared" si="18"/>
        <v>3789.937412973562</v>
      </c>
      <c r="AS18" s="2">
        <f t="shared" si="19"/>
        <v>2469.5512794279489</v>
      </c>
      <c r="AX18" s="2">
        <f t="shared" si="28"/>
        <v>1</v>
      </c>
      <c r="AY18" s="37">
        <f t="shared" si="20"/>
        <v>40568.71496485774</v>
      </c>
      <c r="AZ18" s="37">
        <f t="shared" si="21"/>
        <v>43006.671612679616</v>
      </c>
      <c r="BA18" s="37">
        <f t="shared" si="22"/>
        <v>45789.281754821095</v>
      </c>
      <c r="BB18" s="37">
        <f t="shared" si="23"/>
        <v>48772.670582415376</v>
      </c>
      <c r="BC18" s="37">
        <f t="shared" si="24"/>
        <v>54828.632326397623</v>
      </c>
      <c r="BD18" s="37">
        <f t="shared" si="25"/>
        <v>99064.323314250432</v>
      </c>
      <c r="BE18" s="37">
        <f t="shared" si="26"/>
        <v>-62217.37756242256</v>
      </c>
    </row>
    <row r="19" spans="1:57" x14ac:dyDescent="0.25">
      <c r="A19" s="2">
        <f>'creep_res-40'!A19</f>
        <v>10</v>
      </c>
      <c r="B19" s="3">
        <f>'creep_res-40'!O19</f>
        <v>-5.9135617142857145E-4</v>
      </c>
      <c r="C19" s="2">
        <f>IF('Modell einstellen'!$B$2="Ja",creep_res0!O19,creep_res0!C19)</f>
        <v>-6.3093077142857145E-4</v>
      </c>
      <c r="D19" s="2">
        <f>IF('Modell einstellen'!$B$2="Ja",creep_res25!O19,creep_res25!C19)</f>
        <v>-6.6514245714285717E-4</v>
      </c>
      <c r="E19" s="2">
        <f>IF('Modell einstellen'!$B$2="Ja",creep_res50!O19,creep_res50!C19)</f>
        <v>-7.0354954285714285E-4</v>
      </c>
      <c r="F19" s="2">
        <f>IF('Modell einstellen'!$B$2="Ja",creep_res80!O19,creep_res80!C19)</f>
        <v>-7.7185057142857148E-4</v>
      </c>
      <c r="G19" s="2">
        <f>IF('Modell einstellen'!$B$2="Ja",creep_res125!O19,creep_res125!C19)</f>
        <v>-1.0281325428571429E-3</v>
      </c>
      <c r="H19" s="2">
        <f>IF('Modell einstellen'!$B$2="Ja",creep_res160!O19,creep_res160!C19)</f>
        <v>-1.7799718571428571E-3</v>
      </c>
      <c r="M19" s="9">
        <f t="shared" si="27"/>
        <v>-10</v>
      </c>
      <c r="N19" s="2">
        <f t="shared" si="4"/>
        <v>10</v>
      </c>
      <c r="O19" s="2">
        <f t="shared" si="5"/>
        <v>16910.282640396654</v>
      </c>
      <c r="P19" s="2">
        <f t="shared" si="6"/>
        <v>15849.59943760187</v>
      </c>
      <c r="Q19" s="2">
        <f t="shared" si="7"/>
        <v>15034.373302458171</v>
      </c>
      <c r="R19" s="2">
        <f t="shared" si="8"/>
        <v>14213.640107546087</v>
      </c>
      <c r="S19" s="2">
        <f t="shared" si="9"/>
        <v>12955.875619152041</v>
      </c>
      <c r="T19" s="2">
        <f t="shared" si="10"/>
        <v>9726.3724112947184</v>
      </c>
      <c r="U19" s="2">
        <f t="shared" si="11"/>
        <v>5618.0663530555021</v>
      </c>
      <c r="Z19" s="2">
        <v>10</v>
      </c>
      <c r="AA19" s="3">
        <f>IF('Modell einstellen'!$B$2="Ja",'creep_res-40'!P19,'creep_res-40'!L19)</f>
        <v>0.43404531260010282</v>
      </c>
      <c r="AB19" s="2">
        <f>IF('Modell einstellen'!$B$2="Ja",creep_res0!P19,creep_res0!L19)</f>
        <v>0.44260824721679903</v>
      </c>
      <c r="AC19" s="2">
        <f>IF('Modell einstellen'!$B$2="Ja",creep_res25!P19,creep_res25!L19)</f>
        <v>0.44948016721315892</v>
      </c>
      <c r="AD19" s="2">
        <f>IF('Modell einstellen'!$B$2="Ja",creep_res50!P19,creep_res50!L19)</f>
        <v>0.45544880705730789</v>
      </c>
      <c r="AE19" s="2">
        <f>IF('Modell einstellen'!$B$2="Ja",creep_res80!P19,creep_res80!L19)</f>
        <v>0.4620685647147838</v>
      </c>
      <c r="AF19" s="2">
        <f>IF('Modell einstellen'!$B$2="Ja",creep_res125!P19,creep_res125!L19)</f>
        <v>0.48093212773372551</v>
      </c>
      <c r="AG19" s="2">
        <f>IF('Modell einstellen'!$B$2="Ja",creep_res160!P19,creep_res160!L19)</f>
        <v>0.52432910857418857</v>
      </c>
      <c r="AL19" s="2">
        <f t="shared" si="12"/>
        <v>10</v>
      </c>
      <c r="AM19" s="2">
        <f t="shared" si="13"/>
        <v>5896.0070828362468</v>
      </c>
      <c r="AN19" s="2">
        <f t="shared" si="14"/>
        <v>5493.3830678495879</v>
      </c>
      <c r="AO19" s="2">
        <f t="shared" si="15"/>
        <v>5186.1259100095131</v>
      </c>
      <c r="AP19" s="2">
        <f t="shared" si="16"/>
        <v>4882.9062343607484</v>
      </c>
      <c r="AQ19" s="2">
        <f t="shared" si="17"/>
        <v>4430.6662258617935</v>
      </c>
      <c r="AR19" s="2">
        <f t="shared" si="18"/>
        <v>3283.8683924627298</v>
      </c>
      <c r="AS19" s="2">
        <f t="shared" si="19"/>
        <v>1842.799668868907</v>
      </c>
      <c r="AX19" s="2">
        <f t="shared" si="28"/>
        <v>10</v>
      </c>
      <c r="AY19" s="37">
        <f t="shared" si="20"/>
        <v>42732.071838619653</v>
      </c>
      <c r="AZ19" s="37">
        <f t="shared" si="21"/>
        <v>46027.517511892336</v>
      </c>
      <c r="BA19" s="37">
        <f t="shared" si="22"/>
        <v>49598.914832427879</v>
      </c>
      <c r="BB19" s="37">
        <f t="shared" si="23"/>
        <v>53173.436252798107</v>
      </c>
      <c r="BC19" s="37">
        <f t="shared" si="24"/>
        <v>56926.730743394786</v>
      </c>
      <c r="BD19" s="37">
        <f t="shared" si="25"/>
        <v>85015.362275963344</v>
      </c>
      <c r="BE19" s="37">
        <f t="shared" si="26"/>
        <v>-38486.588578477997</v>
      </c>
    </row>
    <row r="20" spans="1:57" x14ac:dyDescent="0.25">
      <c r="A20" s="2">
        <f>'creep_res-40'!A20</f>
        <v>100</v>
      </c>
      <c r="B20" s="3">
        <f>'creep_res-40'!O20</f>
        <v>-6.1750360000000003E-4</v>
      </c>
      <c r="C20" s="2">
        <f>IF('Modell einstellen'!$B$2="Ja",creep_res0!O20,creep_res0!C20)</f>
        <v>-6.6142368571428577E-4</v>
      </c>
      <c r="D20" s="2">
        <f>IF('Modell einstellen'!$B$2="Ja",creep_res25!O20,creep_res25!C20)</f>
        <v>-7.0607157142857152E-4</v>
      </c>
      <c r="E20" s="2">
        <f>IF('Modell einstellen'!$B$2="Ja",creep_res50!O20,creep_res50!C20)</f>
        <v>-7.6183774285714279E-4</v>
      </c>
      <c r="F20" s="2">
        <f>IF('Modell einstellen'!$B$2="Ja",creep_res80!O20,creep_res80!C20)</f>
        <v>-8.5811151428571433E-4</v>
      </c>
      <c r="G20" s="2">
        <f>IF('Modell einstellen'!$B$2="Ja",creep_res125!O20,creep_res125!C20)</f>
        <v>-1.2448388857142858E-3</v>
      </c>
      <c r="H20" s="2">
        <f>IF('Modell einstellen'!$B$2="Ja",creep_res160!O20,creep_res160!C20)</f>
        <v>-2.461023085714286E-3</v>
      </c>
      <c r="M20" s="9">
        <f t="shared" si="27"/>
        <v>-10</v>
      </c>
      <c r="N20" s="2">
        <f t="shared" si="4"/>
        <v>100</v>
      </c>
      <c r="O20" s="2">
        <f t="shared" si="5"/>
        <v>16194.23757205626</v>
      </c>
      <c r="P20" s="2">
        <f t="shared" si="6"/>
        <v>15118.902174180206</v>
      </c>
      <c r="Q20" s="2">
        <f t="shared" si="7"/>
        <v>14162.870174431931</v>
      </c>
      <c r="R20" s="2">
        <f t="shared" si="8"/>
        <v>13126.154609374827</v>
      </c>
      <c r="S20" s="2">
        <f t="shared" si="9"/>
        <v>11653.497049650856</v>
      </c>
      <c r="T20" s="2">
        <f t="shared" si="10"/>
        <v>8033.1680788249332</v>
      </c>
      <c r="U20" s="2">
        <f t="shared" si="11"/>
        <v>4063.3507495512199</v>
      </c>
      <c r="Z20" s="2">
        <v>100</v>
      </c>
      <c r="AA20" s="3">
        <f>IF('Modell einstellen'!$B$2="Ja",'creep_res-40'!P20,'creep_res-40'!L20)</f>
        <v>0.44070882455468396</v>
      </c>
      <c r="AB20" s="2">
        <f>IF('Modell einstellen'!$B$2="Ja",creep_res0!P20,creep_res0!L20)</f>
        <v>0.44941105180517749</v>
      </c>
      <c r="AC20" s="2">
        <f>IF('Modell einstellen'!$B$2="Ja",creep_res25!P20,creep_res25!L20)</f>
        <v>0.45543505201111745</v>
      </c>
      <c r="AD20" s="2">
        <f>IF('Modell einstellen'!$B$2="Ja",creep_res50!P20,creep_res50!L20)</f>
        <v>0.45796272104585001</v>
      </c>
      <c r="AE20" s="2">
        <f>IF('Modell einstellen'!$B$2="Ja",creep_res80!P20,creep_res80!L20)</f>
        <v>0.460190438785129</v>
      </c>
      <c r="AF20" s="2">
        <f>IF('Modell einstellen'!$B$2="Ja",creep_res125!P20,creep_res125!L20)</f>
        <v>0.47956292037425102</v>
      </c>
      <c r="AG20" s="2">
        <f>IF('Modell einstellen'!$B$2="Ja",creep_res160!P20,creep_res160!L20)</f>
        <v>0.52898518116878868</v>
      </c>
      <c r="AL20" s="2">
        <f t="shared" si="12"/>
        <v>100</v>
      </c>
      <c r="AM20" s="2">
        <f t="shared" si="13"/>
        <v>5620.2326577203476</v>
      </c>
      <c r="AN20" s="2">
        <f t="shared" si="14"/>
        <v>5215.5329419319251</v>
      </c>
      <c r="AO20" s="2">
        <f t="shared" si="15"/>
        <v>4865.5108844814831</v>
      </c>
      <c r="AP20" s="2">
        <f t="shared" si="16"/>
        <v>4501.5398610325774</v>
      </c>
      <c r="AQ20" s="2">
        <f t="shared" si="17"/>
        <v>3990.4031488339651</v>
      </c>
      <c r="AR20" s="2">
        <f t="shared" si="18"/>
        <v>2714.7098539050189</v>
      </c>
      <c r="AS20" s="2">
        <f t="shared" si="19"/>
        <v>1328.7737512423464</v>
      </c>
      <c r="AX20" s="2">
        <f t="shared" si="28"/>
        <v>100</v>
      </c>
      <c r="AY20" s="37">
        <f t="shared" si="20"/>
        <v>45521.775796670132</v>
      </c>
      <c r="AZ20" s="37">
        <f t="shared" si="21"/>
        <v>49809.634691869775</v>
      </c>
      <c r="BA20" s="37">
        <f t="shared" si="22"/>
        <v>52967.151739842295</v>
      </c>
      <c r="BB20" s="37">
        <f t="shared" si="23"/>
        <v>52041.72318769533</v>
      </c>
      <c r="BC20" s="37">
        <f t="shared" si="24"/>
        <v>48788.518361001385</v>
      </c>
      <c r="BD20" s="37">
        <f t="shared" si="25"/>
        <v>65511.382789934971</v>
      </c>
      <c r="BE20" s="37">
        <f t="shared" si="26"/>
        <v>-23364.529653326481</v>
      </c>
    </row>
    <row r="21" spans="1:57" x14ac:dyDescent="0.25">
      <c r="A21" s="2">
        <f>'creep_res-40'!A21</f>
        <v>1000</v>
      </c>
      <c r="B21" s="3">
        <f>'creep_res-40'!O21</f>
        <v>-6.4772062857142859E-4</v>
      </c>
      <c r="C21" s="2">
        <f>IF('Modell einstellen'!$B$2="Ja",creep_res0!O21,creep_res0!C21)</f>
        <v>-7.0192851428571438E-4</v>
      </c>
      <c r="D21" s="2">
        <f>IF('Modell einstellen'!$B$2="Ja",creep_res25!O21,creep_res25!C21)</f>
        <v>-7.6816097142857142E-4</v>
      </c>
      <c r="E21" s="2">
        <f>IF('Modell einstellen'!$B$2="Ja",creep_res50!O21,creep_res50!C21)</f>
        <v>-8.4521674285714286E-4</v>
      </c>
      <c r="F21" s="2">
        <f>IF('Modell einstellen'!$B$2="Ja",creep_res80!O21,creep_res80!C21)</f>
        <v>-9.7714334285714283E-4</v>
      </c>
      <c r="G21" s="2">
        <f>IF('Modell einstellen'!$B$2="Ja",creep_res125!O21,creep_res125!C21)</f>
        <v>-1.5896212285714288E-3</v>
      </c>
      <c r="H21" s="2">
        <f>IF('Modell einstellen'!$B$2="Ja",creep_res160!O21,creep_res160!C21)</f>
        <v>-3.4348485714285715E-3</v>
      </c>
      <c r="M21" s="9">
        <f t="shared" si="27"/>
        <v>-10</v>
      </c>
      <c r="N21" s="2">
        <f t="shared" si="4"/>
        <v>1000</v>
      </c>
      <c r="O21" s="2">
        <f t="shared" si="5"/>
        <v>15438.754856480893</v>
      </c>
      <c r="P21" s="2">
        <f t="shared" si="6"/>
        <v>14246.464983939348</v>
      </c>
      <c r="Q21" s="2">
        <f t="shared" si="7"/>
        <v>13018.104761821871</v>
      </c>
      <c r="R21" s="2">
        <f t="shared" si="8"/>
        <v>11831.284797076225</v>
      </c>
      <c r="S21" s="2">
        <f t="shared" si="9"/>
        <v>10233.913041622172</v>
      </c>
      <c r="T21" s="2">
        <f t="shared" si="10"/>
        <v>6290.8067785348248</v>
      </c>
      <c r="U21" s="2">
        <f t="shared" si="11"/>
        <v>2911.3364947674963</v>
      </c>
      <c r="Z21" s="2">
        <v>1000</v>
      </c>
      <c r="AA21" s="3">
        <f>IF('Modell einstellen'!$B$2="Ja",'creep_res-40'!P21,'creep_res-40'!L21)</f>
        <v>0.44807624733449902</v>
      </c>
      <c r="AB21" s="2">
        <f>IF('Modell einstellen'!$B$2="Ja",creep_res0!P21,creep_res0!L21)</f>
        <v>0.45440146163846229</v>
      </c>
      <c r="AC21" s="2">
        <f>IF('Modell einstellen'!$B$2="Ja",creep_res25!P21,creep_res25!L21)</f>
        <v>0.4557357286050982</v>
      </c>
      <c r="AD21" s="2">
        <f>IF('Modell einstellen'!$B$2="Ja",creep_res50!P21,creep_res50!L21)</f>
        <v>0.45468628063821065</v>
      </c>
      <c r="AE21" s="2">
        <f>IF('Modell einstellen'!$B$2="Ja",creep_res80!P21,creep_res80!L21)</f>
        <v>0.45673608875691496</v>
      </c>
      <c r="AF21" s="2">
        <f>IF('Modell einstellen'!$B$2="Ja",creep_res125!P21,creep_res125!L21)</f>
        <v>0.48344366599604865</v>
      </c>
      <c r="AG21" s="2">
        <f>IF('Modell einstellen'!$B$2="Ja",creep_res160!P21,creep_res160!L21)</f>
        <v>0.53416238769519475</v>
      </c>
      <c r="AL21" s="2">
        <f t="shared" si="12"/>
        <v>1000</v>
      </c>
      <c r="AM21" s="2">
        <f t="shared" si="13"/>
        <v>5330.7810569019748</v>
      </c>
      <c r="AN21" s="2">
        <f t="shared" si="14"/>
        <v>4897.7071873573095</v>
      </c>
      <c r="AO21" s="2">
        <f t="shared" si="15"/>
        <v>4471.3145751722259</v>
      </c>
      <c r="AP21" s="2">
        <f t="shared" si="16"/>
        <v>4066.6104281555185</v>
      </c>
      <c r="AQ21" s="2">
        <f t="shared" si="17"/>
        <v>3512.6173919241392</v>
      </c>
      <c r="AR21" s="2">
        <f t="shared" si="18"/>
        <v>2120.3389527808267</v>
      </c>
      <c r="AS21" s="2">
        <f t="shared" si="19"/>
        <v>948.83583319405307</v>
      </c>
      <c r="AX21" s="2">
        <f t="shared" si="28"/>
        <v>1000</v>
      </c>
      <c r="AY21" s="37">
        <f t="shared" si="20"/>
        <v>49555.852135531619</v>
      </c>
      <c r="AZ21" s="37">
        <f t="shared" si="21"/>
        <v>52072.08204417731</v>
      </c>
      <c r="BA21" s="37">
        <f t="shared" si="22"/>
        <v>49016.600942407204</v>
      </c>
      <c r="BB21" s="37">
        <f t="shared" si="23"/>
        <v>43516.198345340119</v>
      </c>
      <c r="BC21" s="37">
        <f t="shared" si="24"/>
        <v>39424.36373864171</v>
      </c>
      <c r="BD21" s="37">
        <f t="shared" si="25"/>
        <v>63327.291909685009</v>
      </c>
      <c r="BE21" s="37">
        <f t="shared" si="26"/>
        <v>-14203.42024852575</v>
      </c>
    </row>
    <row r="22" spans="1:57" x14ac:dyDescent="0.25">
      <c r="A22" s="2">
        <f>'creep_res-40'!A22</f>
        <v>10000</v>
      </c>
      <c r="B22" s="3">
        <f>'creep_res-40'!O22</f>
        <v>-6.7977485714285719E-4</v>
      </c>
      <c r="C22" s="2">
        <f>IF('Modell einstellen'!$B$2="Ja",creep_res0!O22,creep_res0!C22)</f>
        <v>-7.6508594285714293E-4</v>
      </c>
      <c r="D22" s="2">
        <f>IF('Modell einstellen'!$B$2="Ja",creep_res25!O22,creep_res25!C22)</f>
        <v>-8.5432602857142862E-4</v>
      </c>
      <c r="E22" s="2">
        <f>IF('Modell einstellen'!$B$2="Ja",creep_res50!O22,creep_res50!C22)</f>
        <v>-9.5746677142857144E-4</v>
      </c>
      <c r="F22" s="2">
        <f>IF('Modell einstellen'!$B$2="Ja",creep_res80!O22,creep_res80!C22)</f>
        <v>-1.1450628000000001E-3</v>
      </c>
      <c r="G22" s="2">
        <f>IF('Modell einstellen'!$B$2="Ja",creep_res125!O22,creep_res125!C22)</f>
        <v>-2.1613843714285716E-3</v>
      </c>
      <c r="H22" s="2">
        <f>IF('Modell einstellen'!$B$2="Ja",creep_res160!O22,creep_res160!C22)</f>
        <v>-4.4121640000000005E-3</v>
      </c>
      <c r="M22" s="9">
        <f t="shared" si="27"/>
        <v>-10</v>
      </c>
      <c r="N22" s="2">
        <f t="shared" si="4"/>
        <v>10000</v>
      </c>
      <c r="O22" s="2">
        <f t="shared" si="5"/>
        <v>14710.752971992406</v>
      </c>
      <c r="P22" s="2">
        <f t="shared" si="6"/>
        <v>13070.427045955023</v>
      </c>
      <c r="Q22" s="2">
        <f t="shared" si="7"/>
        <v>11705.13324605317</v>
      </c>
      <c r="R22" s="2">
        <f t="shared" si="8"/>
        <v>10444.226680660338</v>
      </c>
      <c r="S22" s="2">
        <f t="shared" si="9"/>
        <v>8733.14546590807</v>
      </c>
      <c r="T22" s="2">
        <f t="shared" si="10"/>
        <v>4626.6643417017394</v>
      </c>
      <c r="U22" s="2">
        <f t="shared" si="11"/>
        <v>2266.4615367878437</v>
      </c>
      <c r="Z22" s="2">
        <v>10000</v>
      </c>
      <c r="AA22" s="3">
        <f>IF('Modell einstellen'!$B$2="Ja",'creep_res-40'!P22,'creep_res-40'!L22)</f>
        <v>0.45464973276866461</v>
      </c>
      <c r="AB22" s="2">
        <f>IF('Modell einstellen'!$B$2="Ja",creep_res0!P22,creep_res0!L22)</f>
        <v>0.45365170553388434</v>
      </c>
      <c r="AC22" s="2">
        <f>IF('Modell einstellen'!$B$2="Ja",creep_res25!P22,creep_res25!L22)</f>
        <v>0.45179784325227995</v>
      </c>
      <c r="AD22" s="2">
        <f>IF('Modell einstellen'!$B$2="Ja",creep_res50!P22,creep_res50!L22)</f>
        <v>0.45156742030316488</v>
      </c>
      <c r="AE22" s="2">
        <f>IF('Modell einstellen'!$B$2="Ja",creep_res80!P22,creep_res80!L22)</f>
        <v>0.45691949322405223</v>
      </c>
      <c r="AF22" s="2">
        <f>IF('Modell einstellen'!$B$2="Ja",creep_res125!P22,creep_res125!L22)</f>
        <v>0.49321881043621607</v>
      </c>
      <c r="AG22" s="2">
        <f>IF('Modell einstellen'!$B$2="Ja",creep_res160!P22,creep_res160!L22)</f>
        <v>0.53264624796358429</v>
      </c>
      <c r="AL22" s="2">
        <f t="shared" si="12"/>
        <v>10000</v>
      </c>
      <c r="AM22" s="2">
        <f t="shared" si="13"/>
        <v>5056.458830124393</v>
      </c>
      <c r="AN22" s="2">
        <f t="shared" si="14"/>
        <v>4495.7217042422935</v>
      </c>
      <c r="AO22" s="2">
        <f t="shared" si="15"/>
        <v>4031.2545236434685</v>
      </c>
      <c r="AP22" s="2">
        <f t="shared" si="16"/>
        <v>3597.5685781370817</v>
      </c>
      <c r="AQ22" s="2">
        <f t="shared" si="17"/>
        <v>2997.1269883218743</v>
      </c>
      <c r="AR22" s="2">
        <f t="shared" si="18"/>
        <v>1549.2251736201158</v>
      </c>
      <c r="AS22" s="2">
        <f t="shared" si="19"/>
        <v>739.39486681916139</v>
      </c>
      <c r="AX22" s="2">
        <f t="shared" si="28"/>
        <v>10000</v>
      </c>
      <c r="AY22" s="37">
        <f t="shared" si="20"/>
        <v>54063.455668120841</v>
      </c>
      <c r="AZ22" s="37">
        <f t="shared" si="21"/>
        <v>47000.747983332156</v>
      </c>
      <c r="BA22" s="37">
        <f t="shared" si="22"/>
        <v>40472.370380006629</v>
      </c>
      <c r="BB22" s="37">
        <f t="shared" si="23"/>
        <v>35940.774942666772</v>
      </c>
      <c r="BC22" s="37">
        <f t="shared" si="24"/>
        <v>33786.14490047373</v>
      </c>
      <c r="BD22" s="37">
        <f t="shared" si="25"/>
        <v>113713.19388197045</v>
      </c>
      <c r="BE22" s="37">
        <f t="shared" si="26"/>
        <v>-11570.811747984026</v>
      </c>
    </row>
    <row r="23" spans="1:57" x14ac:dyDescent="0.25">
      <c r="A23" s="2">
        <f>'creep_res-40'!A23</f>
        <v>100000</v>
      </c>
      <c r="B23" s="3">
        <f>'creep_res-40'!O23</f>
        <v>-7.3137274285714287E-4</v>
      </c>
      <c r="C23" s="2">
        <f>IF('Modell einstellen'!$B$2="Ja",creep_res0!O23,creep_res0!C23)</f>
        <v>-8.4982022857142865E-4</v>
      </c>
      <c r="D23" s="2">
        <f>IF('Modell einstellen'!$B$2="Ja",creep_res25!O23,creep_res25!C23)</f>
        <v>-9.6764748571428582E-4</v>
      </c>
      <c r="E23" s="2">
        <f>IF('Modell einstellen'!$B$2="Ja",creep_res50!O23,creep_res50!C23)</f>
        <v>-1.1098411428571431E-3</v>
      </c>
      <c r="F23" s="2">
        <f>IF('Modell einstellen'!$B$2="Ja",creep_res80!O23,creep_res80!C23)</f>
        <v>-1.3958689142857146E-3</v>
      </c>
      <c r="G23" s="2">
        <f>IF('Modell einstellen'!$B$2="Ja",creep_res125!O23,creep_res125!C23)</f>
        <v>-2.981823142857143E-3</v>
      </c>
      <c r="H23" s="2">
        <f>IF('Modell einstellen'!$B$2="Ja",creep_res160!O23,creep_res160!C23)</f>
        <v>-5.2413105714285719E-3</v>
      </c>
      <c r="M23" s="9">
        <f t="shared" si="27"/>
        <v>-10</v>
      </c>
      <c r="N23" s="2">
        <f t="shared" si="4"/>
        <v>100000</v>
      </c>
      <c r="O23" s="2">
        <f t="shared" si="5"/>
        <v>13672.918628242171</v>
      </c>
      <c r="P23" s="2">
        <f t="shared" si="6"/>
        <v>11767.194594567696</v>
      </c>
      <c r="Q23" s="2">
        <f t="shared" si="7"/>
        <v>10334.341945422744</v>
      </c>
      <c r="R23" s="2">
        <f t="shared" si="8"/>
        <v>9010.2985137641299</v>
      </c>
      <c r="S23" s="2">
        <f t="shared" si="9"/>
        <v>7163.9964882498571</v>
      </c>
      <c r="T23" s="2">
        <f t="shared" si="10"/>
        <v>3353.6529569014392</v>
      </c>
      <c r="U23" s="2">
        <f t="shared" si="11"/>
        <v>1907.9197585642019</v>
      </c>
      <c r="Z23" s="2">
        <v>100000</v>
      </c>
      <c r="AA23" s="3">
        <f>IF('Modell einstellen'!$B$2="Ja",'creep_res-40'!P23,'creep_res-40'!L23)</f>
        <v>0.45902632568126489</v>
      </c>
      <c r="AB23" s="2">
        <f>IF('Modell einstellen'!$B$2="Ja",creep_res0!P23,creep_res0!L23)</f>
        <v>0.44944914063841662</v>
      </c>
      <c r="AC23" s="2">
        <f>IF('Modell einstellen'!$B$2="Ja",creep_res25!P23,creep_res25!L23)</f>
        <v>0.44927597895597277</v>
      </c>
      <c r="AD23" s="2">
        <f>IF('Modell einstellen'!$B$2="Ja",creep_res50!P23,creep_res50!L23)</f>
        <v>0.45211613296523251</v>
      </c>
      <c r="AE23" s="2">
        <f>IF('Modell einstellen'!$B$2="Ja",creep_res80!P23,creep_res80!L23)</f>
        <v>0.46174184346250108</v>
      </c>
      <c r="AF23" s="2">
        <f>IF('Modell einstellen'!$B$2="Ja",creep_res125!P23,creep_res125!L23)</f>
        <v>0.50380438391430893</v>
      </c>
      <c r="AG23" s="2">
        <f>IF('Modell einstellen'!$B$2="Ja",creep_res160!P23,creep_res160!L23)</f>
        <v>0.52841957684847307</v>
      </c>
      <c r="AL23" s="2">
        <f t="shared" si="12"/>
        <v>100000</v>
      </c>
      <c r="AM23" s="2">
        <f t="shared" si="13"/>
        <v>4685.6312280238881</v>
      </c>
      <c r="AN23" s="2">
        <f t="shared" si="14"/>
        <v>4059.1954090175182</v>
      </c>
      <c r="AO23" s="2">
        <f t="shared" si="15"/>
        <v>3565.3464541885878</v>
      </c>
      <c r="AP23" s="2">
        <f t="shared" si="16"/>
        <v>3102.4717339118838</v>
      </c>
      <c r="AQ23" s="2">
        <f t="shared" si="17"/>
        <v>2450.4999019800034</v>
      </c>
      <c r="AR23" s="2">
        <f t="shared" si="18"/>
        <v>1115.0562509241029</v>
      </c>
      <c r="AS23" s="2">
        <f t="shared" si="19"/>
        <v>624.14790659062351</v>
      </c>
      <c r="AX23" s="2">
        <f t="shared" si="28"/>
        <v>100000</v>
      </c>
      <c r="AY23" s="37">
        <f t="shared" si="20"/>
        <v>55616.680936317942</v>
      </c>
      <c r="AZ23" s="37">
        <f t="shared" si="21"/>
        <v>38796.5530925286</v>
      </c>
      <c r="BA23" s="37">
        <f t="shared" si="22"/>
        <v>33956.107753013719</v>
      </c>
      <c r="BB23" s="37">
        <f t="shared" si="23"/>
        <v>31361.636224374335</v>
      </c>
      <c r="BC23" s="37">
        <f t="shared" si="24"/>
        <v>31209.015874510449</v>
      </c>
      <c r="BD23" s="37">
        <f t="shared" si="25"/>
        <v>-146920.54536906688</v>
      </c>
      <c r="BE23" s="37">
        <f t="shared" si="26"/>
        <v>-11188.999333902882</v>
      </c>
    </row>
    <row r="24" spans="1:57" x14ac:dyDescent="0.25">
      <c r="A24" s="2">
        <f>'creep_res-40'!A24</f>
        <v>1000000</v>
      </c>
      <c r="B24" s="3">
        <f>'creep_res-40'!O24</f>
        <v>-8.0382091428571442E-4</v>
      </c>
      <c r="C24" s="2">
        <f>IF('Modell einstellen'!$B$2="Ja",creep_res0!O24,creep_res0!C24)</f>
        <v>-9.6031400000000009E-4</v>
      </c>
      <c r="D24" s="2">
        <f>IF('Modell einstellen'!$B$2="Ja",creep_res25!O24,creep_res25!C24)</f>
        <v>-1.1218572857142858E-3</v>
      </c>
      <c r="E24" s="2">
        <f>IF('Modell einstellen'!$B$2="Ja",creep_res50!O24,creep_res50!C24)</f>
        <v>-1.3359454857142859E-3</v>
      </c>
      <c r="F24" s="2">
        <f>IF('Modell einstellen'!$B$2="Ja",creep_res80!O24,creep_res80!C24)</f>
        <v>-1.8148498000000002E-3</v>
      </c>
      <c r="G24" s="2">
        <f>IF('Modell einstellen'!$B$2="Ja",creep_res125!O24,creep_res125!C24)</f>
        <v>-4.0335100000000006E-3</v>
      </c>
      <c r="H24" s="2">
        <f>IF('Modell einstellen'!$B$2="Ja",creep_res160!O24,creep_res160!C24)</f>
        <v>-5.7147317142857146E-3</v>
      </c>
      <c r="M24" s="9">
        <f t="shared" si="27"/>
        <v>-10</v>
      </c>
      <c r="N24" s="2">
        <f t="shared" si="4"/>
        <v>1000000</v>
      </c>
      <c r="O24" s="2">
        <f t="shared" si="5"/>
        <v>12440.582003127063</v>
      </c>
      <c r="P24" s="2">
        <f t="shared" si="6"/>
        <v>10413.260662658255</v>
      </c>
      <c r="Q24" s="2">
        <f t="shared" si="7"/>
        <v>8913.7897728524422</v>
      </c>
      <c r="R24" s="2">
        <f t="shared" si="8"/>
        <v>7485.3353725382967</v>
      </c>
      <c r="S24" s="2">
        <f t="shared" si="9"/>
        <v>5510.0978604400207</v>
      </c>
      <c r="T24" s="2">
        <f t="shared" si="10"/>
        <v>2479.2302485924165</v>
      </c>
      <c r="U24" s="2">
        <f t="shared" si="11"/>
        <v>1749.8634231598223</v>
      </c>
      <c r="Z24" s="2">
        <v>1000000</v>
      </c>
      <c r="AA24" s="3">
        <f>IF('Modell einstellen'!$B$2="Ja",'creep_res-40'!P24,'creep_res-40'!L24)</f>
        <v>0.45611858391200993</v>
      </c>
      <c r="AB24" s="2">
        <f>IF('Modell einstellen'!$B$2="Ja",creep_res0!P24,creep_res0!L24)</f>
        <v>0.44725885789142183</v>
      </c>
      <c r="AC24" s="2">
        <f>IF('Modell einstellen'!$B$2="Ja",creep_res25!P24,creep_res25!L24)</f>
        <v>0.45067991204890967</v>
      </c>
      <c r="AD24" s="2">
        <f>IF('Modell einstellen'!$B$2="Ja",creep_res50!P24,creep_res50!L24)</f>
        <v>0.45707301315887733</v>
      </c>
      <c r="AE24" s="2">
        <f>IF('Modell einstellen'!$B$2="Ja",creep_res80!P24,creep_res80!L24)</f>
        <v>0.47159269835206985</v>
      </c>
      <c r="AF24" s="2">
        <f>IF('Modell einstellen'!$B$2="Ja",creep_res125!P24,creep_res125!L24)</f>
        <v>0.51251415551928003</v>
      </c>
      <c r="AG24" s="2">
        <f>IF('Modell einstellen'!$B$2="Ja",creep_res160!P24,creep_res160!L24)</f>
        <v>0.52202235615510217</v>
      </c>
      <c r="AL24" s="2">
        <f t="shared" si="12"/>
        <v>1000000</v>
      </c>
      <c r="AM24" s="2">
        <f t="shared" si="13"/>
        <v>4271.8299665210579</v>
      </c>
      <c r="AN24" s="2">
        <f t="shared" si="14"/>
        <v>3597.5805592338243</v>
      </c>
      <c r="AO24" s="2">
        <f t="shared" si="15"/>
        <v>3072.2800042990852</v>
      </c>
      <c r="AP24" s="2">
        <f t="shared" si="16"/>
        <v>2568.6205512482802</v>
      </c>
      <c r="AQ24" s="2">
        <f t="shared" si="17"/>
        <v>1872.1545257089074</v>
      </c>
      <c r="AR24" s="2">
        <f t="shared" si="18"/>
        <v>819.57257707159806</v>
      </c>
      <c r="AS24" s="2">
        <f t="shared" si="19"/>
        <v>574.84813415628378</v>
      </c>
      <c r="AX24" s="2">
        <f t="shared" si="28"/>
        <v>1000000</v>
      </c>
      <c r="AY24" s="37">
        <f t="shared" si="20"/>
        <v>47250.76168227828</v>
      </c>
      <c r="AZ24" s="37">
        <f t="shared" si="21"/>
        <v>32906.823295623995</v>
      </c>
      <c r="BA24" s="37">
        <f t="shared" si="22"/>
        <v>30122.242082820478</v>
      </c>
      <c r="BB24" s="37">
        <f t="shared" si="23"/>
        <v>29062.27497495657</v>
      </c>
      <c r="BC24" s="37">
        <f t="shared" si="24"/>
        <v>32327.943526223095</v>
      </c>
      <c r="BD24" s="37">
        <f t="shared" si="25"/>
        <v>-33019.011214577105</v>
      </c>
      <c r="BE24" s="37">
        <f t="shared" si="26"/>
        <v>-13243.083610397513</v>
      </c>
    </row>
    <row r="25" spans="1:57" x14ac:dyDescent="0.25">
      <c r="A25" s="2">
        <f>'creep_res-40'!A25</f>
        <v>10000000</v>
      </c>
      <c r="B25" s="3">
        <f>'creep_res-40'!O25</f>
        <v>-9.0442820000000005E-4</v>
      </c>
      <c r="C25" s="2">
        <f>IF('Modell einstellen'!$B$2="Ja",creep_res0!O25,creep_res0!C25)</f>
        <v>-1.1084513428571429E-3</v>
      </c>
      <c r="D25" s="2">
        <f>IF('Modell einstellen'!$B$2="Ja",creep_res25!O25,creep_res25!C25)</f>
        <v>-1.3513724571428572E-3</v>
      </c>
      <c r="E25" s="2">
        <f>IF('Modell einstellen'!$B$2="Ja",creep_res50!O25,creep_res50!C25)</f>
        <v>-1.7043230571428571E-3</v>
      </c>
      <c r="F25" s="2">
        <f>IF('Modell einstellen'!$B$2="Ja",creep_res80!O25,creep_res80!C25)</f>
        <v>-2.464179485714286E-3</v>
      </c>
      <c r="G25" s="2">
        <f>IF('Modell einstellen'!$B$2="Ja",creep_res125!O25,creep_res125!C25)</f>
        <v>-4.9064134285714284E-3</v>
      </c>
      <c r="H25" s="2">
        <f>IF('Modell einstellen'!$B$2="Ja",creep_res160!O25,creep_res160!C25)</f>
        <v>-6.0956394285714291E-3</v>
      </c>
      <c r="M25" s="9">
        <f t="shared" si="27"/>
        <v>-10</v>
      </c>
      <c r="N25" s="2">
        <f t="shared" si="4"/>
        <v>10000000</v>
      </c>
      <c r="O25" s="2">
        <f t="shared" si="5"/>
        <v>11056.709642622818</v>
      </c>
      <c r="P25" s="2">
        <f t="shared" si="6"/>
        <v>9021.5958187429424</v>
      </c>
      <c r="Q25" s="2">
        <f t="shared" si="7"/>
        <v>7399.8844264907739</v>
      </c>
      <c r="R25" s="2">
        <f t="shared" si="8"/>
        <v>5867.432208987475</v>
      </c>
      <c r="S25" s="2">
        <f t="shared" si="9"/>
        <v>4058.1459499900525</v>
      </c>
      <c r="T25" s="2">
        <f t="shared" si="10"/>
        <v>2038.148669202473</v>
      </c>
      <c r="U25" s="2">
        <f t="shared" si="11"/>
        <v>1640.5169822099524</v>
      </c>
      <c r="Z25" s="2">
        <v>10000000</v>
      </c>
      <c r="AA25" s="3">
        <f>IF('Modell einstellen'!$B$2="Ja",'creep_res-40'!P25,'creep_res-40'!L25)</f>
        <v>0.45197586086514591</v>
      </c>
      <c r="AB25" s="2">
        <f>IF('Modell einstellen'!$B$2="Ja",creep_res0!P25,creep_res0!L25)</f>
        <v>0.4488808671722867</v>
      </c>
      <c r="AC25" s="2">
        <f>IF('Modell einstellen'!$B$2="Ja",creep_res25!P25,creep_res25!L25)</f>
        <v>0.45622970475983404</v>
      </c>
      <c r="AD25" s="2">
        <f>IF('Modell einstellen'!$B$2="Ja",creep_res50!P25,creep_res50!L25)</f>
        <v>0.46632160130204697</v>
      </c>
      <c r="AE25" s="2">
        <f>IF('Modell einstellen'!$B$2="Ja",creep_res80!P25,creep_res80!L25)</f>
        <v>0.48383582494605387</v>
      </c>
      <c r="AF25" s="2">
        <f>IF('Modell einstellen'!$B$2="Ja",creep_res125!P25,creep_res125!L25)</f>
        <v>0.5148750029625947</v>
      </c>
      <c r="AG25" s="2">
        <f>IF('Modell einstellen'!$B$2="Ja",creep_res160!P25,creep_res160!L25)</f>
        <v>0.51894258087444056</v>
      </c>
      <c r="AL25" s="2">
        <f t="shared" si="12"/>
        <v>10000000</v>
      </c>
      <c r="AM25" s="2">
        <f t="shared" si="13"/>
        <v>3807.4701999642007</v>
      </c>
      <c r="AN25" s="2">
        <f t="shared" si="14"/>
        <v>3113.2980023229825</v>
      </c>
      <c r="AO25" s="2">
        <f t="shared" si="15"/>
        <v>2540.7682600840731</v>
      </c>
      <c r="AP25" s="2">
        <f t="shared" si="16"/>
        <v>2000.7316961631682</v>
      </c>
      <c r="AQ25" s="2">
        <f t="shared" si="17"/>
        <v>1367.4511296212941</v>
      </c>
      <c r="AR25" s="2">
        <f t="shared" si="18"/>
        <v>672.71182943032534</v>
      </c>
      <c r="AS25" s="2">
        <f t="shared" si="19"/>
        <v>540.01941971549797</v>
      </c>
      <c r="AX25" s="2">
        <f t="shared" si="28"/>
        <v>10000000</v>
      </c>
      <c r="AY25" s="37">
        <f t="shared" si="20"/>
        <v>38372.055671055496</v>
      </c>
      <c r="AZ25" s="37">
        <f t="shared" si="21"/>
        <v>29413.630864815354</v>
      </c>
      <c r="BA25" s="37">
        <f t="shared" si="22"/>
        <v>28176.964864290905</v>
      </c>
      <c r="BB25" s="37">
        <f t="shared" si="23"/>
        <v>29036.575549063033</v>
      </c>
      <c r="BC25" s="37">
        <f t="shared" si="24"/>
        <v>41843.0050450708</v>
      </c>
      <c r="BD25" s="37">
        <f t="shared" si="25"/>
        <v>-22836.395106695516</v>
      </c>
      <c r="BE25" s="37">
        <f t="shared" si="26"/>
        <v>-14434.120611511818</v>
      </c>
    </row>
    <row r="26" spans="1:57" x14ac:dyDescent="0.25">
      <c r="A26" s="2">
        <f>'creep_res-40'!A26</f>
        <v>100000000</v>
      </c>
      <c r="B26" s="3">
        <f>'creep_res-40'!O26</f>
        <v>-1.0340307714285716E-3</v>
      </c>
      <c r="C26" s="2">
        <f>IF('Modell einstellen'!$B$2="Ja",creep_res0!O26,creep_res0!C26)</f>
        <v>-1.3287063714285715E-3</v>
      </c>
      <c r="D26" s="2">
        <f>IF('Modell einstellen'!$B$2="Ja",creep_res25!O26,creep_res25!C26)</f>
        <v>-1.7279395999999999E-3</v>
      </c>
      <c r="E26" s="2">
        <f>IF('Modell einstellen'!$B$2="Ja",creep_res50!O26,creep_res50!C26)</f>
        <v>-2.3040462857142857E-3</v>
      </c>
      <c r="F26" s="2">
        <f>IF('Modell einstellen'!$B$2="Ja",creep_res80!O26,creep_res80!C26)</f>
        <v>-3.3960300000000004E-3</v>
      </c>
      <c r="G26" s="2">
        <f>IF('Modell einstellen'!$B$2="Ja",creep_res125!O26,creep_res125!C26)</f>
        <v>-5.5716142857142863E-3</v>
      </c>
      <c r="H26" s="2">
        <f>IF('Modell einstellen'!$B$2="Ja",creep_res160!O26,creep_res160!C26)</f>
        <v>-6.2988837142857138E-3</v>
      </c>
      <c r="M26" s="9">
        <f t="shared" si="27"/>
        <v>-10</v>
      </c>
      <c r="N26" s="2">
        <f t="shared" si="4"/>
        <v>100000000</v>
      </c>
      <c r="O26" s="2">
        <f t="shared" si="5"/>
        <v>9670.892082045526</v>
      </c>
      <c r="P26" s="2">
        <f t="shared" si="6"/>
        <v>7526.1172935058657</v>
      </c>
      <c r="Q26" s="2">
        <f t="shared" si="7"/>
        <v>5787.2393224855778</v>
      </c>
      <c r="R26" s="2">
        <f t="shared" si="8"/>
        <v>4340.1905864490318</v>
      </c>
      <c r="S26" s="2">
        <f t="shared" si="9"/>
        <v>2944.6147413303179</v>
      </c>
      <c r="T26" s="2">
        <f t="shared" si="10"/>
        <v>1794.8119678062012</v>
      </c>
      <c r="U26" s="2">
        <f t="shared" si="11"/>
        <v>1587.5828882695905</v>
      </c>
      <c r="Z26" s="2">
        <v>100000000</v>
      </c>
      <c r="AA26" s="3">
        <f>IF('Modell einstellen'!$B$2="Ja",'creep_res-40'!P26,'creep_res-40'!L26)</f>
        <v>0.45058299867671792</v>
      </c>
      <c r="AB26" s="2">
        <f>IF('Modell einstellen'!$B$2="Ja",creep_res0!P26,creep_res0!L26)</f>
        <v>0.45450968496253596</v>
      </c>
      <c r="AC26" s="2">
        <f>IF('Modell einstellen'!$B$2="Ja",creep_res25!P26,creep_res25!L26)</f>
        <v>0.46582306134179358</v>
      </c>
      <c r="AD26" s="2">
        <f>IF('Modell einstellen'!$B$2="Ja",creep_res50!P26,creep_res50!L26)</f>
        <v>0.47876596477104505</v>
      </c>
      <c r="AE26" s="2">
        <f>IF('Modell einstellen'!$B$2="Ja",creep_res80!P26,creep_res80!L26)</f>
        <v>0.49653332189140181</v>
      </c>
      <c r="AF26" s="2">
        <f>IF('Modell einstellen'!$B$2="Ja",creep_res125!P26,creep_res125!L26)</f>
        <v>0.51520544186988637</v>
      </c>
      <c r="AG26" s="2">
        <f>IF('Modell einstellen'!$B$2="Ja",creep_res160!P26,creep_res160!L26)</f>
        <v>0.51801437107246184</v>
      </c>
      <c r="AL26" s="2">
        <f t="shared" si="12"/>
        <v>100000000</v>
      </c>
      <c r="AM26" s="2">
        <f t="shared" si="13"/>
        <v>3333.4500993282409</v>
      </c>
      <c r="AN26" s="2">
        <f t="shared" si="14"/>
        <v>2587.1664421745386</v>
      </c>
      <c r="AO26" s="2">
        <f t="shared" si="15"/>
        <v>1974.0579457073152</v>
      </c>
      <c r="AP26" s="2">
        <f t="shared" si="16"/>
        <v>1467.5042196825975</v>
      </c>
      <c r="AQ26" s="2">
        <f t="shared" si="17"/>
        <v>983.81195335121254</v>
      </c>
      <c r="AR26" s="2">
        <f t="shared" si="18"/>
        <v>592.26686963031818</v>
      </c>
      <c r="AS26" s="2">
        <f t="shared" si="19"/>
        <v>522.91431442377564</v>
      </c>
      <c r="AX26" s="2">
        <f t="shared" si="28"/>
        <v>100000000</v>
      </c>
      <c r="AY26" s="37">
        <f t="shared" si="20"/>
        <v>32616.615817362534</v>
      </c>
      <c r="AZ26" s="37">
        <f t="shared" si="21"/>
        <v>27574.064528195548</v>
      </c>
      <c r="BA26" s="37">
        <f t="shared" si="22"/>
        <v>28221.950968956324</v>
      </c>
      <c r="BB26" s="37">
        <f t="shared" si="23"/>
        <v>34066.30392866247</v>
      </c>
      <c r="BC26" s="37">
        <f t="shared" si="24"/>
        <v>141567.54915832213</v>
      </c>
      <c r="BD26" s="37">
        <f t="shared" si="25"/>
        <v>-19672.912535355055</v>
      </c>
      <c r="BE26" s="37">
        <f t="shared" si="26"/>
        <v>-14688.114671370091</v>
      </c>
    </row>
    <row r="27" spans="1:57" x14ac:dyDescent="0.25">
      <c r="A27" s="2">
        <f>'creep_res-40'!A27</f>
        <v>1000000000</v>
      </c>
      <c r="B27" s="3">
        <f>'creep_res-40'!O27</f>
        <v>-1.2221332857142858E-3</v>
      </c>
      <c r="C27" s="2">
        <f>IF('Modell einstellen'!$B$2="Ja",creep_res0!O27,creep_res0!C27)</f>
        <v>-1.6862730571428571E-3</v>
      </c>
      <c r="D27" s="2">
        <f>IF('Modell einstellen'!$B$2="Ja",creep_res25!O27,creep_res25!C27)</f>
        <v>-2.3361168857142858E-3</v>
      </c>
      <c r="E27" s="2">
        <f>IF('Modell einstellen'!$B$2="Ja",creep_res50!O27,creep_res50!C27)</f>
        <v>-3.1656362857142859E-3</v>
      </c>
      <c r="F27" s="2">
        <f>IF('Modell einstellen'!$B$2="Ja",creep_res80!O27,creep_res80!C27)</f>
        <v>-4.3980477142857143E-3</v>
      </c>
      <c r="G27" s="2">
        <f>IF('Modell einstellen'!$B$2="Ja",creep_res125!O27,creep_res125!C27)</f>
        <v>-5.9386188571428581E-3</v>
      </c>
      <c r="H27" s="2">
        <f>IF('Modell einstellen'!$B$2="Ja",creep_res160!O27,creep_res160!C27)</f>
        <v>-6.4397999999999999E-3</v>
      </c>
      <c r="M27" s="9">
        <f t="shared" si="27"/>
        <v>-10</v>
      </c>
      <c r="N27" s="2">
        <f t="shared" si="4"/>
        <v>1000000000</v>
      </c>
      <c r="O27" s="2">
        <f t="shared" si="5"/>
        <v>8182.4135852378968</v>
      </c>
      <c r="P27" s="2">
        <f t="shared" si="6"/>
        <v>5930.2376668127145</v>
      </c>
      <c r="Q27" s="2">
        <f t="shared" si="7"/>
        <v>4280.6077303543925</v>
      </c>
      <c r="R27" s="2">
        <f t="shared" si="8"/>
        <v>3158.9225980026404</v>
      </c>
      <c r="S27" s="2">
        <f t="shared" si="9"/>
        <v>2273.7361324021235</v>
      </c>
      <c r="T27" s="2">
        <f t="shared" si="10"/>
        <v>1683.8932149976572</v>
      </c>
      <c r="U27" s="2">
        <f t="shared" si="11"/>
        <v>1552.8432560017393</v>
      </c>
      <c r="Z27" s="2">
        <v>1000000000</v>
      </c>
      <c r="AA27" s="3">
        <f>IF('Modell einstellen'!$B$2="Ja",'creep_res-40'!P27,'creep_res-40'!L27)</f>
        <v>0.45391004231126064</v>
      </c>
      <c r="AB27" s="2">
        <f>IF('Modell einstellen'!$B$2="Ja",creep_res0!P27,creep_res0!L27)</f>
        <v>0.46385924245415805</v>
      </c>
      <c r="AC27" s="2">
        <f>IF('Modell einstellen'!$B$2="Ja",creep_res25!P27,creep_res25!L27)</f>
        <v>0.47834590370484276</v>
      </c>
      <c r="AD27" s="2">
        <f>IF('Modell einstellen'!$B$2="Ja",creep_res50!P27,creep_res50!L27)</f>
        <v>0.49171466047854784</v>
      </c>
      <c r="AE27" s="2">
        <f>IF('Modell einstellen'!$B$2="Ja",creep_res80!P27,creep_res80!L27)</f>
        <v>0.50529837687072454</v>
      </c>
      <c r="AF27" s="2">
        <f>IF('Modell einstellen'!$B$2="Ja",creep_res125!P27,creep_res125!L27)</f>
        <v>0.5139557220760228</v>
      </c>
      <c r="AG27" s="2">
        <f>IF('Modell einstellen'!$B$2="Ja",creep_res160!P27,creep_res160!L27)</f>
        <v>0.51561295160009402</v>
      </c>
      <c r="AL27" s="2">
        <f t="shared" si="12"/>
        <v>1000000000</v>
      </c>
      <c r="AM27" s="2">
        <f t="shared" si="13"/>
        <v>2813.9339254547094</v>
      </c>
      <c r="AN27" s="2">
        <f t="shared" si="14"/>
        <v>2025.5491425769458</v>
      </c>
      <c r="AO27" s="2">
        <f t="shared" si="15"/>
        <v>1447.7693345065175</v>
      </c>
      <c r="AP27" s="2">
        <f t="shared" si="16"/>
        <v>1058.8226695409851</v>
      </c>
      <c r="AQ27" s="2">
        <f t="shared" si="17"/>
        <v>755.24433140254177</v>
      </c>
      <c r="AR27" s="2">
        <f t="shared" si="18"/>
        <v>556.12366677692739</v>
      </c>
      <c r="AS27" s="2">
        <f t="shared" si="19"/>
        <v>512.28225991416207</v>
      </c>
      <c r="AX27" s="2">
        <f t="shared" si="28"/>
        <v>1000000000</v>
      </c>
      <c r="AY27" s="37">
        <f t="shared" si="20"/>
        <v>29588.562583402756</v>
      </c>
      <c r="AZ27" s="37">
        <f t="shared" si="21"/>
        <v>27347.875683433191</v>
      </c>
      <c r="BA27" s="37">
        <f t="shared" si="22"/>
        <v>32946.866588253128</v>
      </c>
      <c r="BB27" s="37">
        <f t="shared" si="23"/>
        <v>63544.420636467767</v>
      </c>
      <c r="BC27" s="37">
        <f t="shared" si="24"/>
        <v>-71523.040227827194</v>
      </c>
      <c r="BD27" s="37">
        <f t="shared" si="25"/>
        <v>-20109.949713634411</v>
      </c>
      <c r="BE27" s="37">
        <f t="shared" si="26"/>
        <v>-16576.443453015301</v>
      </c>
    </row>
    <row r="28" spans="1:57" x14ac:dyDescent="0.25">
      <c r="A28" s="2">
        <f>'creep_res-40'!A28</f>
        <v>10000000000</v>
      </c>
      <c r="B28" s="3">
        <f>'creep_res-40'!O28</f>
        <v>-1.5110083142857143E-3</v>
      </c>
      <c r="C28" s="2">
        <f>IF('Modell einstellen'!$B$2="Ja",creep_res0!O28,creep_res0!C28)</f>
        <v>-2.2753457428571428E-3</v>
      </c>
      <c r="D28" s="2">
        <f>IF('Modell einstellen'!$B$2="Ja",creep_res25!O28,creep_res25!C28)</f>
        <v>-3.210096E-3</v>
      </c>
      <c r="E28" s="2">
        <f>IF('Modell einstellen'!$B$2="Ja",creep_res50!O28,creep_res50!C28)</f>
        <v>-4.2048082857142864E-3</v>
      </c>
      <c r="F28" s="2">
        <f>IF('Modell einstellen'!$B$2="Ja",creep_res80!O28,creep_res80!C28)</f>
        <v>-5.2293177142857146E-3</v>
      </c>
      <c r="G28" s="2">
        <f>IF('Modell einstellen'!$B$2="Ja",creep_res125!O28,creep_res125!C28)</f>
        <v>-6.2464694285714285E-3</v>
      </c>
      <c r="H28" s="2">
        <f>IF('Modell einstellen'!$B$2="Ja",creep_res160!O28,creep_res160!C28)</f>
        <v>-6.7772074285714287E-3</v>
      </c>
      <c r="M28" s="9">
        <f t="shared" si="27"/>
        <v>-10</v>
      </c>
      <c r="N28" s="2">
        <f t="shared" si="4"/>
        <v>10000000000</v>
      </c>
      <c r="O28" s="2">
        <f t="shared" si="5"/>
        <v>6618.0972701842556</v>
      </c>
      <c r="P28" s="2">
        <f t="shared" si="6"/>
        <v>4394.9364756509658</v>
      </c>
      <c r="Q28" s="2">
        <f t="shared" si="7"/>
        <v>3115.1716334963194</v>
      </c>
      <c r="R28" s="2">
        <f t="shared" si="8"/>
        <v>2378.2297123925264</v>
      </c>
      <c r="S28" s="2">
        <f t="shared" si="9"/>
        <v>1912.2953598098456</v>
      </c>
      <c r="T28" s="2">
        <f t="shared" si="10"/>
        <v>1600.9043371380121</v>
      </c>
      <c r="U28" s="2">
        <f t="shared" si="11"/>
        <v>1475.5340020790695</v>
      </c>
      <c r="Z28" s="2">
        <v>10000000000</v>
      </c>
      <c r="AA28" s="3">
        <f>IF('Modell einstellen'!$B$2="Ja",'creep_res-40'!P28,'creep_res-40'!L28)</f>
        <v>0.46122257321038468</v>
      </c>
      <c r="AB28" s="2">
        <f>IF('Modell einstellen'!$B$2="Ja",creep_res0!P28,creep_res0!L28)</f>
        <v>0.47640147021424106</v>
      </c>
      <c r="AC28" s="2">
        <f>IF('Modell einstellen'!$B$2="Ja",creep_res25!P28,creep_res25!L28)</f>
        <v>0.49143015393576134</v>
      </c>
      <c r="AD28" s="2">
        <f>IF('Modell einstellen'!$B$2="Ja",creep_res50!P28,creep_res50!L28)</f>
        <v>0.50240444459876499</v>
      </c>
      <c r="AE28" s="2">
        <f>IF('Modell einstellen'!$B$2="Ja",creep_res80!P28,creep_res80!L28)</f>
        <v>0.50981945637048953</v>
      </c>
      <c r="AF28" s="2">
        <f>IF('Modell einstellen'!$B$2="Ja",creep_res125!P28,creep_res125!L28)</f>
        <v>0.5138482570474211</v>
      </c>
      <c r="AG28" s="2">
        <f>IF('Modell einstellen'!$B$2="Ja",creep_res160!P28,creep_res160!L28)</f>
        <v>0.51708301598812767</v>
      </c>
      <c r="AL28" s="2">
        <f t="shared" si="12"/>
        <v>10000000000</v>
      </c>
      <c r="AM28" s="2">
        <f t="shared" si="13"/>
        <v>2264.5753602217969</v>
      </c>
      <c r="AN28" s="2">
        <f t="shared" si="14"/>
        <v>1488.3947775442189</v>
      </c>
      <c r="AO28" s="2">
        <f t="shared" si="15"/>
        <v>1044.3571981147218</v>
      </c>
      <c r="AP28" s="2">
        <f t="shared" si="16"/>
        <v>791.47453302018846</v>
      </c>
      <c r="AQ28" s="2">
        <f t="shared" si="17"/>
        <v>633.28610309701617</v>
      </c>
      <c r="AR28" s="2">
        <f t="shared" si="18"/>
        <v>528.75323853804991</v>
      </c>
      <c r="AS28" s="2">
        <f t="shared" si="19"/>
        <v>486.30628203230003</v>
      </c>
      <c r="AX28" s="2">
        <f t="shared" si="28"/>
        <v>10000000000</v>
      </c>
      <c r="AY28" s="37">
        <f t="shared" si="20"/>
        <v>28444.801602791398</v>
      </c>
      <c r="AZ28" s="37">
        <f t="shared" si="21"/>
        <v>31039.620656814455</v>
      </c>
      <c r="BA28" s="37">
        <f t="shared" si="22"/>
        <v>60583.96712817868</v>
      </c>
      <c r="BB28" s="37">
        <f t="shared" si="23"/>
        <v>-164849.55358741846</v>
      </c>
      <c r="BC28" s="37">
        <f t="shared" si="24"/>
        <v>-32457.590448640276</v>
      </c>
      <c r="BD28" s="37">
        <f t="shared" si="25"/>
        <v>-19267.218149499204</v>
      </c>
      <c r="BE28" s="37">
        <f t="shared" si="26"/>
        <v>-14395.721098121998</v>
      </c>
    </row>
    <row r="29" spans="1:57" x14ac:dyDescent="0.25">
      <c r="A29" s="2">
        <f>'creep_res-40'!A29</f>
        <v>100000000000</v>
      </c>
      <c r="B29" s="3">
        <f>'creep_res-40'!O29</f>
        <v>-2.0067045714285713E-3</v>
      </c>
      <c r="C29" s="2">
        <f>IF('Modell einstellen'!$B$2="Ja",creep_res0!O29,creep_res0!C29)</f>
        <v>-3.1217257142857145E-3</v>
      </c>
      <c r="D29" s="2">
        <f>IF('Modell einstellen'!$B$2="Ja",creep_res25!O29,creep_res25!C29)</f>
        <v>-4.2436945714285712E-3</v>
      </c>
      <c r="E29" s="2">
        <f>IF('Modell einstellen'!$B$2="Ja",creep_res50!O29,creep_res50!C29)</f>
        <v>-5.0564605714285716E-3</v>
      </c>
      <c r="F29" s="2">
        <f>IF('Modell einstellen'!$B$2="Ja",creep_res80!O29,creep_res80!C29)</f>
        <v>-5.7320725714285724E-3</v>
      </c>
      <c r="G29" s="2">
        <f>IF('Modell einstellen'!$B$2="Ja",creep_res125!O29,creep_res125!C29)</f>
        <v>-6.358090857142857E-3</v>
      </c>
      <c r="H29" s="2">
        <f>IF('Modell einstellen'!$B$2="Ja",creep_res160!O29,creep_res160!C29)</f>
        <v>-6.9143051428571436E-3</v>
      </c>
      <c r="M29" s="9">
        <f t="shared" si="27"/>
        <v>-10</v>
      </c>
      <c r="N29" s="2">
        <f t="shared" si="4"/>
        <v>100000000000</v>
      </c>
      <c r="O29" s="2">
        <f t="shared" si="5"/>
        <v>4983.2945727935466</v>
      </c>
      <c r="P29" s="2">
        <f t="shared" si="6"/>
        <v>3203.3563852960447</v>
      </c>
      <c r="Q29" s="2">
        <f t="shared" si="7"/>
        <v>2356.4372580738441</v>
      </c>
      <c r="R29" s="2">
        <f t="shared" si="8"/>
        <v>1977.667947517439</v>
      </c>
      <c r="S29" s="2">
        <f t="shared" si="9"/>
        <v>1744.5696779634031</v>
      </c>
      <c r="T29" s="2">
        <f t="shared" si="10"/>
        <v>1572.7991663984669</v>
      </c>
      <c r="U29" s="2">
        <f t="shared" si="11"/>
        <v>1446.2769278168969</v>
      </c>
      <c r="Z29" s="2">
        <v>100000000000</v>
      </c>
      <c r="AA29" s="3">
        <f>IF('Modell einstellen'!$B$2="Ja",'creep_res-40'!P29,'creep_res-40'!L29)</f>
        <v>0.47286559086354235</v>
      </c>
      <c r="AB29" s="2">
        <f>IF('Modell einstellen'!$B$2="Ja",creep_res0!P29,creep_res0!L29)</f>
        <v>0.48953970514477341</v>
      </c>
      <c r="AC29" s="2">
        <f>IF('Modell einstellen'!$B$2="Ja",creep_res25!P29,creep_res25!L29)</f>
        <v>0.50204461328205197</v>
      </c>
      <c r="AD29" s="2">
        <f>IF('Modell einstellen'!$B$2="Ja",creep_res50!P29,creep_res50!L29)</f>
        <v>0.50782834429865453</v>
      </c>
      <c r="AE29" s="2">
        <f>IF('Modell einstellen'!$B$2="Ja",creep_res80!P29,creep_res80!L29)</f>
        <v>0.51110657855293817</v>
      </c>
      <c r="AF29" s="2">
        <f>IF('Modell einstellen'!$B$2="Ja",creep_res125!P29,creep_res125!L29)</f>
        <v>0.51946392892960958</v>
      </c>
      <c r="AG29" s="2">
        <f>IF('Modell einstellen'!$B$2="Ja",creep_res160!P29,creep_res160!L29)</f>
        <v>0.51549446059407766</v>
      </c>
      <c r="AL29" s="2">
        <f t="shared" si="12"/>
        <v>100000000000</v>
      </c>
      <c r="AM29" s="2">
        <f t="shared" si="13"/>
        <v>1691.7003845109305</v>
      </c>
      <c r="AN29" s="2">
        <f t="shared" si="14"/>
        <v>1075.2839868020503</v>
      </c>
      <c r="AO29" s="2">
        <f t="shared" si="15"/>
        <v>784.40987612375113</v>
      </c>
      <c r="AP29" s="2">
        <f t="shared" si="16"/>
        <v>655.80009654126911</v>
      </c>
      <c r="AQ29" s="2">
        <f t="shared" si="17"/>
        <v>577.24905136540178</v>
      </c>
      <c r="AR29" s="2">
        <f t="shared" si="18"/>
        <v>517.55067575260887</v>
      </c>
      <c r="AS29" s="2">
        <f t="shared" si="19"/>
        <v>477.16338311456207</v>
      </c>
      <c r="AX29" s="2">
        <f t="shared" si="28"/>
        <v>100000000000</v>
      </c>
      <c r="AY29" s="37">
        <f t="shared" si="20"/>
        <v>30608.703926029837</v>
      </c>
      <c r="AZ29" s="37">
        <f t="shared" si="21"/>
        <v>51039.931309002168</v>
      </c>
      <c r="BA29" s="37">
        <f t="shared" si="22"/>
        <v>-192085.0003567205</v>
      </c>
      <c r="BB29" s="37">
        <f t="shared" si="23"/>
        <v>-42104.857938209301</v>
      </c>
      <c r="BC29" s="37">
        <f t="shared" si="24"/>
        <v>-26179.224466654621</v>
      </c>
      <c r="BD29" s="37">
        <f t="shared" si="25"/>
        <v>-13467.640338584128</v>
      </c>
      <c r="BE29" s="37">
        <f t="shared" si="26"/>
        <v>-15556.924564917272</v>
      </c>
    </row>
    <row r="30" spans="1:57" x14ac:dyDescent="0.25">
      <c r="A30" s="2">
        <f>'creep_res-40'!A30</f>
        <v>1000000000000</v>
      </c>
      <c r="B30" s="3">
        <f>'creep_res-40'!O30</f>
        <v>-2.7355667999999999E-3</v>
      </c>
      <c r="C30" s="2">
        <f>IF('Modell einstellen'!$B$2="Ja",creep_res0!O30,creep_res0!C30)</f>
        <v>-4.1663445714285718E-3</v>
      </c>
      <c r="D30" s="2">
        <f>IF('Modell einstellen'!$B$2="Ja",creep_res25!O30,creep_res25!C30)</f>
        <v>-5.0913620000000003E-3</v>
      </c>
      <c r="E30" s="2">
        <f>IF('Modell einstellen'!$B$2="Ja",creep_res50!O30,creep_res50!C30)</f>
        <v>-5.6548028571428571E-3</v>
      </c>
      <c r="F30" s="2">
        <f>IF('Modell einstellen'!$B$2="Ja",creep_res80!O30,creep_res80!C30)</f>
        <v>-6.0948040000000005E-3</v>
      </c>
      <c r="G30" s="2">
        <f>IF('Modell einstellen'!$B$2="Ja",creep_res125!O30,creep_res125!C30)</f>
        <v>-6.6076685714285726E-3</v>
      </c>
      <c r="H30" s="2">
        <f>IF('Modell einstellen'!$B$2="Ja",creep_res160!O30,creep_res160!C30)</f>
        <v>-6.9280194285714298E-3</v>
      </c>
      <c r="M30" s="9">
        <f t="shared" si="27"/>
        <v>-10</v>
      </c>
      <c r="N30" s="2">
        <f t="shared" si="4"/>
        <v>1000000000000</v>
      </c>
      <c r="O30" s="2">
        <f t="shared" si="5"/>
        <v>3655.5495555802186</v>
      </c>
      <c r="P30" s="2">
        <f t="shared" si="6"/>
        <v>2400.1855412000077</v>
      </c>
      <c r="Q30" s="2">
        <f t="shared" si="7"/>
        <v>1964.1109785554434</v>
      </c>
      <c r="R30" s="2">
        <f t="shared" si="8"/>
        <v>1768.4082456329159</v>
      </c>
      <c r="S30" s="2">
        <f t="shared" si="9"/>
        <v>1640.7418515837423</v>
      </c>
      <c r="T30" s="2">
        <f t="shared" si="10"/>
        <v>1513.3930965060508</v>
      </c>
      <c r="U30" s="2">
        <f t="shared" si="11"/>
        <v>1443.4139660116425</v>
      </c>
      <c r="Z30" s="2">
        <v>1000000000000</v>
      </c>
      <c r="AA30" s="3">
        <f>IF('Modell einstellen'!$B$2="Ja",'creep_res-40'!P30,'creep_res-40'!L30)</f>
        <v>0.48557251723586398</v>
      </c>
      <c r="AB30" s="2">
        <f>IF('Modell einstellen'!$B$2="Ja",creep_res0!P30,creep_res0!L30)</f>
        <v>0.50085273791907747</v>
      </c>
      <c r="AC30" s="2">
        <f>IF('Modell einstellen'!$B$2="Ja",creep_res25!P30,creep_res25!L30)</f>
        <v>0.5075886570234055</v>
      </c>
      <c r="AD30" s="2">
        <f>IF('Modell einstellen'!$B$2="Ja",creep_res50!P30,creep_res50!L30)</f>
        <v>0.51034443034770449</v>
      </c>
      <c r="AE30" s="2">
        <f>IF('Modell einstellen'!$B$2="Ja",creep_res80!P30,creep_res80!L30)</f>
        <v>0.51202354380176018</v>
      </c>
      <c r="AF30" s="2">
        <f>IF('Modell einstellen'!$B$2="Ja",creep_res125!P30,creep_res125!L30)</f>
        <v>0.5141155471305201</v>
      </c>
      <c r="AG30" s="2">
        <f>IF('Modell einstellen'!$B$2="Ja",creep_res160!P30,creep_res160!L30)</f>
        <v>0.51547183058048163</v>
      </c>
      <c r="AL30" s="2">
        <f t="shared" si="12"/>
        <v>1000000000000</v>
      </c>
      <c r="AM30" s="2">
        <f t="shared" si="13"/>
        <v>1230.3504248927311</v>
      </c>
      <c r="AN30" s="2">
        <f t="shared" si="14"/>
        <v>799.60727676982128</v>
      </c>
      <c r="AO30" s="2">
        <f t="shared" si="15"/>
        <v>651.40811766035665</v>
      </c>
      <c r="AP30" s="2">
        <f t="shared" si="16"/>
        <v>585.43210743850034</v>
      </c>
      <c r="AQ30" s="2">
        <f t="shared" si="17"/>
        <v>542.56491517927657</v>
      </c>
      <c r="AR30" s="2">
        <f t="shared" si="18"/>
        <v>499.76142817308812</v>
      </c>
      <c r="AS30" s="2">
        <f t="shared" si="19"/>
        <v>476.22593072507385</v>
      </c>
      <c r="AX30" s="2">
        <f t="shared" si="28"/>
        <v>1000000000000</v>
      </c>
      <c r="AY30" s="37">
        <f t="shared" si="20"/>
        <v>42229.006211524982</v>
      </c>
      <c r="AZ30" s="37">
        <f t="shared" si="21"/>
        <v>-469113.5630113699</v>
      </c>
      <c r="BA30" s="37">
        <f t="shared" si="22"/>
        <v>-43136.991005074786</v>
      </c>
      <c r="BB30" s="37">
        <f t="shared" si="23"/>
        <v>-28492.115824520955</v>
      </c>
      <c r="BC30" s="37">
        <f t="shared" si="24"/>
        <v>-22743.458981196909</v>
      </c>
      <c r="BD30" s="37">
        <f t="shared" si="25"/>
        <v>-17869.104216700292</v>
      </c>
      <c r="BE30" s="37">
        <f t="shared" si="26"/>
        <v>-15548.838457342066</v>
      </c>
    </row>
    <row r="31" spans="1:57" x14ac:dyDescent="0.25">
      <c r="A31" s="2">
        <f>'creep_res-40'!A31</f>
        <v>10000000000000</v>
      </c>
      <c r="B31" s="3">
        <f>'creep_res-40'!O31</f>
        <v>-3.7568405714285716E-3</v>
      </c>
      <c r="C31" s="2">
        <f>IF('Modell einstellen'!$B$2="Ja",creep_res0!O31,creep_res0!C31)</f>
        <v>-5.0214025714285723E-3</v>
      </c>
      <c r="D31" s="2">
        <f>IF('Modell einstellen'!$B$2="Ja",creep_res25!O31,creep_res25!C31)</f>
        <v>-5.6714805714285716E-3</v>
      </c>
      <c r="E31" s="2">
        <f>IF('Modell einstellen'!$B$2="Ja",creep_res50!O31,creep_res50!C31)</f>
        <v>-6.0127154285714293E-3</v>
      </c>
      <c r="F31" s="2">
        <f>IF('Modell einstellen'!$B$2="Ja",creep_res80!O31,creep_res80!C31)</f>
        <v>-6.3178514285714285E-3</v>
      </c>
      <c r="G31" s="2">
        <f>IF('Modell einstellen'!$B$2="Ja",creep_res125!O31,creep_res125!C31)</f>
        <v>-6.8895494285714292E-3</v>
      </c>
      <c r="H31" s="2">
        <f>IF('Modell einstellen'!$B$2="Ja",creep_res160!O31,creep_res160!C31)</f>
        <v>-6.9320440000000001E-3</v>
      </c>
      <c r="M31" s="9">
        <f t="shared" si="27"/>
        <v>-10</v>
      </c>
      <c r="N31" s="2">
        <f t="shared" si="4"/>
        <v>10000000000000</v>
      </c>
      <c r="O31" s="2">
        <f t="shared" si="5"/>
        <v>2661.8111175788895</v>
      </c>
      <c r="P31" s="2">
        <f t="shared" si="6"/>
        <v>1991.4754608402236</v>
      </c>
      <c r="Q31" s="2">
        <f t="shared" si="7"/>
        <v>1763.2080149189565</v>
      </c>
      <c r="R31" s="2">
        <f t="shared" si="8"/>
        <v>1663.1420726285587</v>
      </c>
      <c r="S31" s="2">
        <f t="shared" si="9"/>
        <v>1582.8165814056135</v>
      </c>
      <c r="T31" s="2">
        <f t="shared" si="10"/>
        <v>1451.473728968301</v>
      </c>
      <c r="U31" s="2">
        <f t="shared" si="11"/>
        <v>1442.5759559518087</v>
      </c>
      <c r="Z31" s="2">
        <v>10000000000000</v>
      </c>
      <c r="AA31" s="3">
        <f>IF('Modell einstellen'!$B$2="Ja",'creep_res-40'!P31,'creep_res-40'!L31)</f>
        <v>0.49833434507506391</v>
      </c>
      <c r="AB31" s="2">
        <f>IF('Modell einstellen'!$B$2="Ja",creep_res0!P31,creep_res0!L31)</f>
        <v>0.50676640203371748</v>
      </c>
      <c r="AC31" s="2">
        <f>IF('Modell einstellen'!$B$2="Ja",creep_res25!P31,creep_res25!L31)</f>
        <v>0.51010993249331416</v>
      </c>
      <c r="AD31" s="2">
        <f>IF('Modell einstellen'!$B$2="Ja",creep_res50!P31,creep_res50!L31)</f>
        <v>0.5113163988089241</v>
      </c>
      <c r="AE31" s="2">
        <f>IF('Modell einstellen'!$B$2="Ja",creep_res80!P31,creep_res80!L31)</f>
        <v>0.51307827073218382</v>
      </c>
      <c r="AF31" s="2">
        <f>IF('Modell einstellen'!$B$2="Ja",creep_res125!P31,creep_res125!L31)</f>
        <v>0.51521146541492668</v>
      </c>
      <c r="AG31" s="2">
        <f>IF('Modell einstellen'!$B$2="Ja",creep_res160!P31,creep_res160!L31)</f>
        <v>0.51537303736510776</v>
      </c>
      <c r="AL31" s="2">
        <f t="shared" si="12"/>
        <v>10000000000000</v>
      </c>
      <c r="AM31" s="2">
        <f t="shared" si="13"/>
        <v>888.25672531905332</v>
      </c>
      <c r="AN31" s="2">
        <f t="shared" si="14"/>
        <v>660.84412890819806</v>
      </c>
      <c r="AO31" s="2">
        <f t="shared" si="15"/>
        <v>583.80121108393644</v>
      </c>
      <c r="AP31" s="2">
        <f t="shared" si="16"/>
        <v>550.22961238933465</v>
      </c>
      <c r="AQ31" s="2">
        <f t="shared" si="17"/>
        <v>523.04517618896307</v>
      </c>
      <c r="AR31" s="2">
        <f t="shared" si="18"/>
        <v>478.96737917397832</v>
      </c>
      <c r="AS31" s="2">
        <f t="shared" si="19"/>
        <v>475.98047490013522</v>
      </c>
      <c r="AX31" s="2">
        <f t="shared" si="28"/>
        <v>10000000000000</v>
      </c>
      <c r="AY31" s="37">
        <f t="shared" si="20"/>
        <v>266342.79382938251</v>
      </c>
      <c r="AZ31" s="37">
        <f t="shared" si="21"/>
        <v>-49053.038106922882</v>
      </c>
      <c r="BA31" s="37">
        <f t="shared" si="22"/>
        <v>-29067.25664892737</v>
      </c>
      <c r="BB31" s="37">
        <f t="shared" si="23"/>
        <v>-24494.572002844325</v>
      </c>
      <c r="BC31" s="37">
        <f t="shared" si="24"/>
        <v>-20171.073758124621</v>
      </c>
      <c r="BD31" s="37">
        <f t="shared" si="25"/>
        <v>-15903.286209624497</v>
      </c>
      <c r="BE31" s="37">
        <f t="shared" si="26"/>
        <v>-15639.676160397003</v>
      </c>
    </row>
    <row r="32" spans="1:57" x14ac:dyDescent="0.25">
      <c r="A32" s="2">
        <f>'creep_res-40'!A32</f>
        <v>100000000000000</v>
      </c>
      <c r="B32" s="3">
        <f>'creep_res-40'!O32</f>
        <v>-4.6848757142857146E-3</v>
      </c>
      <c r="C32" s="2">
        <f>IF('Modell einstellen'!$B$2="Ja",creep_res0!O32,creep_res0!C32)</f>
        <v>-5.6401380000000003E-3</v>
      </c>
      <c r="D32" s="2">
        <f>IF('Modell einstellen'!$B$2="Ja",creep_res25!O32,creep_res25!C32)</f>
        <v>-6.0295740000000002E-3</v>
      </c>
      <c r="E32" s="2">
        <f>IF('Modell einstellen'!$B$2="Ja",creep_res50!O32,creep_res50!C32)</f>
        <v>-6.2865677142857146E-3</v>
      </c>
      <c r="F32" s="2">
        <f>IF('Modell einstellen'!$B$2="Ja",creep_res80!O32,creep_res80!C32)</f>
        <v>-6.4428497142857144E-3</v>
      </c>
      <c r="G32" s="2">
        <f>IF('Modell einstellen'!$B$2="Ja",creep_res125!O32,creep_res125!C32)</f>
        <v>-6.9306028571428577E-3</v>
      </c>
      <c r="H32" s="2">
        <f>IF('Modell einstellen'!$B$2="Ja",creep_res160!O32,creep_res160!C32)</f>
        <v>-6.9347925714285724E-3</v>
      </c>
      <c r="M32" s="9">
        <v>-1</v>
      </c>
      <c r="N32" s="2">
        <f t="shared" si="4"/>
        <v>100000000000000</v>
      </c>
      <c r="O32" s="2">
        <f t="shared" si="5"/>
        <v>2134.5283439444802</v>
      </c>
      <c r="P32" s="2">
        <f t="shared" si="6"/>
        <v>1773.0062633219256</v>
      </c>
      <c r="Q32" s="2">
        <f t="shared" si="7"/>
        <v>1658.491959796828</v>
      </c>
      <c r="R32" s="2">
        <f t="shared" si="8"/>
        <v>1590.6931181661835</v>
      </c>
      <c r="S32" s="2">
        <f t="shared" si="9"/>
        <v>1552.1082197256635</v>
      </c>
      <c r="T32" s="2">
        <f t="shared" si="10"/>
        <v>1442.8759238013101</v>
      </c>
      <c r="U32" s="2">
        <f t="shared" si="11"/>
        <v>1442.004197962621</v>
      </c>
      <c r="Z32" s="2">
        <v>100000000000000</v>
      </c>
      <c r="AA32" s="3">
        <f>IF('Modell einstellen'!$B$2="Ja",'creep_res-40'!P32,'creep_res-40'!L32)</f>
        <v>0.50559271430588337</v>
      </c>
      <c r="AB32" s="2">
        <f>IF('Modell einstellen'!$B$2="Ja",creep_res0!P32,creep_res0!L32)</f>
        <v>0.50979522638833097</v>
      </c>
      <c r="AC32" s="2">
        <f>IF('Modell einstellen'!$B$2="Ja",creep_res25!P32,creep_res25!L32)</f>
        <v>0.51124057141397672</v>
      </c>
      <c r="AD32" s="2">
        <f>IF('Modell einstellen'!$B$2="Ja",creep_res50!P32,creep_res50!L32)</f>
        <v>0.51220909233823575</v>
      </c>
      <c r="AE32" s="2">
        <f>IF('Modell einstellen'!$B$2="Ja",creep_res80!P32,creep_res80!L32)</f>
        <v>0.51270569092452178</v>
      </c>
      <c r="AF32" s="2">
        <f>IF('Modell einstellen'!$B$2="Ja",creep_res125!P32,creep_res125!L32)</f>
        <v>0.51667832647829848</v>
      </c>
      <c r="AG32" s="2">
        <f>IF('Modell einstellen'!$B$2="Ja",creep_res160!P32,creep_res160!L32)</f>
        <v>0.51545132218188916</v>
      </c>
      <c r="AL32" s="2">
        <f t="shared" si="12"/>
        <v>100000000000000</v>
      </c>
      <c r="AM32" s="2">
        <f t="shared" si="13"/>
        <v>708.86645626754114</v>
      </c>
      <c r="AN32" s="2">
        <f t="shared" si="14"/>
        <v>587.16779346403064</v>
      </c>
      <c r="AO32" s="2">
        <f t="shared" si="15"/>
        <v>548.71871201984641</v>
      </c>
      <c r="AP32" s="2">
        <f t="shared" si="16"/>
        <v>525.95012363885235</v>
      </c>
      <c r="AQ32" s="2">
        <f t="shared" si="17"/>
        <v>513.02385818918287</v>
      </c>
      <c r="AR32" s="2">
        <f t="shared" si="18"/>
        <v>475.66972462501121</v>
      </c>
      <c r="AS32" s="2">
        <f t="shared" si="19"/>
        <v>475.76724400704541</v>
      </c>
      <c r="AX32" s="2">
        <f t="shared" si="28"/>
        <v>100000000000000</v>
      </c>
      <c r="AY32" s="37">
        <f t="shared" si="20"/>
        <v>-63610.38746722733</v>
      </c>
      <c r="AZ32" s="37">
        <f t="shared" si="21"/>
        <v>-30167.862606934468</v>
      </c>
      <c r="BA32" s="37">
        <f t="shared" si="22"/>
        <v>-24590.860771464442</v>
      </c>
      <c r="BB32" s="37">
        <f t="shared" si="23"/>
        <v>-21714.596986386121</v>
      </c>
      <c r="BC32" s="37">
        <f t="shared" si="24"/>
        <v>-20359.75098279411</v>
      </c>
      <c r="BD32" s="37">
        <f t="shared" si="25"/>
        <v>-14418.672097974508</v>
      </c>
      <c r="BE32" s="37">
        <f t="shared" si="26"/>
        <v>-15554.269735924026</v>
      </c>
    </row>
    <row r="33" spans="1:60" x14ac:dyDescent="0.25">
      <c r="A33" s="2">
        <f>'creep_res-40'!A33</f>
        <v>1000000000000000</v>
      </c>
      <c r="B33" s="3">
        <f>'creep_res-40'!O33</f>
        <v>-5.4542020000000009E-3</v>
      </c>
      <c r="C33" s="2">
        <f>IF('Modell einstellen'!$B$2="Ja",creep_res0!O33,creep_res0!C33)</f>
        <v>-5.9958525714285723E-3</v>
      </c>
      <c r="D33" s="2">
        <f>IF('Modell einstellen'!$B$2="Ja",creep_res25!O33,creep_res25!C33)</f>
        <v>-6.2946374285714288E-3</v>
      </c>
      <c r="E33" s="2">
        <f>IF('Modell einstellen'!$B$2="Ja",creep_res50!O33,creep_res50!C33)</f>
        <v>-6.4140320000000009E-3</v>
      </c>
      <c r="F33" s="2">
        <f>IF('Modell einstellen'!$B$2="Ja",creep_res80!O33,creep_res80!C33)</f>
        <v>-6.7568782857142864E-3</v>
      </c>
      <c r="G33" s="2">
        <f>IF('Modell einstellen'!$B$2="Ja",creep_res125!O33,creep_res125!C33)</f>
        <v>-6.9356111428571432E-3</v>
      </c>
      <c r="H33" s="2">
        <f>IF('Modell einstellen'!$B$2="Ja",creep_res160!O33,creep_res160!C33)</f>
        <v>-6.9376311428571442E-3</v>
      </c>
      <c r="M33" s="9">
        <f>M31</f>
        <v>-10</v>
      </c>
      <c r="N33" s="2">
        <f t="shared" si="4"/>
        <v>1000000000000000</v>
      </c>
      <c r="O33" s="2">
        <f t="shared" si="5"/>
        <v>1833.4487794914817</v>
      </c>
      <c r="P33" s="2">
        <f t="shared" si="6"/>
        <v>1667.8195270597521</v>
      </c>
      <c r="Q33" s="2">
        <f t="shared" si="7"/>
        <v>1588.6538523426129</v>
      </c>
      <c r="R33" s="2">
        <f t="shared" si="8"/>
        <v>1559.0817133434941</v>
      </c>
      <c r="S33" s="2">
        <f t="shared" si="9"/>
        <v>1479.9733807759237</v>
      </c>
      <c r="T33" s="2">
        <f t="shared" si="10"/>
        <v>1441.8340062647276</v>
      </c>
      <c r="U33" s="2">
        <f t="shared" si="11"/>
        <v>1441.4141937044049</v>
      </c>
      <c r="Z33" s="2">
        <v>1000000000000000</v>
      </c>
      <c r="AA33" s="3">
        <f>IF('Modell einstellen'!$B$2="Ja",'creep_res-40'!P33,'creep_res-40'!L33)</f>
        <v>0.50983684034542798</v>
      </c>
      <c r="AB33" s="2">
        <f>IF('Modell einstellen'!$B$2="Ja",creep_res0!P33,creep_res0!L33)</f>
        <v>0.51094623311999854</v>
      </c>
      <c r="AC33" s="2">
        <f>IF('Modell einstellen'!$B$2="Ja",creep_res25!P33,creep_res25!L33)</f>
        <v>0.51214101472586804</v>
      </c>
      <c r="AD33" s="2">
        <f>IF('Modell einstellen'!$B$2="Ja",creep_res50!P33,creep_res50!L33)</f>
        <v>0.51264241543273503</v>
      </c>
      <c r="AE33" s="2">
        <f>IF('Modell einstellen'!$B$2="Ja",creep_res80!P33,creep_res80!L33)</f>
        <v>0.51418250033806812</v>
      </c>
      <c r="AF33" s="2">
        <f>IF('Modell einstellen'!$B$2="Ja",creep_res125!P33,creep_res125!L33)</f>
        <v>0.5162885429521733</v>
      </c>
      <c r="AG33" s="2">
        <f>IF('Modell einstellen'!$B$2="Ja",creep_res160!P33,creep_res160!L33)</f>
        <v>0.51551013151504277</v>
      </c>
      <c r="AL33" s="2">
        <f t="shared" si="12"/>
        <v>1000000000000000</v>
      </c>
      <c r="AM33" s="2">
        <f t="shared" si="13"/>
        <v>607.16785102157667</v>
      </c>
      <c r="AN33" s="2">
        <f t="shared" si="14"/>
        <v>551.91226878266252</v>
      </c>
      <c r="AO33" s="2">
        <f t="shared" si="15"/>
        <v>525.29950476563715</v>
      </c>
      <c r="AP33" s="2">
        <f t="shared" si="16"/>
        <v>515.3503886433972</v>
      </c>
      <c r="AQ33" s="2">
        <f t="shared" si="17"/>
        <v>488.70376604058401</v>
      </c>
      <c r="AR33" s="2">
        <f t="shared" si="18"/>
        <v>475.44842733478526</v>
      </c>
      <c r="AS33" s="2">
        <f t="shared" si="19"/>
        <v>475.55412653805064</v>
      </c>
      <c r="AX33" s="2">
        <f>AL33</f>
        <v>1000000000000000</v>
      </c>
      <c r="AY33" s="37">
        <f t="shared" si="20"/>
        <v>-31064.324097111163</v>
      </c>
      <c r="AZ33" s="37">
        <f t="shared" si="21"/>
        <v>-25394.116691045081</v>
      </c>
      <c r="BA33" s="37">
        <f t="shared" si="22"/>
        <v>-21808.361824400279</v>
      </c>
      <c r="BB33" s="37">
        <f t="shared" si="23"/>
        <v>-20553.584368940563</v>
      </c>
      <c r="BC33" s="37">
        <f t="shared" si="24"/>
        <v>-17392.012991336898</v>
      </c>
      <c r="BD33" s="37">
        <f t="shared" si="25"/>
        <v>-14753.048717517431</v>
      </c>
      <c r="BE33" s="37">
        <f t="shared" si="26"/>
        <v>-15488.953057408791</v>
      </c>
    </row>
    <row r="34" spans="1:60" x14ac:dyDescent="0.25">
      <c r="A34" s="126" t="s">
        <v>4</v>
      </c>
      <c r="B34" s="126"/>
      <c r="C34" s="126"/>
      <c r="D34" s="126"/>
      <c r="E34" s="126"/>
      <c r="F34" s="126"/>
      <c r="G34" s="126"/>
      <c r="H34" s="126"/>
      <c r="I34" s="126"/>
      <c r="J34" s="126"/>
      <c r="K34" s="126"/>
      <c r="M34" s="126" t="s">
        <v>2</v>
      </c>
      <c r="N34" s="126"/>
      <c r="O34" s="126"/>
      <c r="P34" s="126"/>
      <c r="Q34" s="126"/>
      <c r="R34" s="126"/>
      <c r="S34" s="126"/>
      <c r="T34" s="126"/>
      <c r="U34" s="126"/>
      <c r="V34" s="126"/>
      <c r="W34" s="126"/>
      <c r="X34" s="126"/>
      <c r="Z34" s="127" t="s">
        <v>5</v>
      </c>
      <c r="AA34" s="127"/>
      <c r="AB34" s="127"/>
      <c r="AC34" s="127"/>
      <c r="AD34" s="127"/>
      <c r="AE34" s="127"/>
      <c r="AF34" s="127"/>
      <c r="AG34" s="127"/>
      <c r="AH34" s="127"/>
      <c r="AI34" s="127"/>
      <c r="AJ34" s="127"/>
      <c r="AL34" s="126" t="s">
        <v>3</v>
      </c>
      <c r="AM34" s="126"/>
      <c r="AN34" s="126"/>
      <c r="AO34" s="126"/>
      <c r="AP34" s="126"/>
      <c r="AQ34" s="126"/>
      <c r="AR34" s="126"/>
      <c r="AS34" s="126"/>
      <c r="AT34" s="126"/>
      <c r="AU34" s="126"/>
      <c r="AV34" s="126"/>
      <c r="AX34" s="126" t="s">
        <v>1</v>
      </c>
      <c r="AY34" s="126"/>
      <c r="AZ34" s="126"/>
      <c r="BA34" s="126"/>
      <c r="BB34" s="126"/>
      <c r="BC34" s="126"/>
      <c r="BD34" s="126"/>
      <c r="BE34" s="126"/>
      <c r="BF34" s="126"/>
      <c r="BG34" s="126"/>
      <c r="BH34" s="126"/>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98" zoomScale="120" zoomScaleNormal="120" zoomScaleSheetLayoutView="110" workbookViewId="0">
      <selection activeCell="B51" sqref="B51"/>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30" t="s">
        <v>26</v>
      </c>
      <c r="B15" s="130"/>
      <c r="C15" s="130"/>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9259.9030429946288</v>
      </c>
      <c r="G16" s="26">
        <f>INDEX(Comparison!$AM$3:$AS$33,G14,$B$3)</f>
        <v>8975.4373156175916</v>
      </c>
      <c r="H16" s="26">
        <f>INDEX(Comparison!$AM$3:$AS$33,H14,$B$3)</f>
        <v>8718.1797337443004</v>
      </c>
      <c r="I16" s="26">
        <f>INDEX(Comparison!$AM$3:$AS$33,I14,$B$3)</f>
        <v>8453.8665906134283</v>
      </c>
      <c r="J16" s="26">
        <f>INDEX(Comparison!$AM$3:$AS$33,J14,$B$3)</f>
        <v>8157.4497816903277</v>
      </c>
      <c r="K16" s="26">
        <f>INDEX(Comparison!$AM$3:$AS$33,K14,$B$3)</f>
        <v>7881.4803699008435</v>
      </c>
      <c r="L16" s="26">
        <f>INDEX(Comparison!$AM$3:$AS$33,L14,$B$3)</f>
        <v>7606.797789198542</v>
      </c>
      <c r="M16" s="26">
        <f>INDEX(Comparison!$AM$3:$AS$33,M14,$B$3)</f>
        <v>7278.8872759198184</v>
      </c>
      <c r="N16" s="26">
        <f>INDEX(Comparison!$AM$3:$AS$33,N14,$B$3)</f>
        <v>6902.9128773701668</v>
      </c>
      <c r="O16" s="26">
        <f>INDEX(Comparison!$AM$3:$AS$33,O14,$B$3)</f>
        <v>6533.8294095397778</v>
      </c>
      <c r="P16" s="26">
        <f>INDEX(Comparison!$AM$3:$AS$33,P14,$B$3)</f>
        <v>6236.0805337275306</v>
      </c>
      <c r="Q16" s="26">
        <f>INDEX(Comparison!$AM$3:$AS$33,Q14,$B$3)</f>
        <v>5950.4123980915811</v>
      </c>
      <c r="R16" s="26">
        <f>INDEX(Comparison!$AM$3:$AS$33,R14,$B$3)</f>
        <v>5675.5372968728034</v>
      </c>
      <c r="S16" s="26">
        <f>INDEX(Comparison!$AM$3:$AS$33,S14,$B$3)</f>
        <v>5389.077424650558</v>
      </c>
      <c r="T16" s="26">
        <f>INDEX(Comparison!$AM$3:$AS$33,T14,$B$3)</f>
        <v>5123.5437168709832</v>
      </c>
      <c r="U16" s="26">
        <f>INDEX(Comparison!$AM$3:$AS$33,U14,$B$3)</f>
        <v>4799.280908658001</v>
      </c>
      <c r="V16" s="26">
        <f>INDEX(Comparison!$AM$3:$AS$33,V14,$B$3)</f>
        <v>4430.6662258617935</v>
      </c>
      <c r="W16" s="26">
        <f>INDEX(Comparison!$AM$3:$AS$33,W14,$B$3)</f>
        <v>3990.4031488339651</v>
      </c>
      <c r="X16" s="26">
        <f>INDEX(Comparison!$AM$3:$AS$33,X14,$B$3)</f>
        <v>3512.6173919241392</v>
      </c>
      <c r="Y16" s="26">
        <f>INDEX(Comparison!$AM$3:$AS$33,Y14,$B$3)</f>
        <v>2997.1269883218743</v>
      </c>
      <c r="Z16" s="26">
        <f>INDEX(Comparison!$AM$3:$AS$33,Z14,$B$3)</f>
        <v>2450.4999019800034</v>
      </c>
      <c r="AA16" s="26">
        <f>INDEX(Comparison!$AM$3:$AS$33,AA14,$B$3)</f>
        <v>1872.1545257089074</v>
      </c>
      <c r="AB16" s="26">
        <f>INDEX(Comparison!$AM$3:$AS$33,AB14,$B$3)</f>
        <v>1367.4511296212941</v>
      </c>
      <c r="AC16" s="26">
        <f>INDEX(Comparison!$AM$3:$AS$33,AC14,$B$3)</f>
        <v>983.81195335121254</v>
      </c>
      <c r="AD16" s="26">
        <f>INDEX(Comparison!$AM$3:$AS$33,AD14,$B$3)</f>
        <v>755.24433140254177</v>
      </c>
      <c r="AE16" s="26">
        <f>INDEX(Comparison!$AM$3:$AS$33,AE14,$B$3)</f>
        <v>633.28610309701617</v>
      </c>
      <c r="AF16" s="26">
        <f>INDEX(Comparison!$AM$3:$AS$33,AF14,$B$3)</f>
        <v>577.24905136540178</v>
      </c>
      <c r="AG16" s="26">
        <f>INDEX(Comparison!$AM$3:$AS$33,AG14,$B$3)</f>
        <v>542.56491517927657</v>
      </c>
      <c r="AH16" s="26">
        <f>INDEX(Comparison!$AM$3:$AS$33,AH14,$B$3)</f>
        <v>523.04517618896307</v>
      </c>
      <c r="AI16" s="26">
        <f>INDEX(Comparison!$AM$3:$AS$33,AI14,$B$3)</f>
        <v>513.02385818918287</v>
      </c>
      <c r="AJ16" s="26">
        <f>INDEX(Comparison!$AM$3:$AS$33,AJ14,$B$3)</f>
        <v>488.70376604058401</v>
      </c>
    </row>
    <row r="17" spans="1:36" x14ac:dyDescent="0.25">
      <c r="A17" s="14" t="s">
        <v>20</v>
      </c>
      <c r="B17" s="105">
        <v>4.9438063288832136E-2</v>
      </c>
      <c r="C17" s="18">
        <f t="shared" ref="C17:C48" si="3">ABS(B17/$B$49)</f>
        <v>3.8356586437267554E-2</v>
      </c>
      <c r="D17" s="66"/>
      <c r="E17" s="65" t="s">
        <v>22</v>
      </c>
      <c r="F17" s="27">
        <f>($C$17+SUM(F18:F48))*$B$51</f>
        <v>9181.1160299056828</v>
      </c>
      <c r="G17" s="27">
        <f t="shared" ref="G17:M17" si="4">($C$17+SUM(G18:G48))*$B$51</f>
        <v>9077.3463675861676</v>
      </c>
      <c r="H17" s="27">
        <f t="shared" si="4"/>
        <v>8691.2001815069289</v>
      </c>
      <c r="I17" s="27">
        <f t="shared" si="4"/>
        <v>8458.2742491152712</v>
      </c>
      <c r="J17" s="27">
        <f t="shared" si="4"/>
        <v>8156.831898423362</v>
      </c>
      <c r="K17" s="27">
        <f t="shared" si="4"/>
        <v>7881.5914260512509</v>
      </c>
      <c r="L17" s="27">
        <f t="shared" si="4"/>
        <v>7606.6661606574535</v>
      </c>
      <c r="M17" s="27">
        <f t="shared" si="4"/>
        <v>7279.2574201557536</v>
      </c>
      <c r="N17" s="27">
        <f t="shared" ref="N17" si="5">($C$17+SUM(N18:N48))*$B$51</f>
        <v>6902.0292474330408</v>
      </c>
      <c r="O17" s="27">
        <f t="shared" ref="O17" si="6">($C$17+SUM(O18:O48))*$B$51</f>
        <v>6535.62336953467</v>
      </c>
      <c r="P17" s="27">
        <f t="shared" ref="P17" si="7">($C$17+SUM(P18:P48))*$B$51</f>
        <v>6233.0117566457975</v>
      </c>
      <c r="Q17" s="27">
        <f t="shared" ref="Q17" si="8">($C$17+SUM(Q18:Q48))*$B$51</f>
        <v>5954.8686076295398</v>
      </c>
      <c r="R17" s="27">
        <f t="shared" ref="R17" si="9">($C$17+SUM(R18:R48))*$B$51</f>
        <v>5670.0377714243405</v>
      </c>
      <c r="S17" s="27">
        <f t="shared" ref="S17:T17" si="10">($C$17+SUM(S18:S48))*$B$51</f>
        <v>5394.8660244264838</v>
      </c>
      <c r="T17" s="27">
        <f t="shared" si="10"/>
        <v>5118.3278014032458</v>
      </c>
      <c r="U17" s="27">
        <f t="shared" ref="U17" si="11">($C$17+SUM(U18:U48))*$B$51</f>
        <v>4803.3107114487439</v>
      </c>
      <c r="V17" s="27">
        <f t="shared" ref="V17" si="12">($C$17+SUM(V18:V48))*$B$51</f>
        <v>4427.9783104619173</v>
      </c>
      <c r="W17" s="27">
        <f t="shared" ref="W17" si="13">($C$17+SUM(W18:W48))*$B$51</f>
        <v>3991.9485787288218</v>
      </c>
      <c r="X17" s="27">
        <f t="shared" ref="X17" si="14">($C$17+SUM(X18:X48))*$B$51</f>
        <v>3511.8403780703661</v>
      </c>
      <c r="Y17" s="27">
        <f t="shared" ref="Y17" si="15">($C$17+SUM(Y18:Y48))*$B$51</f>
        <v>2997.4594846670489</v>
      </c>
      <c r="Z17" s="27">
        <f t="shared" ref="Z17:AA17" si="16">($C$17+SUM(Z18:Z48))*$B$51</f>
        <v>2450.3717763631139</v>
      </c>
      <c r="AA17" s="27">
        <f t="shared" si="16"/>
        <v>1872.1916033529214</v>
      </c>
      <c r="AB17" s="27">
        <f t="shared" ref="AB17" si="17">($C$17+SUM(AB18:AB48))*$B$51</f>
        <v>1367.4352796901521</v>
      </c>
      <c r="AC17" s="27">
        <f t="shared" ref="AC17" si="18">($C$17+SUM(AC18:AC48))*$B$51</f>
        <v>983.81788316707048</v>
      </c>
      <c r="AD17" s="27">
        <f t="shared" ref="AD17" si="19">($C$17+SUM(AD18:AD48))*$B$51</f>
        <v>755.23901254503971</v>
      </c>
      <c r="AE17" s="27">
        <f t="shared" ref="AE17" si="20">($C$17+SUM(AE18:AE48))*$B$51</f>
        <v>633.28267950151655</v>
      </c>
      <c r="AF17" s="27">
        <f t="shared" ref="AF17" si="21">($C$17+SUM(AF18:AF48))*$B$51</f>
        <v>577.25386841302372</v>
      </c>
      <c r="AG17" s="27">
        <f t="shared" ref="AG17:AH17" si="22">($C$17+SUM(AG18:AG48))*$B$51</f>
        <v>542.55302951702936</v>
      </c>
      <c r="AH17" s="27">
        <f t="shared" si="22"/>
        <v>523.05941286720395</v>
      </c>
      <c r="AI17" s="27">
        <f t="shared" ref="AI17" si="23">($C$17+SUM(AI18:AI48))*$B$51</f>
        <v>513.01384415791551</v>
      </c>
      <c r="AJ17" s="27">
        <f t="shared" ref="AJ17" si="24">($C$17+SUM(AJ18:AJ48))*$B$51</f>
        <v>488.70465769298499</v>
      </c>
    </row>
    <row r="18" spans="1:36" x14ac:dyDescent="0.25">
      <c r="A18" s="3">
        <f>0.000000000000001/10^5</f>
        <v>1.0000000000000001E-20</v>
      </c>
      <c r="B18" s="106">
        <v>0.12565700288842752</v>
      </c>
      <c r="C18" s="18">
        <f t="shared" si="3"/>
        <v>9.7491150989863232E-2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6.2516707988933537E-2</v>
      </c>
      <c r="C19" s="18">
        <f t="shared" si="3"/>
        <v>4.8503670132495388E-2</v>
      </c>
      <c r="D19" s="17"/>
      <c r="F19" s="3">
        <f t="shared" si="25"/>
        <v>4.7277004882608553E-2</v>
      </c>
      <c r="G19" s="3">
        <f t="shared" si="25"/>
        <v>3.754292761286545E-2</v>
      </c>
      <c r="H19" s="3">
        <f t="shared" si="25"/>
        <v>3.7437767752617041E-3</v>
      </c>
      <c r="I19" s="3">
        <f t="shared" si="25"/>
        <v>3.6402234501213316E-13</v>
      </c>
      <c r="J19" s="3">
        <f t="shared" si="25"/>
        <v>2.7498500703162879E-113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2.4108145121311826E-2</v>
      </c>
      <c r="C20" s="18">
        <f t="shared" si="3"/>
        <v>1.8704336106076278E-2</v>
      </c>
      <c r="D20" s="17"/>
      <c r="F20" s="3">
        <f t="shared" si="25"/>
        <v>1.8661165402343978E-2</v>
      </c>
      <c r="G20" s="3">
        <f t="shared" si="25"/>
        <v>1.827708540589849E-2</v>
      </c>
      <c r="H20" s="3">
        <f t="shared" si="25"/>
        <v>1.4845291547011386E-2</v>
      </c>
      <c r="I20" s="3">
        <f t="shared" si="25"/>
        <v>1.8552678988658048E-3</v>
      </c>
      <c r="J20" s="3">
        <f t="shared" si="25"/>
        <v>1.7241919797400532E-12</v>
      </c>
      <c r="K20" s="3">
        <f t="shared" si="25"/>
        <v>8.2865837649367265E-103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4.3273062662023326E-2</v>
      </c>
      <c r="C21" s="18">
        <f t="shared" si="3"/>
        <v>3.3573462591042408E-2</v>
      </c>
      <c r="D21" s="17"/>
      <c r="F21" s="3">
        <f t="shared" si="25"/>
        <v>3.3566465041788757E-2</v>
      </c>
      <c r="G21" s="3">
        <f t="shared" si="25"/>
        <v>3.3503552692933612E-2</v>
      </c>
      <c r="H21" s="3">
        <f t="shared" si="25"/>
        <v>3.2880878157617283E-2</v>
      </c>
      <c r="I21" s="3">
        <f t="shared" si="25"/>
        <v>2.7256423503639878E-2</v>
      </c>
      <c r="J21" s="3">
        <f t="shared" si="25"/>
        <v>4.1756441035436234E-3</v>
      </c>
      <c r="K21" s="3">
        <f t="shared" si="25"/>
        <v>2.9735110054055749E-11</v>
      </c>
      <c r="L21" s="3">
        <f t="shared" si="25"/>
        <v>9.9708066008279472E-93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3.5357113639336211E-2</v>
      </c>
      <c r="C22" s="18">
        <f t="shared" si="3"/>
        <v>2.7431863128543028E-2</v>
      </c>
      <c r="D22" s="17"/>
      <c r="F22" s="3">
        <f t="shared" si="25"/>
        <v>2.7431347314804289E-2</v>
      </c>
      <c r="G22" s="3">
        <f t="shared" si="25"/>
        <v>2.7426705427592301E-2</v>
      </c>
      <c r="H22" s="3">
        <f t="shared" si="25"/>
        <v>2.7380329735634239E-2</v>
      </c>
      <c r="I22" s="3">
        <f t="shared" si="25"/>
        <v>2.6920863916462163E-2</v>
      </c>
      <c r="J22" s="3">
        <f t="shared" si="25"/>
        <v>2.272962026864327E-2</v>
      </c>
      <c r="K22" s="3">
        <f t="shared" si="25"/>
        <v>4.1843119612008347E-3</v>
      </c>
      <c r="L22" s="3">
        <f t="shared" si="25"/>
        <v>1.8704358245230036E-10</v>
      </c>
      <c r="M22" s="3">
        <f t="shared" si="25"/>
        <v>5.9584098481467715E-84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3.4939247393220088E-2</v>
      </c>
      <c r="C23" s="18">
        <f t="shared" si="3"/>
        <v>2.7107661051800465E-2</v>
      </c>
      <c r="D23" s="17"/>
      <c r="F23" s="3">
        <f t="shared" si="25"/>
        <v>2.7107615070637359E-2</v>
      </c>
      <c r="G23" s="3">
        <f t="shared" si="25"/>
        <v>2.7107201243679192E-2</v>
      </c>
      <c r="H23" s="3">
        <f t="shared" si="25"/>
        <v>2.7103063321544895E-2</v>
      </c>
      <c r="I23" s="3">
        <f t="shared" si="25"/>
        <v>2.7061718825322864E-2</v>
      </c>
      <c r="J23" s="3">
        <f t="shared" si="25"/>
        <v>2.6651726840581546E-2</v>
      </c>
      <c r="K23" s="3">
        <f t="shared" si="25"/>
        <v>2.2878371840612019E-2</v>
      </c>
      <c r="L23" s="3">
        <f t="shared" si="25"/>
        <v>4.9707591728157721E-3</v>
      </c>
      <c r="M23" s="3">
        <f t="shared" si="25"/>
        <v>1.1651955196178878E-9</v>
      </c>
      <c r="N23" s="3">
        <f t="shared" si="25"/>
        <v>5.8365960929071853E-76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4.4211519963884928E-2</v>
      </c>
      <c r="C24" s="18">
        <f t="shared" si="3"/>
        <v>3.4301565923210577E-2</v>
      </c>
      <c r="D24" s="17"/>
      <c r="F24" s="3">
        <f t="shared" si="25"/>
        <v>3.430156067454649E-2</v>
      </c>
      <c r="G24" s="3">
        <f t="shared" si="25"/>
        <v>3.4301513436605868E-2</v>
      </c>
      <c r="H24" s="3">
        <f t="shared" si="25"/>
        <v>3.4301041060777533E-2</v>
      </c>
      <c r="I24" s="3">
        <f t="shared" si="25"/>
        <v>3.4296317660266598E-2</v>
      </c>
      <c r="J24" s="3">
        <f t="shared" si="25"/>
        <v>3.4249119414170963E-2</v>
      </c>
      <c r="K24" s="3">
        <f t="shared" si="25"/>
        <v>3.3780694700833114E-2</v>
      </c>
      <c r="L24" s="3">
        <f t="shared" si="25"/>
        <v>2.9434742794330608E-2</v>
      </c>
      <c r="M24" s="3">
        <f t="shared" si="25"/>
        <v>7.4263759578917423E-3</v>
      </c>
      <c r="N24" s="3">
        <f t="shared" si="25"/>
        <v>7.7614666164192976E-9</v>
      </c>
      <c r="O24" s="3">
        <f t="shared" si="25"/>
        <v>1.2067364127827112E-68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5.2610280820627846E-2</v>
      </c>
      <c r="C25" s="18">
        <f t="shared" si="3"/>
        <v>4.0817755582289943E-2</v>
      </c>
      <c r="D25" s="17"/>
      <c r="F25" s="3">
        <f t="shared" si="25"/>
        <v>4.081775501887213E-2</v>
      </c>
      <c r="G25" s="3">
        <f t="shared" si="25"/>
        <v>4.0817749948112159E-2</v>
      </c>
      <c r="H25" s="3">
        <f t="shared" si="25"/>
        <v>4.0817699240547081E-2</v>
      </c>
      <c r="I25" s="3">
        <f t="shared" si="25"/>
        <v>4.0817192168360959E-2</v>
      </c>
      <c r="J25" s="3">
        <f t="shared" si="25"/>
        <v>4.081212179294736E-2</v>
      </c>
      <c r="K25" s="3">
        <f t="shared" si="25"/>
        <v>4.0761452667652583E-2</v>
      </c>
      <c r="L25" s="3">
        <f t="shared" si="25"/>
        <v>4.0258208434492661E-2</v>
      </c>
      <c r="M25" s="3">
        <f t="shared" si="25"/>
        <v>3.5555136770870327E-2</v>
      </c>
      <c r="N25" s="3">
        <f t="shared" si="25"/>
        <v>1.0265531709526829E-2</v>
      </c>
      <c r="O25" s="3">
        <f t="shared" si="25"/>
        <v>4.1321150146757482E-8</v>
      </c>
      <c r="P25" s="3">
        <f t="shared" si="25"/>
        <v>4.6140460651873095E-62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4.927279344892898E-2</v>
      </c>
      <c r="C26" s="18">
        <f t="shared" si="3"/>
        <v>3.8228361614570043E-2</v>
      </c>
      <c r="D26" s="17"/>
      <c r="F26" s="3">
        <f t="shared" si="25"/>
        <v>3.82283615669693E-2</v>
      </c>
      <c r="G26" s="3">
        <f t="shared" si="25"/>
        <v>3.8228361138562615E-2</v>
      </c>
      <c r="H26" s="3">
        <f t="shared" si="25"/>
        <v>3.8228356854496028E-2</v>
      </c>
      <c r="I26" s="3">
        <f t="shared" si="25"/>
        <v>3.8228314013856575E-2</v>
      </c>
      <c r="J26" s="3">
        <f t="shared" si="25"/>
        <v>3.822788561010259E-2</v>
      </c>
      <c r="K26" s="3">
        <f t="shared" si="25"/>
        <v>3.8223601836602512E-2</v>
      </c>
      <c r="L26" s="3">
        <f t="shared" si="25"/>
        <v>3.8180790494642028E-2</v>
      </c>
      <c r="M26" s="3">
        <f t="shared" si="25"/>
        <v>3.7755305468152471E-2</v>
      </c>
      <c r="N26" s="3">
        <f t="shared" si="25"/>
        <v>3.3752715159257547E-2</v>
      </c>
      <c r="O26" s="3">
        <f t="shared" si="25"/>
        <v>1.1005657023613618E-2</v>
      </c>
      <c r="P26" s="3">
        <f t="shared" si="25"/>
        <v>1.4951631177882961E-7</v>
      </c>
      <c r="Q26" s="3">
        <f t="shared" si="25"/>
        <v>3.2019502898474627E-56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3.6135060453511503E-2</v>
      </c>
      <c r="C27" s="18">
        <f t="shared" si="3"/>
        <v>2.8035434187691943E-2</v>
      </c>
      <c r="D27" s="17"/>
      <c r="F27" s="3">
        <f t="shared" si="25"/>
        <v>2.8035434184542879E-2</v>
      </c>
      <c r="G27" s="3">
        <f t="shared" si="25"/>
        <v>2.8035434156201272E-2</v>
      </c>
      <c r="H27" s="3">
        <f t="shared" si="25"/>
        <v>2.8035433872785228E-2</v>
      </c>
      <c r="I27" s="3">
        <f t="shared" si="25"/>
        <v>2.803543103862495E-2</v>
      </c>
      <c r="J27" s="3">
        <f t="shared" si="25"/>
        <v>2.8035402697037914E-2</v>
      </c>
      <c r="K27" s="3">
        <f t="shared" si="25"/>
        <v>2.8035119282743395E-2</v>
      </c>
      <c r="L27" s="3">
        <f t="shared" si="25"/>
        <v>2.8032285297372794E-2</v>
      </c>
      <c r="M27" s="3">
        <f t="shared" si="25"/>
        <v>2.8003961195234711E-2</v>
      </c>
      <c r="N27" s="3">
        <f t="shared" si="25"/>
        <v>2.7722289454820869E-2</v>
      </c>
      <c r="O27" s="3">
        <f t="shared" si="25"/>
        <v>2.5056785762402646E-2</v>
      </c>
      <c r="P27" s="3">
        <f t="shared" si="25"/>
        <v>9.1177571240473234E-3</v>
      </c>
      <c r="Q27" s="3">
        <f t="shared" si="25"/>
        <v>3.7112021930275203E-7</v>
      </c>
      <c r="R27" s="3">
        <f t="shared" si="25"/>
        <v>4.6321283371262785E-51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3.7234837979468395E-2</v>
      </c>
      <c r="C28" s="18">
        <f t="shared" si="3"/>
        <v>2.8888698027937459E-2</v>
      </c>
      <c r="D28" s="17"/>
      <c r="F28" s="3">
        <f t="shared" si="25"/>
        <v>2.8888698027644742E-2</v>
      </c>
      <c r="G28" s="3">
        <f t="shared" si="25"/>
        <v>2.8888698025010279E-2</v>
      </c>
      <c r="H28" s="3">
        <f t="shared" si="25"/>
        <v>2.8888697998665672E-2</v>
      </c>
      <c r="I28" s="3">
        <f t="shared" si="25"/>
        <v>2.8888697735219616E-2</v>
      </c>
      <c r="J28" s="3">
        <f t="shared" si="25"/>
        <v>2.8888695100759164E-2</v>
      </c>
      <c r="K28" s="3">
        <f t="shared" si="25"/>
        <v>2.8888668756167857E-2</v>
      </c>
      <c r="L28" s="3">
        <f t="shared" si="25"/>
        <v>2.8888405311576121E-2</v>
      </c>
      <c r="M28" s="3">
        <f t="shared" si="25"/>
        <v>2.8885770997788902E-2</v>
      </c>
      <c r="N28" s="3">
        <f t="shared" si="25"/>
        <v>2.8859441068472234E-2</v>
      </c>
      <c r="O28" s="3">
        <f t="shared" si="25"/>
        <v>2.8597458184935101E-2</v>
      </c>
      <c r="P28" s="3">
        <f t="shared" si="25"/>
        <v>2.6104934815461136E-2</v>
      </c>
      <c r="Q28" s="3">
        <f t="shared" si="25"/>
        <v>1.0487558774997968E-2</v>
      </c>
      <c r="R28" s="3">
        <f t="shared" si="25"/>
        <v>1.1486622647970011E-6</v>
      </c>
      <c r="S28" s="3">
        <f t="shared" si="25"/>
        <v>2.853460189051301E-46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3.8691261690184733E-2</v>
      </c>
      <c r="C29" s="18">
        <f t="shared" si="3"/>
        <v>3.0018666279788386E-2</v>
      </c>
      <c r="D29" s="17"/>
      <c r="F29" s="3">
        <f t="shared" si="25"/>
        <v>3.0018666279760946E-2</v>
      </c>
      <c r="G29" s="3">
        <f t="shared" si="25"/>
        <v>3.0018666279514002E-2</v>
      </c>
      <c r="H29" s="3">
        <f t="shared" si="25"/>
        <v>3.0018666277044543E-2</v>
      </c>
      <c r="I29" s="3">
        <f t="shared" si="25"/>
        <v>3.001866625234996E-2</v>
      </c>
      <c r="J29" s="3">
        <f t="shared" si="25"/>
        <v>3.0018666005404118E-2</v>
      </c>
      <c r="K29" s="3">
        <f t="shared" si="25"/>
        <v>3.0018663535945799E-2</v>
      </c>
      <c r="L29" s="3">
        <f t="shared" si="25"/>
        <v>3.0018638841373783E-2</v>
      </c>
      <c r="M29" s="3">
        <f t="shared" si="25"/>
        <v>3.0018391896770941E-2</v>
      </c>
      <c r="N29" s="3">
        <f t="shared" si="25"/>
        <v>3.0015922562470012E-2</v>
      </c>
      <c r="O29" s="3">
        <f t="shared" si="25"/>
        <v>2.9991240388810032E-2</v>
      </c>
      <c r="P29" s="3">
        <f t="shared" si="25"/>
        <v>2.9745532194913701E-2</v>
      </c>
      <c r="Q29" s="3">
        <f t="shared" si="25"/>
        <v>2.7396488450687047E-2</v>
      </c>
      <c r="R29" s="3">
        <f t="shared" si="25"/>
        <v>1.203445622003107E-2</v>
      </c>
      <c r="S29" s="3">
        <f t="shared" si="25"/>
        <v>3.2191571528706741E-6</v>
      </c>
      <c r="T29" s="3">
        <f t="shared" si="25"/>
        <v>6.0380853987732229E-42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3.4399154193572111E-2</v>
      </c>
      <c r="C30" s="18">
        <f t="shared" si="3"/>
        <v>2.6688629032373488E-2</v>
      </c>
      <c r="D30" s="17"/>
      <c r="F30" s="3">
        <f t="shared" si="25"/>
        <v>2.6688629032371285E-2</v>
      </c>
      <c r="G30" s="3">
        <f t="shared" si="25"/>
        <v>2.6688629032351481E-2</v>
      </c>
      <c r="H30" s="3">
        <f t="shared" si="25"/>
        <v>2.6688629032153428E-2</v>
      </c>
      <c r="I30" s="3">
        <f t="shared" si="25"/>
        <v>2.668862903017289E-2</v>
      </c>
      <c r="J30" s="3">
        <f t="shared" si="25"/>
        <v>2.6688629010367511E-2</v>
      </c>
      <c r="K30" s="3">
        <f t="shared" si="25"/>
        <v>2.6688628812313708E-2</v>
      </c>
      <c r="L30" s="3">
        <f t="shared" si="25"/>
        <v>2.668862683177577E-2</v>
      </c>
      <c r="M30" s="3">
        <f t="shared" si="25"/>
        <v>2.6688607026404486E-2</v>
      </c>
      <c r="N30" s="3">
        <f t="shared" si="25"/>
        <v>2.6688408973499993E-2</v>
      </c>
      <c r="O30" s="3">
        <f t="shared" si="25"/>
        <v>2.6686428525288238E-2</v>
      </c>
      <c r="P30" s="3">
        <f t="shared" si="25"/>
        <v>2.666663212426746E-2</v>
      </c>
      <c r="Q30" s="3">
        <f t="shared" si="25"/>
        <v>2.6469474009278685E-2</v>
      </c>
      <c r="R30" s="3">
        <f t="shared" si="25"/>
        <v>2.4576312845098359E-2</v>
      </c>
      <c r="S30" s="3">
        <f t="shared" si="25"/>
        <v>1.1701212910896435E-2</v>
      </c>
      <c r="T30" s="3">
        <f t="shared" si="25"/>
        <v>7.0044240562477836E-6</v>
      </c>
      <c r="U30" s="3">
        <f t="shared" si="25"/>
        <v>4.1379755793095219E-38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3.7516699381686801E-2</v>
      </c>
      <c r="C31" s="18">
        <f t="shared" si="3"/>
        <v>2.9107380567630754E-2</v>
      </c>
      <c r="D31" s="17"/>
      <c r="F31" s="3">
        <f t="shared" si="25"/>
        <v>2.9107380567630538E-2</v>
      </c>
      <c r="G31" s="3">
        <f t="shared" si="25"/>
        <v>2.9107380567628589E-2</v>
      </c>
      <c r="H31" s="3">
        <f t="shared" si="25"/>
        <v>2.9107380567609101E-2</v>
      </c>
      <c r="I31" s="3">
        <f t="shared" si="25"/>
        <v>2.9107380567414253E-2</v>
      </c>
      <c r="J31" s="3">
        <f t="shared" si="25"/>
        <v>2.9107380565465722E-2</v>
      </c>
      <c r="K31" s="3">
        <f t="shared" si="25"/>
        <v>2.9107380545980444E-2</v>
      </c>
      <c r="L31" s="3">
        <f t="shared" si="25"/>
        <v>2.910738035112765E-2</v>
      </c>
      <c r="M31" s="3">
        <f t="shared" si="25"/>
        <v>2.91073784025998E-2</v>
      </c>
      <c r="N31" s="3">
        <f t="shared" si="25"/>
        <v>2.910735891732847E-2</v>
      </c>
      <c r="O31" s="3">
        <f t="shared" si="25"/>
        <v>2.9107164065332595E-2</v>
      </c>
      <c r="P31" s="3">
        <f t="shared" si="25"/>
        <v>2.9105215617113732E-2</v>
      </c>
      <c r="Q31" s="3">
        <f t="shared" si="25"/>
        <v>2.9085738307140452E-2</v>
      </c>
      <c r="R31" s="3">
        <f t="shared" si="25"/>
        <v>2.8891680655645149E-2</v>
      </c>
      <c r="S31" s="3">
        <f t="shared" si="25"/>
        <v>2.7020908168612835E-2</v>
      </c>
      <c r="T31" s="3">
        <f t="shared" si="25"/>
        <v>1.3834749426229647E-2</v>
      </c>
      <c r="U31" s="3">
        <f t="shared" si="25"/>
        <v>1.7127140446762941E-5</v>
      </c>
      <c r="V31" s="3">
        <f t="shared" si="26"/>
        <v>1.4481730903216382E-34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4.4419430048035252E-2</v>
      </c>
      <c r="C32" s="18">
        <f t="shared" si="3"/>
        <v>3.4462873235499507E-2</v>
      </c>
      <c r="D32" s="17"/>
      <c r="F32" s="3">
        <f t="shared" si="25"/>
        <v>3.4462873235499486E-2</v>
      </c>
      <c r="G32" s="3">
        <f t="shared" si="25"/>
        <v>3.4462873235499278E-2</v>
      </c>
      <c r="H32" s="3">
        <f t="shared" si="25"/>
        <v>3.4462873235497196E-2</v>
      </c>
      <c r="I32" s="3">
        <f t="shared" si="25"/>
        <v>3.4462873235476379E-2</v>
      </c>
      <c r="J32" s="3">
        <f t="shared" si="25"/>
        <v>3.4462873235268268E-2</v>
      </c>
      <c r="K32" s="3">
        <f t="shared" si="25"/>
        <v>3.4462873233187127E-2</v>
      </c>
      <c r="L32" s="3">
        <f t="shared" si="25"/>
        <v>3.4462873212375712E-2</v>
      </c>
      <c r="M32" s="3">
        <f t="shared" si="25"/>
        <v>3.4462873004261575E-2</v>
      </c>
      <c r="N32" s="3">
        <f t="shared" si="25"/>
        <v>3.4462870923120274E-2</v>
      </c>
      <c r="O32" s="3">
        <f t="shared" si="25"/>
        <v>3.4462850111714148E-2</v>
      </c>
      <c r="P32" s="3">
        <f t="shared" si="25"/>
        <v>3.4462641998344083E-2</v>
      </c>
      <c r="Q32" s="3">
        <f t="shared" si="25"/>
        <v>3.4460560933763471E-2</v>
      </c>
      <c r="R32" s="3">
        <f t="shared" si="25"/>
        <v>3.4439757198411074E-2</v>
      </c>
      <c r="S32" s="3">
        <f t="shared" si="25"/>
        <v>3.4232409348710253E-2</v>
      </c>
      <c r="T32" s="3">
        <f t="shared" si="25"/>
        <v>3.2226365207865267E-2</v>
      </c>
      <c r="U32" s="3">
        <f t="shared" si="25"/>
        <v>1.7617728031587551E-2</v>
      </c>
      <c r="V32" s="3">
        <f t="shared" si="26"/>
        <v>4.2008354563745519E-5</v>
      </c>
      <c r="W32" s="3">
        <f t="shared" si="26"/>
        <v>2.4957056691051003E-31</v>
      </c>
      <c r="X32" s="3">
        <f t="shared" si="26"/>
        <v>1.3670056581213406E-293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5.464450567727281E-2</v>
      </c>
      <c r="C33" s="18">
        <f t="shared" si="3"/>
        <v>4.2396011613293615E-2</v>
      </c>
      <c r="D33" s="17"/>
      <c r="F33" s="3">
        <f t="shared" si="25"/>
        <v>4.2396011613293608E-2</v>
      </c>
      <c r="G33" s="3">
        <f t="shared" si="25"/>
        <v>4.2396011613293594E-2</v>
      </c>
      <c r="H33" s="3">
        <f t="shared" si="25"/>
        <v>4.2396011613293358E-2</v>
      </c>
      <c r="I33" s="3">
        <f t="shared" si="25"/>
        <v>4.2396011613291047E-2</v>
      </c>
      <c r="J33" s="3">
        <f t="shared" si="25"/>
        <v>4.2396011613267955E-2</v>
      </c>
      <c r="K33" s="3">
        <f t="shared" si="25"/>
        <v>4.2396011613037E-2</v>
      </c>
      <c r="L33" s="3">
        <f t="shared" si="25"/>
        <v>4.239601161072748E-2</v>
      </c>
      <c r="M33" s="3">
        <f t="shared" si="25"/>
        <v>4.239601158763228E-2</v>
      </c>
      <c r="N33" s="3">
        <f t="shared" si="25"/>
        <v>4.2396011356680301E-2</v>
      </c>
      <c r="O33" s="3">
        <f t="shared" si="25"/>
        <v>4.2396009047160552E-2</v>
      </c>
      <c r="P33" s="3">
        <f t="shared" si="25"/>
        <v>4.2395985951969944E-2</v>
      </c>
      <c r="Q33" s="3">
        <f t="shared" si="25"/>
        <v>4.2395755000755819E-2</v>
      </c>
      <c r="R33" s="3">
        <f t="shared" si="25"/>
        <v>4.2393445557809058E-2</v>
      </c>
      <c r="S33" s="3">
        <f t="shared" si="25"/>
        <v>4.2370358046393414E-2</v>
      </c>
      <c r="T33" s="3">
        <f t="shared" si="25"/>
        <v>4.2140173345080682E-2</v>
      </c>
      <c r="U33" s="3">
        <f t="shared" ref="P33:AE48" si="27">$C33*EXP(-U$15/$A33)</f>
        <v>3.9905996083709885E-2</v>
      </c>
      <c r="V33" s="3">
        <f t="shared" si="27"/>
        <v>2.3144965297295195E-2</v>
      </c>
      <c r="W33" s="3">
        <f t="shared" si="27"/>
        <v>9.9687411119984637E-5</v>
      </c>
      <c r="X33" s="3">
        <f t="shared" si="27"/>
        <v>2.1901716508721882E-28</v>
      </c>
      <c r="Y33" s="3">
        <f t="shared" si="27"/>
        <v>5.739268072110383E-265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6.0404321963217045E-2</v>
      </c>
      <c r="C34" s="18">
        <f t="shared" si="3"/>
        <v>4.6864772655648361E-2</v>
      </c>
      <c r="D34" s="17"/>
      <c r="F34" s="3">
        <f t="shared" ref="F34:O48" si="28">$C34*EXP(-F$15/$A34)</f>
        <v>4.6864772655648361E-2</v>
      </c>
      <c r="G34" s="3">
        <f t="shared" si="28"/>
        <v>4.6864772655648361E-2</v>
      </c>
      <c r="H34" s="3">
        <f t="shared" si="28"/>
        <v>4.6864772655648333E-2</v>
      </c>
      <c r="I34" s="3">
        <f t="shared" si="28"/>
        <v>4.6864772655648104E-2</v>
      </c>
      <c r="J34" s="3">
        <f t="shared" si="28"/>
        <v>4.6864772655645801E-2</v>
      </c>
      <c r="K34" s="3">
        <f t="shared" si="28"/>
        <v>4.686477265562277E-2</v>
      </c>
      <c r="L34" s="3">
        <f t="shared" si="28"/>
        <v>4.6864772655392475E-2</v>
      </c>
      <c r="M34" s="3">
        <f t="shared" si="28"/>
        <v>4.6864772653089498E-2</v>
      </c>
      <c r="N34" s="3">
        <f t="shared" si="28"/>
        <v>4.6864772630059719E-2</v>
      </c>
      <c r="O34" s="3">
        <f t="shared" si="28"/>
        <v>4.686477239976191E-2</v>
      </c>
      <c r="P34" s="3">
        <f t="shared" si="27"/>
        <v>4.6864770096783935E-2</v>
      </c>
      <c r="Q34" s="3">
        <f t="shared" si="27"/>
        <v>4.6864747067010354E-2</v>
      </c>
      <c r="R34" s="3">
        <f t="shared" si="27"/>
        <v>4.6864516769897023E-2</v>
      </c>
      <c r="S34" s="3">
        <f t="shared" si="27"/>
        <v>4.686221386100619E-2</v>
      </c>
      <c r="T34" s="3">
        <f t="shared" si="27"/>
        <v>4.6839190995215885E-2</v>
      </c>
      <c r="U34" s="3">
        <f t="shared" si="27"/>
        <v>4.6609583519104651E-2</v>
      </c>
      <c r="V34" s="3">
        <f t="shared" si="27"/>
        <v>4.4374512188002611E-2</v>
      </c>
      <c r="W34" s="3">
        <f t="shared" si="27"/>
        <v>2.7146715245742022E-2</v>
      </c>
      <c r="X34" s="3">
        <f t="shared" si="27"/>
        <v>1.9932154427472072E-4</v>
      </c>
      <c r="Y34" s="3">
        <f t="shared" si="27"/>
        <v>9.0766126403633904E-26</v>
      </c>
      <c r="Z34" s="3">
        <f t="shared" si="27"/>
        <v>3.480321663402518E-239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6.7371263903556272E-2</v>
      </c>
      <c r="C35" s="18">
        <f t="shared" si="3"/>
        <v>5.22700837249113E-2</v>
      </c>
      <c r="D35" s="17"/>
      <c r="F35" s="3">
        <f t="shared" si="28"/>
        <v>5.22700837249113E-2</v>
      </c>
      <c r="G35" s="3">
        <f t="shared" si="28"/>
        <v>5.22700837249113E-2</v>
      </c>
      <c r="H35" s="3">
        <f t="shared" si="28"/>
        <v>5.22700837249113E-2</v>
      </c>
      <c r="I35" s="3">
        <f t="shared" si="28"/>
        <v>5.2270083724911279E-2</v>
      </c>
      <c r="J35" s="3">
        <f t="shared" si="28"/>
        <v>5.2270083724911043E-2</v>
      </c>
      <c r="K35" s="3">
        <f t="shared" si="28"/>
        <v>5.2270083724908725E-2</v>
      </c>
      <c r="L35" s="3">
        <f t="shared" si="28"/>
        <v>5.2270083724885556E-2</v>
      </c>
      <c r="M35" s="3">
        <f t="shared" si="28"/>
        <v>5.2270083724653846E-2</v>
      </c>
      <c r="N35" s="3">
        <f t="shared" si="28"/>
        <v>5.2270083722336755E-2</v>
      </c>
      <c r="O35" s="3">
        <f t="shared" si="28"/>
        <v>5.2270083699165845E-2</v>
      </c>
      <c r="P35" s="3">
        <f t="shared" si="27"/>
        <v>5.2270083467456756E-2</v>
      </c>
      <c r="Q35" s="3">
        <f t="shared" si="27"/>
        <v>5.2270081150365924E-2</v>
      </c>
      <c r="R35" s="3">
        <f t="shared" si="27"/>
        <v>5.2270057979463248E-2</v>
      </c>
      <c r="S35" s="3">
        <f t="shared" si="27"/>
        <v>5.226982627100147E-2</v>
      </c>
      <c r="T35" s="3">
        <f t="shared" si="27"/>
        <v>5.2267509242875758E-2</v>
      </c>
      <c r="U35" s="3">
        <f t="shared" si="27"/>
        <v>5.2244344609902148E-2</v>
      </c>
      <c r="V35" s="3">
        <f t="shared" si="27"/>
        <v>5.2013262183198461E-2</v>
      </c>
      <c r="W35" s="3">
        <f t="shared" si="27"/>
        <v>4.9757914181285216E-2</v>
      </c>
      <c r="X35" s="3">
        <f t="shared" si="27"/>
        <v>3.1940587907114196E-2</v>
      </c>
      <c r="Y35" s="3">
        <f t="shared" si="27"/>
        <v>3.7944627567643315E-4</v>
      </c>
      <c r="Z35" s="3">
        <f t="shared" si="27"/>
        <v>2.1243407670863273E-23</v>
      </c>
      <c r="AA35" s="3">
        <f t="shared" si="27"/>
        <v>6.4263307395903718E-216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6.6312700003582539E-2</v>
      </c>
      <c r="C36" s="18">
        <f t="shared" si="3"/>
        <v>5.1448795530600389E-2</v>
      </c>
      <c r="D36" s="17"/>
      <c r="F36" s="3">
        <f t="shared" si="28"/>
        <v>5.1448795530600389E-2</v>
      </c>
      <c r="G36" s="3">
        <f t="shared" si="28"/>
        <v>5.1448795530600389E-2</v>
      </c>
      <c r="H36" s="3">
        <f t="shared" si="28"/>
        <v>5.1448795530600389E-2</v>
      </c>
      <c r="I36" s="3">
        <f t="shared" si="28"/>
        <v>5.1448795530600389E-2</v>
      </c>
      <c r="J36" s="3">
        <f t="shared" si="28"/>
        <v>5.1448795530600368E-2</v>
      </c>
      <c r="K36" s="3">
        <f t="shared" si="28"/>
        <v>5.144879553060016E-2</v>
      </c>
      <c r="L36" s="3">
        <f t="shared" si="28"/>
        <v>5.1448795530598106E-2</v>
      </c>
      <c r="M36" s="3">
        <f t="shared" si="28"/>
        <v>5.1448795530577532E-2</v>
      </c>
      <c r="N36" s="3">
        <f t="shared" si="28"/>
        <v>5.1448795530371787E-2</v>
      </c>
      <c r="O36" s="3">
        <f t="shared" si="28"/>
        <v>5.1448795528314425E-2</v>
      </c>
      <c r="P36" s="3">
        <f t="shared" si="27"/>
        <v>5.1448795507740765E-2</v>
      </c>
      <c r="Q36" s="3">
        <f t="shared" si="27"/>
        <v>5.1448795302004101E-2</v>
      </c>
      <c r="R36" s="3">
        <f t="shared" si="27"/>
        <v>5.1448793244637588E-2</v>
      </c>
      <c r="S36" s="3">
        <f t="shared" si="27"/>
        <v>5.1448772670976965E-2</v>
      </c>
      <c r="T36" s="3">
        <f t="shared" si="27"/>
        <v>5.1448566934823199E-2</v>
      </c>
      <c r="U36" s="3">
        <f t="shared" si="27"/>
        <v>5.1446509618534017E-2</v>
      </c>
      <c r="V36" s="3">
        <f t="shared" si="27"/>
        <v>5.1425940979817598E-2</v>
      </c>
      <c r="W36" s="3">
        <f t="shared" si="27"/>
        <v>5.1220706341525764E-2</v>
      </c>
      <c r="X36" s="3">
        <f t="shared" si="27"/>
        <v>4.9212873536848938E-2</v>
      </c>
      <c r="Y36" s="3">
        <f t="shared" si="27"/>
        <v>3.2992128461755268E-2</v>
      </c>
      <c r="Z36" s="3">
        <f t="shared" si="27"/>
        <v>6.0495969186643639E-4</v>
      </c>
      <c r="AA36" s="3">
        <f t="shared" si="27"/>
        <v>2.599485987439767E-21</v>
      </c>
      <c r="AB36" s="3">
        <f t="shared" si="27"/>
        <v>5.5782490435519012E-195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8.646146647470071E-2</v>
      </c>
      <c r="C37" s="18">
        <f t="shared" si="3"/>
        <v>6.7081242502453009E-2</v>
      </c>
      <c r="D37" s="17"/>
      <c r="F37" s="3">
        <f t="shared" si="28"/>
        <v>6.7081242502453009E-2</v>
      </c>
      <c r="G37" s="3">
        <f t="shared" si="28"/>
        <v>6.7081242502453009E-2</v>
      </c>
      <c r="H37" s="3">
        <f t="shared" si="28"/>
        <v>6.7081242502453009E-2</v>
      </c>
      <c r="I37" s="3">
        <f t="shared" si="28"/>
        <v>6.7081242502453009E-2</v>
      </c>
      <c r="J37" s="3">
        <f t="shared" si="28"/>
        <v>6.7081242502453009E-2</v>
      </c>
      <c r="K37" s="3">
        <f t="shared" si="28"/>
        <v>6.7081242502452981E-2</v>
      </c>
      <c r="L37" s="3">
        <f t="shared" si="28"/>
        <v>6.7081242502452745E-2</v>
      </c>
      <c r="M37" s="3">
        <f t="shared" si="28"/>
        <v>6.7081242502450317E-2</v>
      </c>
      <c r="N37" s="3">
        <f t="shared" si="28"/>
        <v>6.7081242502426128E-2</v>
      </c>
      <c r="O37" s="3">
        <f t="shared" si="28"/>
        <v>6.7081242502184141E-2</v>
      </c>
      <c r="P37" s="3">
        <f t="shared" si="27"/>
        <v>6.7081242499764313E-2</v>
      </c>
      <c r="Q37" s="3">
        <f t="shared" si="27"/>
        <v>6.7081242475566058E-2</v>
      </c>
      <c r="R37" s="3">
        <f t="shared" si="27"/>
        <v>6.7081242233583444E-2</v>
      </c>
      <c r="S37" s="3">
        <f t="shared" si="27"/>
        <v>6.708123981375741E-2</v>
      </c>
      <c r="T37" s="3">
        <f t="shared" si="27"/>
        <v>6.7081215615501844E-2</v>
      </c>
      <c r="U37" s="3">
        <f t="shared" si="27"/>
        <v>6.7080973633426272E-2</v>
      </c>
      <c r="V37" s="3">
        <f t="shared" si="27"/>
        <v>6.7078553860679624E-2</v>
      </c>
      <c r="W37" s="3">
        <f t="shared" si="27"/>
        <v>6.7054360933481327E-2</v>
      </c>
      <c r="X37" s="3">
        <f t="shared" si="27"/>
        <v>6.6812911048236029E-2</v>
      </c>
      <c r="Y37" s="3">
        <f t="shared" si="27"/>
        <v>6.444571715731684E-2</v>
      </c>
      <c r="Z37" s="3">
        <f t="shared" si="27"/>
        <v>4.4929411044475863E-2</v>
      </c>
      <c r="AA37" s="3">
        <f t="shared" si="27"/>
        <v>1.2187015780788404E-3</v>
      </c>
      <c r="AB37" s="3">
        <f t="shared" si="27"/>
        <v>2.6276278208815376E-19</v>
      </c>
      <c r="AC37" s="3">
        <f t="shared" si="27"/>
        <v>5.7046451003278892E-176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3.935411135697249E-2</v>
      </c>
      <c r="C38" s="18">
        <f t="shared" si="3"/>
        <v>3.0532939065729049E-2</v>
      </c>
      <c r="D38" s="17"/>
      <c r="F38" s="3">
        <f t="shared" si="28"/>
        <v>3.0532939065729049E-2</v>
      </c>
      <c r="G38" s="3">
        <f t="shared" si="28"/>
        <v>3.0532939065729049E-2</v>
      </c>
      <c r="H38" s="3">
        <f t="shared" si="28"/>
        <v>3.0532939065729049E-2</v>
      </c>
      <c r="I38" s="3">
        <f t="shared" si="28"/>
        <v>3.0532939065729049E-2</v>
      </c>
      <c r="J38" s="3">
        <f t="shared" si="28"/>
        <v>3.0532939065729049E-2</v>
      </c>
      <c r="K38" s="3">
        <f t="shared" si="28"/>
        <v>3.0532939065729049E-2</v>
      </c>
      <c r="L38" s="3">
        <f t="shared" si="28"/>
        <v>3.0532939065729039E-2</v>
      </c>
      <c r="M38" s="3">
        <f t="shared" si="28"/>
        <v>3.0532939065728938E-2</v>
      </c>
      <c r="N38" s="3">
        <f t="shared" si="28"/>
        <v>3.0532939065727942E-2</v>
      </c>
      <c r="O38" s="3">
        <f t="shared" si="28"/>
        <v>3.0532939065718009E-2</v>
      </c>
      <c r="P38" s="3">
        <f t="shared" si="27"/>
        <v>3.0532939065618651E-2</v>
      </c>
      <c r="Q38" s="3">
        <f t="shared" si="27"/>
        <v>3.0532939064625085E-2</v>
      </c>
      <c r="R38" s="3">
        <f t="shared" si="27"/>
        <v>3.0532939054689387E-2</v>
      </c>
      <c r="S38" s="3">
        <f t="shared" si="27"/>
        <v>3.0532938955332434E-2</v>
      </c>
      <c r="T38" s="3">
        <f t="shared" si="27"/>
        <v>3.053293796176294E-2</v>
      </c>
      <c r="U38" s="3">
        <f t="shared" si="27"/>
        <v>3.0532928026069748E-2</v>
      </c>
      <c r="V38" s="3">
        <f t="shared" si="27"/>
        <v>3.0532828669315649E-2</v>
      </c>
      <c r="W38" s="3">
        <f t="shared" si="27"/>
        <v>3.0531835119556844E-2</v>
      </c>
      <c r="X38" s="3">
        <f t="shared" si="27"/>
        <v>3.0521901399971813E-2</v>
      </c>
      <c r="Y38" s="3">
        <f t="shared" si="27"/>
        <v>3.0422741790537122E-2</v>
      </c>
      <c r="Z38" s="3">
        <f t="shared" si="27"/>
        <v>2.9448692369649955E-2</v>
      </c>
      <c r="AA38" s="3">
        <f t="shared" si="27"/>
        <v>2.1268783660949201E-2</v>
      </c>
      <c r="AB38" s="3">
        <f t="shared" si="27"/>
        <v>8.2131364623389393E-4</v>
      </c>
      <c r="AC38" s="3">
        <f t="shared" si="27"/>
        <v>6.0558190312531373E-18</v>
      </c>
      <c r="AD38" s="3">
        <f t="shared" si="27"/>
        <v>2.8761490305452916E-159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5.9567126347885815E-2</v>
      </c>
      <c r="C39" s="18">
        <f t="shared" si="3"/>
        <v>4.6215233336182188E-2</v>
      </c>
      <c r="D39" s="17"/>
      <c r="F39" s="3">
        <f t="shared" si="28"/>
        <v>4.6215233336182188E-2</v>
      </c>
      <c r="G39" s="3">
        <f t="shared" si="28"/>
        <v>4.6215233336182188E-2</v>
      </c>
      <c r="H39" s="3">
        <f t="shared" si="28"/>
        <v>4.6215233336182188E-2</v>
      </c>
      <c r="I39" s="3">
        <f t="shared" si="28"/>
        <v>4.6215233336182188E-2</v>
      </c>
      <c r="J39" s="3">
        <f t="shared" si="28"/>
        <v>4.6215233336182188E-2</v>
      </c>
      <c r="K39" s="3">
        <f t="shared" si="28"/>
        <v>4.6215233336182188E-2</v>
      </c>
      <c r="L39" s="3">
        <f t="shared" si="28"/>
        <v>4.6215233336182181E-2</v>
      </c>
      <c r="M39" s="3">
        <f t="shared" si="28"/>
        <v>4.6215233336182139E-2</v>
      </c>
      <c r="N39" s="3">
        <f t="shared" si="28"/>
        <v>4.6215233336181723E-2</v>
      </c>
      <c r="O39" s="3">
        <f t="shared" si="28"/>
        <v>4.6215233336177566E-2</v>
      </c>
      <c r="P39" s="3">
        <f t="shared" si="27"/>
        <v>4.6215233336135975E-2</v>
      </c>
      <c r="Q39" s="3">
        <f t="shared" si="27"/>
        <v>4.6215233335720037E-2</v>
      </c>
      <c r="R39" s="3">
        <f t="shared" si="27"/>
        <v>4.6215233331560662E-2</v>
      </c>
      <c r="S39" s="3">
        <f t="shared" si="27"/>
        <v>4.6215233289966955E-2</v>
      </c>
      <c r="T39" s="3">
        <f t="shared" si="27"/>
        <v>4.6215232874029857E-2</v>
      </c>
      <c r="U39" s="3">
        <f t="shared" si="27"/>
        <v>4.6215228714659086E-2</v>
      </c>
      <c r="V39" s="3">
        <f t="shared" si="27"/>
        <v>4.6215187120971959E-2</v>
      </c>
      <c r="W39" s="3">
        <f t="shared" si="27"/>
        <v>4.6214771186159583E-2</v>
      </c>
      <c r="X39" s="3">
        <f t="shared" si="27"/>
        <v>4.6210612043917035E-2</v>
      </c>
      <c r="Y39" s="3">
        <f t="shared" si="27"/>
        <v>4.6169041202762058E-2</v>
      </c>
      <c r="Z39" s="3">
        <f t="shared" si="27"/>
        <v>4.5755384081166188E-2</v>
      </c>
      <c r="AA39" s="3">
        <f t="shared" si="27"/>
        <v>4.1817272405840496E-2</v>
      </c>
      <c r="AB39" s="3">
        <f t="shared" si="27"/>
        <v>1.7001634213322514E-2</v>
      </c>
      <c r="AC39" s="3">
        <f t="shared" si="27"/>
        <v>2.0981683474195199E-6</v>
      </c>
      <c r="AD39" s="3">
        <f t="shared" si="27"/>
        <v>1.7192417926012862E-45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4.3963552293259094E-2</v>
      </c>
      <c r="C40" s="18">
        <f t="shared" si="3"/>
        <v>3.4109179879759796E-2</v>
      </c>
      <c r="D40" s="17"/>
      <c r="F40" s="3">
        <f t="shared" si="28"/>
        <v>3.4109179879759796E-2</v>
      </c>
      <c r="G40" s="3">
        <f t="shared" si="28"/>
        <v>3.4109179879759796E-2</v>
      </c>
      <c r="H40" s="3">
        <f t="shared" si="28"/>
        <v>3.4109179879759796E-2</v>
      </c>
      <c r="I40" s="3">
        <f t="shared" si="28"/>
        <v>3.4109179879759796E-2</v>
      </c>
      <c r="J40" s="3">
        <f t="shared" si="28"/>
        <v>3.4109179879759796E-2</v>
      </c>
      <c r="K40" s="3">
        <f t="shared" si="28"/>
        <v>3.4109179879759796E-2</v>
      </c>
      <c r="L40" s="3">
        <f t="shared" si="28"/>
        <v>3.4109179879759796E-2</v>
      </c>
      <c r="M40" s="3">
        <f t="shared" si="28"/>
        <v>3.4109179879759789E-2</v>
      </c>
      <c r="N40" s="3">
        <f t="shared" si="28"/>
        <v>3.4109179879759761E-2</v>
      </c>
      <c r="O40" s="3">
        <f t="shared" si="28"/>
        <v>3.4109179879759456E-2</v>
      </c>
      <c r="P40" s="3">
        <f t="shared" si="27"/>
        <v>3.4109179879756382E-2</v>
      </c>
      <c r="Q40" s="3">
        <f t="shared" si="27"/>
        <v>3.4109179879725685E-2</v>
      </c>
      <c r="R40" s="3">
        <f t="shared" si="27"/>
        <v>3.4109179879418701E-2</v>
      </c>
      <c r="S40" s="3">
        <f t="shared" si="27"/>
        <v>3.4109179876348879E-2</v>
      </c>
      <c r="T40" s="3">
        <f t="shared" si="27"/>
        <v>3.4109179845650615E-2</v>
      </c>
      <c r="U40" s="3">
        <f t="shared" si="27"/>
        <v>3.4109179538668002E-2</v>
      </c>
      <c r="V40" s="3">
        <f t="shared" si="27"/>
        <v>3.4109176468841977E-2</v>
      </c>
      <c r="W40" s="3">
        <f t="shared" si="27"/>
        <v>3.4109145770596969E-2</v>
      </c>
      <c r="X40" s="3">
        <f t="shared" si="27"/>
        <v>3.4108838789666453E-2</v>
      </c>
      <c r="Y40" s="3">
        <f t="shared" si="27"/>
        <v>3.4105769132312037E-2</v>
      </c>
      <c r="Z40" s="3">
        <f t="shared" si="27"/>
        <v>3.4075087748786537E-2</v>
      </c>
      <c r="AA40" s="3">
        <f t="shared" si="27"/>
        <v>3.3769787869276653E-2</v>
      </c>
      <c r="AB40" s="3">
        <f t="shared" si="27"/>
        <v>3.0863262253725952E-2</v>
      </c>
      <c r="AC40" s="3">
        <f t="shared" si="27"/>
        <v>1.2548066032982239E-2</v>
      </c>
      <c r="AD40" s="3">
        <f t="shared" si="27"/>
        <v>1.5485543707970563E-6</v>
      </c>
      <c r="AE40" s="3">
        <f t="shared" si="27"/>
        <v>1.2688874063246769E-45</v>
      </c>
      <c r="AF40" s="3">
        <f t="shared" si="29"/>
        <v>0</v>
      </c>
      <c r="AG40" s="3">
        <f t="shared" si="29"/>
        <v>0</v>
      </c>
      <c r="AH40" s="3">
        <f t="shared" si="29"/>
        <v>0</v>
      </c>
      <c r="AI40" s="3">
        <f t="shared" si="29"/>
        <v>0</v>
      </c>
      <c r="AJ40" s="3">
        <f t="shared" si="29"/>
        <v>0</v>
      </c>
    </row>
    <row r="41" spans="1:36" x14ac:dyDescent="0.25">
      <c r="A41" s="3">
        <f t="shared" si="30"/>
        <v>1000000000</v>
      </c>
      <c r="B41" s="106">
        <v>2.155287796239664E-2</v>
      </c>
      <c r="C41" s="18">
        <f t="shared" si="3"/>
        <v>1.6721828719437171E-2</v>
      </c>
      <c r="D41" s="17"/>
      <c r="F41" s="3">
        <f t="shared" si="28"/>
        <v>1.6721828719437171E-2</v>
      </c>
      <c r="G41" s="3">
        <f t="shared" si="28"/>
        <v>1.6721828719437171E-2</v>
      </c>
      <c r="H41" s="3">
        <f t="shared" si="28"/>
        <v>1.6721828719437171E-2</v>
      </c>
      <c r="I41" s="3">
        <f t="shared" si="28"/>
        <v>1.6721828719437171E-2</v>
      </c>
      <c r="J41" s="3">
        <f t="shared" si="28"/>
        <v>1.6721828719437171E-2</v>
      </c>
      <c r="K41" s="3">
        <f t="shared" si="28"/>
        <v>1.6721828719437171E-2</v>
      </c>
      <c r="L41" s="3">
        <f t="shared" si="28"/>
        <v>1.6721828719437171E-2</v>
      </c>
      <c r="M41" s="3">
        <f t="shared" si="28"/>
        <v>1.6721828719437171E-2</v>
      </c>
      <c r="N41" s="3">
        <f t="shared" si="28"/>
        <v>1.6721828719437167E-2</v>
      </c>
      <c r="O41" s="3">
        <f t="shared" si="28"/>
        <v>1.6721828719437153E-2</v>
      </c>
      <c r="P41" s="3">
        <f t="shared" si="27"/>
        <v>1.6721828719437004E-2</v>
      </c>
      <c r="Q41" s="3">
        <f t="shared" si="27"/>
        <v>1.6721828719435498E-2</v>
      </c>
      <c r="R41" s="3">
        <f t="shared" si="27"/>
        <v>1.6721828719420448E-2</v>
      </c>
      <c r="S41" s="3">
        <f t="shared" si="27"/>
        <v>1.6721828719269954E-2</v>
      </c>
      <c r="T41" s="3">
        <f t="shared" si="27"/>
        <v>1.6721828717764987E-2</v>
      </c>
      <c r="U41" s="3">
        <f t="shared" si="27"/>
        <v>1.6721828702715342E-2</v>
      </c>
      <c r="V41" s="3">
        <f t="shared" si="27"/>
        <v>1.6721828552218883E-2</v>
      </c>
      <c r="W41" s="3">
        <f t="shared" si="27"/>
        <v>1.6721827047254383E-2</v>
      </c>
      <c r="X41" s="3">
        <f t="shared" si="27"/>
        <v>1.6721811997616812E-2</v>
      </c>
      <c r="Y41" s="3">
        <f t="shared" si="27"/>
        <v>1.6721661501986066E-2</v>
      </c>
      <c r="Z41" s="3">
        <f t="shared" si="27"/>
        <v>1.6720156620171584E-2</v>
      </c>
      <c r="AA41" s="3">
        <f t="shared" si="27"/>
        <v>1.6705115248845818E-2</v>
      </c>
      <c r="AB41" s="3">
        <f t="shared" si="27"/>
        <v>1.6555443743660834E-2</v>
      </c>
      <c r="AC41" s="3">
        <f t="shared" si="27"/>
        <v>1.5130536323335084E-2</v>
      </c>
      <c r="AD41" s="3">
        <f t="shared" si="27"/>
        <v>6.1516170046711218E-3</v>
      </c>
      <c r="AE41" s="3">
        <f t="shared" si="27"/>
        <v>7.5916984936274956E-7</v>
      </c>
      <c r="AF41" s="3">
        <f t="shared" si="29"/>
        <v>6.2206473294313481E-46</v>
      </c>
      <c r="AG41" s="3">
        <f t="shared" si="29"/>
        <v>0</v>
      </c>
      <c r="AH41" s="3">
        <f t="shared" si="29"/>
        <v>0</v>
      </c>
      <c r="AI41" s="3">
        <f t="shared" si="29"/>
        <v>0</v>
      </c>
      <c r="AJ41" s="3">
        <f t="shared" si="29"/>
        <v>0</v>
      </c>
    </row>
    <row r="42" spans="1:36" x14ac:dyDescent="0.25">
      <c r="A42" s="3">
        <f t="shared" si="30"/>
        <v>10000000000</v>
      </c>
      <c r="B42" s="106">
        <v>1.3379066336499547E-2</v>
      </c>
      <c r="C42" s="18">
        <f t="shared" si="3"/>
        <v>1.0380166217025045E-2</v>
      </c>
      <c r="D42" s="17"/>
      <c r="F42" s="3">
        <f t="shared" si="28"/>
        <v>1.0380166217025045E-2</v>
      </c>
      <c r="G42" s="3">
        <f t="shared" si="28"/>
        <v>1.0380166217025045E-2</v>
      </c>
      <c r="H42" s="3">
        <f t="shared" si="28"/>
        <v>1.0380166217025045E-2</v>
      </c>
      <c r="I42" s="3">
        <f t="shared" si="28"/>
        <v>1.0380166217025045E-2</v>
      </c>
      <c r="J42" s="3">
        <f t="shared" si="28"/>
        <v>1.0380166217025045E-2</v>
      </c>
      <c r="K42" s="3">
        <f t="shared" si="28"/>
        <v>1.0380166217025045E-2</v>
      </c>
      <c r="L42" s="3">
        <f t="shared" si="28"/>
        <v>1.0380166217025045E-2</v>
      </c>
      <c r="M42" s="3">
        <f t="shared" si="28"/>
        <v>1.0380166217025045E-2</v>
      </c>
      <c r="N42" s="3">
        <f t="shared" si="28"/>
        <v>1.0380166217025045E-2</v>
      </c>
      <c r="O42" s="3">
        <f t="shared" si="28"/>
        <v>1.0380166217025043E-2</v>
      </c>
      <c r="P42" s="3">
        <f t="shared" si="27"/>
        <v>1.0380166217025035E-2</v>
      </c>
      <c r="Q42" s="3">
        <f t="shared" si="27"/>
        <v>1.0380166217024941E-2</v>
      </c>
      <c r="R42" s="3">
        <f t="shared" si="27"/>
        <v>1.0380166217024006E-2</v>
      </c>
      <c r="S42" s="3">
        <f t="shared" si="27"/>
        <v>1.0380166217014665E-2</v>
      </c>
      <c r="T42" s="3">
        <f t="shared" si="27"/>
        <v>1.0380166216921243E-2</v>
      </c>
      <c r="U42" s="3">
        <f t="shared" si="27"/>
        <v>1.0380166215987028E-2</v>
      </c>
      <c r="V42" s="3">
        <f t="shared" si="27"/>
        <v>1.038016620664488E-2</v>
      </c>
      <c r="W42" s="3">
        <f t="shared" si="27"/>
        <v>1.0380166113223383E-2</v>
      </c>
      <c r="X42" s="3">
        <f t="shared" si="27"/>
        <v>1.0380165179008477E-2</v>
      </c>
      <c r="Y42" s="3">
        <f t="shared" si="27"/>
        <v>1.0380155836864018E-2</v>
      </c>
      <c r="Z42" s="3">
        <f t="shared" si="27"/>
        <v>1.0380062415881882E-2</v>
      </c>
      <c r="AA42" s="3">
        <f t="shared" si="27"/>
        <v>1.0379128252302444E-2</v>
      </c>
      <c r="AB42" s="3">
        <f t="shared" si="27"/>
        <v>1.0369791239161534E-2</v>
      </c>
      <c r="AC42" s="3">
        <f t="shared" si="27"/>
        <v>1.0276881837454377E-2</v>
      </c>
      <c r="AD42" s="3">
        <f t="shared" si="27"/>
        <v>9.3923627985970353E-3</v>
      </c>
      <c r="AE42" s="3">
        <f t="shared" si="27"/>
        <v>3.8186497471858582E-3</v>
      </c>
      <c r="AF42" s="3">
        <f t="shared" si="29"/>
        <v>4.7125881717585515E-7</v>
      </c>
      <c r="AG42" s="3">
        <f t="shared" si="29"/>
        <v>3.8615006971057957E-46</v>
      </c>
      <c r="AH42" s="3">
        <f t="shared" si="29"/>
        <v>0</v>
      </c>
      <c r="AI42" s="3">
        <f t="shared" si="29"/>
        <v>0</v>
      </c>
      <c r="AJ42" s="3">
        <f t="shared" si="29"/>
        <v>0</v>
      </c>
    </row>
    <row r="43" spans="1:36" x14ac:dyDescent="0.25">
      <c r="A43" s="3">
        <f t="shared" si="30"/>
        <v>100000000000</v>
      </c>
      <c r="B43" s="106">
        <v>3.0750546069956571E-3</v>
      </c>
      <c r="C43" s="18">
        <f t="shared" si="3"/>
        <v>2.3857851620006894E-3</v>
      </c>
      <c r="D43" s="17"/>
      <c r="F43" s="3">
        <f t="shared" si="28"/>
        <v>2.3857851620006894E-3</v>
      </c>
      <c r="G43" s="3">
        <f t="shared" si="28"/>
        <v>2.3857851620006894E-3</v>
      </c>
      <c r="H43" s="3">
        <f t="shared" si="28"/>
        <v>2.3857851620006894E-3</v>
      </c>
      <c r="I43" s="3">
        <f t="shared" si="28"/>
        <v>2.3857851620006894E-3</v>
      </c>
      <c r="J43" s="3">
        <f t="shared" si="28"/>
        <v>2.3857851620006894E-3</v>
      </c>
      <c r="K43" s="3">
        <f t="shared" si="28"/>
        <v>2.3857851620006894E-3</v>
      </c>
      <c r="L43" s="3">
        <f t="shared" si="28"/>
        <v>2.3857851620006894E-3</v>
      </c>
      <c r="M43" s="3">
        <f t="shared" si="28"/>
        <v>2.3857851620006894E-3</v>
      </c>
      <c r="N43" s="3">
        <f t="shared" si="28"/>
        <v>2.3857851620006894E-3</v>
      </c>
      <c r="O43" s="3">
        <f t="shared" si="28"/>
        <v>2.3857851620006894E-3</v>
      </c>
      <c r="P43" s="3">
        <f t="shared" si="27"/>
        <v>2.385785162000689E-3</v>
      </c>
      <c r="Q43" s="3">
        <f t="shared" si="27"/>
        <v>2.3857851620006872E-3</v>
      </c>
      <c r="R43" s="3">
        <f t="shared" si="27"/>
        <v>2.3857851620006656E-3</v>
      </c>
      <c r="S43" s="3">
        <f t="shared" si="27"/>
        <v>2.3857851620004509E-3</v>
      </c>
      <c r="T43" s="3">
        <f t="shared" si="27"/>
        <v>2.3857851619983037E-3</v>
      </c>
      <c r="U43" s="3">
        <f t="shared" si="27"/>
        <v>2.3857851619768318E-3</v>
      </c>
      <c r="V43" s="3">
        <f t="shared" si="27"/>
        <v>2.3857851617621107E-3</v>
      </c>
      <c r="W43" s="3">
        <f t="shared" si="27"/>
        <v>2.3857851596149043E-3</v>
      </c>
      <c r="X43" s="3">
        <f t="shared" si="27"/>
        <v>2.385785138142838E-3</v>
      </c>
      <c r="Y43" s="3">
        <f t="shared" si="27"/>
        <v>2.3857849234221852E-3</v>
      </c>
      <c r="Z43" s="3">
        <f t="shared" si="27"/>
        <v>2.3857827762167202E-3</v>
      </c>
      <c r="AA43" s="3">
        <f t="shared" si="27"/>
        <v>2.3857613042683585E-3</v>
      </c>
      <c r="AB43" s="3">
        <f t="shared" si="27"/>
        <v>2.3855465954130176E-3</v>
      </c>
      <c r="AC43" s="3">
        <f t="shared" si="27"/>
        <v>2.3834005693337385E-3</v>
      </c>
      <c r="AD43" s="3">
        <f t="shared" si="27"/>
        <v>2.3620462030000148E-3</v>
      </c>
      <c r="AE43" s="3">
        <f t="shared" si="27"/>
        <v>2.1587476859732074E-3</v>
      </c>
      <c r="AF43" s="3">
        <f t="shared" si="29"/>
        <v>8.7768131215193261E-4</v>
      </c>
      <c r="AG43" s="3">
        <f t="shared" si="29"/>
        <v>1.0831447878320985E-7</v>
      </c>
      <c r="AH43" s="3">
        <f t="shared" si="29"/>
        <v>8.8753020651057429E-47</v>
      </c>
      <c r="AI43" s="3">
        <f t="shared" si="29"/>
        <v>0</v>
      </c>
      <c r="AJ43" s="3">
        <f t="shared" si="29"/>
        <v>0</v>
      </c>
    </row>
    <row r="44" spans="1:36" x14ac:dyDescent="0.25">
      <c r="A44" s="3">
        <f t="shared" si="30"/>
        <v>1000000000000</v>
      </c>
      <c r="B44" s="106">
        <v>6.0110810686298073E-3</v>
      </c>
      <c r="C44" s="18">
        <f t="shared" si="3"/>
        <v>4.6637051545343495E-3</v>
      </c>
      <c r="D44" s="17"/>
      <c r="F44" s="3">
        <f t="shared" si="28"/>
        <v>4.6637051545343495E-3</v>
      </c>
      <c r="G44" s="3">
        <f t="shared" si="28"/>
        <v>4.6637051545343495E-3</v>
      </c>
      <c r="H44" s="3">
        <f t="shared" si="28"/>
        <v>4.6637051545343495E-3</v>
      </c>
      <c r="I44" s="3">
        <f t="shared" si="28"/>
        <v>4.6637051545343495E-3</v>
      </c>
      <c r="J44" s="3">
        <f t="shared" si="28"/>
        <v>4.6637051545343495E-3</v>
      </c>
      <c r="K44" s="3">
        <f t="shared" si="28"/>
        <v>4.6637051545343495E-3</v>
      </c>
      <c r="L44" s="3">
        <f t="shared" si="28"/>
        <v>4.6637051545343495E-3</v>
      </c>
      <c r="M44" s="3">
        <f t="shared" si="28"/>
        <v>4.6637051545343495E-3</v>
      </c>
      <c r="N44" s="3">
        <f t="shared" si="28"/>
        <v>4.6637051545343495E-3</v>
      </c>
      <c r="O44" s="3">
        <f t="shared" si="28"/>
        <v>4.6637051545343495E-3</v>
      </c>
      <c r="P44" s="3">
        <f t="shared" si="27"/>
        <v>4.6637051545343495E-3</v>
      </c>
      <c r="Q44" s="3">
        <f t="shared" si="27"/>
        <v>4.6637051545343486E-3</v>
      </c>
      <c r="R44" s="3">
        <f t="shared" si="27"/>
        <v>4.6637051545343452E-3</v>
      </c>
      <c r="S44" s="3">
        <f t="shared" si="27"/>
        <v>4.6637051545343026E-3</v>
      </c>
      <c r="T44" s="3">
        <f t="shared" si="27"/>
        <v>4.6637051545338828E-3</v>
      </c>
      <c r="U44" s="3">
        <f t="shared" si="27"/>
        <v>4.6637051545296857E-3</v>
      </c>
      <c r="V44" s="3">
        <f t="shared" si="27"/>
        <v>4.6637051544877123E-3</v>
      </c>
      <c r="W44" s="3">
        <f t="shared" si="27"/>
        <v>4.6637051540679786E-3</v>
      </c>
      <c r="X44" s="3">
        <f t="shared" si="27"/>
        <v>4.6637051498706443E-3</v>
      </c>
      <c r="Y44" s="3">
        <f t="shared" si="27"/>
        <v>4.6637051078972985E-3</v>
      </c>
      <c r="Z44" s="3">
        <f t="shared" si="27"/>
        <v>4.6637046881638578E-3</v>
      </c>
      <c r="AA44" s="3">
        <f t="shared" si="27"/>
        <v>4.6637004908315271E-3</v>
      </c>
      <c r="AB44" s="3">
        <f t="shared" si="27"/>
        <v>4.6636585177159883E-3</v>
      </c>
      <c r="AC44" s="3">
        <f t="shared" si="27"/>
        <v>4.6632388073366447E-3</v>
      </c>
      <c r="AD44" s="3">
        <f t="shared" si="27"/>
        <v>4.6590437804553027E-3</v>
      </c>
      <c r="AE44" s="3">
        <f t="shared" si="27"/>
        <v>4.6173005129018707E-3</v>
      </c>
      <c r="AF44" s="3">
        <f t="shared" si="29"/>
        <v>4.2198949305098567E-3</v>
      </c>
      <c r="AG44" s="3">
        <f t="shared" si="29"/>
        <v>1.7156812460384716E-3</v>
      </c>
      <c r="AH44" s="3">
        <f t="shared" si="29"/>
        <v>2.1173188644879804E-7</v>
      </c>
      <c r="AI44" s="3">
        <f t="shared" si="29"/>
        <v>1.7349337504627774E-46</v>
      </c>
      <c r="AJ44" s="3">
        <f t="shared" si="29"/>
        <v>0</v>
      </c>
    </row>
    <row r="45" spans="1:36" x14ac:dyDescent="0.25">
      <c r="A45" s="3">
        <f t="shared" si="30"/>
        <v>10000000000000</v>
      </c>
      <c r="B45" s="106">
        <v>1.5031866860104823E-4</v>
      </c>
      <c r="C45" s="18">
        <f t="shared" si="3"/>
        <v>1.1662493677485003E-4</v>
      </c>
      <c r="D45" s="17"/>
      <c r="F45" s="3">
        <f t="shared" si="28"/>
        <v>1.1662493677485003E-4</v>
      </c>
      <c r="G45" s="3">
        <f t="shared" si="28"/>
        <v>1.1662493677485003E-4</v>
      </c>
      <c r="H45" s="3">
        <f t="shared" si="28"/>
        <v>1.1662493677485003E-4</v>
      </c>
      <c r="I45" s="3">
        <f t="shared" si="28"/>
        <v>1.1662493677485003E-4</v>
      </c>
      <c r="J45" s="3">
        <f t="shared" si="28"/>
        <v>1.1662493677485003E-4</v>
      </c>
      <c r="K45" s="3">
        <f t="shared" si="28"/>
        <v>1.1662493677485003E-4</v>
      </c>
      <c r="L45" s="3">
        <f t="shared" si="28"/>
        <v>1.1662493677485003E-4</v>
      </c>
      <c r="M45" s="3">
        <f t="shared" si="28"/>
        <v>1.1662493677485003E-4</v>
      </c>
      <c r="N45" s="3">
        <f t="shared" si="28"/>
        <v>1.1662493677485003E-4</v>
      </c>
      <c r="O45" s="3">
        <f t="shared" si="28"/>
        <v>1.1662493677485003E-4</v>
      </c>
      <c r="P45" s="3">
        <f t="shared" si="27"/>
        <v>1.1662493677485003E-4</v>
      </c>
      <c r="Q45" s="3">
        <f t="shared" si="27"/>
        <v>1.1662493677485003E-4</v>
      </c>
      <c r="R45" s="3">
        <f t="shared" si="27"/>
        <v>1.1662493677485002E-4</v>
      </c>
      <c r="S45" s="3">
        <f t="shared" si="27"/>
        <v>1.1662493677484991E-4</v>
      </c>
      <c r="T45" s="3">
        <f t="shared" si="27"/>
        <v>1.1662493677484887E-4</v>
      </c>
      <c r="U45" s="3">
        <f t="shared" si="27"/>
        <v>1.1662493677483836E-4</v>
      </c>
      <c r="V45" s="3">
        <f t="shared" si="27"/>
        <v>1.1662493677473341E-4</v>
      </c>
      <c r="W45" s="3">
        <f t="shared" si="27"/>
        <v>1.1662493677368378E-4</v>
      </c>
      <c r="X45" s="3">
        <f t="shared" si="27"/>
        <v>1.1662493676318754E-4</v>
      </c>
      <c r="Y45" s="3">
        <f t="shared" si="27"/>
        <v>1.166249366582251E-4</v>
      </c>
      <c r="Z45" s="3">
        <f t="shared" si="27"/>
        <v>1.1662493560860067E-4</v>
      </c>
      <c r="AA45" s="3">
        <f t="shared" si="27"/>
        <v>1.1662492511235695E-4</v>
      </c>
      <c r="AB45" s="3">
        <f t="shared" si="27"/>
        <v>1.1662482014997158E-4</v>
      </c>
      <c r="AC45" s="3">
        <f t="shared" si="27"/>
        <v>1.1662377053131352E-4</v>
      </c>
      <c r="AD45" s="3">
        <f t="shared" si="27"/>
        <v>1.166132748642778E-4</v>
      </c>
      <c r="AE45" s="3">
        <f t="shared" si="27"/>
        <v>1.1650837013111094E-4</v>
      </c>
      <c r="AF45" s="3">
        <f t="shared" si="29"/>
        <v>1.1546449926494752E-4</v>
      </c>
      <c r="AG45" s="3">
        <f t="shared" si="29"/>
        <v>1.0552660666996233E-4</v>
      </c>
      <c r="AH45" s="3">
        <f t="shared" si="29"/>
        <v>4.2903916567386624E-5</v>
      </c>
      <c r="AI45" s="3">
        <f t="shared" si="29"/>
        <v>5.2947639381324286E-9</v>
      </c>
      <c r="AJ45" s="3">
        <f t="shared" si="29"/>
        <v>4.3385362550106854E-48</v>
      </c>
    </row>
    <row r="46" spans="1:36" x14ac:dyDescent="0.25">
      <c r="A46" s="3">
        <f t="shared" si="30"/>
        <v>100000000000000</v>
      </c>
      <c r="B46" s="106">
        <v>1.6405006708122636E-3</v>
      </c>
      <c r="C46" s="18">
        <f t="shared" si="3"/>
        <v>1.2727846034903288E-3</v>
      </c>
      <c r="D46" s="17"/>
      <c r="F46" s="3">
        <f t="shared" si="28"/>
        <v>1.2727846034903288E-3</v>
      </c>
      <c r="G46" s="3">
        <f t="shared" si="28"/>
        <v>1.2727846034903288E-3</v>
      </c>
      <c r="H46" s="3">
        <f t="shared" si="28"/>
        <v>1.2727846034903288E-3</v>
      </c>
      <c r="I46" s="3">
        <f t="shared" si="28"/>
        <v>1.2727846034903288E-3</v>
      </c>
      <c r="J46" s="3">
        <f t="shared" si="28"/>
        <v>1.2727846034903288E-3</v>
      </c>
      <c r="K46" s="3">
        <f t="shared" si="28"/>
        <v>1.2727846034903288E-3</v>
      </c>
      <c r="L46" s="3">
        <f t="shared" si="28"/>
        <v>1.2727846034903288E-3</v>
      </c>
      <c r="M46" s="3">
        <f t="shared" si="28"/>
        <v>1.2727846034903288E-3</v>
      </c>
      <c r="N46" s="3">
        <f t="shared" si="28"/>
        <v>1.2727846034903288E-3</v>
      </c>
      <c r="O46" s="3">
        <f t="shared" si="28"/>
        <v>1.2727846034903288E-3</v>
      </c>
      <c r="P46" s="3">
        <f t="shared" si="27"/>
        <v>1.2727846034903288E-3</v>
      </c>
      <c r="Q46" s="3">
        <f t="shared" si="27"/>
        <v>1.2727846034903288E-3</v>
      </c>
      <c r="R46" s="3">
        <f t="shared" si="27"/>
        <v>1.2727846034903288E-3</v>
      </c>
      <c r="S46" s="3">
        <f t="shared" si="27"/>
        <v>1.2727846034903286E-3</v>
      </c>
      <c r="T46" s="3">
        <f t="shared" si="27"/>
        <v>1.2727846034903275E-3</v>
      </c>
      <c r="U46" s="3">
        <f t="shared" si="27"/>
        <v>1.272784603490316E-3</v>
      </c>
      <c r="V46" s="3">
        <f t="shared" si="27"/>
        <v>1.2727846034902015E-3</v>
      </c>
      <c r="W46" s="3">
        <f t="shared" si="27"/>
        <v>1.2727846034890559E-3</v>
      </c>
      <c r="X46" s="3">
        <f t="shared" si="27"/>
        <v>1.2727846034776009E-3</v>
      </c>
      <c r="Y46" s="3">
        <f t="shared" si="27"/>
        <v>1.2727846033630504E-3</v>
      </c>
      <c r="Z46" s="3">
        <f t="shared" si="27"/>
        <v>1.2727846022175442E-3</v>
      </c>
      <c r="AA46" s="3">
        <f t="shared" si="27"/>
        <v>1.2727845907624829E-3</v>
      </c>
      <c r="AB46" s="3">
        <f t="shared" si="27"/>
        <v>1.2727844762118749E-3</v>
      </c>
      <c r="AC46" s="3">
        <f t="shared" si="27"/>
        <v>1.2727833307063618E-3</v>
      </c>
      <c r="AD46" s="3">
        <f t="shared" si="27"/>
        <v>1.2727718757079328E-3</v>
      </c>
      <c r="AE46" s="3">
        <f t="shared" si="27"/>
        <v>1.2726573313936907E-3</v>
      </c>
      <c r="AF46" s="3">
        <f t="shared" si="29"/>
        <v>1.2715124550670624E-3</v>
      </c>
      <c r="AG46" s="3">
        <f t="shared" si="29"/>
        <v>1.2601201850841008E-3</v>
      </c>
      <c r="AH46" s="3">
        <f t="shared" si="29"/>
        <v>1.1516631343381116E-3</v>
      </c>
      <c r="AI46" s="3">
        <f t="shared" si="29"/>
        <v>4.6823128866363797E-4</v>
      </c>
      <c r="AJ46" s="3">
        <f t="shared" si="29"/>
        <v>5.7784331601233065E-8</v>
      </c>
    </row>
    <row r="47" spans="1:36" x14ac:dyDescent="0.25">
      <c r="A47" s="3">
        <f t="shared" si="30"/>
        <v>1000000000000000</v>
      </c>
      <c r="B47" s="106">
        <v>2.5980973856330148E-3</v>
      </c>
      <c r="C47" s="18">
        <f t="shared" si="3"/>
        <v>2.0157372743803063E-3</v>
      </c>
      <c r="D47" s="17"/>
      <c r="F47" s="3">
        <f t="shared" si="28"/>
        <v>2.0157372743803063E-3</v>
      </c>
      <c r="G47" s="3">
        <f t="shared" si="28"/>
        <v>2.0157372743803063E-3</v>
      </c>
      <c r="H47" s="3">
        <f t="shared" si="28"/>
        <v>2.0157372743803063E-3</v>
      </c>
      <c r="I47" s="3">
        <f t="shared" si="28"/>
        <v>2.0157372743803063E-3</v>
      </c>
      <c r="J47" s="3">
        <f t="shared" si="28"/>
        <v>2.0157372743803063E-3</v>
      </c>
      <c r="K47" s="3">
        <f t="shared" si="28"/>
        <v>2.0157372743803063E-3</v>
      </c>
      <c r="L47" s="3">
        <f t="shared" si="28"/>
        <v>2.0157372743803063E-3</v>
      </c>
      <c r="M47" s="3">
        <f t="shared" si="28"/>
        <v>2.0157372743803063E-3</v>
      </c>
      <c r="N47" s="3">
        <f t="shared" si="28"/>
        <v>2.0157372743803063E-3</v>
      </c>
      <c r="O47" s="3">
        <f t="shared" si="28"/>
        <v>2.0157372743803063E-3</v>
      </c>
      <c r="P47" s="3">
        <f t="shared" si="27"/>
        <v>2.0157372743803063E-3</v>
      </c>
      <c r="Q47" s="3">
        <f t="shared" si="27"/>
        <v>2.0157372743803063E-3</v>
      </c>
      <c r="R47" s="3">
        <f t="shared" si="27"/>
        <v>2.0157372743803063E-3</v>
      </c>
      <c r="S47" s="3">
        <f t="shared" si="27"/>
        <v>2.0157372743803063E-3</v>
      </c>
      <c r="T47" s="3">
        <f t="shared" si="27"/>
        <v>2.0157372743803059E-3</v>
      </c>
      <c r="U47" s="3">
        <f t="shared" si="27"/>
        <v>2.0157372743803042E-3</v>
      </c>
      <c r="V47" s="3">
        <f t="shared" si="27"/>
        <v>2.0157372743802864E-3</v>
      </c>
      <c r="W47" s="3">
        <f t="shared" si="27"/>
        <v>2.0157372743801047E-3</v>
      </c>
      <c r="X47" s="3">
        <f t="shared" si="27"/>
        <v>2.0157372743782906E-3</v>
      </c>
      <c r="Y47" s="3">
        <f t="shared" si="27"/>
        <v>2.0157372743601488E-3</v>
      </c>
      <c r="Z47" s="3">
        <f t="shared" si="27"/>
        <v>2.0157372741787328E-3</v>
      </c>
      <c r="AA47" s="3">
        <f t="shared" si="27"/>
        <v>2.0157372723645689E-3</v>
      </c>
      <c r="AB47" s="3">
        <f t="shared" si="27"/>
        <v>2.0157372542229336E-3</v>
      </c>
      <c r="AC47" s="3">
        <f t="shared" si="27"/>
        <v>2.015737072806589E-3</v>
      </c>
      <c r="AD47" s="3">
        <f t="shared" si="27"/>
        <v>2.01573525864404E-3</v>
      </c>
      <c r="AE47" s="3">
        <f t="shared" si="27"/>
        <v>2.0157171171083488E-3</v>
      </c>
      <c r="AF47" s="3">
        <f t="shared" si="29"/>
        <v>2.0155357107312188E-3</v>
      </c>
      <c r="AG47" s="3">
        <f t="shared" si="29"/>
        <v>2.0137225446386908E-3</v>
      </c>
      <c r="AH47" s="3">
        <f t="shared" si="29"/>
        <v>1.9956803533822233E-3</v>
      </c>
      <c r="AI47" s="3">
        <f t="shared" si="29"/>
        <v>1.8239145107891189E-3</v>
      </c>
      <c r="AJ47" s="3">
        <f t="shared" si="29"/>
        <v>7.4154830204747337E-4</v>
      </c>
    </row>
    <row r="48" spans="1:36" x14ac:dyDescent="0.25">
      <c r="A48" s="3">
        <f t="shared" si="30"/>
        <v>1E+16</v>
      </c>
      <c r="B48" s="106">
        <v>1.2640327521609736E-2</v>
      </c>
      <c r="C48" s="18">
        <f t="shared" si="3"/>
        <v>9.8070147356989854E-3</v>
      </c>
      <c r="D48" s="17"/>
      <c r="F48" s="3">
        <f t="shared" si="28"/>
        <v>9.8070147356989854E-3</v>
      </c>
      <c r="G48" s="3">
        <f t="shared" si="28"/>
        <v>9.8070147356989854E-3</v>
      </c>
      <c r="H48" s="3">
        <f t="shared" si="28"/>
        <v>9.8070147356989854E-3</v>
      </c>
      <c r="I48" s="3">
        <f t="shared" si="28"/>
        <v>9.8070147356989854E-3</v>
      </c>
      <c r="J48" s="3">
        <f t="shared" si="28"/>
        <v>9.8070147356989854E-3</v>
      </c>
      <c r="K48" s="3">
        <f t="shared" si="28"/>
        <v>9.8070147356989854E-3</v>
      </c>
      <c r="L48" s="3">
        <f t="shared" si="28"/>
        <v>9.8070147356989854E-3</v>
      </c>
      <c r="M48" s="3">
        <f t="shared" si="28"/>
        <v>9.8070147356989854E-3</v>
      </c>
      <c r="N48" s="3">
        <f t="shared" si="28"/>
        <v>9.8070147356989854E-3</v>
      </c>
      <c r="O48" s="3">
        <f t="shared" si="28"/>
        <v>9.8070147356989854E-3</v>
      </c>
      <c r="P48" s="3">
        <f t="shared" si="27"/>
        <v>9.8070147356989854E-3</v>
      </c>
      <c r="Q48" s="3">
        <f t="shared" si="27"/>
        <v>9.8070147356989854E-3</v>
      </c>
      <c r="R48" s="3">
        <f t="shared" si="27"/>
        <v>9.8070147356989854E-3</v>
      </c>
      <c r="S48" s="3">
        <f t="shared" si="27"/>
        <v>9.8070147356989854E-3</v>
      </c>
      <c r="T48" s="3">
        <f t="shared" si="27"/>
        <v>9.8070147356989854E-3</v>
      </c>
      <c r="U48" s="3">
        <f t="shared" si="27"/>
        <v>9.8070147356989837E-3</v>
      </c>
      <c r="V48" s="3">
        <f t="shared" si="27"/>
        <v>9.807014735698975E-3</v>
      </c>
      <c r="W48" s="3">
        <f t="shared" si="27"/>
        <v>9.8070147356988883E-3</v>
      </c>
      <c r="X48" s="3">
        <f t="shared" si="27"/>
        <v>9.8070147356980036E-3</v>
      </c>
      <c r="Y48" s="3">
        <f t="shared" si="27"/>
        <v>9.807014735689179E-3</v>
      </c>
      <c r="Z48" s="3">
        <f t="shared" si="27"/>
        <v>9.8070147356009146E-3</v>
      </c>
      <c r="AA48" s="3">
        <f t="shared" si="27"/>
        <v>9.8070147347182838E-3</v>
      </c>
      <c r="AB48" s="3">
        <f t="shared" si="27"/>
        <v>9.8070147258919708E-3</v>
      </c>
      <c r="AC48" s="3">
        <f t="shared" si="27"/>
        <v>9.8070146376288379E-3</v>
      </c>
      <c r="AD48" s="3">
        <f t="shared" si="27"/>
        <v>9.8070137549975608E-3</v>
      </c>
      <c r="AE48" s="3">
        <f t="shared" si="27"/>
        <v>9.8070049286891527E-3</v>
      </c>
      <c r="AF48" s="3">
        <f t="shared" si="29"/>
        <v>9.8069166660419774E-3</v>
      </c>
      <c r="AG48" s="3">
        <f t="shared" si="29"/>
        <v>9.8060340832588546E-3</v>
      </c>
      <c r="AH48" s="3">
        <f t="shared" si="29"/>
        <v>9.7972126228365614E-3</v>
      </c>
      <c r="AI48" s="3">
        <f t="shared" si="29"/>
        <v>9.7094333086544232E-3</v>
      </c>
      <c r="AJ48" s="3">
        <f t="shared" si="29"/>
        <v>8.8737538920904777E-3</v>
      </c>
    </row>
    <row r="49" spans="1:36" x14ac:dyDescent="0.25">
      <c r="B49" s="16">
        <f>SUM(B17:B48)</f>
        <v>1.2889067532036098</v>
      </c>
      <c r="C49" s="18">
        <f>SUM(C17:C48)</f>
        <v>1</v>
      </c>
      <c r="F49" s="3">
        <f t="shared" ref="F49:AJ49" si="31">F16-F17</f>
        <v>78.787013088945969</v>
      </c>
      <c r="G49" s="3">
        <f t="shared" si="31"/>
        <v>-101.90905196857602</v>
      </c>
      <c r="H49" s="3">
        <f t="shared" si="31"/>
        <v>26.979552237371536</v>
      </c>
      <c r="I49" s="3">
        <f t="shared" si="31"/>
        <v>-4.4076585018428887</v>
      </c>
      <c r="J49" s="3">
        <f t="shared" si="31"/>
        <v>0.61788326696569129</v>
      </c>
      <c r="K49" s="3">
        <f t="shared" si="31"/>
        <v>-0.11105615040742123</v>
      </c>
      <c r="L49" s="3">
        <f t="shared" si="31"/>
        <v>0.13162854108850297</v>
      </c>
      <c r="M49" s="3">
        <f t="shared" si="31"/>
        <v>-0.37014423593518586</v>
      </c>
      <c r="N49" s="3">
        <f t="shared" si="31"/>
        <v>0.88362993712598836</v>
      </c>
      <c r="O49" s="3">
        <f t="shared" si="31"/>
        <v>-1.7939599948922478</v>
      </c>
      <c r="P49" s="3">
        <f t="shared" si="31"/>
        <v>3.0687770817330602</v>
      </c>
      <c r="Q49" s="3">
        <f t="shared" si="31"/>
        <v>-4.4562095379587845</v>
      </c>
      <c r="R49" s="3">
        <f t="shared" si="31"/>
        <v>5.4995254484629186</v>
      </c>
      <c r="S49" s="3">
        <f t="shared" si="31"/>
        <v>-5.7885997759258316</v>
      </c>
      <c r="T49" s="3">
        <f t="shared" si="31"/>
        <v>5.2159154677374318</v>
      </c>
      <c r="U49" s="3">
        <f t="shared" si="31"/>
        <v>-4.0298027907429059</v>
      </c>
      <c r="V49" s="3">
        <f t="shared" si="31"/>
        <v>2.6879153998761467</v>
      </c>
      <c r="W49" s="3">
        <f t="shared" si="31"/>
        <v>-1.5454298948566247</v>
      </c>
      <c r="X49" s="3">
        <f t="shared" si="31"/>
        <v>0.77701385377304177</v>
      </c>
      <c r="Y49" s="3">
        <f t="shared" si="31"/>
        <v>-0.33249634517460436</v>
      </c>
      <c r="Z49" s="3">
        <f t="shared" si="31"/>
        <v>0.12812561688951973</v>
      </c>
      <c r="AA49" s="3">
        <f t="shared" si="31"/>
        <v>-3.7077644014061661E-2</v>
      </c>
      <c r="AB49" s="3">
        <f t="shared" si="31"/>
        <v>1.5849931141929119E-2</v>
      </c>
      <c r="AC49" s="3">
        <f t="shared" si="31"/>
        <v>-5.9298158579395022E-3</v>
      </c>
      <c r="AD49" s="3">
        <f t="shared" si="31"/>
        <v>5.3188575020612916E-3</v>
      </c>
      <c r="AE49" s="3">
        <f t="shared" si="31"/>
        <v>3.4235954996120199E-3</v>
      </c>
      <c r="AF49" s="3">
        <f t="shared" si="31"/>
        <v>-4.8170476219411285E-3</v>
      </c>
      <c r="AG49" s="3">
        <f t="shared" si="31"/>
        <v>1.1885662247209439E-2</v>
      </c>
      <c r="AH49" s="3">
        <f t="shared" si="31"/>
        <v>-1.4236678240877154E-2</v>
      </c>
      <c r="AI49" s="3">
        <f t="shared" si="31"/>
        <v>1.0014031267360224E-2</v>
      </c>
      <c r="AJ49" s="3">
        <f t="shared" si="31"/>
        <v>-8.916524009805471E-4</v>
      </c>
    </row>
    <row r="50" spans="1:36" x14ac:dyDescent="0.25">
      <c r="F50" s="57">
        <f t="shared" ref="F50:AJ50" si="32">F49/F17</f>
        <v>8.581420040037915E-3</v>
      </c>
      <c r="G50" s="57">
        <f t="shared" si="32"/>
        <v>-1.1226744892370511E-2</v>
      </c>
      <c r="H50" s="57">
        <f t="shared" si="32"/>
        <v>3.1042378122619276E-3</v>
      </c>
      <c r="I50" s="57">
        <f t="shared" si="32"/>
        <v>-5.2110612307279189E-4</v>
      </c>
      <c r="J50" s="57">
        <f t="shared" si="32"/>
        <v>7.5750398519935447E-5</v>
      </c>
      <c r="K50" s="57">
        <f t="shared" si="32"/>
        <v>-1.4090574403583538E-5</v>
      </c>
      <c r="L50" s="57">
        <f t="shared" si="32"/>
        <v>1.7304366763103241E-5</v>
      </c>
      <c r="M50" s="57">
        <f t="shared" si="32"/>
        <v>-5.0849175207114178E-5</v>
      </c>
      <c r="N50" s="57">
        <f t="shared" si="32"/>
        <v>1.2802465846614927E-4</v>
      </c>
      <c r="O50" s="57">
        <f t="shared" si="32"/>
        <v>-2.7448950061208558E-4</v>
      </c>
      <c r="P50" s="57">
        <f t="shared" si="32"/>
        <v>4.9234257876395809E-4</v>
      </c>
      <c r="Q50" s="57">
        <f t="shared" si="32"/>
        <v>-7.4833045556191909E-4</v>
      </c>
      <c r="R50" s="57">
        <f t="shared" si="32"/>
        <v>9.6992748023288946E-4</v>
      </c>
      <c r="S50" s="57">
        <f t="shared" si="32"/>
        <v>-1.0729830453094903E-3</v>
      </c>
      <c r="T50" s="57">
        <f t="shared" si="32"/>
        <v>1.0190663181649741E-3</v>
      </c>
      <c r="U50" s="57">
        <f t="shared" si="32"/>
        <v>-8.3896358841368027E-4</v>
      </c>
      <c r="V50" s="57">
        <f t="shared" si="32"/>
        <v>6.070299381380098E-4</v>
      </c>
      <c r="W50" s="57">
        <f t="shared" si="32"/>
        <v>-3.8713672392762748E-4</v>
      </c>
      <c r="X50" s="57">
        <f t="shared" si="32"/>
        <v>2.2125545871193148E-4</v>
      </c>
      <c r="Y50" s="57">
        <f t="shared" si="32"/>
        <v>-1.1092605150309056E-4</v>
      </c>
      <c r="Z50" s="57">
        <f t="shared" si="32"/>
        <v>5.228823565691166E-5</v>
      </c>
      <c r="AA50" s="57">
        <f t="shared" si="32"/>
        <v>-1.9804406743230255E-5</v>
      </c>
      <c r="AB50" s="57">
        <f t="shared" si="32"/>
        <v>1.1590991820483499E-5</v>
      </c>
      <c r="AC50" s="57">
        <f t="shared" si="32"/>
        <v>-6.0273511585807488E-6</v>
      </c>
      <c r="AD50" s="57">
        <f t="shared" si="32"/>
        <v>7.0426148725256617E-6</v>
      </c>
      <c r="AE50" s="57">
        <f t="shared" si="32"/>
        <v>5.406109483851471E-6</v>
      </c>
      <c r="AF50" s="57">
        <f t="shared" si="32"/>
        <v>-8.3447645577223626E-6</v>
      </c>
      <c r="AG50" s="57">
        <f t="shared" si="32"/>
        <v>2.1906913427042947E-5</v>
      </c>
      <c r="AH50" s="57">
        <f t="shared" si="32"/>
        <v>-2.7218090126391836E-5</v>
      </c>
      <c r="AI50" s="57">
        <f t="shared" si="32"/>
        <v>1.9520002006569071E-5</v>
      </c>
      <c r="AJ50" s="57">
        <f t="shared" si="32"/>
        <v>-1.8245220031045882E-6</v>
      </c>
    </row>
    <row r="51" spans="1:36" x14ac:dyDescent="0.25">
      <c r="A51" s="13" t="s">
        <v>21</v>
      </c>
      <c r="B51" s="3">
        <f>STUTT!D8</f>
        <v>10187.300999999999</v>
      </c>
      <c r="E51" s="11" t="s">
        <v>24</v>
      </c>
      <c r="F51" s="20">
        <f t="shared" ref="F51:AJ51" si="33">(F16-F17)^2</f>
        <v>6207.3934314777434</v>
      </c>
      <c r="G51" s="20">
        <f t="shared" si="33"/>
        <v>10385.454873133929</v>
      </c>
      <c r="H51" s="20">
        <f t="shared" si="33"/>
        <v>727.89623892905945</v>
      </c>
      <c r="I51" s="20">
        <f t="shared" si="33"/>
        <v>19.427453468867899</v>
      </c>
      <c r="J51" s="20">
        <f t="shared" si="33"/>
        <v>0.38177973159619571</v>
      </c>
      <c r="K51" s="20">
        <f t="shared" si="33"/>
        <v>1.2333468543315766E-2</v>
      </c>
      <c r="L51" s="20">
        <f t="shared" si="33"/>
        <v>1.7326072829087713E-2</v>
      </c>
      <c r="M51" s="20">
        <f t="shared" si="33"/>
        <v>0.13700675539604254</v>
      </c>
      <c r="N51" s="20">
        <f t="shared" si="33"/>
        <v>0.7808018657852781</v>
      </c>
      <c r="O51" s="20">
        <f t="shared" si="33"/>
        <v>3.2182924632737935</v>
      </c>
      <c r="P51" s="20">
        <f t="shared" si="33"/>
        <v>9.4173927773700772</v>
      </c>
      <c r="Q51" s="20">
        <f t="shared" si="33"/>
        <v>19.857803446194843</v>
      </c>
      <c r="R51" s="20">
        <f t="shared" si="33"/>
        <v>30.244780158291267</v>
      </c>
      <c r="S51" s="20">
        <f t="shared" si="33"/>
        <v>33.507887365848589</v>
      </c>
      <c r="T51" s="20">
        <f t="shared" si="33"/>
        <v>27.205774166582593</v>
      </c>
      <c r="U51" s="20">
        <f t="shared" si="33"/>
        <v>16.239310532279312</v>
      </c>
      <c r="V51" s="20">
        <f t="shared" si="33"/>
        <v>7.224889196891346</v>
      </c>
      <c r="W51" s="20">
        <f t="shared" si="33"/>
        <v>2.3883535599165584</v>
      </c>
      <c r="X51" s="20">
        <f t="shared" si="33"/>
        <v>0.60375052895523396</v>
      </c>
      <c r="Y51" s="20">
        <f t="shared" si="33"/>
        <v>0.11055381955446965</v>
      </c>
      <c r="Z51" s="20">
        <f t="shared" si="33"/>
        <v>1.6416173703319985E-2</v>
      </c>
      <c r="AA51" s="20">
        <f t="shared" si="33"/>
        <v>1.3747516856334825E-3</v>
      </c>
      <c r="AB51" s="20">
        <f t="shared" si="33"/>
        <v>2.5122031720389452E-4</v>
      </c>
      <c r="AC51" s="20">
        <f t="shared" si="33"/>
        <v>3.5162716109070791E-5</v>
      </c>
      <c r="AD51" s="20">
        <f t="shared" si="33"/>
        <v>2.8290245127233682E-5</v>
      </c>
      <c r="AE51" s="20">
        <f t="shared" si="33"/>
        <v>1.1721006144963677E-5</v>
      </c>
      <c r="AF51" s="20">
        <f t="shared" si="33"/>
        <v>2.3203947792048679E-5</v>
      </c>
      <c r="AG51" s="20">
        <f t="shared" si="33"/>
        <v>1.4126896705473973E-4</v>
      </c>
      <c r="AH51" s="20">
        <f t="shared" si="33"/>
        <v>2.0268300733426503E-4</v>
      </c>
      <c r="AI51" s="20">
        <f t="shared" si="33"/>
        <v>1.0028082222366822E-4</v>
      </c>
      <c r="AJ51" s="20">
        <f t="shared" si="33"/>
        <v>7.950440041743743E-7</v>
      </c>
    </row>
    <row r="52" spans="1:36" x14ac:dyDescent="0.25">
      <c r="A52" s="13"/>
    </row>
    <row r="53" spans="1:36" x14ac:dyDescent="0.25">
      <c r="E53" s="131" t="s">
        <v>25</v>
      </c>
      <c r="F53" s="131"/>
      <c r="G53" s="104">
        <f>SUM(F51:AJ51)</f>
        <v>17491.538618470382</v>
      </c>
      <c r="I53" s="3">
        <f>G53+C123</f>
        <v>17491.538618470382</v>
      </c>
      <c r="K53" s="3">
        <f>SUM(Z51:AJ51)</f>
        <v>1.8585551461947521E-2</v>
      </c>
    </row>
    <row r="55" spans="1:36" x14ac:dyDescent="0.25">
      <c r="E55" s="30" t="s">
        <v>30</v>
      </c>
      <c r="F55" s="31">
        <f t="shared" ref="F55:AJ55" si="34">ABS(F17-F16)/F16</f>
        <v>8.5084058356907424E-3</v>
      </c>
      <c r="G55" s="31">
        <f t="shared" si="34"/>
        <v>1.135421577634446E-2</v>
      </c>
      <c r="H55" s="31">
        <f t="shared" si="34"/>
        <v>3.0946313406393041E-3</v>
      </c>
      <c r="I55" s="31">
        <f t="shared" si="34"/>
        <v>5.2137781624527163E-4</v>
      </c>
      <c r="J55" s="31">
        <f t="shared" si="34"/>
        <v>7.5744660831691694E-5</v>
      </c>
      <c r="K55" s="31">
        <f t="shared" si="34"/>
        <v>1.4090772950668203E-5</v>
      </c>
      <c r="L55" s="31">
        <f t="shared" si="34"/>
        <v>1.7304067327175718E-5</v>
      </c>
      <c r="M55" s="31">
        <f t="shared" si="34"/>
        <v>5.08517609772177E-5</v>
      </c>
      <c r="N55" s="31">
        <f t="shared" si="34"/>
        <v>1.2800827025106953E-4</v>
      </c>
      <c r="O55" s="31">
        <f t="shared" si="34"/>
        <v>2.7456486578498053E-4</v>
      </c>
      <c r="P55" s="31">
        <f t="shared" si="34"/>
        <v>4.921002968348039E-4</v>
      </c>
      <c r="Q55" s="31">
        <f t="shared" si="34"/>
        <v>7.4889087341038448E-4</v>
      </c>
      <c r="R55" s="31">
        <f t="shared" si="34"/>
        <v>9.6898763250012176E-4</v>
      </c>
      <c r="S55" s="31">
        <f t="shared" si="34"/>
        <v>1.0741355745693671E-3</v>
      </c>
      <c r="T55" s="31">
        <f t="shared" si="34"/>
        <v>1.0180288792232383E-3</v>
      </c>
      <c r="U55" s="31">
        <f t="shared" si="34"/>
        <v>8.3966803932502871E-4</v>
      </c>
      <c r="V55" s="31">
        <f t="shared" si="34"/>
        <v>6.0666167633815148E-4</v>
      </c>
      <c r="W55" s="31">
        <f t="shared" si="34"/>
        <v>3.8728665681516777E-4</v>
      </c>
      <c r="X55" s="31">
        <f t="shared" si="34"/>
        <v>2.2120651556286057E-4</v>
      </c>
      <c r="Y55" s="31">
        <f t="shared" si="34"/>
        <v>1.1093835745704351E-4</v>
      </c>
      <c r="Z55" s="31">
        <f t="shared" si="34"/>
        <v>5.2285501740275221E-5</v>
      </c>
      <c r="AA55" s="31">
        <f t="shared" si="34"/>
        <v>1.9804798965524435E-5</v>
      </c>
      <c r="AB55" s="31">
        <f t="shared" si="34"/>
        <v>1.159085747094936E-5</v>
      </c>
      <c r="AC55" s="31">
        <f t="shared" si="34"/>
        <v>6.0273874877617064E-6</v>
      </c>
      <c r="AD55" s="31">
        <f t="shared" si="34"/>
        <v>7.0425652744507191E-6</v>
      </c>
      <c r="AE55" s="31">
        <f t="shared" si="34"/>
        <v>5.406080257989717E-6</v>
      </c>
      <c r="AF55" s="31">
        <f t="shared" si="34"/>
        <v>8.3448341933989787E-6</v>
      </c>
      <c r="AG55" s="31">
        <f t="shared" si="34"/>
        <v>2.1906433524700225E-5</v>
      </c>
      <c r="AH55" s="31">
        <f t="shared" si="34"/>
        <v>2.7218830970986339E-5</v>
      </c>
      <c r="AI55" s="31">
        <f t="shared" si="34"/>
        <v>1.9519620983528305E-5</v>
      </c>
      <c r="AJ55" s="31">
        <f t="shared" si="34"/>
        <v>1.8245253319912017E-6</v>
      </c>
    </row>
    <row r="56" spans="1:36" x14ac:dyDescent="0.25">
      <c r="E56" s="13" t="s">
        <v>31</v>
      </c>
      <c r="F56" s="32">
        <f>AVERAGE(F55:AJ55)</f>
        <v>9.899377775896875E-4</v>
      </c>
    </row>
    <row r="57" spans="1:36" x14ac:dyDescent="0.25">
      <c r="A57" s="42"/>
      <c r="B57" s="15"/>
      <c r="C57" s="15"/>
      <c r="D57" s="15"/>
      <c r="F57" s="60">
        <f>AVERAGE(S55:X55)</f>
        <v>6.9116455697230223E-4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32"/>
      <c r="D63" s="132"/>
      <c r="E63" s="132"/>
      <c r="F63" s="132"/>
      <c r="G63" s="132"/>
      <c r="H63" s="132"/>
      <c r="I63" s="132"/>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33"/>
    </row>
    <row r="101" spans="1:9" x14ac:dyDescent="0.25">
      <c r="A101" s="133"/>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-11.303886857979826</v>
      </c>
    </row>
    <row r="119" spans="1:14" x14ac:dyDescent="0.25">
      <c r="L119" s="11">
        <f>L118+1</f>
        <v>2</v>
      </c>
      <c r="M119" s="11">
        <f t="shared" ref="M119:M124" si="35">INDEX($B$125:$K$126,1,L119)</f>
        <v>0</v>
      </c>
      <c r="N119" s="11">
        <f t="shared" ref="N119:N124" si="36">IF(L119=$B$3,0,INDEX($B$125:$K$126,2,L119))</f>
        <v>-7.5777956808959219</v>
      </c>
    </row>
    <row r="120" spans="1:14" x14ac:dyDescent="0.25">
      <c r="L120" s="11">
        <f t="shared" ref="L120:L124" si="37">L119+1</f>
        <v>3</v>
      </c>
      <c r="M120" s="11">
        <f t="shared" si="35"/>
        <v>25</v>
      </c>
      <c r="N120" s="11">
        <f t="shared" si="36"/>
        <v>-5.0521057141647816</v>
      </c>
    </row>
    <row r="121" spans="1:14" x14ac:dyDescent="0.25">
      <c r="A121" s="103">
        <f>(A165+A204+A243+A282+A321+A360+A399)*10^9</f>
        <v>3981953135258873.5</v>
      </c>
      <c r="L121" s="11">
        <f t="shared" si="37"/>
        <v>4</v>
      </c>
      <c r="M121" s="11">
        <f t="shared" si="35"/>
        <v>50</v>
      </c>
      <c r="N121" s="11">
        <f t="shared" si="36"/>
        <v>-2.836335034790062</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31"/>
      <c r="B123" s="131"/>
      <c r="C123" s="3"/>
      <c r="D123" s="3"/>
      <c r="E123" s="3"/>
      <c r="F123" s="3"/>
      <c r="G123" s="3"/>
      <c r="H123" s="3"/>
      <c r="I123" s="3"/>
      <c r="J123" s="3"/>
      <c r="K123" s="3"/>
      <c r="L123" s="11">
        <f t="shared" si="37"/>
        <v>6</v>
      </c>
      <c r="M123" s="11">
        <f t="shared" si="35"/>
        <v>125</v>
      </c>
      <c r="N123" s="11">
        <f t="shared" si="36"/>
        <v>5.9156966768868289</v>
      </c>
    </row>
    <row r="124" spans="1:14" x14ac:dyDescent="0.25">
      <c r="B124" s="3"/>
      <c r="C124" s="3"/>
      <c r="D124" s="3"/>
      <c r="E124" s="3"/>
      <c r="F124" s="3"/>
      <c r="G124" s="3"/>
      <c r="H124" s="3"/>
      <c r="I124" s="3"/>
      <c r="J124" s="3"/>
      <c r="K124" s="3"/>
      <c r="L124" s="11">
        <f t="shared" si="37"/>
        <v>7</v>
      </c>
      <c r="M124" s="11">
        <f t="shared" si="35"/>
        <v>160</v>
      </c>
      <c r="N124" s="11">
        <f t="shared" si="36"/>
        <v>11.695143522032865</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-11.303886857979826</v>
      </c>
      <c r="C126" s="107">
        <v>-7.5777956808959219</v>
      </c>
      <c r="D126" s="107">
        <v>-5.0521057141647816</v>
      </c>
      <c r="E126" s="107">
        <v>-2.836335034790062</v>
      </c>
      <c r="F126" s="107">
        <v>1.0164384643311312E-2</v>
      </c>
      <c r="G126" s="107">
        <v>5.9156966768868289</v>
      </c>
      <c r="H126" s="107">
        <v>11.695143522032865</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10218.668827091791</v>
      </c>
      <c r="C130" s="26">
        <f>INDEX(Comparison!$AM$3:$AS$33,G14,$B$122)</f>
        <v>10130.735990154546</v>
      </c>
      <c r="D130" s="26">
        <f>INDEX(Comparison!$AM$3:$AS$33,H14,$B$122)</f>
        <v>9815.5100842671618</v>
      </c>
      <c r="E130" s="26">
        <f>INDEX(Comparison!$AM$3:$AS$33,I14,$B$122)</f>
        <v>9602.7895017015398</v>
      </c>
      <c r="F130" s="26">
        <f>INDEX(Comparison!$AM$3:$AS$33,J14,$B$122)</f>
        <v>9403.9958104822508</v>
      </c>
      <c r="G130" s="26">
        <f>INDEX(Comparison!$AM$3:$AS$33,K14,$B$122)</f>
        <v>9185.6343104080297</v>
      </c>
      <c r="H130" s="26">
        <f>INDEX(Comparison!$AM$3:$AS$33,L14,$B$122)</f>
        <v>8956.3853461764484</v>
      </c>
      <c r="I130" s="26">
        <f>INDEX(Comparison!$AM$3:$AS$33,M14,$B$122)</f>
        <v>8694.0472851843733</v>
      </c>
      <c r="J130" s="26">
        <f>INDEX(Comparison!$AM$3:$AS$33,N14,$B$122)</f>
        <v>8422.2902852365987</v>
      </c>
      <c r="K130" s="26">
        <f>INDEX(Comparison!$AM$3:$AS$33,O14,$B$122)</f>
        <v>8119.1133122846923</v>
      </c>
      <c r="L130" s="26">
        <f>INDEX(Comparison!$AM$3:$AS$33,P14,$B$122)</f>
        <v>7848.6797155048253</v>
      </c>
      <c r="M130" s="26">
        <f>INDEX(Comparison!$AM$3:$AS$33,Q14,$B$122)</f>
        <v>7561.5718378512247</v>
      </c>
      <c r="N130" s="26">
        <f>INDEX(Comparison!$AM$3:$AS$33,R14,$B$122)</f>
        <v>7212.0886309644511</v>
      </c>
      <c r="O130" s="26">
        <f>INDEX(Comparison!$AM$3:$AS$33,S14,$B$122)</f>
        <v>6826.065675816817</v>
      </c>
      <c r="P130" s="26">
        <f>INDEX(Comparison!$AM$3:$AS$33,T14,$B$122)</f>
        <v>6468.6777640443843</v>
      </c>
      <c r="Q130" s="26">
        <f>INDEX(Comparison!$AM$3:$AS$33,U14,$B$122)</f>
        <v>6185.0814076350389</v>
      </c>
      <c r="R130" s="26">
        <f>INDEX(Comparison!$AM$3:$AS$33,V14,$B$122)</f>
        <v>5896.0070828362468</v>
      </c>
      <c r="S130" s="26">
        <f>INDEX(Comparison!$AM$3:$AS$33,W14,$B$122)</f>
        <v>5620.2326577203476</v>
      </c>
      <c r="T130" s="26">
        <f>INDEX(Comparison!$AM$3:$AS$33,X14,$B$122)</f>
        <v>5330.7810569019748</v>
      </c>
      <c r="U130" s="26">
        <f>INDEX(Comparison!$AM$3:$AS$33,Y14,$B$122)</f>
        <v>5056.458830124393</v>
      </c>
      <c r="V130" s="26">
        <f>INDEX(Comparison!$AM$3:$AS$33,Z14,$B$122)</f>
        <v>4685.6312280238881</v>
      </c>
      <c r="W130" s="26">
        <f>INDEX(Comparison!$AM$3:$AS$33,AA14,$B$122)</f>
        <v>4271.8299665210579</v>
      </c>
      <c r="X130" s="26">
        <f>INDEX(Comparison!$AM$3:$AS$33,AB14,$B$122)</f>
        <v>3807.4701999642007</v>
      </c>
      <c r="Y130" s="26">
        <f>INDEX(Comparison!$AM$3:$AS$33,AC14,$B$122)</f>
        <v>3333.4500993282409</v>
      </c>
      <c r="Z130" s="26">
        <f>INDEX(Comparison!$AM$3:$AS$33,AD14,$B$122)</f>
        <v>2813.9339254547094</v>
      </c>
      <c r="AA130" s="26">
        <f>INDEX(Comparison!$AM$3:$AS$33,AE14,$B$122)</f>
        <v>2264.5753602217969</v>
      </c>
      <c r="AB130" s="26">
        <f>INDEX(Comparison!$AM$3:$AS$33,AF14,$B$122)</f>
        <v>1691.7003845109305</v>
      </c>
      <c r="AC130" s="26">
        <f>INDEX(Comparison!$AM$3:$AS$33,AG14,$B$122)</f>
        <v>1230.3504248927311</v>
      </c>
      <c r="AD130" s="26">
        <f>INDEX(Comparison!$AM$3:$AS$33,AH14,$B$122)</f>
        <v>888.25672531905332</v>
      </c>
      <c r="AE130" s="26">
        <f>INDEX(Comparison!$AM$3:$AS$33,AI14,$B$122)</f>
        <v>708.86645626754114</v>
      </c>
      <c r="AF130" s="26">
        <f>INDEX(Comparison!$AM$3:$AS$33,AJ14,$B$122)</f>
        <v>607.16785102157667</v>
      </c>
    </row>
    <row r="131" spans="1:33" x14ac:dyDescent="0.25">
      <c r="A131" s="68" t="s">
        <v>22</v>
      </c>
      <c r="B131" s="27">
        <f>($C$17+SUM(B132:B162))*$B$51</f>
        <v>9483.7031670535307</v>
      </c>
      <c r="C131" s="27">
        <f t="shared" ref="C131:AF131" si="40">($C$17+SUM(C132:C162))*$B$51</f>
        <v>9194.1320856578459</v>
      </c>
      <c r="D131" s="27">
        <f t="shared" si="40"/>
        <v>9194.1130627790208</v>
      </c>
      <c r="E131" s="27">
        <f t="shared" si="40"/>
        <v>9193.9669497523701</v>
      </c>
      <c r="F131" s="27">
        <f t="shared" si="40"/>
        <v>9192.5080179978995</v>
      </c>
      <c r="G131" s="27">
        <f t="shared" si="40"/>
        <v>9178.1362644375149</v>
      </c>
      <c r="H131" s="27">
        <f t="shared" si="40"/>
        <v>9054.057830950971</v>
      </c>
      <c r="I131" s="27">
        <f t="shared" si="40"/>
        <v>8664.4220006944161</v>
      </c>
      <c r="J131" s="27">
        <f t="shared" si="40"/>
        <v>8435.9641557301511</v>
      </c>
      <c r="K131" s="27">
        <f t="shared" si="40"/>
        <v>8129.3820557924882</v>
      </c>
      <c r="L131" s="27">
        <f t="shared" si="40"/>
        <v>7856.115679116815</v>
      </c>
      <c r="M131" s="27">
        <f t="shared" si="40"/>
        <v>7578.2486246059843</v>
      </c>
      <c r="N131" s="27">
        <f t="shared" si="40"/>
        <v>7243.9766877636839</v>
      </c>
      <c r="O131" s="27">
        <f t="shared" si="40"/>
        <v>6862.6965363428862</v>
      </c>
      <c r="P131" s="27">
        <f t="shared" si="40"/>
        <v>6500.1054310701784</v>
      </c>
      <c r="Q131" s="27">
        <f t="shared" si="40"/>
        <v>6204.7695795461132</v>
      </c>
      <c r="R131" s="27">
        <f t="shared" si="40"/>
        <v>5925.9988235677656</v>
      </c>
      <c r="S131" s="27">
        <f t="shared" si="40"/>
        <v>5641.232218965114</v>
      </c>
      <c r="T131" s="27">
        <f t="shared" si="40"/>
        <v>5368.7121404163208</v>
      </c>
      <c r="U131" s="27">
        <f t="shared" si="40"/>
        <v>5090.1327740769138</v>
      </c>
      <c r="V131" s="27">
        <f t="shared" si="40"/>
        <v>4770.8936093873172</v>
      </c>
      <c r="W131" s="27">
        <f t="shared" si="40"/>
        <v>4390.3193490470758</v>
      </c>
      <c r="X131" s="27">
        <f t="shared" si="40"/>
        <v>3951.8343967418209</v>
      </c>
      <c r="Y131" s="27">
        <f t="shared" si="40"/>
        <v>3469.3491748812057</v>
      </c>
      <c r="Z131" s="27">
        <f t="shared" si="40"/>
        <v>2955.3698046912709</v>
      </c>
      <c r="AA131" s="27">
        <f t="shared" si="40"/>
        <v>2401.9987718089819</v>
      </c>
      <c r="AB131" s="27">
        <f t="shared" si="40"/>
        <v>1836.5655165268481</v>
      </c>
      <c r="AC131" s="27">
        <f t="shared" si="40"/>
        <v>1319.1062344887844</v>
      </c>
      <c r="AD131" s="27">
        <f t="shared" si="40"/>
        <v>953.48862756065432</v>
      </c>
      <c r="AE131" s="27">
        <f t="shared" si="40"/>
        <v>739.95870610155816</v>
      </c>
      <c r="AF131" s="27">
        <f t="shared" si="40"/>
        <v>624.59047985475775</v>
      </c>
    </row>
    <row r="132" spans="1:33" x14ac:dyDescent="0.25">
      <c r="B132" s="3">
        <f t="shared" ref="B132:Z133" si="41">$C18*EXP(-B$129/$A18/EXP(-$B$126))</f>
        <v>2.8424999850173129E-2</v>
      </c>
      <c r="C132" s="3">
        <f t="shared" ref="C132:AF132" si="42">$C18*EXP(-C$129/$A18/EXP(-$B$126))</f>
        <v>4.3283057443062314E-7</v>
      </c>
      <c r="D132" s="3">
        <f t="shared" si="42"/>
        <v>2.9006313099862709E-55</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4.8503654819478652E-2</v>
      </c>
      <c r="C133" s="3">
        <f t="shared" si="41"/>
        <v>4.8503517002545564E-2</v>
      </c>
      <c r="D133" s="3">
        <f t="shared" si="41"/>
        <v>4.8502138854751929E-2</v>
      </c>
      <c r="E133" s="3">
        <f t="shared" si="41"/>
        <v>4.8488359530311345E-2</v>
      </c>
      <c r="F133" s="3">
        <f t="shared" si="41"/>
        <v>4.8350781409258213E-2</v>
      </c>
      <c r="G133" s="3">
        <f t="shared" si="41"/>
        <v>4.6996288081440116E-2</v>
      </c>
      <c r="H133" s="3">
        <f t="shared" si="41"/>
        <v>3.5372369924224906E-2</v>
      </c>
      <c r="I133" s="3">
        <f t="shared" si="41"/>
        <v>2.0638121614696128E-3</v>
      </c>
      <c r="J133" s="3">
        <f t="shared" si="41"/>
        <v>9.434746987299845E-16</v>
      </c>
      <c r="K133" s="3">
        <f t="shared" si="41"/>
        <v>3.761241042252785E-139</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1.8704335573385588E-2</v>
      </c>
      <c r="C134" s="3">
        <f t="shared" si="44"/>
        <v>1.870433077917006E-2</v>
      </c>
      <c r="D134" s="3">
        <f t="shared" si="44"/>
        <v>1.8704282837082347E-2</v>
      </c>
      <c r="E134" s="3">
        <f t="shared" si="44"/>
        <v>1.8703803422963749E-2</v>
      </c>
      <c r="F134" s="3">
        <f t="shared" si="44"/>
        <v>1.8699009957564842E-2</v>
      </c>
      <c r="G134" s="3">
        <f t="shared" si="44"/>
        <v>1.8651142818236491E-2</v>
      </c>
      <c r="H134" s="3">
        <f t="shared" si="44"/>
        <v>1.8179159298878776E-2</v>
      </c>
      <c r="I134" s="3">
        <f t="shared" si="44"/>
        <v>1.4068806985097698E-2</v>
      </c>
      <c r="J134" s="3">
        <f t="shared" si="44"/>
        <v>1.0841566379998391E-3</v>
      </c>
      <c r="K134" s="3">
        <f t="shared" si="44"/>
        <v>8.0064436434628976E-15</v>
      </c>
      <c r="L134" s="3">
        <f t="shared" si="44"/>
        <v>3.8629210239761841E-126</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3.3573462504789146E-2</v>
      </c>
      <c r="C135" s="3">
        <f t="shared" si="47"/>
        <v>3.3573461728509772E-2</v>
      </c>
      <c r="D135" s="3">
        <f t="shared" si="47"/>
        <v>3.3573453965717079E-2</v>
      </c>
      <c r="E135" s="3">
        <f t="shared" si="47"/>
        <v>3.3573376337888858E-2</v>
      </c>
      <c r="F135" s="3">
        <f t="shared" si="47"/>
        <v>3.3572600069478487E-2</v>
      </c>
      <c r="G135" s="3">
        <f t="shared" si="47"/>
        <v>3.3564838372475252E-2</v>
      </c>
      <c r="H135" s="3">
        <f t="shared" si="47"/>
        <v>3.3487320028098233E-2</v>
      </c>
      <c r="I135" s="3">
        <f t="shared" si="47"/>
        <v>3.2721915294206032E-2</v>
      </c>
      <c r="J135" s="3">
        <f t="shared" si="47"/>
        <v>2.596701034359997E-2</v>
      </c>
      <c r="K135" s="3">
        <f t="shared" si="47"/>
        <v>2.5719013099021735E-3</v>
      </c>
      <c r="L135" s="3">
        <f t="shared" si="47"/>
        <v>2.336564567667811E-13</v>
      </c>
      <c r="M135" s="3">
        <f t="shared" si="47"/>
        <v>8.9497861181926883E-114</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2.7431863122185603E-2</v>
      </c>
      <c r="C136" s="3">
        <f t="shared" si="49"/>
        <v>2.7431863064968771E-2</v>
      </c>
      <c r="D136" s="3">
        <f t="shared" si="49"/>
        <v>2.7431862492800455E-2</v>
      </c>
      <c r="E136" s="3">
        <f t="shared" si="49"/>
        <v>2.7431856771117934E-2</v>
      </c>
      <c r="F136" s="3">
        <f t="shared" si="49"/>
        <v>2.7431799554358399E-2</v>
      </c>
      <c r="G136" s="3">
        <f t="shared" si="49"/>
        <v>2.7431227393326763E-2</v>
      </c>
      <c r="H136" s="3">
        <f t="shared" si="49"/>
        <v>2.7425506439333613E-2</v>
      </c>
      <c r="I136" s="3">
        <f t="shared" si="49"/>
        <v>2.7368362481101135E-2</v>
      </c>
      <c r="J136" s="3">
        <f t="shared" si="49"/>
        <v>2.6803430737881336E-2</v>
      </c>
      <c r="K136" s="3">
        <f t="shared" si="49"/>
        <v>2.1757355587959437E-2</v>
      </c>
      <c r="L136" s="3">
        <f t="shared" si="49"/>
        <v>2.702485356842949E-3</v>
      </c>
      <c r="M136" s="3">
        <f t="shared" si="49"/>
        <v>2.3623037953912662E-12</v>
      </c>
      <c r="N136" s="3">
        <f t="shared" si="49"/>
        <v>6.1526148641170145E-103</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2.7107661051233752E-2</v>
      </c>
      <c r="C137" s="3">
        <f t="shared" si="51"/>
        <v>2.7107661046133318E-2</v>
      </c>
      <c r="D137" s="3">
        <f t="shared" si="51"/>
        <v>2.7107660995128974E-2</v>
      </c>
      <c r="E137" s="3">
        <f t="shared" si="51"/>
        <v>2.7107660485085564E-2</v>
      </c>
      <c r="F137" s="3">
        <f t="shared" si="51"/>
        <v>2.7107655384652013E-2</v>
      </c>
      <c r="G137" s="3">
        <f t="shared" si="51"/>
        <v>2.7107604380369275E-2</v>
      </c>
      <c r="H137" s="3">
        <f t="shared" si="51"/>
        <v>2.7107094342820017E-2</v>
      </c>
      <c r="I137" s="3">
        <f t="shared" si="51"/>
        <v>2.7101994495105506E-2</v>
      </c>
      <c r="J137" s="3">
        <f t="shared" si="51"/>
        <v>2.7051048759043045E-2</v>
      </c>
      <c r="K137" s="3">
        <f t="shared" si="51"/>
        <v>2.6546828973855741E-2</v>
      </c>
      <c r="L137" s="3">
        <f t="shared" si="51"/>
        <v>2.1993689982944736E-2</v>
      </c>
      <c r="M137" s="3">
        <f t="shared" si="51"/>
        <v>3.3508313540927415E-3</v>
      </c>
      <c r="N137" s="3">
        <f t="shared" si="51"/>
        <v>2.2578614320675918E-11</v>
      </c>
      <c r="O137" s="3">
        <f t="shared" si="51"/>
        <v>4.3565673433710351E-93</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3.4301565923145885E-2</v>
      </c>
      <c r="C138" s="3">
        <f t="shared" si="53"/>
        <v>3.4301565922563684E-2</v>
      </c>
      <c r="D138" s="3">
        <f t="shared" si="53"/>
        <v>3.4301565916741633E-2</v>
      </c>
      <c r="E138" s="3">
        <f t="shared" si="53"/>
        <v>3.4301565858521177E-2</v>
      </c>
      <c r="F138" s="3">
        <f t="shared" si="53"/>
        <v>3.430156527631658E-2</v>
      </c>
      <c r="G138" s="3">
        <f t="shared" si="53"/>
        <v>3.4301559454271151E-2</v>
      </c>
      <c r="H138" s="3">
        <f t="shared" si="53"/>
        <v>3.4301501233871205E-2</v>
      </c>
      <c r="I138" s="3">
        <f t="shared" si="53"/>
        <v>3.430091903530675E-2</v>
      </c>
      <c r="J138" s="3">
        <f t="shared" si="53"/>
        <v>3.4295097593124838E-2</v>
      </c>
      <c r="K138" s="3">
        <f t="shared" si="53"/>
        <v>3.4236937483457276E-2</v>
      </c>
      <c r="L138" s="3">
        <f t="shared" si="53"/>
        <v>3.3660733647912791E-2</v>
      </c>
      <c r="M138" s="3">
        <f t="shared" si="53"/>
        <v>2.8406011117107739E-2</v>
      </c>
      <c r="N138" s="3">
        <f t="shared" si="53"/>
        <v>5.2032777129511548E-3</v>
      </c>
      <c r="O138" s="3">
        <f t="shared" si="53"/>
        <v>2.212812107345673E-10</v>
      </c>
      <c r="P138" s="3">
        <f t="shared" si="53"/>
        <v>4.2817358307533754E-84</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4.0817755582282997E-2</v>
      </c>
      <c r="C139" s="3">
        <f t="shared" si="55"/>
        <v>4.0817755582220505E-2</v>
      </c>
      <c r="D139" s="3">
        <f t="shared" si="55"/>
        <v>4.0817755581595533E-2</v>
      </c>
      <c r="E139" s="3">
        <f t="shared" si="55"/>
        <v>4.0817755575345858E-2</v>
      </c>
      <c r="F139" s="3">
        <f t="shared" si="55"/>
        <v>4.0817755512849115E-2</v>
      </c>
      <c r="G139" s="3">
        <f t="shared" si="55"/>
        <v>4.0817754887881669E-2</v>
      </c>
      <c r="H139" s="3">
        <f t="shared" si="55"/>
        <v>4.0817748638207738E-2</v>
      </c>
      <c r="I139" s="3">
        <f t="shared" si="55"/>
        <v>4.0817686141521037E-2</v>
      </c>
      <c r="J139" s="3">
        <f t="shared" si="55"/>
        <v>4.0817061179916972E-2</v>
      </c>
      <c r="K139" s="3">
        <f t="shared" si="55"/>
        <v>4.081081209013715E-2</v>
      </c>
      <c r="L139" s="3">
        <f t="shared" si="55"/>
        <v>4.0748373788618994E-2</v>
      </c>
      <c r="M139" s="3">
        <f t="shared" si="55"/>
        <v>4.012922072660062E-2</v>
      </c>
      <c r="N139" s="3">
        <f t="shared" si="55"/>
        <v>3.4432231929919808E-2</v>
      </c>
      <c r="O139" s="3">
        <f t="shared" si="55"/>
        <v>7.4474854411051292E-3</v>
      </c>
      <c r="P139" s="3">
        <f t="shared" si="55"/>
        <v>1.6689931026310523E-9</v>
      </c>
      <c r="Q139" s="3">
        <f t="shared" si="55"/>
        <v>5.3321619550224771E-76</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3.822836161456946E-2</v>
      </c>
      <c r="C140" s="3">
        <f t="shared" si="57"/>
        <v>3.822836161456418E-2</v>
      </c>
      <c r="D140" s="3">
        <f t="shared" si="57"/>
        <v>3.8228361614511375E-2</v>
      </c>
      <c r="E140" s="3">
        <f t="shared" si="57"/>
        <v>3.8228361613983367E-2</v>
      </c>
      <c r="F140" s="3">
        <f t="shared" si="57"/>
        <v>3.8228361608703292E-2</v>
      </c>
      <c r="G140" s="3">
        <f t="shared" si="57"/>
        <v>3.8228361555902479E-2</v>
      </c>
      <c r="H140" s="3">
        <f t="shared" si="57"/>
        <v>3.8228361027894418E-2</v>
      </c>
      <c r="I140" s="3">
        <f t="shared" si="57"/>
        <v>3.8228355747814226E-2</v>
      </c>
      <c r="J140" s="3">
        <f t="shared" si="57"/>
        <v>3.8228302947052366E-2</v>
      </c>
      <c r="K140" s="3">
        <f t="shared" si="57"/>
        <v>3.8227774943444828E-2</v>
      </c>
      <c r="L140" s="3">
        <f t="shared" si="57"/>
        <v>3.8222495308451711E-2</v>
      </c>
      <c r="M140" s="3">
        <f t="shared" si="57"/>
        <v>3.8169739046257263E-2</v>
      </c>
      <c r="N140" s="3">
        <f t="shared" si="57"/>
        <v>3.7646164786937615E-2</v>
      </c>
      <c r="O140" s="3">
        <f t="shared" si="57"/>
        <v>3.278960763224311E-2</v>
      </c>
      <c r="P140" s="3">
        <f t="shared" si="57"/>
        <v>8.2393135224717428E-3</v>
      </c>
      <c r="Q140" s="3">
        <f t="shared" si="57"/>
        <v>8.268735883727567E-9</v>
      </c>
      <c r="R140" s="3">
        <f t="shared" si="57"/>
        <v>8.5688005010929678E-69</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2.8035434187691905E-2</v>
      </c>
      <c r="C141" s="3">
        <f t="shared" si="59"/>
        <v>2.8035434187691555E-2</v>
      </c>
      <c r="D141" s="3">
        <f t="shared" si="59"/>
        <v>2.8035434187688061E-2</v>
      </c>
      <c r="E141" s="3">
        <f t="shared" si="59"/>
        <v>2.8035434187653134E-2</v>
      </c>
      <c r="F141" s="3">
        <f t="shared" si="59"/>
        <v>2.8035434187303823E-2</v>
      </c>
      <c r="G141" s="3">
        <f t="shared" si="59"/>
        <v>2.8035434183810742E-2</v>
      </c>
      <c r="H141" s="3">
        <f t="shared" si="59"/>
        <v>2.8035434148879924E-2</v>
      </c>
      <c r="I141" s="3">
        <f t="shared" si="59"/>
        <v>2.8035433799571755E-2</v>
      </c>
      <c r="J141" s="3">
        <f t="shared" si="59"/>
        <v>2.8035430306490288E-2</v>
      </c>
      <c r="K141" s="3">
        <f t="shared" si="59"/>
        <v>2.803539537569957E-2</v>
      </c>
      <c r="L141" s="3">
        <f t="shared" si="59"/>
        <v>2.8035046070186091E-2</v>
      </c>
      <c r="M141" s="3">
        <f t="shared" si="59"/>
        <v>2.8031553254410788E-2</v>
      </c>
      <c r="N141" s="3">
        <f t="shared" si="59"/>
        <v>2.7996649021576021E-2</v>
      </c>
      <c r="O141" s="3">
        <f t="shared" si="59"/>
        <v>2.7649988192269975E-2</v>
      </c>
      <c r="P141" s="3">
        <f t="shared" si="59"/>
        <v>2.4410907425725534E-2</v>
      </c>
      <c r="Q141" s="3">
        <f t="shared" si="59"/>
        <v>7.0222075146116093E-3</v>
      </c>
      <c r="R141" s="3">
        <f t="shared" si="59"/>
        <v>2.7250282840622142E-8</v>
      </c>
      <c r="S141" s="3">
        <f t="shared" si="59"/>
        <v>2.1103017802690373E-62</v>
      </c>
      <c r="T141" s="3">
        <f t="shared" si="59"/>
        <v>0</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2.8888698027937455E-2</v>
      </c>
      <c r="C142" s="3">
        <f t="shared" si="61"/>
        <v>2.8888698027937424E-2</v>
      </c>
      <c r="D142" s="3">
        <f t="shared" si="61"/>
        <v>2.8888698027937098E-2</v>
      </c>
      <c r="E142" s="3">
        <f t="shared" si="61"/>
        <v>2.8888698027933851E-2</v>
      </c>
      <c r="F142" s="3">
        <f t="shared" si="61"/>
        <v>2.888869802790138E-2</v>
      </c>
      <c r="G142" s="3">
        <f t="shared" si="61"/>
        <v>2.8888698027576688E-2</v>
      </c>
      <c r="H142" s="3">
        <f t="shared" si="61"/>
        <v>2.8888698024329734E-2</v>
      </c>
      <c r="I142" s="3">
        <f t="shared" si="61"/>
        <v>2.8888697991860203E-2</v>
      </c>
      <c r="J142" s="3">
        <f t="shared" si="61"/>
        <v>2.8888697667164887E-2</v>
      </c>
      <c r="K142" s="3">
        <f t="shared" si="61"/>
        <v>2.8888694420211969E-2</v>
      </c>
      <c r="L142" s="3">
        <f t="shared" si="61"/>
        <v>2.8888661950702856E-2</v>
      </c>
      <c r="M142" s="3">
        <f t="shared" si="61"/>
        <v>2.8888337257618881E-2</v>
      </c>
      <c r="N142" s="3">
        <f t="shared" si="61"/>
        <v>2.8885090527488038E-2</v>
      </c>
      <c r="O142" s="3">
        <f t="shared" si="61"/>
        <v>2.8852643288728393E-2</v>
      </c>
      <c r="P142" s="3">
        <f t="shared" si="61"/>
        <v>2.853016883777049E-2</v>
      </c>
      <c r="Q142" s="3">
        <f t="shared" si="61"/>
        <v>2.5497153251032335E-2</v>
      </c>
      <c r="R142" s="3">
        <f t="shared" si="61"/>
        <v>8.286387140370494E-3</v>
      </c>
      <c r="S142" s="3">
        <f t="shared" si="61"/>
        <v>1.0891820454192487E-7</v>
      </c>
      <c r="T142" s="3">
        <f t="shared" si="61"/>
        <v>1.6766909214948703E-56</v>
      </c>
      <c r="U142" s="3">
        <f t="shared" si="61"/>
        <v>0</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3.0018666279788386E-2</v>
      </c>
      <c r="C143" s="3">
        <f t="shared" si="63"/>
        <v>3.0018666279788383E-2</v>
      </c>
      <c r="D143" s="3">
        <f t="shared" si="63"/>
        <v>3.0018666279788352E-2</v>
      </c>
      <c r="E143" s="3">
        <f t="shared" si="63"/>
        <v>3.001866627978805E-2</v>
      </c>
      <c r="F143" s="3">
        <f t="shared" si="63"/>
        <v>3.0018666279785004E-2</v>
      </c>
      <c r="G143" s="3">
        <f t="shared" si="63"/>
        <v>3.001866627975457E-2</v>
      </c>
      <c r="H143" s="3">
        <f t="shared" si="63"/>
        <v>3.0018666279450209E-2</v>
      </c>
      <c r="I143" s="3">
        <f t="shared" si="63"/>
        <v>3.0018666276406619E-2</v>
      </c>
      <c r="J143" s="3">
        <f t="shared" si="63"/>
        <v>3.0018666245970729E-2</v>
      </c>
      <c r="K143" s="3">
        <f t="shared" si="63"/>
        <v>3.0018665941611809E-2</v>
      </c>
      <c r="L143" s="3">
        <f t="shared" si="63"/>
        <v>3.001866289802279E-2</v>
      </c>
      <c r="M143" s="3">
        <f t="shared" si="63"/>
        <v>3.0018632462149558E-2</v>
      </c>
      <c r="N143" s="3">
        <f t="shared" si="63"/>
        <v>3.0018328105114511E-2</v>
      </c>
      <c r="O143" s="3">
        <f t="shared" si="63"/>
        <v>3.001528470448097E-2</v>
      </c>
      <c r="P143" s="3">
        <f t="shared" si="63"/>
        <v>2.9984867663477306E-2</v>
      </c>
      <c r="Q143" s="3">
        <f t="shared" si="63"/>
        <v>2.9682387439422777E-2</v>
      </c>
      <c r="R143" s="3">
        <f t="shared" si="63"/>
        <v>2.6820431501221216E-2</v>
      </c>
      <c r="S143" s="3">
        <f t="shared" si="63"/>
        <v>9.7304981053413283E-3</v>
      </c>
      <c r="T143" s="3">
        <f t="shared" si="63"/>
        <v>3.8443966430624272E-7</v>
      </c>
      <c r="U143" s="3">
        <f t="shared" si="63"/>
        <v>3.5625367955995129E-51</v>
      </c>
      <c r="V143" s="3">
        <f t="shared" si="63"/>
        <v>0</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2.6688629032373488E-2</v>
      </c>
      <c r="C144" s="3">
        <f t="shared" si="65"/>
        <v>2.6688629032373488E-2</v>
      </c>
      <c r="D144" s="3">
        <f t="shared" si="65"/>
        <v>2.6688629032373484E-2</v>
      </c>
      <c r="E144" s="3">
        <f t="shared" si="65"/>
        <v>2.668862903237346E-2</v>
      </c>
      <c r="F144" s="3">
        <f t="shared" si="65"/>
        <v>2.6688629032373214E-2</v>
      </c>
      <c r="G144" s="3">
        <f t="shared" si="65"/>
        <v>2.6688629032370778E-2</v>
      </c>
      <c r="H144" s="3">
        <f t="shared" si="65"/>
        <v>2.6688629032346364E-2</v>
      </c>
      <c r="I144" s="3">
        <f t="shared" si="65"/>
        <v>2.6688629032102267E-2</v>
      </c>
      <c r="J144" s="3">
        <f t="shared" si="65"/>
        <v>2.6688629029661265E-2</v>
      </c>
      <c r="K144" s="3">
        <f t="shared" si="65"/>
        <v>2.668862900525128E-2</v>
      </c>
      <c r="L144" s="3">
        <f t="shared" si="65"/>
        <v>2.6688628761151443E-2</v>
      </c>
      <c r="M144" s="3">
        <f t="shared" si="65"/>
        <v>2.6688626320153154E-2</v>
      </c>
      <c r="N144" s="3">
        <f t="shared" si="65"/>
        <v>2.6688601910182568E-2</v>
      </c>
      <c r="O144" s="3">
        <f t="shared" si="65"/>
        <v>2.6688357811704613E-2</v>
      </c>
      <c r="P144" s="3">
        <f t="shared" si="65"/>
        <v>2.6685916949712837E-2</v>
      </c>
      <c r="Q144" s="3">
        <f t="shared" si="65"/>
        <v>2.6661520604417243E-2</v>
      </c>
      <c r="R144" s="3">
        <f t="shared" si="65"/>
        <v>2.6418780469971627E-2</v>
      </c>
      <c r="S144" s="3">
        <f t="shared" si="65"/>
        <v>2.4109670485679306E-2</v>
      </c>
      <c r="T144" s="3">
        <f t="shared" si="65"/>
        <v>9.6599829958873944E-3</v>
      </c>
      <c r="U144" s="3">
        <f t="shared" si="65"/>
        <v>1.0299763046674136E-6</v>
      </c>
      <c r="V144" s="3">
        <f t="shared" si="65"/>
        <v>1.9558518258913777E-46</v>
      </c>
      <c r="W144" s="3">
        <f t="shared" si="65"/>
        <v>0</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2.9107380567630754E-2</v>
      </c>
      <c r="C145" s="3">
        <f t="shared" si="68"/>
        <v>2.9107380567630754E-2</v>
      </c>
      <c r="D145" s="3">
        <f t="shared" si="68"/>
        <v>2.9107380567630754E-2</v>
      </c>
      <c r="E145" s="3">
        <f t="shared" si="68"/>
        <v>2.910738056763075E-2</v>
      </c>
      <c r="F145" s="3">
        <f t="shared" si="68"/>
        <v>2.9107380567630729E-2</v>
      </c>
      <c r="G145" s="3">
        <f t="shared" si="68"/>
        <v>2.9107380567630486E-2</v>
      </c>
      <c r="H145" s="3">
        <f t="shared" si="68"/>
        <v>2.9107380567628086E-2</v>
      </c>
      <c r="I145" s="3">
        <f t="shared" si="68"/>
        <v>2.910738056760407E-2</v>
      </c>
      <c r="J145" s="3">
        <f t="shared" si="68"/>
        <v>2.9107380567363915E-2</v>
      </c>
      <c r="K145" s="3">
        <f t="shared" si="68"/>
        <v>2.9107380564962371E-2</v>
      </c>
      <c r="L145" s="3">
        <f t="shared" si="68"/>
        <v>2.9107380540946907E-2</v>
      </c>
      <c r="M145" s="3">
        <f t="shared" si="68"/>
        <v>2.9107380300792289E-2</v>
      </c>
      <c r="N145" s="3">
        <f t="shared" si="68"/>
        <v>2.9107377899246192E-2</v>
      </c>
      <c r="O145" s="3">
        <f t="shared" si="68"/>
        <v>2.9107353883796133E-2</v>
      </c>
      <c r="P145" s="3">
        <f t="shared" si="68"/>
        <v>2.9107113730385343E-2</v>
      </c>
      <c r="Q145" s="3">
        <f t="shared" si="68"/>
        <v>2.9104712305252398E-2</v>
      </c>
      <c r="R145" s="3">
        <f t="shared" si="68"/>
        <v>2.9080708948093337E-2</v>
      </c>
      <c r="S145" s="3">
        <f t="shared" si="68"/>
        <v>2.884176147516106E-2</v>
      </c>
      <c r="T145" s="3">
        <f t="shared" si="68"/>
        <v>2.6557652942641726E-2</v>
      </c>
      <c r="U145" s="3">
        <f t="shared" si="68"/>
        <v>1.1637743869171517E-2</v>
      </c>
      <c r="V145" s="3">
        <f t="shared" si="68"/>
        <v>3.0385041228615694E-6</v>
      </c>
      <c r="W145" s="3">
        <f t="shared" si="68"/>
        <v>4.4727042514479832E-42</v>
      </c>
      <c r="X145" s="3">
        <f t="shared" si="68"/>
        <v>0</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3.4462873235499507E-2</v>
      </c>
      <c r="C146" s="3">
        <f t="shared" si="70"/>
        <v>3.4462873235499507E-2</v>
      </c>
      <c r="D146" s="3">
        <f t="shared" si="70"/>
        <v>3.4462873235499507E-2</v>
      </c>
      <c r="E146" s="3">
        <f t="shared" si="70"/>
        <v>3.4462873235499507E-2</v>
      </c>
      <c r="F146" s="3">
        <f t="shared" si="70"/>
        <v>3.44628732354995E-2</v>
      </c>
      <c r="G146" s="3">
        <f t="shared" si="70"/>
        <v>3.4462873235499479E-2</v>
      </c>
      <c r="H146" s="3">
        <f t="shared" si="70"/>
        <v>3.4462873235499222E-2</v>
      </c>
      <c r="I146" s="3">
        <f t="shared" si="70"/>
        <v>3.4462873235496655E-2</v>
      </c>
      <c r="J146" s="3">
        <f t="shared" si="70"/>
        <v>3.4462873235471009E-2</v>
      </c>
      <c r="K146" s="3">
        <f t="shared" si="70"/>
        <v>3.4462873235214506E-2</v>
      </c>
      <c r="L146" s="3">
        <f t="shared" si="70"/>
        <v>3.4462873232649516E-2</v>
      </c>
      <c r="M146" s="3">
        <f t="shared" si="70"/>
        <v>3.4462873206999603E-2</v>
      </c>
      <c r="N146" s="3">
        <f t="shared" si="70"/>
        <v>3.4462872950500475E-2</v>
      </c>
      <c r="O146" s="3">
        <f t="shared" si="70"/>
        <v>3.4462870385509277E-2</v>
      </c>
      <c r="P146" s="3">
        <f t="shared" si="70"/>
        <v>3.4462844735607838E-2</v>
      </c>
      <c r="Q146" s="3">
        <f t="shared" si="70"/>
        <v>3.4462588237643421E-2</v>
      </c>
      <c r="R146" s="3">
        <f t="shared" si="70"/>
        <v>3.4460023362994516E-2</v>
      </c>
      <c r="S146" s="3">
        <f t="shared" si="70"/>
        <v>3.4434385113141161E-2</v>
      </c>
      <c r="T146" s="3">
        <f t="shared" si="70"/>
        <v>3.4179049393336075E-2</v>
      </c>
      <c r="U146" s="3">
        <f t="shared" si="70"/>
        <v>3.1727543915535374E-2</v>
      </c>
      <c r="V146" s="3">
        <f t="shared" si="70"/>
        <v>1.5073051946260171E-2</v>
      </c>
      <c r="W146" s="3">
        <f t="shared" si="70"/>
        <v>8.8277213360455489E-6</v>
      </c>
      <c r="X146" s="3">
        <f t="shared" si="70"/>
        <v>4.1910496947596316E-38</v>
      </c>
      <c r="Y146" s="3">
        <f t="shared" si="70"/>
        <v>0</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4.2396011613293615E-2</v>
      </c>
      <c r="C147" s="3">
        <f t="shared" si="72"/>
        <v>4.2396011613293615E-2</v>
      </c>
      <c r="D147" s="3">
        <f t="shared" si="72"/>
        <v>4.2396011613293615E-2</v>
      </c>
      <c r="E147" s="3">
        <f t="shared" si="72"/>
        <v>4.2396011613293615E-2</v>
      </c>
      <c r="F147" s="3">
        <f t="shared" si="72"/>
        <v>4.2396011613293615E-2</v>
      </c>
      <c r="G147" s="3">
        <f t="shared" si="72"/>
        <v>4.2396011613293608E-2</v>
      </c>
      <c r="H147" s="3">
        <f t="shared" si="72"/>
        <v>4.239601161329358E-2</v>
      </c>
      <c r="I147" s="3">
        <f t="shared" si="72"/>
        <v>4.2396011613293302E-2</v>
      </c>
      <c r="J147" s="3">
        <f t="shared" si="72"/>
        <v>4.239601161329045E-2</v>
      </c>
      <c r="K147" s="3">
        <f t="shared" si="72"/>
        <v>4.2396011613261987E-2</v>
      </c>
      <c r="L147" s="3">
        <f t="shared" si="72"/>
        <v>4.239601161297734E-2</v>
      </c>
      <c r="M147" s="3">
        <f t="shared" si="72"/>
        <v>4.2396011610130874E-2</v>
      </c>
      <c r="N147" s="3">
        <f t="shared" si="72"/>
        <v>4.2396011581666213E-2</v>
      </c>
      <c r="O147" s="3">
        <f t="shared" si="72"/>
        <v>4.2396011297019608E-2</v>
      </c>
      <c r="P147" s="3">
        <f t="shared" si="72"/>
        <v>4.239600845055367E-2</v>
      </c>
      <c r="Q147" s="3">
        <f t="shared" si="72"/>
        <v>4.2395979985904809E-2</v>
      </c>
      <c r="R147" s="3">
        <f t="shared" si="72"/>
        <v>4.2395695340467263E-2</v>
      </c>
      <c r="S147" s="3">
        <f t="shared" si="72"/>
        <v>4.2392848991200313E-2</v>
      </c>
      <c r="T147" s="3">
        <f t="shared" si="72"/>
        <v>4.2364396006767273E-2</v>
      </c>
      <c r="U147" s="3">
        <f t="shared" si="72"/>
        <v>4.2080914380332221E-2</v>
      </c>
      <c r="V147" s="3">
        <f t="shared" si="72"/>
        <v>3.9348362049944074E-2</v>
      </c>
      <c r="W147" s="3">
        <f t="shared" si="72"/>
        <v>2.0106735522733628E-2</v>
      </c>
      <c r="X147" s="3">
        <f t="shared" si="72"/>
        <v>2.4405664227439948E-5</v>
      </c>
      <c r="Y147" s="3">
        <f t="shared" si="72"/>
        <v>1.6942648373450011E-34</v>
      </c>
      <c r="Z147" s="3">
        <f t="shared" si="72"/>
        <v>0</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4.6864772655648361E-2</v>
      </c>
      <c r="C148" s="3">
        <f t="shared" si="74"/>
        <v>4.6864772655648361E-2</v>
      </c>
      <c r="D148" s="3">
        <f t="shared" si="74"/>
        <v>4.6864772655648361E-2</v>
      </c>
      <c r="E148" s="3">
        <f t="shared" si="74"/>
        <v>4.6864772655648361E-2</v>
      </c>
      <c r="F148" s="3">
        <f t="shared" si="74"/>
        <v>4.6864772655648361E-2</v>
      </c>
      <c r="G148" s="3">
        <f t="shared" si="74"/>
        <v>4.6864772655648361E-2</v>
      </c>
      <c r="H148" s="3">
        <f t="shared" si="74"/>
        <v>4.6864772655648354E-2</v>
      </c>
      <c r="I148" s="3">
        <f t="shared" si="74"/>
        <v>4.6864772655648333E-2</v>
      </c>
      <c r="J148" s="3">
        <f t="shared" si="74"/>
        <v>4.6864772655648042E-2</v>
      </c>
      <c r="K148" s="3">
        <f t="shared" si="74"/>
        <v>4.6864772655645211E-2</v>
      </c>
      <c r="L148" s="3">
        <f t="shared" si="74"/>
        <v>4.6864772655616824E-2</v>
      </c>
      <c r="M148" s="3">
        <f t="shared" si="74"/>
        <v>4.6864772655332981E-2</v>
      </c>
      <c r="N148" s="3">
        <f t="shared" si="74"/>
        <v>4.6864772652494578E-2</v>
      </c>
      <c r="O148" s="3">
        <f t="shared" si="74"/>
        <v>4.6864772624110547E-2</v>
      </c>
      <c r="P148" s="3">
        <f t="shared" si="74"/>
        <v>4.6864772340270214E-2</v>
      </c>
      <c r="Q148" s="3">
        <f t="shared" si="74"/>
        <v>4.6864769501866958E-2</v>
      </c>
      <c r="R148" s="3">
        <f t="shared" si="74"/>
        <v>4.6864741117843875E-2</v>
      </c>
      <c r="S148" s="3">
        <f t="shared" si="74"/>
        <v>4.686445727855857E-2</v>
      </c>
      <c r="T148" s="3">
        <f t="shared" si="74"/>
        <v>4.6861618980253775E-2</v>
      </c>
      <c r="U148" s="3">
        <f t="shared" si="74"/>
        <v>4.6833245449914372E-2</v>
      </c>
      <c r="V148" s="3">
        <f t="shared" si="74"/>
        <v>4.6550453302511938E-2</v>
      </c>
      <c r="W148" s="3">
        <f t="shared" si="74"/>
        <v>4.3814767680341621E-2</v>
      </c>
      <c r="X148" s="3">
        <f t="shared" si="74"/>
        <v>2.3910381280443906E-2</v>
      </c>
      <c r="Y148" s="3">
        <f t="shared" si="74"/>
        <v>5.6007525352823433E-5</v>
      </c>
      <c r="Z148" s="3">
        <f t="shared" si="74"/>
        <v>2.7851283258811288E-31</v>
      </c>
      <c r="AA148" s="3">
        <f>$C34*EXP(-AA$129/$A34/EXP(-$B$126))</f>
        <v>2.5753334658129372E-294</v>
      </c>
      <c r="AB148" s="3">
        <f t="shared" si="67"/>
        <v>0</v>
      </c>
      <c r="AC148" s="3">
        <f t="shared" si="67"/>
        <v>0</v>
      </c>
      <c r="AD148" s="3">
        <f t="shared" si="67"/>
        <v>0</v>
      </c>
      <c r="AE148" s="3">
        <f t="shared" si="67"/>
        <v>0</v>
      </c>
      <c r="AF148" s="3">
        <f t="shared" si="67"/>
        <v>0</v>
      </c>
    </row>
    <row r="149" spans="1:32" x14ac:dyDescent="0.25">
      <c r="B149" s="3">
        <f t="shared" ref="B149:Z149" si="75">$C35*EXP(-B$129/$A35/EXP(-$B$126))</f>
        <v>5.22700837249113E-2</v>
      </c>
      <c r="C149" s="3">
        <f t="shared" si="75"/>
        <v>5.22700837249113E-2</v>
      </c>
      <c r="D149" s="3">
        <f t="shared" si="75"/>
        <v>5.22700837249113E-2</v>
      </c>
      <c r="E149" s="3">
        <f t="shared" si="75"/>
        <v>5.22700837249113E-2</v>
      </c>
      <c r="F149" s="3">
        <f t="shared" si="75"/>
        <v>5.22700837249113E-2</v>
      </c>
      <c r="G149" s="3">
        <f t="shared" si="75"/>
        <v>5.22700837249113E-2</v>
      </c>
      <c r="H149" s="3">
        <f t="shared" si="75"/>
        <v>5.22700837249113E-2</v>
      </c>
      <c r="I149" s="3">
        <f t="shared" si="75"/>
        <v>5.2270083724911293E-2</v>
      </c>
      <c r="J149" s="3">
        <f t="shared" si="75"/>
        <v>5.2270083724911272E-2</v>
      </c>
      <c r="K149" s="3">
        <f t="shared" si="75"/>
        <v>5.227008372491098E-2</v>
      </c>
      <c r="L149" s="3">
        <f t="shared" si="75"/>
        <v>5.2270083724908128E-2</v>
      </c>
      <c r="M149" s="3">
        <f t="shared" si="75"/>
        <v>5.2270083724879568E-2</v>
      </c>
      <c r="N149" s="3">
        <f t="shared" si="75"/>
        <v>5.2270083724593991E-2</v>
      </c>
      <c r="O149" s="3">
        <f t="shared" si="75"/>
        <v>5.2270083721738192E-2</v>
      </c>
      <c r="P149" s="3">
        <f t="shared" si="75"/>
        <v>5.2270083693180217E-2</v>
      </c>
      <c r="Q149" s="3">
        <f t="shared" si="75"/>
        <v>5.227008340760049E-2</v>
      </c>
      <c r="R149" s="3">
        <f t="shared" si="75"/>
        <v>5.2270080551803245E-2</v>
      </c>
      <c r="S149" s="3">
        <f t="shared" si="75"/>
        <v>5.2270051993839418E-2</v>
      </c>
      <c r="T149" s="3">
        <f t="shared" si="75"/>
        <v>5.2269766415059309E-2</v>
      </c>
      <c r="U149" s="3">
        <f t="shared" si="75"/>
        <v>5.2266910713071525E-2</v>
      </c>
      <c r="V149" s="3">
        <f t="shared" si="75"/>
        <v>5.2238362272787268E-2</v>
      </c>
      <c r="W149" s="3">
        <f t="shared" si="75"/>
        <v>5.1953734097466231E-2</v>
      </c>
      <c r="X149" s="3">
        <f t="shared" si="75"/>
        <v>4.9191369228201165E-2</v>
      </c>
      <c r="Y149" s="3">
        <f t="shared" si="75"/>
        <v>2.8484614764273861E-2</v>
      </c>
      <c r="Z149" s="3">
        <f t="shared" si="75"/>
        <v>1.2073265221698543E-4</v>
      </c>
      <c r="AA149" s="3">
        <f t="shared" ref="AA149" si="76">$C35*EXP(-AA$129/$A35/EXP(-$B$126))</f>
        <v>2.259272677189692E-28</v>
      </c>
      <c r="AB149" s="3">
        <f t="shared" si="67"/>
        <v>1.189618583610076E-265</v>
      </c>
      <c r="AC149" s="3">
        <f t="shared" si="67"/>
        <v>0</v>
      </c>
      <c r="AD149" s="3">
        <f t="shared" si="67"/>
        <v>0</v>
      </c>
      <c r="AE149" s="3">
        <f t="shared" si="67"/>
        <v>0</v>
      </c>
      <c r="AF149" s="3">
        <f t="shared" si="67"/>
        <v>0</v>
      </c>
    </row>
    <row r="150" spans="1:32" x14ac:dyDescent="0.25">
      <c r="B150" s="3">
        <f t="shared" ref="B150:Z150" si="77">$C36*EXP(-B$129/$A36/EXP(-$B$126))</f>
        <v>5.1448795530600389E-2</v>
      </c>
      <c r="C150" s="3">
        <f t="shared" si="77"/>
        <v>5.1448795530600389E-2</v>
      </c>
      <c r="D150" s="3">
        <f t="shared" si="77"/>
        <v>5.1448795530600389E-2</v>
      </c>
      <c r="E150" s="3">
        <f t="shared" si="77"/>
        <v>5.1448795530600389E-2</v>
      </c>
      <c r="F150" s="3">
        <f t="shared" si="77"/>
        <v>5.1448795530600389E-2</v>
      </c>
      <c r="G150" s="3">
        <f t="shared" si="77"/>
        <v>5.1448795530600389E-2</v>
      </c>
      <c r="H150" s="3">
        <f t="shared" si="77"/>
        <v>5.1448795530600389E-2</v>
      </c>
      <c r="I150" s="3">
        <f t="shared" si="77"/>
        <v>5.1448795530600389E-2</v>
      </c>
      <c r="J150" s="3">
        <f t="shared" si="77"/>
        <v>5.1448795530600389E-2</v>
      </c>
      <c r="K150" s="3">
        <f t="shared" si="77"/>
        <v>5.1448795530600361E-2</v>
      </c>
      <c r="L150" s="3">
        <f t="shared" si="77"/>
        <v>5.1448795530600111E-2</v>
      </c>
      <c r="M150" s="3">
        <f t="shared" si="77"/>
        <v>5.1448795530597571E-2</v>
      </c>
      <c r="N150" s="3">
        <f t="shared" si="77"/>
        <v>5.144879553057221E-2</v>
      </c>
      <c r="O150" s="3">
        <f t="shared" si="77"/>
        <v>5.1448795530318649E-2</v>
      </c>
      <c r="P150" s="3">
        <f t="shared" si="77"/>
        <v>5.1448795527782955E-2</v>
      </c>
      <c r="Q150" s="3">
        <f t="shared" si="77"/>
        <v>5.1448795502426065E-2</v>
      </c>
      <c r="R150" s="3">
        <f t="shared" si="77"/>
        <v>5.1448795248857163E-2</v>
      </c>
      <c r="S150" s="3">
        <f t="shared" si="77"/>
        <v>5.1448792713168212E-2</v>
      </c>
      <c r="T150" s="3">
        <f t="shared" si="77"/>
        <v>5.1448767356285584E-2</v>
      </c>
      <c r="U150" s="3">
        <f t="shared" si="77"/>
        <v>5.1448513788146605E-2</v>
      </c>
      <c r="V150" s="3">
        <f t="shared" si="77"/>
        <v>5.1445978175490688E-2</v>
      </c>
      <c r="W150" s="3">
        <f t="shared" si="77"/>
        <v>5.1420628921063138E-2</v>
      </c>
      <c r="X150" s="3">
        <f t="shared" si="77"/>
        <v>5.116782233841579E-2</v>
      </c>
      <c r="Y150" s="3">
        <f t="shared" si="77"/>
        <v>4.8707118095228388E-2</v>
      </c>
      <c r="Z150" s="3">
        <f t="shared" si="77"/>
        <v>2.9754142070991658E-2</v>
      </c>
      <c r="AA150" s="3">
        <f t="shared" ref="AA150" si="78">$C36*EXP(-AA$129/$A36/EXP(-$B$126))</f>
        <v>2.1532646774202264E-4</v>
      </c>
      <c r="AB150" s="3">
        <f t="shared" si="67"/>
        <v>8.4839334788526963E-26</v>
      </c>
      <c r="AC150" s="3">
        <f t="shared" si="67"/>
        <v>7.6488411003498351E-240</v>
      </c>
      <c r="AD150" s="3">
        <f t="shared" si="67"/>
        <v>0</v>
      </c>
      <c r="AE150" s="3">
        <f t="shared" si="67"/>
        <v>0</v>
      </c>
      <c r="AF150" s="3">
        <f t="shared" si="67"/>
        <v>0</v>
      </c>
    </row>
    <row r="151" spans="1:32" x14ac:dyDescent="0.25">
      <c r="B151" s="3">
        <f t="shared" ref="B151:Z151" si="79">$C37*EXP(-B$129/$A37/EXP(-$B$126))</f>
        <v>6.7081242502453009E-2</v>
      </c>
      <c r="C151" s="3">
        <f t="shared" si="79"/>
        <v>6.7081242502453009E-2</v>
      </c>
      <c r="D151" s="3">
        <f t="shared" si="79"/>
        <v>6.7081242502453009E-2</v>
      </c>
      <c r="E151" s="3">
        <f t="shared" si="79"/>
        <v>6.7081242502453009E-2</v>
      </c>
      <c r="F151" s="3">
        <f t="shared" si="79"/>
        <v>6.7081242502453009E-2</v>
      </c>
      <c r="G151" s="3">
        <f t="shared" si="79"/>
        <v>6.7081242502453009E-2</v>
      </c>
      <c r="H151" s="3">
        <f t="shared" si="79"/>
        <v>6.7081242502453009E-2</v>
      </c>
      <c r="I151" s="3">
        <f t="shared" si="79"/>
        <v>6.7081242502453009E-2</v>
      </c>
      <c r="J151" s="3">
        <f t="shared" si="79"/>
        <v>6.7081242502453009E-2</v>
      </c>
      <c r="K151" s="3">
        <f t="shared" si="79"/>
        <v>6.7081242502453009E-2</v>
      </c>
      <c r="L151" s="3">
        <f t="shared" si="79"/>
        <v>6.7081242502452981E-2</v>
      </c>
      <c r="M151" s="3">
        <f t="shared" si="79"/>
        <v>6.7081242502452676E-2</v>
      </c>
      <c r="N151" s="3">
        <f t="shared" si="79"/>
        <v>6.7081242502449692E-2</v>
      </c>
      <c r="O151" s="3">
        <f t="shared" si="79"/>
        <v>6.7081242502419869E-2</v>
      </c>
      <c r="P151" s="3">
        <f t="shared" si="79"/>
        <v>6.7081242502121635E-2</v>
      </c>
      <c r="Q151" s="3">
        <f t="shared" si="79"/>
        <v>6.7081242499139201E-2</v>
      </c>
      <c r="R151" s="3">
        <f t="shared" si="79"/>
        <v>6.7081242469315031E-2</v>
      </c>
      <c r="S151" s="3">
        <f t="shared" si="79"/>
        <v>6.7081242171073266E-2</v>
      </c>
      <c r="T151" s="3">
        <f t="shared" si="79"/>
        <v>6.7081239188655647E-2</v>
      </c>
      <c r="U151" s="3">
        <f t="shared" si="79"/>
        <v>6.7081209364486735E-2</v>
      </c>
      <c r="V151" s="3">
        <f t="shared" si="79"/>
        <v>6.7080911123526835E-2</v>
      </c>
      <c r="W151" s="3">
        <f t="shared" si="79"/>
        <v>6.7077928786855326E-2</v>
      </c>
      <c r="X151" s="3">
        <f t="shared" si="79"/>
        <v>6.7048112711678348E-2</v>
      </c>
      <c r="Y151" s="3">
        <f t="shared" si="79"/>
        <v>6.6750679915679359E-2</v>
      </c>
      <c r="Z151" s="3">
        <f t="shared" si="79"/>
        <v>6.3847964144383096E-2</v>
      </c>
      <c r="AA151" s="3">
        <f t="shared" ref="AA151" si="80">$C37*EXP(-AA$129/$A37/EXP(-$B$126))</f>
        <v>4.0931782300359161E-2</v>
      </c>
      <c r="AB151" s="3">
        <f t="shared" si="67"/>
        <v>4.7995074789542103E-4</v>
      </c>
      <c r="AC151" s="3">
        <f t="shared" si="67"/>
        <v>2.3580708200319222E-23</v>
      </c>
      <c r="AD151" s="3">
        <f t="shared" si="67"/>
        <v>1.9326737940124647E-216</v>
      </c>
      <c r="AE151" s="3">
        <f t="shared" si="67"/>
        <v>0</v>
      </c>
      <c r="AF151" s="3">
        <f t="shared" si="67"/>
        <v>0</v>
      </c>
    </row>
    <row r="152" spans="1:32" x14ac:dyDescent="0.25">
      <c r="B152" s="3">
        <f t="shared" ref="B152:Z152" si="81">$C38*EXP(-B$129/$A38/EXP(-$B$126))</f>
        <v>3.0532939065729049E-2</v>
      </c>
      <c r="C152" s="3">
        <f t="shared" si="81"/>
        <v>3.0532939065729049E-2</v>
      </c>
      <c r="D152" s="3">
        <f t="shared" si="81"/>
        <v>3.0532939065729049E-2</v>
      </c>
      <c r="E152" s="3">
        <f t="shared" si="81"/>
        <v>3.0532939065729049E-2</v>
      </c>
      <c r="F152" s="3">
        <f t="shared" si="81"/>
        <v>3.0532939065729049E-2</v>
      </c>
      <c r="G152" s="3">
        <f t="shared" si="81"/>
        <v>3.0532939065729049E-2</v>
      </c>
      <c r="H152" s="3">
        <f t="shared" si="81"/>
        <v>3.0532939065729049E-2</v>
      </c>
      <c r="I152" s="3">
        <f t="shared" si="81"/>
        <v>3.0532939065729049E-2</v>
      </c>
      <c r="J152" s="3">
        <f t="shared" si="81"/>
        <v>3.0532939065729049E-2</v>
      </c>
      <c r="K152" s="3">
        <f t="shared" si="81"/>
        <v>3.0532939065729049E-2</v>
      </c>
      <c r="L152" s="3">
        <f t="shared" si="81"/>
        <v>3.0532939065729049E-2</v>
      </c>
      <c r="M152" s="3">
        <f t="shared" si="81"/>
        <v>3.0532939065729035E-2</v>
      </c>
      <c r="N152" s="3">
        <f t="shared" si="81"/>
        <v>3.0532939065728914E-2</v>
      </c>
      <c r="O152" s="3">
        <f t="shared" si="81"/>
        <v>3.0532939065727689E-2</v>
      </c>
      <c r="P152" s="3">
        <f t="shared" si="81"/>
        <v>3.0532939065715442E-2</v>
      </c>
      <c r="Q152" s="3">
        <f t="shared" si="81"/>
        <v>3.0532939065592984E-2</v>
      </c>
      <c r="R152" s="3">
        <f t="shared" si="81"/>
        <v>3.0532939064368419E-2</v>
      </c>
      <c r="S152" s="3">
        <f t="shared" si="81"/>
        <v>3.0532939052122749E-2</v>
      </c>
      <c r="T152" s="3">
        <f t="shared" si="81"/>
        <v>3.0532938929666041E-2</v>
      </c>
      <c r="U152" s="3">
        <f t="shared" si="81"/>
        <v>3.0532937705099017E-2</v>
      </c>
      <c r="V152" s="3">
        <f t="shared" si="81"/>
        <v>3.053292545943144E-2</v>
      </c>
      <c r="W152" s="3">
        <f t="shared" si="81"/>
        <v>3.0532803003025816E-2</v>
      </c>
      <c r="X152" s="3">
        <f t="shared" si="81"/>
        <v>3.0531578465981264E-2</v>
      </c>
      <c r="Y152" s="3">
        <f t="shared" si="81"/>
        <v>3.0519335796305853E-2</v>
      </c>
      <c r="Z152" s="3">
        <f t="shared" si="81"/>
        <v>3.0397178776214371E-2</v>
      </c>
      <c r="AA152" s="3">
        <f t="shared" ref="AA152" si="82">$C38*EXP(-AA$129/$A38/EXP(-$B$126))</f>
        <v>2.9202180315024178E-2</v>
      </c>
      <c r="AB152" s="3">
        <f t="shared" si="67"/>
        <v>1.955398527395967E-2</v>
      </c>
      <c r="AC152" s="3">
        <f t="shared" si="67"/>
        <v>3.5435236759387981E-4</v>
      </c>
      <c r="AD152" s="3">
        <f t="shared" si="67"/>
        <v>1.35343028213665E-21</v>
      </c>
      <c r="AE152" s="3">
        <f t="shared" si="67"/>
        <v>8.9421385418806137E-196</v>
      </c>
      <c r="AF152" s="3">
        <f t="shared" si="67"/>
        <v>0</v>
      </c>
    </row>
    <row r="153" spans="1:32" x14ac:dyDescent="0.25">
      <c r="B153" s="3">
        <f t="shared" ref="B153:Z153" si="83">$C39*EXP(-B$129/$A39/EXP(-$B$126))</f>
        <v>4.6215233336182188E-2</v>
      </c>
      <c r="C153" s="3">
        <f t="shared" si="83"/>
        <v>4.6215233336182188E-2</v>
      </c>
      <c r="D153" s="3">
        <f t="shared" si="83"/>
        <v>4.6215233336182188E-2</v>
      </c>
      <c r="E153" s="3">
        <f t="shared" si="83"/>
        <v>4.6215233336182188E-2</v>
      </c>
      <c r="F153" s="3">
        <f t="shared" si="83"/>
        <v>4.6215233336182188E-2</v>
      </c>
      <c r="G153" s="3">
        <f t="shared" si="83"/>
        <v>4.6215233336182188E-2</v>
      </c>
      <c r="H153" s="3">
        <f t="shared" si="83"/>
        <v>4.6215233336182188E-2</v>
      </c>
      <c r="I153" s="3">
        <f t="shared" si="83"/>
        <v>4.6215233336182188E-2</v>
      </c>
      <c r="J153" s="3">
        <f t="shared" si="83"/>
        <v>4.6215233336182188E-2</v>
      </c>
      <c r="K153" s="3">
        <f t="shared" si="83"/>
        <v>4.6215233336182188E-2</v>
      </c>
      <c r="L153" s="3">
        <f t="shared" si="83"/>
        <v>4.6215233336182188E-2</v>
      </c>
      <c r="M153" s="3">
        <f t="shared" si="83"/>
        <v>4.6215233336182181E-2</v>
      </c>
      <c r="N153" s="3">
        <f t="shared" si="83"/>
        <v>4.6215233336182132E-2</v>
      </c>
      <c r="O153" s="3">
        <f t="shared" si="83"/>
        <v>4.6215233336181619E-2</v>
      </c>
      <c r="P153" s="3">
        <f t="shared" si="83"/>
        <v>4.6215233336176491E-2</v>
      </c>
      <c r="Q153" s="3">
        <f t="shared" si="83"/>
        <v>4.6215233336125226E-2</v>
      </c>
      <c r="R153" s="3">
        <f t="shared" si="83"/>
        <v>4.6215233335612588E-2</v>
      </c>
      <c r="S153" s="3">
        <f t="shared" si="83"/>
        <v>4.6215233330486195E-2</v>
      </c>
      <c r="T153" s="3">
        <f t="shared" si="83"/>
        <v>4.6215233279222258E-2</v>
      </c>
      <c r="U153" s="3">
        <f t="shared" si="83"/>
        <v>4.6215232766582869E-2</v>
      </c>
      <c r="V153" s="3">
        <f t="shared" si="83"/>
        <v>4.6215227640189316E-2</v>
      </c>
      <c r="W153" s="3">
        <f t="shared" si="83"/>
        <v>4.6215176376285097E-2</v>
      </c>
      <c r="X153" s="3">
        <f t="shared" si="83"/>
        <v>4.6214663740370407E-2</v>
      </c>
      <c r="Y153" s="3">
        <f t="shared" si="83"/>
        <v>4.6209537693962216E-2</v>
      </c>
      <c r="Z153" s="3">
        <f t="shared" si="83"/>
        <v>4.6158308490922624E-2</v>
      </c>
      <c r="AA153" s="3">
        <f t="shared" ref="AA153" si="84">$C39*EXP(-AA$129/$A39/EXP(-$B$126))</f>
        <v>4.5649129772578317E-2</v>
      </c>
      <c r="AB153" s="3">
        <f t="shared" si="67"/>
        <v>4.0856266473588428E-2</v>
      </c>
      <c r="AC153" s="3">
        <f t="shared" si="67"/>
        <v>1.3474740910518998E-2</v>
      </c>
      <c r="AD153" s="3">
        <f t="shared" si="67"/>
        <v>2.0518135019684872E-7</v>
      </c>
      <c r="AE153" s="3">
        <f t="shared" si="67"/>
        <v>1.3750309792443592E-55</v>
      </c>
      <c r="AF153" s="3">
        <f t="shared" si="67"/>
        <v>0</v>
      </c>
    </row>
    <row r="154" spans="1:32" x14ac:dyDescent="0.25">
      <c r="B154" s="3">
        <f t="shared" ref="B154:Z154" si="85">$C40*EXP(-B$129/$A40/EXP(-$B$126))</f>
        <v>3.4109179879759796E-2</v>
      </c>
      <c r="C154" s="3">
        <f t="shared" si="85"/>
        <v>3.4109179879759796E-2</v>
      </c>
      <c r="D154" s="3">
        <f t="shared" si="85"/>
        <v>3.4109179879759796E-2</v>
      </c>
      <c r="E154" s="3">
        <f t="shared" si="85"/>
        <v>3.4109179879759796E-2</v>
      </c>
      <c r="F154" s="3">
        <f t="shared" si="85"/>
        <v>3.4109179879759796E-2</v>
      </c>
      <c r="G154" s="3">
        <f t="shared" si="85"/>
        <v>3.4109179879759796E-2</v>
      </c>
      <c r="H154" s="3">
        <f t="shared" si="85"/>
        <v>3.4109179879759796E-2</v>
      </c>
      <c r="I154" s="3">
        <f t="shared" si="85"/>
        <v>3.4109179879759796E-2</v>
      </c>
      <c r="J154" s="3">
        <f t="shared" si="85"/>
        <v>3.4109179879759796E-2</v>
      </c>
      <c r="K154" s="3">
        <f t="shared" si="85"/>
        <v>3.4109179879759796E-2</v>
      </c>
      <c r="L154" s="3">
        <f t="shared" si="85"/>
        <v>3.4109179879759796E-2</v>
      </c>
      <c r="M154" s="3">
        <f t="shared" si="85"/>
        <v>3.4109179879759796E-2</v>
      </c>
      <c r="N154" s="3">
        <f t="shared" si="85"/>
        <v>3.4109179879759789E-2</v>
      </c>
      <c r="O154" s="3">
        <f t="shared" si="85"/>
        <v>3.4109179879759755E-2</v>
      </c>
      <c r="P154" s="3">
        <f t="shared" si="85"/>
        <v>3.4109179879759373E-2</v>
      </c>
      <c r="Q154" s="3">
        <f t="shared" si="85"/>
        <v>3.4109179879755591E-2</v>
      </c>
      <c r="R154" s="3">
        <f t="shared" si="85"/>
        <v>3.410917987971776E-2</v>
      </c>
      <c r="S154" s="3">
        <f t="shared" si="85"/>
        <v>3.4109179879339403E-2</v>
      </c>
      <c r="T154" s="3">
        <f t="shared" si="85"/>
        <v>3.410917987555586E-2</v>
      </c>
      <c r="U154" s="3">
        <f t="shared" si="85"/>
        <v>3.4109179837720487E-2</v>
      </c>
      <c r="V154" s="3">
        <f t="shared" si="85"/>
        <v>3.4109179459366687E-2</v>
      </c>
      <c r="W154" s="3">
        <f t="shared" si="85"/>
        <v>3.410917567582894E-2</v>
      </c>
      <c r="X154" s="3">
        <f t="shared" si="85"/>
        <v>3.4109137840474577E-2</v>
      </c>
      <c r="Y154" s="3">
        <f t="shared" si="85"/>
        <v>3.4108759489239172E-2</v>
      </c>
      <c r="Z154" s="3">
        <f t="shared" si="85"/>
        <v>3.4104976207702177E-2</v>
      </c>
      <c r="AA154" s="3">
        <f t="shared" ref="AA154:AF154" si="86">$C40*EXP(-AA$129/$A40/EXP(-$B$126))</f>
        <v>3.4067166464562648E-2</v>
      </c>
      <c r="AB154" s="3">
        <f t="shared" si="86"/>
        <v>3.3691366814940324E-2</v>
      </c>
      <c r="AC154" s="3">
        <f t="shared" si="86"/>
        <v>3.01539912657325E-2</v>
      </c>
      <c r="AD154" s="3">
        <f t="shared" si="86"/>
        <v>9.9450403767672307E-3</v>
      </c>
      <c r="AE154" s="3">
        <f t="shared" si="86"/>
        <v>1.5143421501146204E-7</v>
      </c>
      <c r="AF154" s="3">
        <f t="shared" si="86"/>
        <v>1.0148424150564418E-55</v>
      </c>
    </row>
    <row r="155" spans="1:32" x14ac:dyDescent="0.25">
      <c r="B155" s="3">
        <f t="shared" ref="B155:Z155" si="87">$C41*EXP(-B$129/$A41/EXP(-$B$126))</f>
        <v>1.6721828719437171E-2</v>
      </c>
      <c r="C155" s="3">
        <f t="shared" si="87"/>
        <v>1.6721828719437171E-2</v>
      </c>
      <c r="D155" s="3">
        <f t="shared" si="87"/>
        <v>1.6721828719437171E-2</v>
      </c>
      <c r="E155" s="3">
        <f t="shared" si="87"/>
        <v>1.6721828719437171E-2</v>
      </c>
      <c r="F155" s="3">
        <f t="shared" si="87"/>
        <v>1.6721828719437171E-2</v>
      </c>
      <c r="G155" s="3">
        <f t="shared" si="87"/>
        <v>1.6721828719437171E-2</v>
      </c>
      <c r="H155" s="3">
        <f t="shared" si="87"/>
        <v>1.6721828719437171E-2</v>
      </c>
      <c r="I155" s="3">
        <f t="shared" si="87"/>
        <v>1.6721828719437171E-2</v>
      </c>
      <c r="J155" s="3">
        <f t="shared" si="87"/>
        <v>1.6721828719437171E-2</v>
      </c>
      <c r="K155" s="3">
        <f t="shared" si="87"/>
        <v>1.6721828719437171E-2</v>
      </c>
      <c r="L155" s="3">
        <f t="shared" si="87"/>
        <v>1.6721828719437171E-2</v>
      </c>
      <c r="M155" s="3">
        <f t="shared" si="87"/>
        <v>1.6721828719437171E-2</v>
      </c>
      <c r="N155" s="3">
        <f t="shared" si="87"/>
        <v>1.6721828719437171E-2</v>
      </c>
      <c r="O155" s="3">
        <f t="shared" si="87"/>
        <v>1.6721828719437167E-2</v>
      </c>
      <c r="P155" s="3">
        <f t="shared" si="87"/>
        <v>1.672182871943715E-2</v>
      </c>
      <c r="Q155" s="3">
        <f t="shared" si="87"/>
        <v>1.6721828719436966E-2</v>
      </c>
      <c r="R155" s="3">
        <f t="shared" si="87"/>
        <v>1.672182871943511E-2</v>
      </c>
      <c r="S155" s="3">
        <f t="shared" si="87"/>
        <v>1.6721828719416562E-2</v>
      </c>
      <c r="T155" s="3">
        <f t="shared" si="87"/>
        <v>1.6721828719231075E-2</v>
      </c>
      <c r="U155" s="3">
        <f t="shared" si="87"/>
        <v>1.6721828717376219E-2</v>
      </c>
      <c r="V155" s="3">
        <f t="shared" si="87"/>
        <v>1.6721828698827643E-2</v>
      </c>
      <c r="W155" s="3">
        <f t="shared" si="87"/>
        <v>1.6721828513341874E-2</v>
      </c>
      <c r="X155" s="3">
        <f t="shared" si="87"/>
        <v>1.6721826658484314E-2</v>
      </c>
      <c r="Y155" s="3">
        <f t="shared" si="87"/>
        <v>1.6721808109920043E-2</v>
      </c>
      <c r="Z155" s="3">
        <f t="shared" si="87"/>
        <v>1.6721622625408938E-2</v>
      </c>
      <c r="AA155" s="3">
        <f t="shared" ref="AA155:AF155" si="88">$C41*EXP(-AA$129/$A41/EXP(-$B$126))</f>
        <v>1.6719767893454605E-2</v>
      </c>
      <c r="AB155" s="3">
        <f t="shared" si="88"/>
        <v>1.6701231884939188E-2</v>
      </c>
      <c r="AC155" s="3">
        <f t="shared" si="88"/>
        <v>1.6516998274047304E-2</v>
      </c>
      <c r="AD155" s="3">
        <f t="shared" si="88"/>
        <v>1.4782820312023702E-2</v>
      </c>
      <c r="AE155" s="3">
        <f t="shared" si="88"/>
        <v>4.8754986890455739E-3</v>
      </c>
      <c r="AF155" s="3">
        <f t="shared" si="88"/>
        <v>7.4239750548406388E-8</v>
      </c>
    </row>
    <row r="156" spans="1:32" x14ac:dyDescent="0.25">
      <c r="B156" s="3">
        <f t="shared" ref="B156:Z156" si="89">$C42*EXP(-B$129/$A42/EXP(-$B$126))</f>
        <v>1.0380166217025045E-2</v>
      </c>
      <c r="C156" s="3">
        <f t="shared" si="89"/>
        <v>1.0380166217025045E-2</v>
      </c>
      <c r="D156" s="3">
        <f t="shared" si="89"/>
        <v>1.0380166217025045E-2</v>
      </c>
      <c r="E156" s="3">
        <f t="shared" si="89"/>
        <v>1.0380166217025045E-2</v>
      </c>
      <c r="F156" s="3">
        <f t="shared" si="89"/>
        <v>1.0380166217025045E-2</v>
      </c>
      <c r="G156" s="3">
        <f t="shared" si="89"/>
        <v>1.0380166217025045E-2</v>
      </c>
      <c r="H156" s="3">
        <f t="shared" si="89"/>
        <v>1.0380166217025045E-2</v>
      </c>
      <c r="I156" s="3">
        <f t="shared" si="89"/>
        <v>1.0380166217025045E-2</v>
      </c>
      <c r="J156" s="3">
        <f t="shared" si="89"/>
        <v>1.0380166217025045E-2</v>
      </c>
      <c r="K156" s="3">
        <f t="shared" si="89"/>
        <v>1.0380166217025045E-2</v>
      </c>
      <c r="L156" s="3">
        <f t="shared" si="89"/>
        <v>1.0380166217025045E-2</v>
      </c>
      <c r="M156" s="3">
        <f t="shared" si="89"/>
        <v>1.0380166217025045E-2</v>
      </c>
      <c r="N156" s="3">
        <f t="shared" si="89"/>
        <v>1.0380166217025045E-2</v>
      </c>
      <c r="O156" s="3">
        <f t="shared" si="89"/>
        <v>1.0380166217025045E-2</v>
      </c>
      <c r="P156" s="3">
        <f t="shared" si="89"/>
        <v>1.0380166217025043E-2</v>
      </c>
      <c r="Q156" s="3">
        <f t="shared" si="89"/>
        <v>1.0380166217025033E-2</v>
      </c>
      <c r="R156" s="3">
        <f t="shared" si="89"/>
        <v>1.0380166217024917E-2</v>
      </c>
      <c r="S156" s="3">
        <f t="shared" si="89"/>
        <v>1.0380166217023767E-2</v>
      </c>
      <c r="T156" s="3">
        <f t="shared" si="89"/>
        <v>1.0380166217012252E-2</v>
      </c>
      <c r="U156" s="3">
        <f t="shared" si="89"/>
        <v>1.0380166216897111E-2</v>
      </c>
      <c r="V156" s="3">
        <f t="shared" si="89"/>
        <v>1.0380166215745697E-2</v>
      </c>
      <c r="W156" s="3">
        <f t="shared" si="89"/>
        <v>1.0380166204231567E-2</v>
      </c>
      <c r="X156" s="3">
        <f t="shared" si="89"/>
        <v>1.0380166089090268E-2</v>
      </c>
      <c r="Y156" s="3">
        <f t="shared" si="89"/>
        <v>1.0380164937677339E-2</v>
      </c>
      <c r="Z156" s="3">
        <f t="shared" si="89"/>
        <v>1.0380153423555083E-2</v>
      </c>
      <c r="AA156" s="3">
        <f t="shared" ref="AA156:AF156" si="90">$C42*EXP(-AA$129/$A42/EXP(-$B$126))</f>
        <v>1.0380038283034973E-2</v>
      </c>
      <c r="AB156" s="3">
        <f t="shared" si="90"/>
        <v>1.0378886948076515E-2</v>
      </c>
      <c r="AC156" s="3">
        <f t="shared" si="90"/>
        <v>1.0367380619874113E-2</v>
      </c>
      <c r="AD156" s="3">
        <f t="shared" si="90"/>
        <v>1.0253016602881308E-2</v>
      </c>
      <c r="AE156" s="3">
        <f t="shared" si="90"/>
        <v>9.1765161914889471E-3</v>
      </c>
      <c r="AF156" s="3">
        <f t="shared" si="90"/>
        <v>3.026492355130651E-3</v>
      </c>
    </row>
    <row r="157" spans="1:32" x14ac:dyDescent="0.25">
      <c r="B157" s="3">
        <f t="shared" ref="B157:Z157" si="91">$C43*EXP(-B$129/$A43/EXP(-$B$126))</f>
        <v>2.3857851620006894E-3</v>
      </c>
      <c r="C157" s="3">
        <f t="shared" si="91"/>
        <v>2.3857851620006894E-3</v>
      </c>
      <c r="D157" s="3">
        <f t="shared" si="91"/>
        <v>2.3857851620006894E-3</v>
      </c>
      <c r="E157" s="3">
        <f t="shared" si="91"/>
        <v>2.3857851620006894E-3</v>
      </c>
      <c r="F157" s="3">
        <f t="shared" si="91"/>
        <v>2.3857851620006894E-3</v>
      </c>
      <c r="G157" s="3">
        <f t="shared" si="91"/>
        <v>2.3857851620006894E-3</v>
      </c>
      <c r="H157" s="3">
        <f t="shared" si="91"/>
        <v>2.3857851620006894E-3</v>
      </c>
      <c r="I157" s="3">
        <f t="shared" si="91"/>
        <v>2.3857851620006894E-3</v>
      </c>
      <c r="J157" s="3">
        <f t="shared" si="91"/>
        <v>2.3857851620006894E-3</v>
      </c>
      <c r="K157" s="3">
        <f t="shared" si="91"/>
        <v>2.3857851620006894E-3</v>
      </c>
      <c r="L157" s="3">
        <f t="shared" si="91"/>
        <v>2.3857851620006894E-3</v>
      </c>
      <c r="M157" s="3">
        <f t="shared" si="91"/>
        <v>2.3857851620006894E-3</v>
      </c>
      <c r="N157" s="3">
        <f t="shared" si="91"/>
        <v>2.3857851620006894E-3</v>
      </c>
      <c r="O157" s="3">
        <f t="shared" si="91"/>
        <v>2.3857851620006894E-3</v>
      </c>
      <c r="P157" s="3">
        <f t="shared" si="91"/>
        <v>2.3857851620006894E-3</v>
      </c>
      <c r="Q157" s="3">
        <f t="shared" si="91"/>
        <v>2.385785162000689E-3</v>
      </c>
      <c r="R157" s="3">
        <f t="shared" si="91"/>
        <v>2.3857851620006864E-3</v>
      </c>
      <c r="S157" s="3">
        <f t="shared" si="91"/>
        <v>2.3857851620006599E-3</v>
      </c>
      <c r="T157" s="3">
        <f t="shared" si="91"/>
        <v>2.3857851620003954E-3</v>
      </c>
      <c r="U157" s="3">
        <f t="shared" si="91"/>
        <v>2.3857851619977491E-3</v>
      </c>
      <c r="V157" s="3">
        <f t="shared" si="91"/>
        <v>2.385785161971285E-3</v>
      </c>
      <c r="W157" s="3">
        <f t="shared" si="91"/>
        <v>2.3857851617066429E-3</v>
      </c>
      <c r="X157" s="3">
        <f t="shared" si="91"/>
        <v>2.3857851590602269E-3</v>
      </c>
      <c r="Y157" s="3">
        <f t="shared" si="91"/>
        <v>2.3857851325960644E-3</v>
      </c>
      <c r="Z157" s="3">
        <f t="shared" si="91"/>
        <v>2.3857848679544563E-3</v>
      </c>
      <c r="AA157" s="3">
        <f t="shared" ref="AA157:AF157" si="92">$C43*EXP(-AA$129/$A43/EXP(-$B$126))</f>
        <v>2.3857822215399907E-3</v>
      </c>
      <c r="AB157" s="3">
        <f t="shared" si="92"/>
        <v>2.3857557575567867E-3</v>
      </c>
      <c r="AC157" s="3">
        <f t="shared" si="92"/>
        <v>2.385491133869367E-3</v>
      </c>
      <c r="AD157" s="3">
        <f t="shared" si="92"/>
        <v>2.3828465107948948E-3</v>
      </c>
      <c r="AE157" s="3">
        <f t="shared" si="92"/>
        <v>2.3565609996476149E-3</v>
      </c>
      <c r="AF157" s="3">
        <f t="shared" si="92"/>
        <v>2.1091373404604299E-3</v>
      </c>
    </row>
    <row r="158" spans="1:32" x14ac:dyDescent="0.25">
      <c r="B158" s="3">
        <f t="shared" ref="B158:Z158" si="93">$C44*EXP(-B$129/$A44/EXP(-$B$126))</f>
        <v>4.6637051545343495E-3</v>
      </c>
      <c r="C158" s="3">
        <f t="shared" si="93"/>
        <v>4.6637051545343495E-3</v>
      </c>
      <c r="D158" s="3">
        <f t="shared" si="93"/>
        <v>4.6637051545343495E-3</v>
      </c>
      <c r="E158" s="3">
        <f t="shared" si="93"/>
        <v>4.6637051545343495E-3</v>
      </c>
      <c r="F158" s="3">
        <f t="shared" si="93"/>
        <v>4.6637051545343495E-3</v>
      </c>
      <c r="G158" s="3">
        <f t="shared" si="93"/>
        <v>4.6637051545343495E-3</v>
      </c>
      <c r="H158" s="3">
        <f t="shared" si="93"/>
        <v>4.6637051545343495E-3</v>
      </c>
      <c r="I158" s="3">
        <f t="shared" si="93"/>
        <v>4.6637051545343495E-3</v>
      </c>
      <c r="J158" s="3">
        <f t="shared" si="93"/>
        <v>4.6637051545343495E-3</v>
      </c>
      <c r="K158" s="3">
        <f t="shared" si="93"/>
        <v>4.6637051545343495E-3</v>
      </c>
      <c r="L158" s="3">
        <f t="shared" si="93"/>
        <v>4.6637051545343495E-3</v>
      </c>
      <c r="M158" s="3">
        <f t="shared" si="93"/>
        <v>4.6637051545343495E-3</v>
      </c>
      <c r="N158" s="3">
        <f t="shared" si="93"/>
        <v>4.6637051545343495E-3</v>
      </c>
      <c r="O158" s="3">
        <f t="shared" si="93"/>
        <v>4.6637051545343495E-3</v>
      </c>
      <c r="P158" s="3">
        <f t="shared" si="93"/>
        <v>4.6637051545343495E-3</v>
      </c>
      <c r="Q158" s="3">
        <f t="shared" si="93"/>
        <v>4.6637051545343495E-3</v>
      </c>
      <c r="R158" s="3">
        <f t="shared" si="93"/>
        <v>4.6637051545343486E-3</v>
      </c>
      <c r="S158" s="3">
        <f t="shared" si="93"/>
        <v>4.6637051545343434E-3</v>
      </c>
      <c r="T158" s="3">
        <f t="shared" si="93"/>
        <v>4.6637051545342922E-3</v>
      </c>
      <c r="U158" s="3">
        <f t="shared" si="93"/>
        <v>4.6637051545337744E-3</v>
      </c>
      <c r="V158" s="3">
        <f t="shared" si="93"/>
        <v>4.6637051545286015E-3</v>
      </c>
      <c r="W158" s="3">
        <f t="shared" si="93"/>
        <v>4.6637051544768694E-3</v>
      </c>
      <c r="X158" s="3">
        <f t="shared" si="93"/>
        <v>4.6637051539595515E-3</v>
      </c>
      <c r="Y158" s="3">
        <f t="shared" si="93"/>
        <v>4.6637051487863675E-3</v>
      </c>
      <c r="Z158" s="3">
        <f t="shared" si="93"/>
        <v>4.66370509705453E-3</v>
      </c>
      <c r="AA158" s="3">
        <f t="shared" ref="AA158:AF158" si="94">$C44*EXP(-AA$129/$A44/EXP(-$B$126))</f>
        <v>4.6637045797361847E-3</v>
      </c>
      <c r="AB158" s="3">
        <f t="shared" si="94"/>
        <v>4.6636994065558917E-3</v>
      </c>
      <c r="AC158" s="3">
        <f t="shared" si="94"/>
        <v>4.6636476750685617E-3</v>
      </c>
      <c r="AD158" s="3">
        <f t="shared" si="94"/>
        <v>4.6631303917545868E-3</v>
      </c>
      <c r="AE158" s="3">
        <f t="shared" si="94"/>
        <v>4.6579607132518196E-3</v>
      </c>
      <c r="AF158" s="3">
        <f t="shared" si="94"/>
        <v>4.606578101028538E-3</v>
      </c>
    </row>
    <row r="159" spans="1:32" x14ac:dyDescent="0.25">
      <c r="A159" s="11" t="s">
        <v>75</v>
      </c>
      <c r="B159" s="3">
        <f t="shared" ref="B159:Z159" si="95">$C45*EXP(-B$129/$A45/EXP(-$B$126))</f>
        <v>1.1662493677485003E-4</v>
      </c>
      <c r="C159" s="3">
        <f t="shared" si="95"/>
        <v>1.1662493677485003E-4</v>
      </c>
      <c r="D159" s="3">
        <f t="shared" si="95"/>
        <v>1.1662493677485003E-4</v>
      </c>
      <c r="E159" s="3">
        <f t="shared" si="95"/>
        <v>1.1662493677485003E-4</v>
      </c>
      <c r="F159" s="3">
        <f t="shared" si="95"/>
        <v>1.1662493677485003E-4</v>
      </c>
      <c r="G159" s="3">
        <f t="shared" si="95"/>
        <v>1.1662493677485003E-4</v>
      </c>
      <c r="H159" s="3">
        <f t="shared" si="95"/>
        <v>1.1662493677485003E-4</v>
      </c>
      <c r="I159" s="3">
        <f t="shared" si="95"/>
        <v>1.1662493677485003E-4</v>
      </c>
      <c r="J159" s="3">
        <f t="shared" si="95"/>
        <v>1.1662493677485003E-4</v>
      </c>
      <c r="K159" s="3">
        <f t="shared" si="95"/>
        <v>1.1662493677485003E-4</v>
      </c>
      <c r="L159" s="3">
        <f t="shared" si="95"/>
        <v>1.1662493677485003E-4</v>
      </c>
      <c r="M159" s="3">
        <f t="shared" si="95"/>
        <v>1.1662493677485003E-4</v>
      </c>
      <c r="N159" s="3">
        <f t="shared" si="95"/>
        <v>1.1662493677485003E-4</v>
      </c>
      <c r="O159" s="3">
        <f t="shared" si="95"/>
        <v>1.1662493677485003E-4</v>
      </c>
      <c r="P159" s="3">
        <f t="shared" si="95"/>
        <v>1.1662493677485003E-4</v>
      </c>
      <c r="Q159" s="3">
        <f t="shared" si="95"/>
        <v>1.1662493677485003E-4</v>
      </c>
      <c r="R159" s="3">
        <f t="shared" si="95"/>
        <v>1.1662493677485003E-4</v>
      </c>
      <c r="S159" s="3">
        <f t="shared" si="95"/>
        <v>1.1662493677485002E-4</v>
      </c>
      <c r="T159" s="3">
        <f t="shared" si="95"/>
        <v>1.1662493677484988E-4</v>
      </c>
      <c r="U159" s="3">
        <f t="shared" si="95"/>
        <v>1.166249367748486E-4</v>
      </c>
      <c r="V159" s="3">
        <f t="shared" si="95"/>
        <v>1.1662493677483567E-4</v>
      </c>
      <c r="W159" s="3">
        <f t="shared" si="95"/>
        <v>1.166249367747063E-4</v>
      </c>
      <c r="X159" s="3">
        <f t="shared" si="95"/>
        <v>1.1662493677341264E-4</v>
      </c>
      <c r="Y159" s="3">
        <f t="shared" si="95"/>
        <v>1.1662493676047609E-4</v>
      </c>
      <c r="Z159" s="3">
        <f t="shared" si="95"/>
        <v>1.1662493663111067E-4</v>
      </c>
      <c r="AA159" s="3">
        <f t="shared" ref="AA159:AF159" si="96">$C45*EXP(-AA$129/$A45/EXP(-$B$126))</f>
        <v>1.1662493533745635E-4</v>
      </c>
      <c r="AB159" s="3">
        <f t="shared" si="96"/>
        <v>1.1662492240091399E-4</v>
      </c>
      <c r="AC159" s="3">
        <f t="shared" si="96"/>
        <v>1.1662479303556934E-4</v>
      </c>
      <c r="AD159" s="3">
        <f t="shared" si="96"/>
        <v>1.1662349939001519E-4</v>
      </c>
      <c r="AE159" s="3">
        <f t="shared" si="96"/>
        <v>1.1661056372367523E-4</v>
      </c>
      <c r="AF159" s="3">
        <f t="shared" si="96"/>
        <v>1.1648128594805398E-4</v>
      </c>
    </row>
    <row r="160" spans="1:32" x14ac:dyDescent="0.25">
      <c r="B160" s="3">
        <f t="shared" ref="B160:Z160" si="97">$C46*EXP(-B$129/$A46/EXP(-$B$126))</f>
        <v>1.2727846034903288E-3</v>
      </c>
      <c r="C160" s="3">
        <f t="shared" si="97"/>
        <v>1.2727846034903288E-3</v>
      </c>
      <c r="D160" s="3">
        <f t="shared" si="97"/>
        <v>1.2727846034903288E-3</v>
      </c>
      <c r="E160" s="3">
        <f t="shared" si="97"/>
        <v>1.2727846034903288E-3</v>
      </c>
      <c r="F160" s="3">
        <f t="shared" si="97"/>
        <v>1.2727846034903288E-3</v>
      </c>
      <c r="G160" s="3">
        <f t="shared" si="97"/>
        <v>1.2727846034903288E-3</v>
      </c>
      <c r="H160" s="3">
        <f t="shared" si="97"/>
        <v>1.2727846034903288E-3</v>
      </c>
      <c r="I160" s="3">
        <f t="shared" si="97"/>
        <v>1.2727846034903288E-3</v>
      </c>
      <c r="J160" s="3">
        <f t="shared" si="97"/>
        <v>1.2727846034903288E-3</v>
      </c>
      <c r="K160" s="3">
        <f t="shared" si="97"/>
        <v>1.2727846034903288E-3</v>
      </c>
      <c r="L160" s="3">
        <f t="shared" si="97"/>
        <v>1.2727846034903288E-3</v>
      </c>
      <c r="M160" s="3">
        <f t="shared" si="97"/>
        <v>1.2727846034903288E-3</v>
      </c>
      <c r="N160" s="3">
        <f t="shared" si="97"/>
        <v>1.2727846034903288E-3</v>
      </c>
      <c r="O160" s="3">
        <f t="shared" si="97"/>
        <v>1.2727846034903288E-3</v>
      </c>
      <c r="P160" s="3">
        <f t="shared" si="97"/>
        <v>1.2727846034903288E-3</v>
      </c>
      <c r="Q160" s="3">
        <f t="shared" si="97"/>
        <v>1.2727846034903288E-3</v>
      </c>
      <c r="R160" s="3">
        <f t="shared" si="97"/>
        <v>1.2727846034903288E-3</v>
      </c>
      <c r="S160" s="3">
        <f t="shared" si="97"/>
        <v>1.2727846034903288E-3</v>
      </c>
      <c r="T160" s="3">
        <f t="shared" si="97"/>
        <v>1.2727846034903286E-3</v>
      </c>
      <c r="U160" s="3">
        <f t="shared" si="97"/>
        <v>1.2727846034903273E-3</v>
      </c>
      <c r="V160" s="3">
        <f t="shared" si="97"/>
        <v>1.2727846034903132E-3</v>
      </c>
      <c r="W160" s="3">
        <f t="shared" si="97"/>
        <v>1.272784603490172E-3</v>
      </c>
      <c r="X160" s="3">
        <f t="shared" si="97"/>
        <v>1.2727846034887602E-3</v>
      </c>
      <c r="Y160" s="3">
        <f t="shared" si="97"/>
        <v>1.2727846034746419E-3</v>
      </c>
      <c r="Z160" s="3">
        <f t="shared" si="97"/>
        <v>1.272784603333459E-3</v>
      </c>
      <c r="AA160" s="3">
        <f t="shared" ref="AA160:AF160" si="98">$C46*EXP(-AA$129/$A46/EXP(-$B$126))</f>
        <v>1.2727846019216311E-3</v>
      </c>
      <c r="AB160" s="3">
        <f t="shared" si="98"/>
        <v>1.272784587803353E-3</v>
      </c>
      <c r="AC160" s="3">
        <f t="shared" si="98"/>
        <v>1.2727844466205805E-3</v>
      </c>
      <c r="AD160" s="3">
        <f t="shared" si="98"/>
        <v>1.2727830347937152E-3</v>
      </c>
      <c r="AE160" s="3">
        <f t="shared" si="98"/>
        <v>1.2727689166111959E-3</v>
      </c>
      <c r="AF160" s="3">
        <f t="shared" si="98"/>
        <v>1.2726277433989421E-3</v>
      </c>
    </row>
    <row r="161" spans="1:34" x14ac:dyDescent="0.25">
      <c r="A161" s="11" t="s">
        <v>75</v>
      </c>
      <c r="B161" s="3">
        <f t="shared" ref="B161:Z161" si="99">$C47*EXP(-B$129/$A47/EXP(-$B$126))</f>
        <v>2.0157372743803063E-3</v>
      </c>
      <c r="C161" s="3">
        <f t="shared" si="99"/>
        <v>2.0157372743803063E-3</v>
      </c>
      <c r="D161" s="3">
        <f t="shared" si="99"/>
        <v>2.0157372743803063E-3</v>
      </c>
      <c r="E161" s="3">
        <f t="shared" si="99"/>
        <v>2.0157372743803063E-3</v>
      </c>
      <c r="F161" s="3">
        <f t="shared" si="99"/>
        <v>2.0157372743803063E-3</v>
      </c>
      <c r="G161" s="3">
        <f t="shared" si="99"/>
        <v>2.0157372743803063E-3</v>
      </c>
      <c r="H161" s="3">
        <f t="shared" si="99"/>
        <v>2.0157372743803063E-3</v>
      </c>
      <c r="I161" s="3">
        <f t="shared" si="99"/>
        <v>2.0157372743803063E-3</v>
      </c>
      <c r="J161" s="3">
        <f t="shared" si="99"/>
        <v>2.0157372743803063E-3</v>
      </c>
      <c r="K161" s="3">
        <f t="shared" si="99"/>
        <v>2.0157372743803063E-3</v>
      </c>
      <c r="L161" s="3">
        <f t="shared" si="99"/>
        <v>2.0157372743803063E-3</v>
      </c>
      <c r="M161" s="3">
        <f t="shared" si="99"/>
        <v>2.0157372743803063E-3</v>
      </c>
      <c r="N161" s="3">
        <f t="shared" si="99"/>
        <v>2.0157372743803063E-3</v>
      </c>
      <c r="O161" s="3">
        <f t="shared" si="99"/>
        <v>2.0157372743803063E-3</v>
      </c>
      <c r="P161" s="3">
        <f t="shared" si="99"/>
        <v>2.0157372743803063E-3</v>
      </c>
      <c r="Q161" s="3">
        <f t="shared" si="99"/>
        <v>2.0157372743803063E-3</v>
      </c>
      <c r="R161" s="3">
        <f t="shared" si="99"/>
        <v>2.0157372743803063E-3</v>
      </c>
      <c r="S161" s="3">
        <f t="shared" si="99"/>
        <v>2.0157372743803063E-3</v>
      </c>
      <c r="T161" s="3">
        <f t="shared" si="99"/>
        <v>2.0157372743803063E-3</v>
      </c>
      <c r="U161" s="3">
        <f t="shared" si="99"/>
        <v>2.0157372743803059E-3</v>
      </c>
      <c r="V161" s="3">
        <f t="shared" si="99"/>
        <v>2.0157372743803037E-3</v>
      </c>
      <c r="W161" s="3">
        <f t="shared" si="99"/>
        <v>2.0157372743802816E-3</v>
      </c>
      <c r="X161" s="3">
        <f t="shared" si="99"/>
        <v>2.0157372743800578E-3</v>
      </c>
      <c r="Y161" s="3">
        <f t="shared" si="99"/>
        <v>2.0157372743778222E-3</v>
      </c>
      <c r="Z161" s="3">
        <f t="shared" si="99"/>
        <v>2.0157372743554625E-3</v>
      </c>
      <c r="AA161" s="3">
        <f t="shared" ref="AA161:AF161" si="100">$C47*EXP(-AA$129/$A47/EXP(-$B$126))</f>
        <v>2.0157372741318679E-3</v>
      </c>
      <c r="AB161" s="3">
        <f t="shared" si="100"/>
        <v>2.0157372718959251E-3</v>
      </c>
      <c r="AC161" s="3">
        <f t="shared" si="100"/>
        <v>2.015737249536494E-3</v>
      </c>
      <c r="AD161" s="3">
        <f t="shared" si="100"/>
        <v>2.0157370259421981E-3</v>
      </c>
      <c r="AE161" s="3">
        <f t="shared" si="100"/>
        <v>2.0157347900006026E-3</v>
      </c>
      <c r="AF161" s="3">
        <f t="shared" si="100"/>
        <v>2.0157124307210567E-3</v>
      </c>
    </row>
    <row r="162" spans="1:34" x14ac:dyDescent="0.25">
      <c r="B162" s="3">
        <f t="shared" ref="B162:Z162" si="101">$C48*EXP(-B$129/$A48/EXP(-$B$126))</f>
        <v>9.8070147356989854E-3</v>
      </c>
      <c r="C162" s="3">
        <f t="shared" si="101"/>
        <v>9.8070147356989854E-3</v>
      </c>
      <c r="D162" s="3">
        <f t="shared" si="101"/>
        <v>9.8070147356989854E-3</v>
      </c>
      <c r="E162" s="3">
        <f t="shared" si="101"/>
        <v>9.8070147356989854E-3</v>
      </c>
      <c r="F162" s="3">
        <f t="shared" si="101"/>
        <v>9.8070147356989854E-3</v>
      </c>
      <c r="G162" s="3">
        <f t="shared" si="101"/>
        <v>9.8070147356989854E-3</v>
      </c>
      <c r="H162" s="3">
        <f t="shared" si="101"/>
        <v>9.8070147356989854E-3</v>
      </c>
      <c r="I162" s="3">
        <f t="shared" si="101"/>
        <v>9.8070147356989854E-3</v>
      </c>
      <c r="J162" s="3">
        <f t="shared" si="101"/>
        <v>9.8070147356989854E-3</v>
      </c>
      <c r="K162" s="3">
        <f t="shared" si="101"/>
        <v>9.8070147356989854E-3</v>
      </c>
      <c r="L162" s="3">
        <f t="shared" si="101"/>
        <v>9.8070147356989854E-3</v>
      </c>
      <c r="M162" s="3">
        <f t="shared" si="101"/>
        <v>9.8070147356989854E-3</v>
      </c>
      <c r="N162" s="3">
        <f t="shared" si="101"/>
        <v>9.8070147356989854E-3</v>
      </c>
      <c r="O162" s="3">
        <f t="shared" si="101"/>
        <v>9.8070147356989854E-3</v>
      </c>
      <c r="P162" s="3">
        <f t="shared" si="101"/>
        <v>9.8070147356989854E-3</v>
      </c>
      <c r="Q162" s="3">
        <f t="shared" si="101"/>
        <v>9.8070147356989854E-3</v>
      </c>
      <c r="R162" s="3">
        <f t="shared" si="101"/>
        <v>9.8070147356989854E-3</v>
      </c>
      <c r="S162" s="3">
        <f t="shared" si="101"/>
        <v>9.8070147356989854E-3</v>
      </c>
      <c r="T162" s="3">
        <f t="shared" si="101"/>
        <v>9.8070147356989854E-3</v>
      </c>
      <c r="U162" s="3">
        <f t="shared" si="101"/>
        <v>9.8070147356989854E-3</v>
      </c>
      <c r="V162" s="3">
        <f t="shared" si="101"/>
        <v>9.8070147356989837E-3</v>
      </c>
      <c r="W162" s="3">
        <f t="shared" si="101"/>
        <v>9.8070147356989733E-3</v>
      </c>
      <c r="X162" s="3">
        <f t="shared" si="101"/>
        <v>9.807014735698864E-3</v>
      </c>
      <c r="Y162" s="3">
        <f t="shared" si="101"/>
        <v>9.8070147356977763E-3</v>
      </c>
      <c r="Z162" s="3">
        <f t="shared" si="101"/>
        <v>9.8070147356868979E-3</v>
      </c>
      <c r="AA162" s="3">
        <f t="shared" ref="AA162:AF162" si="102">$C48*EXP(-AA$129/$A48/EXP(-$B$126))</f>
        <v>9.8070147355781151E-3</v>
      </c>
      <c r="AB162" s="3">
        <f t="shared" si="102"/>
        <v>9.8070147344902769E-3</v>
      </c>
      <c r="AC162" s="3">
        <f t="shared" si="102"/>
        <v>9.8070147236119128E-3</v>
      </c>
      <c r="AD162" s="3">
        <f t="shared" si="102"/>
        <v>9.8070146148282571E-3</v>
      </c>
      <c r="AE162" s="3">
        <f t="shared" si="102"/>
        <v>9.8070135269917695E-3</v>
      </c>
      <c r="AF162" s="3">
        <f t="shared" si="102"/>
        <v>9.8070026486335362E-3</v>
      </c>
    </row>
    <row r="163" spans="1:34" x14ac:dyDescent="0.25">
      <c r="A163" s="79">
        <f>AVERAGE(B163:AF163)</f>
        <v>2.8828227851234595E-2</v>
      </c>
      <c r="B163" s="80">
        <f>IF($A$64&lt;=B129,IF($B$64&gt;=B129,ABS((B131-B130)/B130),0),0)</f>
        <v>7.1923816347753189E-2</v>
      </c>
      <c r="C163" s="80">
        <f t="shared" ref="C163:AF163" si="103">IF($A$64&lt;=C129,IF($B$64&gt;=C129,ABS((C131-C130)/C130),0),0)</f>
        <v>9.2451713814961645E-2</v>
      </c>
      <c r="D163" s="80">
        <f t="shared" si="103"/>
        <v>6.3307664721790696E-2</v>
      </c>
      <c r="E163" s="80">
        <f t="shared" si="103"/>
        <v>4.2573311835767055E-2</v>
      </c>
      <c r="F163" s="80">
        <f t="shared" si="103"/>
        <v>2.2489141503935432E-2</v>
      </c>
      <c r="G163" s="80">
        <f t="shared" si="103"/>
        <v>8.1627960760629595E-4</v>
      </c>
      <c r="H163" s="80">
        <f t="shared" si="103"/>
        <v>1.0905346409220749E-2</v>
      </c>
      <c r="I163" s="80">
        <f t="shared" si="103"/>
        <v>3.4075366188129732E-3</v>
      </c>
      <c r="J163" s="80">
        <f t="shared" si="103"/>
        <v>1.6235335081624131E-3</v>
      </c>
      <c r="K163" s="80">
        <f t="shared" si="103"/>
        <v>1.2647616941444556E-3</v>
      </c>
      <c r="L163" s="80">
        <f t="shared" si="103"/>
        <v>9.4741585610892925E-4</v>
      </c>
      <c r="M163" s="80">
        <f t="shared" si="103"/>
        <v>2.2054656243930735E-3</v>
      </c>
      <c r="N163" s="80">
        <f t="shared" si="103"/>
        <v>4.4214732279251687E-3</v>
      </c>
      <c r="O163" s="80">
        <f t="shared" si="103"/>
        <v>5.3663211380816263E-3</v>
      </c>
      <c r="P163" s="80">
        <f t="shared" si="103"/>
        <v>4.858437562075239E-3</v>
      </c>
      <c r="Q163" s="80">
        <f t="shared" si="103"/>
        <v>3.1831710229020824E-3</v>
      </c>
      <c r="R163" s="80">
        <f t="shared" si="103"/>
        <v>5.0867884502423999E-3</v>
      </c>
      <c r="S163" s="80">
        <f t="shared" si="103"/>
        <v>3.7364220529055867E-3</v>
      </c>
      <c r="T163" s="80">
        <f t="shared" si="103"/>
        <v>7.1154832864942265E-3</v>
      </c>
      <c r="U163" s="80">
        <f t="shared" si="103"/>
        <v>6.6595902555173087E-3</v>
      </c>
      <c r="V163" s="80">
        <f t="shared" si="103"/>
        <v>1.8196562472413674E-2</v>
      </c>
      <c r="W163" s="80">
        <f t="shared" si="103"/>
        <v>2.7737382680171275E-2</v>
      </c>
      <c r="X163" s="80">
        <f t="shared" si="103"/>
        <v>3.7916041149574226E-2</v>
      </c>
      <c r="Y163" s="80">
        <f t="shared" si="103"/>
        <v>4.0768294560746939E-2</v>
      </c>
      <c r="Z163" s="80">
        <f t="shared" si="103"/>
        <v>5.0262686681140388E-2</v>
      </c>
      <c r="AA163" s="80">
        <f t="shared" si="103"/>
        <v>6.0683964862059389E-2</v>
      </c>
      <c r="AB163" s="80">
        <f t="shared" si="103"/>
        <v>8.5632853986610677E-2</v>
      </c>
      <c r="AC163" s="80">
        <f t="shared" si="103"/>
        <v>7.2138642617847276E-2</v>
      </c>
      <c r="AD163" s="80">
        <f t="shared" si="103"/>
        <v>7.3438118037519318E-2</v>
      </c>
      <c r="AE163" s="80">
        <f t="shared" si="103"/>
        <v>4.3861928518567329E-2</v>
      </c>
      <c r="AF163" s="80">
        <f t="shared" si="103"/>
        <v>2.8694913282821258E-2</v>
      </c>
    </row>
    <row r="164" spans="1:34" x14ac:dyDescent="0.25">
      <c r="B164" s="21">
        <f>(B131-B130)^2</f>
        <v>540174.52143547591</v>
      </c>
      <c r="C164" s="21">
        <f t="shared" ref="C164:AF164" si="104">(C131-C130)^2</f>
        <v>877226.87391846383</v>
      </c>
      <c r="D164" s="21">
        <f t="shared" si="104"/>
        <v>386134.25831433322</v>
      </c>
      <c r="E164" s="21">
        <f t="shared" si="104"/>
        <v>167135.87898223163</v>
      </c>
      <c r="F164" s="21">
        <f t="shared" si="104"/>
        <v>44727.086369904042</v>
      </c>
      <c r="G164" s="21">
        <f t="shared" si="104"/>
        <v>56.220693375953154</v>
      </c>
      <c r="H164" s="21">
        <f t="shared" si="104"/>
        <v>9539.9142820293637</v>
      </c>
      <c r="I164" s="21">
        <f t="shared" si="104"/>
        <v>877.65748111090261</v>
      </c>
      <c r="J164" s="21">
        <f t="shared" si="104"/>
        <v>186.97473427444257</v>
      </c>
      <c r="K164" s="21">
        <f t="shared" si="104"/>
        <v>105.44709322890228</v>
      </c>
      <c r="L164" s="21">
        <f t="shared" si="104"/>
        <v>55.293554838836265</v>
      </c>
      <c r="M164" s="21">
        <f t="shared" si="104"/>
        <v>278.11521646372631</v>
      </c>
      <c r="N164" s="21">
        <f t="shared" si="104"/>
        <v>1016.8481664310972</v>
      </c>
      <c r="O164" s="21">
        <f t="shared" si="104"/>
        <v>1341.8199428803366</v>
      </c>
      <c r="P164" s="21">
        <f t="shared" si="104"/>
        <v>987.69825468418628</v>
      </c>
      <c r="Q164" s="21">
        <f t="shared" si="104"/>
        <v>387.62411320001416</v>
      </c>
      <c r="R164" s="21">
        <f t="shared" si="104"/>
        <v>899.50451210664403</v>
      </c>
      <c r="S164" s="21">
        <f t="shared" si="104"/>
        <v>440.98157247269842</v>
      </c>
      <c r="T164" s="21">
        <f t="shared" si="104"/>
        <v>1438.767096572293</v>
      </c>
      <c r="U164" s="21">
        <f t="shared" si="104"/>
        <v>1133.9345013175162</v>
      </c>
      <c r="V164" s="21">
        <f t="shared" si="104"/>
        <v>7269.6736757628196</v>
      </c>
      <c r="W164" s="21">
        <f t="shared" si="104"/>
        <v>14039.733771396981</v>
      </c>
      <c r="X164" s="21">
        <f t="shared" si="104"/>
        <v>20841.021311247456</v>
      </c>
      <c r="Y164" s="21">
        <f t="shared" si="104"/>
        <v>18468.558736150451</v>
      </c>
      <c r="Z164" s="21">
        <f t="shared" si="104"/>
        <v>20004.107935419208</v>
      </c>
      <c r="AA164" s="21">
        <f t="shared" si="104"/>
        <v>18885.194052260853</v>
      </c>
      <c r="AB164" s="21">
        <f t="shared" si="104"/>
        <v>20985.906473989249</v>
      </c>
      <c r="AC164" s="21">
        <f t="shared" si="104"/>
        <v>7877.5937370508618</v>
      </c>
      <c r="AD164" s="21">
        <f t="shared" si="104"/>
        <v>4255.2010700577903</v>
      </c>
      <c r="AE164" s="21">
        <f t="shared" si="104"/>
        <v>966.72799974093175</v>
      </c>
      <c r="AF164" s="21">
        <f t="shared" si="104"/>
        <v>303.54799545879268</v>
      </c>
    </row>
    <row r="165" spans="1:34" x14ac:dyDescent="0.25">
      <c r="A165" s="71">
        <f>SUM(B165:AF165)</f>
        <v>2168042.6869939305</v>
      </c>
      <c r="B165" s="60">
        <f>IF($A$64&lt;=B129,IF($B$64&gt;=B129,ABS(B164),0),0)</f>
        <v>540174.52143547591</v>
      </c>
      <c r="C165" s="60">
        <f t="shared" ref="C165:AF165" si="105">IF($A$64&lt;=C129,IF($B$64&gt;=C129,ABS(C164),0),0)</f>
        <v>877226.87391846383</v>
      </c>
      <c r="D165" s="60">
        <f t="shared" si="105"/>
        <v>386134.25831433322</v>
      </c>
      <c r="E165" s="60">
        <f t="shared" si="105"/>
        <v>167135.87898223163</v>
      </c>
      <c r="F165" s="60">
        <f t="shared" si="105"/>
        <v>44727.086369904042</v>
      </c>
      <c r="G165" s="60">
        <f t="shared" si="105"/>
        <v>56.220693375953154</v>
      </c>
      <c r="H165" s="60">
        <f t="shared" si="105"/>
        <v>9539.9142820293637</v>
      </c>
      <c r="I165" s="60">
        <f t="shared" si="105"/>
        <v>877.65748111090261</v>
      </c>
      <c r="J165" s="60">
        <f t="shared" si="105"/>
        <v>186.97473427444257</v>
      </c>
      <c r="K165" s="60">
        <f t="shared" si="105"/>
        <v>105.44709322890228</v>
      </c>
      <c r="L165" s="60">
        <f t="shared" si="105"/>
        <v>55.293554838836265</v>
      </c>
      <c r="M165" s="60">
        <f t="shared" si="105"/>
        <v>278.11521646372631</v>
      </c>
      <c r="N165" s="60">
        <f t="shared" si="105"/>
        <v>1016.8481664310972</v>
      </c>
      <c r="O165" s="60">
        <f t="shared" si="105"/>
        <v>1341.8199428803366</v>
      </c>
      <c r="P165" s="60">
        <f t="shared" si="105"/>
        <v>987.69825468418628</v>
      </c>
      <c r="Q165" s="60">
        <f t="shared" si="105"/>
        <v>387.62411320001416</v>
      </c>
      <c r="R165" s="60">
        <f t="shared" si="105"/>
        <v>899.50451210664403</v>
      </c>
      <c r="S165" s="60">
        <f t="shared" si="105"/>
        <v>440.98157247269842</v>
      </c>
      <c r="T165" s="60">
        <f t="shared" si="105"/>
        <v>1438.767096572293</v>
      </c>
      <c r="U165" s="60">
        <f t="shared" si="105"/>
        <v>1133.9345013175162</v>
      </c>
      <c r="V165" s="60">
        <f t="shared" si="105"/>
        <v>7269.6736757628196</v>
      </c>
      <c r="W165" s="60">
        <f t="shared" si="105"/>
        <v>14039.733771396981</v>
      </c>
      <c r="X165" s="60">
        <f t="shared" si="105"/>
        <v>20841.021311247456</v>
      </c>
      <c r="Y165" s="60">
        <f t="shared" si="105"/>
        <v>18468.558736150451</v>
      </c>
      <c r="Z165" s="60">
        <f t="shared" si="105"/>
        <v>20004.107935419208</v>
      </c>
      <c r="AA165" s="60">
        <f t="shared" si="105"/>
        <v>18885.194052260853</v>
      </c>
      <c r="AB165" s="60">
        <f t="shared" si="105"/>
        <v>20985.906473989249</v>
      </c>
      <c r="AC165" s="60">
        <f t="shared" si="105"/>
        <v>7877.5937370508618</v>
      </c>
      <c r="AD165" s="60">
        <f t="shared" si="105"/>
        <v>4255.2010700577903</v>
      </c>
      <c r="AE165" s="60">
        <f t="shared" si="105"/>
        <v>966.72799974093175</v>
      </c>
      <c r="AF165" s="60">
        <f t="shared" si="105"/>
        <v>303.54799545879268</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10065.543251576082</v>
      </c>
      <c r="C169" s="26">
        <f>INDEX(Comparison!$AM$3:$AS$33,G$14,$C$122)</f>
        <v>9708.7484211633309</v>
      </c>
      <c r="D169" s="26">
        <f>INDEX(Comparison!$AM$3:$AS$33,H$14,$C$122)</f>
        <v>9504.080552546171</v>
      </c>
      <c r="E169" s="26">
        <f>INDEX(Comparison!$AM$3:$AS$33,I$14,$C$122)</f>
        <v>9297.6034614201999</v>
      </c>
      <c r="F169" s="26">
        <f>INDEX(Comparison!$AM$3:$AS$33,J$14,$C$122)</f>
        <v>9077.0448832845814</v>
      </c>
      <c r="G169" s="26">
        <f>INDEX(Comparison!$AM$3:$AS$33,K$14,$C$122)</f>
        <v>8833.9901329277236</v>
      </c>
      <c r="H169" s="26">
        <f>INDEX(Comparison!$AM$3:$AS$33,L$14,$C$122)</f>
        <v>8570.1980588932365</v>
      </c>
      <c r="I169" s="26">
        <f>INDEX(Comparison!$AM$3:$AS$33,M$14,$C$122)</f>
        <v>8282.9223634397895</v>
      </c>
      <c r="J169" s="26">
        <f>INDEX(Comparison!$AM$3:$AS$33,N$14,$C$122)</f>
        <v>7993.641154385381</v>
      </c>
      <c r="K169" s="26">
        <f>INDEX(Comparison!$AM$3:$AS$33,O$14,$C$122)</f>
        <v>7722.5102431706819</v>
      </c>
      <c r="L169" s="26">
        <f>INDEX(Comparison!$AM$3:$AS$33,P$14,$C$122)</f>
        <v>7411.9254661857585</v>
      </c>
      <c r="M169" s="26">
        <f>INDEX(Comparison!$AM$3:$AS$33,Q$14,$C$122)</f>
        <v>7044.5082173262499</v>
      </c>
      <c r="N169" s="26">
        <f>INDEX(Comparison!$AM$3:$AS$33,R$14,$C$122)</f>
        <v>6664.4913259208079</v>
      </c>
      <c r="O169" s="26">
        <f>INDEX(Comparison!$AM$3:$AS$33,S$14,$C$122)</f>
        <v>6341.2106146502829</v>
      </c>
      <c r="P169" s="26">
        <f>INDEX(Comparison!$AM$3:$AS$33,T$14,$C$122)</f>
        <v>6057.8856031721252</v>
      </c>
      <c r="Q169" s="26">
        <f>INDEX(Comparison!$AM$3:$AS$33,U$14,$C$122)</f>
        <v>5776.2920069159836</v>
      </c>
      <c r="R169" s="26">
        <f>INDEX(Comparison!$AM$3:$AS$33,V$14,$C$122)</f>
        <v>5493.3830678495879</v>
      </c>
      <c r="S169" s="26">
        <f>INDEX(Comparison!$AM$3:$AS$33,W$14,$C$122)</f>
        <v>5215.5329419319251</v>
      </c>
      <c r="T169" s="26">
        <f>INDEX(Comparison!$AM$3:$AS$33,X$14,$C$122)</f>
        <v>4897.7071873573095</v>
      </c>
      <c r="U169" s="26">
        <f>INDEX(Comparison!$AM$3:$AS$33,Y$14,$C$122)</f>
        <v>4495.7217042422935</v>
      </c>
      <c r="V169" s="26">
        <f>INDEX(Comparison!$AM$3:$AS$33,Z$14,$C$122)</f>
        <v>4059.1954090175182</v>
      </c>
      <c r="W169" s="26">
        <f>INDEX(Comparison!$AM$3:$AS$33,AA$14,$C$122)</f>
        <v>3597.5805592338243</v>
      </c>
      <c r="X169" s="26">
        <f>INDEX(Comparison!$AM$3:$AS$33,AB$14,$C$122)</f>
        <v>3113.2980023229825</v>
      </c>
      <c r="Y169" s="26">
        <f>INDEX(Comparison!$AM$3:$AS$33,AC$14,$C$122)</f>
        <v>2587.1664421745386</v>
      </c>
      <c r="Z169" s="26">
        <f>INDEX(Comparison!$AM$3:$AS$33,AD$14,$C$122)</f>
        <v>2025.5491425769458</v>
      </c>
      <c r="AA169" s="26">
        <f>INDEX(Comparison!$AM$3:$AS$33,AE$14,$C$122)</f>
        <v>1488.3947775442189</v>
      </c>
      <c r="AB169" s="26">
        <f>INDEX(Comparison!$AM$3:$AS$33,AF$14,$C$122)</f>
        <v>1075.2839868020503</v>
      </c>
      <c r="AC169" s="26">
        <f>INDEX(Comparison!$AM$3:$AS$33,AG$14,$C$122)</f>
        <v>799.60727676982128</v>
      </c>
      <c r="AD169" s="26">
        <f>INDEX(Comparison!$AM$3:$AS$33,AH$14,$C$122)</f>
        <v>660.84412890819806</v>
      </c>
      <c r="AE169" s="26">
        <f>INDEX(Comparison!$AM$3:$AS$33,AI$14,$C$122)</f>
        <v>587.16779346403064</v>
      </c>
      <c r="AF169" s="26">
        <f>INDEX(Comparison!$AM$3:$AS$33,AJ$14,$C$122)</f>
        <v>551.91226878266252</v>
      </c>
      <c r="AG169" s="26"/>
      <c r="AH169" s="26"/>
    </row>
    <row r="170" spans="1:34" x14ac:dyDescent="0.25">
      <c r="A170" s="70" t="s">
        <v>22</v>
      </c>
      <c r="B170" s="27">
        <f>($C$17+SUM(B171:B201))*$B$51</f>
        <v>9194.1225588300022</v>
      </c>
      <c r="C170" s="27">
        <f t="shared" ref="C170:AF170" si="106">($C$17+SUM(C171:C201))*$B$51</f>
        <v>9194.0618918636337</v>
      </c>
      <c r="D170" s="27">
        <f t="shared" si="106"/>
        <v>9193.4556013981364</v>
      </c>
      <c r="E170" s="27">
        <f t="shared" si="106"/>
        <v>9187.4304520536898</v>
      </c>
      <c r="F170" s="27">
        <f t="shared" si="106"/>
        <v>9130.79523449925</v>
      </c>
      <c r="G170" s="27">
        <f t="shared" si="106"/>
        <v>8808.0637572715023</v>
      </c>
      <c r="H170" s="27">
        <f t="shared" si="106"/>
        <v>8530.3264106465831</v>
      </c>
      <c r="I170" s="27">
        <f t="shared" si="106"/>
        <v>8256.829107064319</v>
      </c>
      <c r="J170" s="27">
        <f t="shared" si="106"/>
        <v>7968.7571791510018</v>
      </c>
      <c r="K170" s="27">
        <f t="shared" si="106"/>
        <v>7698.2700547634831</v>
      </c>
      <c r="L170" s="27">
        <f t="shared" si="106"/>
        <v>7391.1356361949647</v>
      </c>
      <c r="M170" s="27">
        <f t="shared" si="106"/>
        <v>7026.0550638961195</v>
      </c>
      <c r="N170" s="27">
        <f t="shared" si="106"/>
        <v>6645.7860855294512</v>
      </c>
      <c r="O170" s="27">
        <f t="shared" si="106"/>
        <v>6316.5086341186006</v>
      </c>
      <c r="P170" s="27">
        <f t="shared" si="106"/>
        <v>6038.1174722986561</v>
      </c>
      <c r="Q170" s="27">
        <f t="shared" si="106"/>
        <v>5752.1327719383562</v>
      </c>
      <c r="R170" s="27">
        <f t="shared" si="106"/>
        <v>5468.2439356859413</v>
      </c>
      <c r="S170" s="27">
        <f t="shared" si="106"/>
        <v>5196.3257357501107</v>
      </c>
      <c r="T170" s="27">
        <f t="shared" si="106"/>
        <v>4892.9166252975365</v>
      </c>
      <c r="U170" s="27">
        <f t="shared" si="106"/>
        <v>4533.5848025067553</v>
      </c>
      <c r="V170" s="27">
        <f t="shared" si="106"/>
        <v>4108.5603756678865</v>
      </c>
      <c r="W170" s="27">
        <f t="shared" si="106"/>
        <v>3639.9052033233279</v>
      </c>
      <c r="X170" s="27">
        <f t="shared" si="106"/>
        <v>3131.6343166156953</v>
      </c>
      <c r="Y170" s="27">
        <f t="shared" si="106"/>
        <v>2604.9220630854652</v>
      </c>
      <c r="Z170" s="27">
        <f t="shared" si="106"/>
        <v>2012.6019444113717</v>
      </c>
      <c r="AA170" s="27">
        <f t="shared" si="106"/>
        <v>1533.6260399238188</v>
      </c>
      <c r="AB170" s="27">
        <f t="shared" si="106"/>
        <v>1075.3368187933006</v>
      </c>
      <c r="AC170" s="27">
        <f t="shared" si="106"/>
        <v>801.68936388856037</v>
      </c>
      <c r="AD170" s="27">
        <f t="shared" si="106"/>
        <v>660.11940477423752</v>
      </c>
      <c r="AE170" s="27">
        <f t="shared" si="106"/>
        <v>585.67693185278642</v>
      </c>
      <c r="AF170" s="27">
        <f t="shared" si="106"/>
        <v>553.83277038263009</v>
      </c>
      <c r="AG170" s="27"/>
      <c r="AH170" s="27"/>
    </row>
    <row r="171" spans="1:34" x14ac:dyDescent="0.25">
      <c r="B171" s="3">
        <f t="shared" ref="B171:AF171" si="107">$C18*EXP(-B$168/$A18/EXP(-$C$126))</f>
        <v>5.8430805420821098E-24</v>
      </c>
      <c r="C171" s="3">
        <f t="shared" si="107"/>
        <v>5.8308510543832994E-224</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4.8503034393550387E-2</v>
      </c>
      <c r="C172" s="3">
        <f t="shared" si="108"/>
        <v>4.849731311800147E-2</v>
      </c>
      <c r="D172" s="3">
        <f t="shared" si="108"/>
        <v>4.8440137466948259E-2</v>
      </c>
      <c r="E172" s="3">
        <f t="shared" si="108"/>
        <v>4.7872075256134114E-2</v>
      </c>
      <c r="F172" s="3">
        <f t="shared" si="108"/>
        <v>4.2545254983590665E-2</v>
      </c>
      <c r="G172" s="3">
        <f t="shared" si="108"/>
        <v>1.3077956648322701E-2</v>
      </c>
      <c r="H172" s="3">
        <f t="shared" si="108"/>
        <v>9.8498024240941203E-8</v>
      </c>
      <c r="I172" s="3">
        <f t="shared" si="108"/>
        <v>5.7850055028839064E-59</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1.870431399063072E-2</v>
      </c>
      <c r="C173" s="3">
        <f t="shared" si="109"/>
        <v>1.870411495279739E-2</v>
      </c>
      <c r="D173" s="3">
        <f t="shared" si="109"/>
        <v>1.87021246909513E-2</v>
      </c>
      <c r="E173" s="3">
        <f t="shared" si="109"/>
        <v>1.8682233716628083E-2</v>
      </c>
      <c r="F173" s="3">
        <f t="shared" si="109"/>
        <v>1.8484483815545745E-2</v>
      </c>
      <c r="G173" s="3">
        <f t="shared" si="109"/>
        <v>1.6618529472912653E-2</v>
      </c>
      <c r="H173" s="3">
        <f t="shared" si="109"/>
        <v>5.7338355809909251E-3</v>
      </c>
      <c r="I173" s="3">
        <f t="shared" si="109"/>
        <v>1.3707923491156953E-7</v>
      </c>
      <c r="J173" s="3">
        <f t="shared" si="109"/>
        <v>8.3605728784558982E-54</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3.3573459010108095E-2</v>
      </c>
      <c r="C174" s="3">
        <f t="shared" si="110"/>
        <v>3.3573426781716473E-2</v>
      </c>
      <c r="D174" s="3">
        <f t="shared" si="110"/>
        <v>3.3573104499501787E-2</v>
      </c>
      <c r="E174" s="3">
        <f t="shared" si="110"/>
        <v>3.3569881847503022E-2</v>
      </c>
      <c r="F174" s="3">
        <f t="shared" si="110"/>
        <v>3.3537672336287107E-2</v>
      </c>
      <c r="G174" s="3">
        <f t="shared" si="110"/>
        <v>3.3217272075657008E-2</v>
      </c>
      <c r="H174" s="3">
        <f t="shared" si="110"/>
        <v>3.0176886365373093E-2</v>
      </c>
      <c r="I174" s="3">
        <f t="shared" si="110"/>
        <v>1.1555242527223956E-2</v>
      </c>
      <c r="J174" s="3">
        <f t="shared" si="110"/>
        <v>7.8311481720783545E-7</v>
      </c>
      <c r="K174" s="3">
        <f t="shared" si="110"/>
        <v>1.6006235521656556E-48</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2.7431862864604899E-2</v>
      </c>
      <c r="C175" s="3">
        <f t="shared" si="111"/>
        <v>2.7431860489161831E-2</v>
      </c>
      <c r="D175" s="3">
        <f t="shared" si="111"/>
        <v>2.7431836734742483E-2</v>
      </c>
      <c r="E175" s="3">
        <f t="shared" si="111"/>
        <v>2.743159919168036E-2</v>
      </c>
      <c r="F175" s="3">
        <f t="shared" si="111"/>
        <v>2.7429223874190032E-2</v>
      </c>
      <c r="G175" s="3">
        <f t="shared" si="111"/>
        <v>2.7405482008752313E-2</v>
      </c>
      <c r="H175" s="3">
        <f t="shared" si="111"/>
        <v>2.7169190685771661E-2</v>
      </c>
      <c r="I175" s="3">
        <f t="shared" si="111"/>
        <v>2.4915480781507834E-2</v>
      </c>
      <c r="J175" s="3">
        <f t="shared" si="111"/>
        <v>1.0480813009944001E-2</v>
      </c>
      <c r="K175" s="3">
        <f t="shared" si="111"/>
        <v>1.8182432354251089E-6</v>
      </c>
      <c r="L175" s="3">
        <f t="shared" si="111"/>
        <v>4.4897489570627724E-44</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2.7107661028272438E-2</v>
      </c>
      <c r="C176" s="3">
        <f t="shared" si="112"/>
        <v>2.7107660816520215E-2</v>
      </c>
      <c r="D176" s="3">
        <f t="shared" si="112"/>
        <v>2.7107658698998074E-2</v>
      </c>
      <c r="E176" s="3">
        <f t="shared" si="112"/>
        <v>2.7107637523785741E-2</v>
      </c>
      <c r="F176" s="3">
        <f t="shared" si="112"/>
        <v>2.7107425772572157E-2</v>
      </c>
      <c r="G176" s="3">
        <f t="shared" si="112"/>
        <v>2.7105308351409362E-2</v>
      </c>
      <c r="H176" s="3">
        <f t="shared" si="112"/>
        <v>2.7084143234455575E-2</v>
      </c>
      <c r="I176" s="3">
        <f t="shared" si="112"/>
        <v>2.6873398909215199E-2</v>
      </c>
      <c r="J176" s="3">
        <f t="shared" si="112"/>
        <v>2.4854072933634674E-2</v>
      </c>
      <c r="K176" s="3">
        <f t="shared" si="112"/>
        <v>1.1380131072931442E-2</v>
      </c>
      <c r="L176" s="3">
        <f t="shared" si="112"/>
        <v>4.6093981321370218E-6</v>
      </c>
      <c r="M176" s="3">
        <f t="shared" si="112"/>
        <v>5.4778961524004489E-40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3.4301565920524899E-2</v>
      </c>
      <c r="C177" s="3">
        <f t="shared" si="113"/>
        <v>3.4301565896353796E-2</v>
      </c>
      <c r="D177" s="3">
        <f t="shared" si="113"/>
        <v>3.4301565654642763E-2</v>
      </c>
      <c r="E177" s="3">
        <f t="shared" si="113"/>
        <v>3.4301563237532549E-2</v>
      </c>
      <c r="F177" s="3">
        <f t="shared" si="113"/>
        <v>3.4301539066439783E-2</v>
      </c>
      <c r="G177" s="3">
        <f t="shared" si="113"/>
        <v>3.4301297356448872E-2</v>
      </c>
      <c r="H177" s="3">
        <f t="shared" si="113"/>
        <v>3.4298880350215936E-2</v>
      </c>
      <c r="I177" s="3">
        <f t="shared" si="113"/>
        <v>3.4274719653061218E-2</v>
      </c>
      <c r="J177" s="3">
        <f t="shared" si="113"/>
        <v>3.4034046761830312E-2</v>
      </c>
      <c r="K177" s="3">
        <f t="shared" si="113"/>
        <v>3.171833571577632E-2</v>
      </c>
      <c r="L177" s="3">
        <f t="shared" si="113"/>
        <v>1.5677557205565323E-2</v>
      </c>
      <c r="M177" s="3">
        <f t="shared" si="113"/>
        <v>1.3644524974720315E-5</v>
      </c>
      <c r="N177" s="3">
        <f t="shared" si="113"/>
        <v>3.402190950615708E-36</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4.0817755582001652E-2</v>
      </c>
      <c r="C178" s="3">
        <f t="shared" si="114"/>
        <v>4.0817755579406999E-2</v>
      </c>
      <c r="D178" s="3">
        <f t="shared" si="114"/>
        <v>4.0817755553460532E-2</v>
      </c>
      <c r="E178" s="3">
        <f t="shared" si="114"/>
        <v>4.081775529399586E-2</v>
      </c>
      <c r="F178" s="3">
        <f t="shared" si="114"/>
        <v>4.0817752699349223E-2</v>
      </c>
      <c r="G178" s="3">
        <f t="shared" si="114"/>
        <v>4.0817726752891907E-2</v>
      </c>
      <c r="H178" s="3">
        <f t="shared" si="114"/>
        <v>4.0817467289225841E-2</v>
      </c>
      <c r="I178" s="3">
        <f t="shared" si="114"/>
        <v>4.0814872743275936E-2</v>
      </c>
      <c r="J178" s="3">
        <f t="shared" si="114"/>
        <v>4.078893635271743E-2</v>
      </c>
      <c r="K178" s="3">
        <f t="shared" si="114"/>
        <v>4.0530477211825518E-2</v>
      </c>
      <c r="L178" s="3">
        <f t="shared" si="114"/>
        <v>3.8034269995972349E-2</v>
      </c>
      <c r="M178" s="3">
        <f t="shared" si="114"/>
        <v>2.0142286272566191E-2</v>
      </c>
      <c r="N178" s="3">
        <f t="shared" si="114"/>
        <v>3.4949869128921854E-5</v>
      </c>
      <c r="O178" s="3">
        <f t="shared" si="114"/>
        <v>8.6459645686859324E-33</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3.8228361614545688E-2</v>
      </c>
      <c r="C179" s="3">
        <f t="shared" si="115"/>
        <v>3.8228361614326474E-2</v>
      </c>
      <c r="D179" s="3">
        <f t="shared" si="115"/>
        <v>3.8228361612134373E-2</v>
      </c>
      <c r="E179" s="3">
        <f t="shared" si="115"/>
        <v>3.8228361590213318E-2</v>
      </c>
      <c r="F179" s="3">
        <f t="shared" si="115"/>
        <v>3.82283613710028E-2</v>
      </c>
      <c r="G179" s="3">
        <f t="shared" si="115"/>
        <v>3.8228359178897671E-2</v>
      </c>
      <c r="H179" s="3">
        <f t="shared" si="115"/>
        <v>3.8228337257853323E-2</v>
      </c>
      <c r="I179" s="3">
        <f t="shared" si="115"/>
        <v>3.8228118048101223E-2</v>
      </c>
      <c r="J179" s="3">
        <f t="shared" si="115"/>
        <v>3.8225926019713849E-2</v>
      </c>
      <c r="K179" s="3">
        <f t="shared" si="115"/>
        <v>3.8204012647739573E-2</v>
      </c>
      <c r="L179" s="3">
        <f t="shared" si="115"/>
        <v>3.7985568653715135E-2</v>
      </c>
      <c r="M179" s="3">
        <f t="shared" si="115"/>
        <v>3.5868660090963927E-2</v>
      </c>
      <c r="N179" s="3">
        <f t="shared" si="115"/>
        <v>2.0215308129925617E-2</v>
      </c>
      <c r="O179" s="3">
        <f t="shared" si="115"/>
        <v>6.5363076410406123E-5</v>
      </c>
      <c r="P179" s="3">
        <f t="shared" si="115"/>
        <v>8.1630729533465884E-30</v>
      </c>
      <c r="Q179" s="3">
        <f t="shared" si="115"/>
        <v>7.5346938136033163E-279</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2.803543418769033E-2</v>
      </c>
      <c r="C180" s="3">
        <f t="shared" si="116"/>
        <v>2.8035434187675831E-2</v>
      </c>
      <c r="D180" s="3">
        <f t="shared" si="116"/>
        <v>2.8035434187530808E-2</v>
      </c>
      <c r="E180" s="3">
        <f t="shared" si="116"/>
        <v>2.8035434186080604E-2</v>
      </c>
      <c r="F180" s="3">
        <f t="shared" si="116"/>
        <v>2.8035434171578548E-2</v>
      </c>
      <c r="G180" s="3">
        <f t="shared" si="116"/>
        <v>2.8035434026557986E-2</v>
      </c>
      <c r="H180" s="3">
        <f t="shared" si="116"/>
        <v>2.8035432576352409E-2</v>
      </c>
      <c r="I180" s="3">
        <f t="shared" si="116"/>
        <v>2.8035418074300763E-2</v>
      </c>
      <c r="J180" s="3">
        <f t="shared" si="116"/>
        <v>2.8035273054196896E-2</v>
      </c>
      <c r="K180" s="3">
        <f t="shared" si="116"/>
        <v>2.8033822894415958E-2</v>
      </c>
      <c r="L180" s="3">
        <f t="shared" si="116"/>
        <v>2.8019325421590118E-2</v>
      </c>
      <c r="M180" s="3">
        <f t="shared" si="116"/>
        <v>2.7874762403287595E-2</v>
      </c>
      <c r="N180" s="3">
        <f t="shared" si="116"/>
        <v>2.646952601954582E-2</v>
      </c>
      <c r="O180" s="3">
        <f t="shared" si="116"/>
        <v>1.5779602836742002E-2</v>
      </c>
      <c r="P180" s="3">
        <f t="shared" si="116"/>
        <v>8.9453039660707863E-5</v>
      </c>
      <c r="Q180" s="3">
        <f t="shared" si="116"/>
        <v>3.0660938851104419E-27</v>
      </c>
      <c r="R180" s="3">
        <f t="shared" si="116"/>
        <v>6.8626035722938589E-252</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2.888869802793731E-2</v>
      </c>
      <c r="C181" s="3">
        <f t="shared" si="117"/>
        <v>2.888869802793596E-2</v>
      </c>
      <c r="D181" s="3">
        <f t="shared" si="117"/>
        <v>2.8888698027922481E-2</v>
      </c>
      <c r="E181" s="3">
        <f t="shared" si="117"/>
        <v>2.8888698027787679E-2</v>
      </c>
      <c r="F181" s="3">
        <f t="shared" si="117"/>
        <v>2.8888698026439657E-2</v>
      </c>
      <c r="G181" s="3">
        <f t="shared" si="117"/>
        <v>2.888869801295944E-2</v>
      </c>
      <c r="H181" s="3">
        <f t="shared" si="117"/>
        <v>2.8888697878157281E-2</v>
      </c>
      <c r="I181" s="3">
        <f t="shared" si="117"/>
        <v>2.8888696530135694E-2</v>
      </c>
      <c r="J181" s="3">
        <f t="shared" si="117"/>
        <v>2.8888683049923314E-2</v>
      </c>
      <c r="K181" s="3">
        <f t="shared" si="117"/>
        <v>2.8888548248145456E-2</v>
      </c>
      <c r="L181" s="3">
        <f t="shared" si="117"/>
        <v>2.8887200264962432E-2</v>
      </c>
      <c r="M181" s="3">
        <f t="shared" si="117"/>
        <v>2.8873723892088875E-2</v>
      </c>
      <c r="N181" s="3">
        <f t="shared" si="117"/>
        <v>2.8739305462574902E-2</v>
      </c>
      <c r="O181" s="3">
        <f t="shared" si="117"/>
        <v>2.7429062292889481E-2</v>
      </c>
      <c r="P181" s="3">
        <f t="shared" si="117"/>
        <v>1.7201165904758283E-2</v>
      </c>
      <c r="Q181" s="3">
        <f t="shared" si="117"/>
        <v>1.6181810947395327E-4</v>
      </c>
      <c r="R181" s="3">
        <f t="shared" si="117"/>
        <v>8.7845497467672965E-25</v>
      </c>
      <c r="S181" s="3">
        <f t="shared" si="117"/>
        <v>1.9527351441413105E-227</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3.0018666279788372E-2</v>
      </c>
      <c r="C182" s="3">
        <f t="shared" si="118"/>
        <v>3.0018666279788248E-2</v>
      </c>
      <c r="D182" s="3">
        <f t="shared" si="118"/>
        <v>3.0018666279786985E-2</v>
      </c>
      <c r="E182" s="3">
        <f t="shared" si="118"/>
        <v>3.0018666279774345E-2</v>
      </c>
      <c r="F182" s="3">
        <f t="shared" si="118"/>
        <v>3.0018666279647988E-2</v>
      </c>
      <c r="G182" s="3">
        <f t="shared" si="118"/>
        <v>3.0018666278384395E-2</v>
      </c>
      <c r="H182" s="3">
        <f t="shared" si="118"/>
        <v>3.0018666265748475E-2</v>
      </c>
      <c r="I182" s="3">
        <f t="shared" si="118"/>
        <v>3.0018666139389274E-2</v>
      </c>
      <c r="J182" s="3">
        <f t="shared" si="118"/>
        <v>3.0018664875797293E-2</v>
      </c>
      <c r="K182" s="3">
        <f t="shared" si="118"/>
        <v>3.001865223988039E-2</v>
      </c>
      <c r="L182" s="3">
        <f t="shared" si="118"/>
        <v>3.0018525881003913E-2</v>
      </c>
      <c r="M182" s="3">
        <f t="shared" si="118"/>
        <v>3.0017262321492644E-2</v>
      </c>
      <c r="N182" s="3">
        <f t="shared" si="118"/>
        <v>3.0004629651272308E-2</v>
      </c>
      <c r="O182" s="3">
        <f t="shared" si="118"/>
        <v>2.9878594983277901E-2</v>
      </c>
      <c r="P182" s="3">
        <f t="shared" si="118"/>
        <v>2.8647001968036736E-2</v>
      </c>
      <c r="Q182" s="3">
        <f t="shared" si="118"/>
        <v>1.8804822744284012E-2</v>
      </c>
      <c r="R182" s="3">
        <f t="shared" si="118"/>
        <v>2.7936365621922639E-4</v>
      </c>
      <c r="S182" s="3">
        <f t="shared" si="118"/>
        <v>1.4627716166437016E-22</v>
      </c>
      <c r="T182" s="3">
        <f t="shared" si="118"/>
        <v>2.2659102964411097E-205</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2.6688629032373488E-2</v>
      </c>
      <c r="C183" s="3">
        <f t="shared" si="119"/>
        <v>2.6688629032373477E-2</v>
      </c>
      <c r="D183" s="3">
        <f t="shared" si="119"/>
        <v>2.6688629032373377E-2</v>
      </c>
      <c r="E183" s="3">
        <f t="shared" si="119"/>
        <v>2.668862903237236E-2</v>
      </c>
      <c r="F183" s="3">
        <f t="shared" si="119"/>
        <v>2.6688629032362229E-2</v>
      </c>
      <c r="G183" s="3">
        <f t="shared" si="119"/>
        <v>2.6688629032260887E-2</v>
      </c>
      <c r="H183" s="3">
        <f t="shared" si="119"/>
        <v>2.6688629031247468E-2</v>
      </c>
      <c r="I183" s="3">
        <f t="shared" si="119"/>
        <v>2.6688629021113297E-2</v>
      </c>
      <c r="J183" s="3">
        <f t="shared" si="119"/>
        <v>2.668862891977156E-2</v>
      </c>
      <c r="K183" s="3">
        <f t="shared" si="119"/>
        <v>2.6688627906354234E-2</v>
      </c>
      <c r="L183" s="3">
        <f t="shared" si="119"/>
        <v>2.6688617772183062E-2</v>
      </c>
      <c r="M183" s="3">
        <f t="shared" si="119"/>
        <v>2.6688516430683026E-2</v>
      </c>
      <c r="N183" s="3">
        <f t="shared" si="119"/>
        <v>2.6687503036847048E-2</v>
      </c>
      <c r="O183" s="3">
        <f t="shared" si="119"/>
        <v>2.6677371214631707E-2</v>
      </c>
      <c r="P183" s="3">
        <f t="shared" si="119"/>
        <v>2.6576264309911748E-2</v>
      </c>
      <c r="Q183" s="3">
        <f t="shared" si="119"/>
        <v>2.5586033105017874E-2</v>
      </c>
      <c r="R183" s="3">
        <f t="shared" si="119"/>
        <v>1.750222202722411E-2</v>
      </c>
      <c r="S183" s="3">
        <f t="shared" si="119"/>
        <v>3.9264086937759263E-4</v>
      </c>
      <c r="T183" s="3">
        <f t="shared" si="119"/>
        <v>1.2677062768488529E-20</v>
      </c>
      <c r="U183" s="3">
        <f t="shared" si="119"/>
        <v>1.5604505868782394E-185</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2.9107380567630754E-2</v>
      </c>
      <c r="C184" s="3">
        <f t="shared" si="120"/>
        <v>2.9107380567630754E-2</v>
      </c>
      <c r="D184" s="3">
        <f t="shared" si="120"/>
        <v>2.9107380567630743E-2</v>
      </c>
      <c r="E184" s="3">
        <f t="shared" si="120"/>
        <v>2.9107380567630643E-2</v>
      </c>
      <c r="F184" s="3">
        <f t="shared" si="120"/>
        <v>2.9107380567629647E-2</v>
      </c>
      <c r="G184" s="3">
        <f t="shared" si="120"/>
        <v>2.9107380567619676E-2</v>
      </c>
      <c r="H184" s="3">
        <f t="shared" si="120"/>
        <v>2.9107380567519971E-2</v>
      </c>
      <c r="I184" s="3">
        <f t="shared" si="120"/>
        <v>2.9107380566522935E-2</v>
      </c>
      <c r="J184" s="3">
        <f t="shared" si="120"/>
        <v>2.9107380556552553E-2</v>
      </c>
      <c r="K184" s="3">
        <f t="shared" si="120"/>
        <v>2.9107380456848735E-2</v>
      </c>
      <c r="L184" s="3">
        <f t="shared" si="120"/>
        <v>2.9107379459810581E-2</v>
      </c>
      <c r="M184" s="3">
        <f t="shared" si="120"/>
        <v>2.9107369489430941E-2</v>
      </c>
      <c r="N184" s="3">
        <f t="shared" si="120"/>
        <v>2.9107269785822367E-2</v>
      </c>
      <c r="O184" s="3">
        <f t="shared" si="120"/>
        <v>2.910627276852016E-2</v>
      </c>
      <c r="P184" s="3">
        <f t="shared" si="120"/>
        <v>2.9096304473612201E-2</v>
      </c>
      <c r="Q184" s="3">
        <f t="shared" si="120"/>
        <v>2.8996809098133704E-2</v>
      </c>
      <c r="R184" s="3">
        <f t="shared" si="120"/>
        <v>2.8020377136939278E-2</v>
      </c>
      <c r="S184" s="3">
        <f t="shared" si="120"/>
        <v>1.9893520503081866E-2</v>
      </c>
      <c r="T184" s="3">
        <f t="shared" si="120"/>
        <v>6.4727426643646283E-4</v>
      </c>
      <c r="U184" s="3">
        <f t="shared" si="120"/>
        <v>8.6070691981677912E-19</v>
      </c>
      <c r="V184" s="3">
        <f t="shared" si="120"/>
        <v>1.4877324243795306E-167</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3.4462873235499507E-2</v>
      </c>
      <c r="C185" s="3">
        <f t="shared" si="121"/>
        <v>3.4462873235499507E-2</v>
      </c>
      <c r="D185" s="3">
        <f t="shared" si="121"/>
        <v>3.4462873235499507E-2</v>
      </c>
      <c r="E185" s="3">
        <f t="shared" si="121"/>
        <v>3.4462873235499493E-2</v>
      </c>
      <c r="F185" s="3">
        <f t="shared" si="121"/>
        <v>3.4462873235499389E-2</v>
      </c>
      <c r="G185" s="3">
        <f t="shared" si="121"/>
        <v>3.4462873235498327E-2</v>
      </c>
      <c r="H185" s="3">
        <f t="shared" si="121"/>
        <v>3.4462873235487676E-2</v>
      </c>
      <c r="I185" s="3">
        <f t="shared" si="121"/>
        <v>3.4462873235381185E-2</v>
      </c>
      <c r="J185" s="3">
        <f t="shared" si="121"/>
        <v>3.4462873234316287E-2</v>
      </c>
      <c r="K185" s="3">
        <f t="shared" si="121"/>
        <v>3.446287322366734E-2</v>
      </c>
      <c r="L185" s="3">
        <f t="shared" si="121"/>
        <v>3.4462873117177856E-2</v>
      </c>
      <c r="M185" s="3">
        <f t="shared" si="121"/>
        <v>3.4462872052283003E-2</v>
      </c>
      <c r="N185" s="3">
        <f t="shared" si="121"/>
        <v>3.4462861403336299E-2</v>
      </c>
      <c r="O185" s="3">
        <f t="shared" si="121"/>
        <v>3.4462754914050236E-2</v>
      </c>
      <c r="P185" s="3">
        <f t="shared" si="121"/>
        <v>3.446169003928716E-2</v>
      </c>
      <c r="Q185" s="3">
        <f t="shared" si="121"/>
        <v>3.4451043101201881E-2</v>
      </c>
      <c r="R185" s="3">
        <f t="shared" si="121"/>
        <v>3.4344754468187001E-2</v>
      </c>
      <c r="S185" s="3">
        <f t="shared" si="121"/>
        <v>3.3299737971237857E-2</v>
      </c>
      <c r="T185" s="3">
        <f t="shared" si="121"/>
        <v>2.4448083389896146E-2</v>
      </c>
      <c r="U185" s="3">
        <f t="shared" si="121"/>
        <v>1.1124611137542551E-3</v>
      </c>
      <c r="V185" s="3">
        <f t="shared" si="121"/>
        <v>4.2333584961498162E-17</v>
      </c>
      <c r="W185" s="3">
        <f t="shared" si="121"/>
        <v>2.6957966755160591E-151</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4.2396011613293615E-2</v>
      </c>
      <c r="C186" s="3">
        <f t="shared" si="122"/>
        <v>4.2396011613293615E-2</v>
      </c>
      <c r="D186" s="3">
        <f t="shared" si="122"/>
        <v>4.2396011613293615E-2</v>
      </c>
      <c r="E186" s="3">
        <f t="shared" si="122"/>
        <v>4.2396011613293615E-2</v>
      </c>
      <c r="F186" s="3">
        <f t="shared" si="122"/>
        <v>4.2396011613293601E-2</v>
      </c>
      <c r="G186" s="3">
        <f t="shared" si="122"/>
        <v>4.2396011613293483E-2</v>
      </c>
      <c r="H186" s="3">
        <f t="shared" si="122"/>
        <v>4.2396011613292303E-2</v>
      </c>
      <c r="I186" s="3">
        <f t="shared" si="122"/>
        <v>4.2396011613280479E-2</v>
      </c>
      <c r="J186" s="3">
        <f t="shared" si="122"/>
        <v>4.239601161316231E-2</v>
      </c>
      <c r="K186" s="3">
        <f t="shared" si="122"/>
        <v>4.2396011611980554E-2</v>
      </c>
      <c r="L186" s="3">
        <f t="shared" si="122"/>
        <v>4.2396011600163021E-2</v>
      </c>
      <c r="M186" s="3">
        <f t="shared" si="122"/>
        <v>4.2396011481987683E-2</v>
      </c>
      <c r="N186" s="3">
        <f t="shared" si="122"/>
        <v>4.2396010300234349E-2</v>
      </c>
      <c r="O186" s="3">
        <f t="shared" si="122"/>
        <v>4.2395998482702743E-2</v>
      </c>
      <c r="P186" s="3">
        <f t="shared" si="122"/>
        <v>4.2395880307567912E-2</v>
      </c>
      <c r="Q186" s="3">
        <f t="shared" si="122"/>
        <v>4.2394698574336594E-2</v>
      </c>
      <c r="R186" s="3">
        <f t="shared" si="122"/>
        <v>4.2382883053537108E-2</v>
      </c>
      <c r="S186" s="3">
        <f t="shared" si="122"/>
        <v>4.2264908810218008E-2</v>
      </c>
      <c r="T186" s="3">
        <f t="shared" si="122"/>
        <v>4.1103077591151449E-2</v>
      </c>
      <c r="U186" s="3">
        <f t="shared" si="122"/>
        <v>3.1104153515399406E-2</v>
      </c>
      <c r="V186" s="3">
        <f t="shared" si="122"/>
        <v>1.9153971867902364E-3</v>
      </c>
      <c r="W186" s="3">
        <f t="shared" si="122"/>
        <v>1.5019775114791464E-15</v>
      </c>
      <c r="X186" s="3">
        <f t="shared" si="122"/>
        <v>1.3204114447228037E-136</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4.6864772655648361E-2</v>
      </c>
      <c r="C187" s="3">
        <f t="shared" si="123"/>
        <v>4.6864772655648361E-2</v>
      </c>
      <c r="D187" s="3">
        <f t="shared" si="123"/>
        <v>4.6864772655648361E-2</v>
      </c>
      <c r="E187" s="3">
        <f t="shared" si="123"/>
        <v>4.6864772655648361E-2</v>
      </c>
      <c r="F187" s="3">
        <f t="shared" si="123"/>
        <v>4.6864772655648361E-2</v>
      </c>
      <c r="G187" s="3">
        <f t="shared" si="123"/>
        <v>4.6864772655648347E-2</v>
      </c>
      <c r="H187" s="3">
        <f t="shared" si="123"/>
        <v>4.6864772655648229E-2</v>
      </c>
      <c r="I187" s="3">
        <f t="shared" si="123"/>
        <v>4.686477265564705E-2</v>
      </c>
      <c r="J187" s="3">
        <f t="shared" si="123"/>
        <v>4.6864772655635267E-2</v>
      </c>
      <c r="K187" s="3">
        <f t="shared" si="123"/>
        <v>4.6864772655517424E-2</v>
      </c>
      <c r="L187" s="3">
        <f t="shared" si="123"/>
        <v>4.6864772654339019E-2</v>
      </c>
      <c r="M187" s="3">
        <f t="shared" si="123"/>
        <v>4.686477264255496E-2</v>
      </c>
      <c r="N187" s="3">
        <f t="shared" si="123"/>
        <v>4.6864772524714361E-2</v>
      </c>
      <c r="O187" s="3">
        <f t="shared" si="123"/>
        <v>4.686477134630837E-2</v>
      </c>
      <c r="P187" s="3">
        <f t="shared" si="123"/>
        <v>4.6864759562250065E-2</v>
      </c>
      <c r="Q187" s="3">
        <f t="shared" si="123"/>
        <v>4.686464172182999E-2</v>
      </c>
      <c r="R187" s="3">
        <f t="shared" si="123"/>
        <v>4.6863463333926082E-2</v>
      </c>
      <c r="S187" s="3">
        <f t="shared" si="123"/>
        <v>4.6851681084412511E-2</v>
      </c>
      <c r="T187" s="3">
        <f t="shared" si="123"/>
        <v>4.673402139033167E-2</v>
      </c>
      <c r="U187" s="3">
        <f t="shared" si="123"/>
        <v>4.5573554105052094E-2</v>
      </c>
      <c r="V187" s="3">
        <f t="shared" si="123"/>
        <v>3.544135824515051E-2</v>
      </c>
      <c r="W187" s="3">
        <f t="shared" si="123"/>
        <v>2.8673779554042205E-3</v>
      </c>
      <c r="X187" s="3">
        <f t="shared" si="123"/>
        <v>3.4453297096397617E-14</v>
      </c>
      <c r="Y187" s="3">
        <f t="shared" si="123"/>
        <v>2.1611716425004926E-123</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5.22700837249113E-2</v>
      </c>
      <c r="C188" s="3">
        <f t="shared" si="124"/>
        <v>5.22700837249113E-2</v>
      </c>
      <c r="D188" s="3">
        <f t="shared" si="124"/>
        <v>5.22700837249113E-2</v>
      </c>
      <c r="E188" s="3">
        <f t="shared" si="124"/>
        <v>5.22700837249113E-2</v>
      </c>
      <c r="F188" s="3">
        <f t="shared" si="124"/>
        <v>5.22700837249113E-2</v>
      </c>
      <c r="G188" s="3">
        <f t="shared" si="124"/>
        <v>5.22700837249113E-2</v>
      </c>
      <c r="H188" s="3">
        <f t="shared" si="124"/>
        <v>5.2270083724911286E-2</v>
      </c>
      <c r="I188" s="3">
        <f t="shared" si="124"/>
        <v>5.2270083724911168E-2</v>
      </c>
      <c r="J188" s="3">
        <f t="shared" si="124"/>
        <v>5.2270083724909981E-2</v>
      </c>
      <c r="K188" s="3">
        <f t="shared" si="124"/>
        <v>5.227008372489813E-2</v>
      </c>
      <c r="L188" s="3">
        <f t="shared" si="124"/>
        <v>5.2270083724779565E-2</v>
      </c>
      <c r="M188" s="3">
        <f t="shared" si="124"/>
        <v>5.2270083723593937E-2</v>
      </c>
      <c r="N188" s="3">
        <f t="shared" si="124"/>
        <v>5.2270083711737664E-2</v>
      </c>
      <c r="O188" s="3">
        <f t="shared" si="124"/>
        <v>5.2270083593174921E-2</v>
      </c>
      <c r="P188" s="3">
        <f t="shared" si="124"/>
        <v>5.2270082407547554E-2</v>
      </c>
      <c r="Q188" s="3">
        <f t="shared" si="124"/>
        <v>5.2270070551275361E-2</v>
      </c>
      <c r="R188" s="3">
        <f t="shared" si="124"/>
        <v>5.2269951988701331E-2</v>
      </c>
      <c r="S188" s="3">
        <f t="shared" si="124"/>
        <v>5.2268766377752143E-2</v>
      </c>
      <c r="T188" s="3">
        <f t="shared" si="124"/>
        <v>5.2256911747250979E-2</v>
      </c>
      <c r="U188" s="3">
        <f t="shared" si="124"/>
        <v>5.2138513217257348E-2</v>
      </c>
      <c r="V188" s="3">
        <f t="shared" si="124"/>
        <v>5.0969182146279775E-2</v>
      </c>
      <c r="W188" s="3">
        <f t="shared" si="124"/>
        <v>4.0625422226393253E-2</v>
      </c>
      <c r="X188" s="3">
        <f t="shared" si="124"/>
        <v>4.2043621274938867E-3</v>
      </c>
      <c r="Y188" s="3">
        <f t="shared" si="124"/>
        <v>5.9254643806433569E-13</v>
      </c>
      <c r="Z188" s="3">
        <f t="shared" si="124"/>
        <v>1.832083049169961E-111</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5.1448795530600389E-2</v>
      </c>
      <c r="C189" s="3">
        <f t="shared" si="125"/>
        <v>5.1448795530600389E-2</v>
      </c>
      <c r="D189" s="3">
        <f t="shared" si="125"/>
        <v>5.1448795530600389E-2</v>
      </c>
      <c r="E189" s="3">
        <f t="shared" si="125"/>
        <v>5.1448795530600389E-2</v>
      </c>
      <c r="F189" s="3">
        <f t="shared" si="125"/>
        <v>5.1448795530600389E-2</v>
      </c>
      <c r="G189" s="3">
        <f t="shared" si="125"/>
        <v>5.1448795530600389E-2</v>
      </c>
      <c r="H189" s="3">
        <f t="shared" si="125"/>
        <v>5.1448795530600389E-2</v>
      </c>
      <c r="I189" s="3">
        <f t="shared" si="125"/>
        <v>5.1448795530600375E-2</v>
      </c>
      <c r="J189" s="3">
        <f t="shared" si="125"/>
        <v>5.1448795530600278E-2</v>
      </c>
      <c r="K189" s="3">
        <f t="shared" si="125"/>
        <v>5.1448795530599216E-2</v>
      </c>
      <c r="L189" s="3">
        <f t="shared" si="125"/>
        <v>5.144879553058869E-2</v>
      </c>
      <c r="M189" s="3">
        <f t="shared" si="125"/>
        <v>5.144879553048342E-2</v>
      </c>
      <c r="N189" s="3">
        <f t="shared" si="125"/>
        <v>5.1448795529430685E-2</v>
      </c>
      <c r="O189" s="3">
        <f t="shared" si="125"/>
        <v>5.1448795518903398E-2</v>
      </c>
      <c r="P189" s="3">
        <f t="shared" si="125"/>
        <v>5.1448795413630434E-2</v>
      </c>
      <c r="Q189" s="3">
        <f t="shared" si="125"/>
        <v>5.1448794360900864E-2</v>
      </c>
      <c r="R189" s="3">
        <f t="shared" si="125"/>
        <v>5.1448783833606321E-2</v>
      </c>
      <c r="S189" s="3">
        <f t="shared" si="125"/>
        <v>5.1448678560779358E-2</v>
      </c>
      <c r="T189" s="3">
        <f t="shared" si="125"/>
        <v>5.1447625844357005E-2</v>
      </c>
      <c r="U189" s="3">
        <f t="shared" si="125"/>
        <v>5.1437099864768569E-2</v>
      </c>
      <c r="V189" s="3">
        <f t="shared" si="125"/>
        <v>5.1331958442758258E-2</v>
      </c>
      <c r="W189" s="3">
        <f t="shared" si="125"/>
        <v>5.029229247963115E-2</v>
      </c>
      <c r="X189" s="3">
        <f t="shared" si="125"/>
        <v>4.0986177664747971E-2</v>
      </c>
      <c r="Y189" s="3">
        <f t="shared" si="125"/>
        <v>5.2966012096545183E-3</v>
      </c>
      <c r="Z189" s="3">
        <f t="shared" si="125"/>
        <v>6.8801173588252954E-12</v>
      </c>
      <c r="AA189" s="3">
        <f t="shared" si="125"/>
        <v>9.4098252046821926E-101</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6.7081242502453009E-2</v>
      </c>
      <c r="C190" s="3">
        <f t="shared" si="126"/>
        <v>6.7081242502453009E-2</v>
      </c>
      <c r="D190" s="3">
        <f t="shared" si="126"/>
        <v>6.7081242502453009E-2</v>
      </c>
      <c r="E190" s="3">
        <f t="shared" si="126"/>
        <v>6.7081242502453009E-2</v>
      </c>
      <c r="F190" s="3">
        <f t="shared" si="126"/>
        <v>6.7081242502453009E-2</v>
      </c>
      <c r="G190" s="3">
        <f t="shared" si="126"/>
        <v>6.7081242502453009E-2</v>
      </c>
      <c r="H190" s="3">
        <f t="shared" si="126"/>
        <v>6.7081242502453009E-2</v>
      </c>
      <c r="I190" s="3">
        <f t="shared" si="126"/>
        <v>6.7081242502453009E-2</v>
      </c>
      <c r="J190" s="3">
        <f t="shared" si="126"/>
        <v>6.7081242502452995E-2</v>
      </c>
      <c r="K190" s="3">
        <f t="shared" si="126"/>
        <v>6.708124250245287E-2</v>
      </c>
      <c r="L190" s="3">
        <f t="shared" si="126"/>
        <v>6.7081242502451635E-2</v>
      </c>
      <c r="M190" s="3">
        <f t="shared" si="126"/>
        <v>6.7081242502439256E-2</v>
      </c>
      <c r="N190" s="3">
        <f t="shared" si="126"/>
        <v>6.7081242502315425E-2</v>
      </c>
      <c r="O190" s="3">
        <f t="shared" si="126"/>
        <v>6.7081242501077235E-2</v>
      </c>
      <c r="P190" s="3">
        <f t="shared" si="126"/>
        <v>6.7081242488695278E-2</v>
      </c>
      <c r="Q190" s="3">
        <f t="shared" si="126"/>
        <v>6.7081242364875698E-2</v>
      </c>
      <c r="R190" s="3">
        <f t="shared" si="126"/>
        <v>6.7081241126679972E-2</v>
      </c>
      <c r="S190" s="3">
        <f t="shared" si="126"/>
        <v>6.708122874472397E-2</v>
      </c>
      <c r="T190" s="3">
        <f t="shared" si="126"/>
        <v>6.7081104925289584E-2</v>
      </c>
      <c r="U190" s="3">
        <f t="shared" si="126"/>
        <v>6.7079866743515709E-2</v>
      </c>
      <c r="V190" s="3">
        <f t="shared" si="126"/>
        <v>6.7067486182695965E-2</v>
      </c>
      <c r="W190" s="3">
        <f t="shared" si="126"/>
        <v>6.6943806180586637E-2</v>
      </c>
      <c r="X190" s="3">
        <f t="shared" si="126"/>
        <v>6.5719481407328084E-2</v>
      </c>
      <c r="Y190" s="3">
        <f t="shared" si="126"/>
        <v>5.464260482664178E-2</v>
      </c>
      <c r="Z190" s="3">
        <f t="shared" si="126"/>
        <v>8.6278792316819425E-3</v>
      </c>
      <c r="AA190" s="3">
        <f t="shared" si="126"/>
        <v>8.310567688007435E-11</v>
      </c>
      <c r="AB190" s="3">
        <f t="shared" si="126"/>
        <v>5.7134315342198198E-91</v>
      </c>
      <c r="AC190" s="3">
        <f t="shared" si="126"/>
        <v>0</v>
      </c>
      <c r="AD190" s="3">
        <f t="shared" si="126"/>
        <v>0</v>
      </c>
      <c r="AE190" s="3">
        <f t="shared" si="126"/>
        <v>0</v>
      </c>
      <c r="AF190" s="3">
        <f t="shared" si="126"/>
        <v>0</v>
      </c>
      <c r="AG190" s="3"/>
      <c r="AH190" s="3"/>
    </row>
    <row r="191" spans="2:34" x14ac:dyDescent="0.25">
      <c r="B191" s="3">
        <f t="shared" ref="B191:AF191" si="127">$C38*EXP(-B$168/$A38/EXP(-$C$126))</f>
        <v>3.0532939065729049E-2</v>
      </c>
      <c r="C191" s="3">
        <f t="shared" si="127"/>
        <v>3.0532939065729049E-2</v>
      </c>
      <c r="D191" s="3">
        <f t="shared" si="127"/>
        <v>3.0532939065729049E-2</v>
      </c>
      <c r="E191" s="3">
        <f t="shared" si="127"/>
        <v>3.0532939065729049E-2</v>
      </c>
      <c r="F191" s="3">
        <f t="shared" si="127"/>
        <v>3.0532939065729049E-2</v>
      </c>
      <c r="G191" s="3">
        <f t="shared" si="127"/>
        <v>3.0532939065729049E-2</v>
      </c>
      <c r="H191" s="3">
        <f t="shared" si="127"/>
        <v>3.0532939065729049E-2</v>
      </c>
      <c r="I191" s="3">
        <f t="shared" si="127"/>
        <v>3.0532939065729049E-2</v>
      </c>
      <c r="J191" s="3">
        <f t="shared" si="127"/>
        <v>3.0532939065729049E-2</v>
      </c>
      <c r="K191" s="3">
        <f t="shared" si="127"/>
        <v>3.0532939065729042E-2</v>
      </c>
      <c r="L191" s="3">
        <f t="shared" si="127"/>
        <v>3.053293906572899E-2</v>
      </c>
      <c r="M191" s="3">
        <f t="shared" si="127"/>
        <v>3.0532939065728484E-2</v>
      </c>
      <c r="N191" s="3">
        <f t="shared" si="127"/>
        <v>3.0532939065723401E-2</v>
      </c>
      <c r="O191" s="3">
        <f t="shared" si="127"/>
        <v>3.053293906567256E-2</v>
      </c>
      <c r="P191" s="3">
        <f t="shared" si="127"/>
        <v>3.0532939065164164E-2</v>
      </c>
      <c r="Q191" s="3">
        <f t="shared" si="127"/>
        <v>3.0532939060080186E-2</v>
      </c>
      <c r="R191" s="3">
        <f t="shared" si="127"/>
        <v>3.0532939009240437E-2</v>
      </c>
      <c r="S191" s="3">
        <f t="shared" si="127"/>
        <v>3.0532938500842939E-2</v>
      </c>
      <c r="T191" s="3">
        <f t="shared" si="127"/>
        <v>3.053293341686842E-2</v>
      </c>
      <c r="U191" s="3">
        <f t="shared" si="127"/>
        <v>3.0532882577169781E-2</v>
      </c>
      <c r="V191" s="3">
        <f t="shared" si="127"/>
        <v>3.0532374184839207E-2</v>
      </c>
      <c r="W191" s="3">
        <f t="shared" si="127"/>
        <v>3.0527290727088711E-2</v>
      </c>
      <c r="X191" s="3">
        <f t="shared" si="127"/>
        <v>3.0476502676433214E-2</v>
      </c>
      <c r="Y191" s="3">
        <f t="shared" si="127"/>
        <v>2.9973246317826011E-2</v>
      </c>
      <c r="Z191" s="3">
        <f t="shared" si="127"/>
        <v>2.5375834198742512E-2</v>
      </c>
      <c r="AA191" s="3">
        <f t="shared" si="127"/>
        <v>4.800492344293297E-3</v>
      </c>
      <c r="AB191" s="3">
        <f t="shared" si="127"/>
        <v>2.8179956298194284E-10</v>
      </c>
      <c r="AC191" s="3">
        <f t="shared" si="127"/>
        <v>1.3692591559553552E-82</v>
      </c>
      <c r="AD191" s="3">
        <f t="shared" si="127"/>
        <v>0</v>
      </c>
      <c r="AE191" s="3">
        <f t="shared" si="127"/>
        <v>0</v>
      </c>
      <c r="AF191" s="3">
        <f t="shared" si="127"/>
        <v>0</v>
      </c>
      <c r="AG191" s="3"/>
      <c r="AH191" s="3"/>
    </row>
    <row r="192" spans="2:34" x14ac:dyDescent="0.25">
      <c r="B192" s="3">
        <f t="shared" ref="B192:AF192" si="128">$C39*EXP(-B$168/$A39/EXP(-$C$126))</f>
        <v>4.6215233336182188E-2</v>
      </c>
      <c r="C192" s="3">
        <f t="shared" si="128"/>
        <v>4.6215233336182188E-2</v>
      </c>
      <c r="D192" s="3">
        <f t="shared" si="128"/>
        <v>4.6215233336182188E-2</v>
      </c>
      <c r="E192" s="3">
        <f t="shared" si="128"/>
        <v>4.6215233336182188E-2</v>
      </c>
      <c r="F192" s="3">
        <f t="shared" si="128"/>
        <v>4.6215233336182188E-2</v>
      </c>
      <c r="G192" s="3">
        <f t="shared" si="128"/>
        <v>4.6215233336182188E-2</v>
      </c>
      <c r="H192" s="3">
        <f t="shared" si="128"/>
        <v>4.6215233336182188E-2</v>
      </c>
      <c r="I192" s="3">
        <f t="shared" si="128"/>
        <v>4.6215233336182188E-2</v>
      </c>
      <c r="J192" s="3">
        <f t="shared" si="128"/>
        <v>4.6215233336182188E-2</v>
      </c>
      <c r="K192" s="3">
        <f t="shared" si="128"/>
        <v>4.6215233336182188E-2</v>
      </c>
      <c r="L192" s="3">
        <f t="shared" si="128"/>
        <v>4.621523333618216E-2</v>
      </c>
      <c r="M192" s="3">
        <f t="shared" si="128"/>
        <v>4.6215233336181952E-2</v>
      </c>
      <c r="N192" s="3">
        <f t="shared" si="128"/>
        <v>4.6215233336179821E-2</v>
      </c>
      <c r="O192" s="3">
        <f t="shared" si="128"/>
        <v>4.621523333615854E-2</v>
      </c>
      <c r="P192" s="3">
        <f t="shared" si="128"/>
        <v>4.621523333594571E-2</v>
      </c>
      <c r="Q192" s="3">
        <f t="shared" si="128"/>
        <v>4.6215233333817413E-2</v>
      </c>
      <c r="R192" s="3">
        <f t="shared" si="128"/>
        <v>4.6215233312534409E-2</v>
      </c>
      <c r="S192" s="3">
        <f t="shared" si="128"/>
        <v>4.6215233099704427E-2</v>
      </c>
      <c r="T192" s="3">
        <f t="shared" si="128"/>
        <v>4.6215230971404661E-2</v>
      </c>
      <c r="U192" s="3">
        <f t="shared" si="128"/>
        <v>4.6215209688412348E-2</v>
      </c>
      <c r="V192" s="3">
        <f t="shared" si="128"/>
        <v>4.6214996859028322E-2</v>
      </c>
      <c r="W192" s="3">
        <f t="shared" si="128"/>
        <v>4.621286861909378E-2</v>
      </c>
      <c r="X192" s="3">
        <f t="shared" si="128"/>
        <v>4.6191591609403004E-2</v>
      </c>
      <c r="Y192" s="3">
        <f t="shared" si="128"/>
        <v>4.5979359560738876E-2</v>
      </c>
      <c r="Z192" s="3">
        <f t="shared" si="128"/>
        <v>4.3909938290597417E-2</v>
      </c>
      <c r="AA192" s="3">
        <f t="shared" si="128"/>
        <v>2.7705240012607601E-2</v>
      </c>
      <c r="AB192" s="3">
        <f t="shared" si="128"/>
        <v>2.7704659544127634E-4</v>
      </c>
      <c r="AC192" s="3">
        <f t="shared" si="128"/>
        <v>2.7698855528181046E-24</v>
      </c>
      <c r="AD192" s="3">
        <f t="shared" si="128"/>
        <v>2.7640882202206404E-224</v>
      </c>
      <c r="AE192" s="3">
        <f t="shared" si="128"/>
        <v>0</v>
      </c>
      <c r="AF192" s="3">
        <f t="shared" si="128"/>
        <v>0</v>
      </c>
      <c r="AG192" s="3"/>
      <c r="AH192" s="3"/>
    </row>
    <row r="193" spans="1:34" x14ac:dyDescent="0.25">
      <c r="B193" s="3">
        <f t="shared" ref="B193:AF193" si="129">$C40*EXP(-B$168/$A40/EXP(-$C$126))</f>
        <v>3.4109179879759796E-2</v>
      </c>
      <c r="C193" s="3">
        <f t="shared" si="129"/>
        <v>3.4109179879759796E-2</v>
      </c>
      <c r="D193" s="3">
        <f t="shared" si="129"/>
        <v>3.4109179879759796E-2</v>
      </c>
      <c r="E193" s="3">
        <f t="shared" si="129"/>
        <v>3.4109179879759796E-2</v>
      </c>
      <c r="F193" s="3">
        <f t="shared" si="129"/>
        <v>3.4109179879759796E-2</v>
      </c>
      <c r="G193" s="3">
        <f t="shared" si="129"/>
        <v>3.4109179879759796E-2</v>
      </c>
      <c r="H193" s="3">
        <f t="shared" si="129"/>
        <v>3.4109179879759796E-2</v>
      </c>
      <c r="I193" s="3">
        <f t="shared" si="129"/>
        <v>3.4109179879759796E-2</v>
      </c>
      <c r="J193" s="3">
        <f t="shared" si="129"/>
        <v>3.4109179879759796E-2</v>
      </c>
      <c r="K193" s="3">
        <f t="shared" si="129"/>
        <v>3.4109179879759796E-2</v>
      </c>
      <c r="L193" s="3">
        <f t="shared" si="129"/>
        <v>3.4109179879759796E-2</v>
      </c>
      <c r="M193" s="3">
        <f t="shared" si="129"/>
        <v>3.4109179879759775E-2</v>
      </c>
      <c r="N193" s="3">
        <f t="shared" si="129"/>
        <v>3.4109179879759623E-2</v>
      </c>
      <c r="O193" s="3">
        <f t="shared" si="129"/>
        <v>3.4109179879758048E-2</v>
      </c>
      <c r="P193" s="3">
        <f t="shared" si="129"/>
        <v>3.4109179879742345E-2</v>
      </c>
      <c r="Q193" s="3">
        <f t="shared" si="129"/>
        <v>3.4109179879585262E-2</v>
      </c>
      <c r="R193" s="3">
        <f t="shared" si="129"/>
        <v>3.410917987801447E-2</v>
      </c>
      <c r="S193" s="3">
        <f t="shared" si="129"/>
        <v>3.4109179862306542E-2</v>
      </c>
      <c r="T193" s="3">
        <f t="shared" si="129"/>
        <v>3.4109179705227248E-2</v>
      </c>
      <c r="U193" s="3">
        <f t="shared" si="129"/>
        <v>3.4109178134434363E-2</v>
      </c>
      <c r="V193" s="3">
        <f t="shared" si="129"/>
        <v>3.4109162426509493E-2</v>
      </c>
      <c r="W193" s="3">
        <f t="shared" si="129"/>
        <v>3.4109005347658664E-2</v>
      </c>
      <c r="X193" s="3">
        <f t="shared" si="129"/>
        <v>3.410743459893547E-2</v>
      </c>
      <c r="Y193" s="3">
        <f t="shared" si="129"/>
        <v>3.4091731089541361E-2</v>
      </c>
      <c r="Z193" s="3">
        <f t="shared" si="129"/>
        <v>3.393509310241976E-2</v>
      </c>
      <c r="AA193" s="3">
        <f t="shared" si="129"/>
        <v>3.2407755528750221E-2</v>
      </c>
      <c r="AB193" s="3">
        <f t="shared" si="129"/>
        <v>2.0447868526979884E-2</v>
      </c>
      <c r="AC193" s="3">
        <f t="shared" si="129"/>
        <v>2.0447440111880173E-4</v>
      </c>
      <c r="AD193" s="3">
        <f t="shared" si="129"/>
        <v>2.0443156454530506E-24</v>
      </c>
      <c r="AE193" s="3">
        <f t="shared" si="129"/>
        <v>2.0400369207530959E-224</v>
      </c>
      <c r="AF193" s="3">
        <f t="shared" si="129"/>
        <v>0</v>
      </c>
      <c r="AG193" s="3"/>
      <c r="AH193" s="3"/>
    </row>
    <row r="194" spans="1:34" x14ac:dyDescent="0.25">
      <c r="B194" s="3">
        <f t="shared" ref="B194:AF194" si="130">$C41*EXP(-B$168/$A41/EXP(-$C$126))</f>
        <v>1.6721828719437171E-2</v>
      </c>
      <c r="C194" s="3">
        <f t="shared" si="130"/>
        <v>1.6721828719437171E-2</v>
      </c>
      <c r="D194" s="3">
        <f t="shared" si="130"/>
        <v>1.6721828719437171E-2</v>
      </c>
      <c r="E194" s="3">
        <f t="shared" si="130"/>
        <v>1.6721828719437171E-2</v>
      </c>
      <c r="F194" s="3">
        <f t="shared" si="130"/>
        <v>1.6721828719437171E-2</v>
      </c>
      <c r="G194" s="3">
        <f t="shared" si="130"/>
        <v>1.6721828719437171E-2</v>
      </c>
      <c r="H194" s="3">
        <f t="shared" si="130"/>
        <v>1.6721828719437171E-2</v>
      </c>
      <c r="I194" s="3">
        <f t="shared" si="130"/>
        <v>1.6721828719437171E-2</v>
      </c>
      <c r="J194" s="3">
        <f t="shared" si="130"/>
        <v>1.6721828719437171E-2</v>
      </c>
      <c r="K194" s="3">
        <f t="shared" si="130"/>
        <v>1.6721828719437171E-2</v>
      </c>
      <c r="L194" s="3">
        <f t="shared" si="130"/>
        <v>1.6721828719437171E-2</v>
      </c>
      <c r="M194" s="3">
        <f t="shared" si="130"/>
        <v>1.6721828719437171E-2</v>
      </c>
      <c r="N194" s="3">
        <f t="shared" si="130"/>
        <v>1.672182871943716E-2</v>
      </c>
      <c r="O194" s="3">
        <f t="shared" si="130"/>
        <v>1.6721828719437084E-2</v>
      </c>
      <c r="P194" s="3">
        <f t="shared" si="130"/>
        <v>1.6721828719436314E-2</v>
      </c>
      <c r="Q194" s="3">
        <f t="shared" si="130"/>
        <v>1.6721828719428615E-2</v>
      </c>
      <c r="R194" s="3">
        <f t="shared" si="130"/>
        <v>1.6721828719351607E-2</v>
      </c>
      <c r="S194" s="3">
        <f t="shared" si="130"/>
        <v>1.6721828718581536E-2</v>
      </c>
      <c r="T194" s="3">
        <f t="shared" si="130"/>
        <v>1.6721828710880814E-2</v>
      </c>
      <c r="U194" s="3">
        <f t="shared" si="130"/>
        <v>1.6721828633873597E-2</v>
      </c>
      <c r="V194" s="3">
        <f t="shared" si="130"/>
        <v>1.6721827863801445E-2</v>
      </c>
      <c r="W194" s="3">
        <f t="shared" si="130"/>
        <v>1.6721820163081869E-2</v>
      </c>
      <c r="X194" s="3">
        <f t="shared" si="130"/>
        <v>1.6721743156081163E-2</v>
      </c>
      <c r="Y194" s="3">
        <f t="shared" si="130"/>
        <v>1.6720973105578539E-2</v>
      </c>
      <c r="Z194" s="3">
        <f t="shared" si="130"/>
        <v>1.6713274550664344E-2</v>
      </c>
      <c r="AA194" s="3">
        <f t="shared" si="130"/>
        <v>1.6636483680850467E-2</v>
      </c>
      <c r="AB194" s="3">
        <f t="shared" si="130"/>
        <v>1.588771524391663E-2</v>
      </c>
      <c r="AC194" s="3">
        <f t="shared" si="130"/>
        <v>1.0024449617113912E-2</v>
      </c>
      <c r="AD194" s="3">
        <f t="shared" si="130"/>
        <v>1.0024239589082062E-4</v>
      </c>
      <c r="AE194" s="3">
        <f t="shared" si="130"/>
        <v>1.0022139550771368E-24</v>
      </c>
      <c r="AF194" s="3">
        <f t="shared" si="130"/>
        <v>1.000116334969515E-224</v>
      </c>
      <c r="AG194" s="3"/>
      <c r="AH194" s="3"/>
    </row>
    <row r="195" spans="1:34" x14ac:dyDescent="0.25">
      <c r="B195" s="3">
        <f t="shared" ref="B195:AF195" si="131">$C42*EXP(-B$168/$A42/EXP(-$C$126))</f>
        <v>1.0380166217025045E-2</v>
      </c>
      <c r="C195" s="3">
        <f t="shared" si="131"/>
        <v>1.0380166217025045E-2</v>
      </c>
      <c r="D195" s="3">
        <f t="shared" si="131"/>
        <v>1.0380166217025045E-2</v>
      </c>
      <c r="E195" s="3">
        <f t="shared" si="131"/>
        <v>1.0380166217025045E-2</v>
      </c>
      <c r="F195" s="3">
        <f t="shared" si="131"/>
        <v>1.0380166217025045E-2</v>
      </c>
      <c r="G195" s="3">
        <f t="shared" si="131"/>
        <v>1.0380166217025045E-2</v>
      </c>
      <c r="H195" s="3">
        <f t="shared" si="131"/>
        <v>1.0380166217025045E-2</v>
      </c>
      <c r="I195" s="3">
        <f t="shared" si="131"/>
        <v>1.0380166217025045E-2</v>
      </c>
      <c r="J195" s="3">
        <f t="shared" si="131"/>
        <v>1.0380166217025045E-2</v>
      </c>
      <c r="K195" s="3">
        <f t="shared" si="131"/>
        <v>1.0380166217025045E-2</v>
      </c>
      <c r="L195" s="3">
        <f t="shared" si="131"/>
        <v>1.0380166217025045E-2</v>
      </c>
      <c r="M195" s="3">
        <f t="shared" si="131"/>
        <v>1.0380166217025045E-2</v>
      </c>
      <c r="N195" s="3">
        <f t="shared" si="131"/>
        <v>1.0380166217025045E-2</v>
      </c>
      <c r="O195" s="3">
        <f t="shared" si="131"/>
        <v>1.038016621702504E-2</v>
      </c>
      <c r="P195" s="3">
        <f t="shared" si="131"/>
        <v>1.0380166217024991E-2</v>
      </c>
      <c r="Q195" s="3">
        <f t="shared" si="131"/>
        <v>1.0380166217024514E-2</v>
      </c>
      <c r="R195" s="3">
        <f t="shared" si="131"/>
        <v>1.0380166217019733E-2</v>
      </c>
      <c r="S195" s="3">
        <f t="shared" si="131"/>
        <v>1.0380166216971931E-2</v>
      </c>
      <c r="T195" s="3">
        <f t="shared" si="131"/>
        <v>1.0380166216493906E-2</v>
      </c>
      <c r="U195" s="3">
        <f t="shared" si="131"/>
        <v>1.0380166211713639E-2</v>
      </c>
      <c r="V195" s="3">
        <f t="shared" si="131"/>
        <v>1.038016616391099E-2</v>
      </c>
      <c r="W195" s="3">
        <f t="shared" si="131"/>
        <v>1.0380165685884509E-2</v>
      </c>
      <c r="X195" s="3">
        <f t="shared" si="131"/>
        <v>1.0380160905620908E-2</v>
      </c>
      <c r="Y195" s="3">
        <f t="shared" si="131"/>
        <v>1.0380113103105966E-2</v>
      </c>
      <c r="Z195" s="3">
        <f t="shared" si="131"/>
        <v>1.0379635090064041E-2</v>
      </c>
      <c r="AA195" s="3">
        <f t="shared" si="131"/>
        <v>1.0374856170187453E-2</v>
      </c>
      <c r="AB195" s="3">
        <f t="shared" si="131"/>
        <v>1.0327187819674363E-2</v>
      </c>
      <c r="AC195" s="3">
        <f t="shared" si="131"/>
        <v>9.8623857358926519E-3</v>
      </c>
      <c r="AD195" s="3">
        <f t="shared" si="131"/>
        <v>6.2227316764035014E-3</v>
      </c>
      <c r="AE195" s="3">
        <f t="shared" si="131"/>
        <v>6.2226013003592652E-5</v>
      </c>
      <c r="AF195" s="3">
        <f t="shared" si="131"/>
        <v>6.2212976901445638E-25</v>
      </c>
      <c r="AG195" s="3"/>
      <c r="AH195" s="3"/>
    </row>
    <row r="196" spans="1:34" x14ac:dyDescent="0.25">
      <c r="B196" s="3">
        <f t="shared" ref="B196:AF196" si="132">$C43*EXP(-B$168/$A43/EXP(-$C$126))</f>
        <v>2.3857851620006894E-3</v>
      </c>
      <c r="C196" s="3">
        <f t="shared" si="132"/>
        <v>2.3857851620006894E-3</v>
      </c>
      <c r="D196" s="3">
        <f t="shared" si="132"/>
        <v>2.3857851620006894E-3</v>
      </c>
      <c r="E196" s="3">
        <f t="shared" si="132"/>
        <v>2.3857851620006894E-3</v>
      </c>
      <c r="F196" s="3">
        <f t="shared" si="132"/>
        <v>2.3857851620006894E-3</v>
      </c>
      <c r="G196" s="3">
        <f t="shared" si="132"/>
        <v>2.3857851620006894E-3</v>
      </c>
      <c r="H196" s="3">
        <f t="shared" si="132"/>
        <v>2.3857851620006894E-3</v>
      </c>
      <c r="I196" s="3">
        <f t="shared" si="132"/>
        <v>2.3857851620006894E-3</v>
      </c>
      <c r="J196" s="3">
        <f t="shared" si="132"/>
        <v>2.3857851620006894E-3</v>
      </c>
      <c r="K196" s="3">
        <f t="shared" si="132"/>
        <v>2.3857851620006894E-3</v>
      </c>
      <c r="L196" s="3">
        <f t="shared" si="132"/>
        <v>2.3857851620006894E-3</v>
      </c>
      <c r="M196" s="3">
        <f t="shared" si="132"/>
        <v>2.3857851620006894E-3</v>
      </c>
      <c r="N196" s="3">
        <f t="shared" si="132"/>
        <v>2.3857851620006894E-3</v>
      </c>
      <c r="O196" s="3">
        <f t="shared" si="132"/>
        <v>2.3857851620006894E-3</v>
      </c>
      <c r="P196" s="3">
        <f t="shared" si="132"/>
        <v>2.3857851620006881E-3</v>
      </c>
      <c r="Q196" s="3">
        <f t="shared" si="132"/>
        <v>2.3857851620006773E-3</v>
      </c>
      <c r="R196" s="3">
        <f t="shared" si="132"/>
        <v>2.3857851620005671E-3</v>
      </c>
      <c r="S196" s="3">
        <f t="shared" si="132"/>
        <v>2.3857851619994686E-3</v>
      </c>
      <c r="T196" s="3">
        <f t="shared" si="132"/>
        <v>2.3857851619884817E-3</v>
      </c>
      <c r="U196" s="3">
        <f t="shared" si="132"/>
        <v>2.3857851618786117E-3</v>
      </c>
      <c r="V196" s="3">
        <f t="shared" si="132"/>
        <v>2.385785160779912E-3</v>
      </c>
      <c r="W196" s="3">
        <f t="shared" si="132"/>
        <v>2.3857851497929156E-3</v>
      </c>
      <c r="X196" s="3">
        <f t="shared" si="132"/>
        <v>2.3857850399229517E-3</v>
      </c>
      <c r="Y196" s="3">
        <f t="shared" si="132"/>
        <v>2.3857839412235924E-3</v>
      </c>
      <c r="Z196" s="3">
        <f t="shared" si="132"/>
        <v>2.3857729542578281E-3</v>
      </c>
      <c r="AA196" s="3">
        <f t="shared" si="132"/>
        <v>2.3856630873829803E-3</v>
      </c>
      <c r="AB196" s="3">
        <f t="shared" si="132"/>
        <v>2.3845646968665302E-3</v>
      </c>
      <c r="AC196" s="3">
        <f t="shared" si="132"/>
        <v>2.3736085675547807E-3</v>
      </c>
      <c r="AD196" s="3">
        <f t="shared" si="132"/>
        <v>2.2667781092009817E-3</v>
      </c>
      <c r="AE196" s="3">
        <f t="shared" si="132"/>
        <v>1.4302372997000081E-3</v>
      </c>
      <c r="AF196" s="3">
        <f t="shared" si="132"/>
        <v>1.4302073339725511E-5</v>
      </c>
      <c r="AG196" s="3"/>
      <c r="AH196" s="3"/>
    </row>
    <row r="197" spans="1:34" x14ac:dyDescent="0.25">
      <c r="B197" s="3">
        <f t="shared" ref="B197:AF197" si="133">$C44*EXP(-B$168/$A44/EXP(-$C$126))</f>
        <v>4.6637051545343495E-3</v>
      </c>
      <c r="C197" s="3">
        <f t="shared" si="133"/>
        <v>4.6637051545343495E-3</v>
      </c>
      <c r="D197" s="3">
        <f t="shared" si="133"/>
        <v>4.6637051545343495E-3</v>
      </c>
      <c r="E197" s="3">
        <f t="shared" si="133"/>
        <v>4.6637051545343495E-3</v>
      </c>
      <c r="F197" s="3">
        <f t="shared" si="133"/>
        <v>4.6637051545343495E-3</v>
      </c>
      <c r="G197" s="3">
        <f t="shared" si="133"/>
        <v>4.6637051545343495E-3</v>
      </c>
      <c r="H197" s="3">
        <f t="shared" si="133"/>
        <v>4.6637051545343495E-3</v>
      </c>
      <c r="I197" s="3">
        <f t="shared" si="133"/>
        <v>4.6637051545343495E-3</v>
      </c>
      <c r="J197" s="3">
        <f t="shared" si="133"/>
        <v>4.6637051545343495E-3</v>
      </c>
      <c r="K197" s="3">
        <f t="shared" si="133"/>
        <v>4.6637051545343495E-3</v>
      </c>
      <c r="L197" s="3">
        <f t="shared" si="133"/>
        <v>4.6637051545343495E-3</v>
      </c>
      <c r="M197" s="3">
        <f t="shared" si="133"/>
        <v>4.6637051545343495E-3</v>
      </c>
      <c r="N197" s="3">
        <f t="shared" si="133"/>
        <v>4.6637051545343495E-3</v>
      </c>
      <c r="O197" s="3">
        <f t="shared" si="133"/>
        <v>4.6637051545343495E-3</v>
      </c>
      <c r="P197" s="3">
        <f t="shared" si="133"/>
        <v>4.6637051545343495E-3</v>
      </c>
      <c r="Q197" s="3">
        <f t="shared" si="133"/>
        <v>4.6637051545343469E-3</v>
      </c>
      <c r="R197" s="3">
        <f t="shared" si="133"/>
        <v>4.6637051545343261E-3</v>
      </c>
      <c r="S197" s="3">
        <f t="shared" si="133"/>
        <v>4.663705154534111E-3</v>
      </c>
      <c r="T197" s="3">
        <f t="shared" si="133"/>
        <v>4.6637051545319634E-3</v>
      </c>
      <c r="U197" s="3">
        <f t="shared" si="133"/>
        <v>4.6637051545104858E-3</v>
      </c>
      <c r="V197" s="3">
        <f t="shared" si="133"/>
        <v>4.663705154295714E-3</v>
      </c>
      <c r="W197" s="3">
        <f t="shared" si="133"/>
        <v>4.6637051521479875E-3</v>
      </c>
      <c r="X197" s="3">
        <f t="shared" si="133"/>
        <v>4.6637051306707344E-3</v>
      </c>
      <c r="Y197" s="3">
        <f t="shared" si="133"/>
        <v>4.6637049158982039E-3</v>
      </c>
      <c r="Z197" s="3">
        <f t="shared" si="133"/>
        <v>4.6637027681734437E-3</v>
      </c>
      <c r="AA197" s="3">
        <f t="shared" si="133"/>
        <v>4.6636812909802402E-3</v>
      </c>
      <c r="AB197" s="3">
        <f t="shared" si="133"/>
        <v>4.6634665244879745E-3</v>
      </c>
      <c r="AC197" s="3">
        <f t="shared" si="133"/>
        <v>4.6613194034500673E-3</v>
      </c>
      <c r="AD197" s="3">
        <f t="shared" si="133"/>
        <v>4.6399024889856892E-3</v>
      </c>
      <c r="AE197" s="3">
        <f t="shared" si="133"/>
        <v>4.4310715484545335E-3</v>
      </c>
      <c r="AF197" s="3">
        <f t="shared" si="133"/>
        <v>2.7958112796814729E-3</v>
      </c>
      <c r="AG197" s="3"/>
      <c r="AH197" s="3"/>
    </row>
    <row r="198" spans="1:34" x14ac:dyDescent="0.25">
      <c r="B198" s="3">
        <f t="shared" ref="B198:AF198" si="134">$C45*EXP(-B$168/$A45/EXP(-$C$126))</f>
        <v>1.1662493677485003E-4</v>
      </c>
      <c r="C198" s="3">
        <f t="shared" si="134"/>
        <v>1.1662493677485003E-4</v>
      </c>
      <c r="D198" s="3">
        <f t="shared" si="134"/>
        <v>1.1662493677485003E-4</v>
      </c>
      <c r="E198" s="3">
        <f t="shared" si="134"/>
        <v>1.1662493677485003E-4</v>
      </c>
      <c r="F198" s="3">
        <f t="shared" si="134"/>
        <v>1.1662493677485003E-4</v>
      </c>
      <c r="G198" s="3">
        <f t="shared" si="134"/>
        <v>1.1662493677485003E-4</v>
      </c>
      <c r="H198" s="3">
        <f t="shared" si="134"/>
        <v>1.1662493677485003E-4</v>
      </c>
      <c r="I198" s="3">
        <f t="shared" si="134"/>
        <v>1.1662493677485003E-4</v>
      </c>
      <c r="J198" s="3">
        <f t="shared" si="134"/>
        <v>1.1662493677485003E-4</v>
      </c>
      <c r="K198" s="3">
        <f t="shared" si="134"/>
        <v>1.1662493677485003E-4</v>
      </c>
      <c r="L198" s="3">
        <f t="shared" si="134"/>
        <v>1.1662493677485003E-4</v>
      </c>
      <c r="M198" s="3">
        <f t="shared" si="134"/>
        <v>1.1662493677485003E-4</v>
      </c>
      <c r="N198" s="3">
        <f t="shared" si="134"/>
        <v>1.1662493677485003E-4</v>
      </c>
      <c r="O198" s="3">
        <f t="shared" si="134"/>
        <v>1.1662493677485003E-4</v>
      </c>
      <c r="P198" s="3">
        <f t="shared" si="134"/>
        <v>1.1662493677485003E-4</v>
      </c>
      <c r="Q198" s="3">
        <f t="shared" si="134"/>
        <v>1.1662493677485003E-4</v>
      </c>
      <c r="R198" s="3">
        <f t="shared" si="134"/>
        <v>1.1662493677484997E-4</v>
      </c>
      <c r="S198" s="3">
        <f t="shared" si="134"/>
        <v>1.1662493677484944E-4</v>
      </c>
      <c r="T198" s="3">
        <f t="shared" si="134"/>
        <v>1.1662493677484407E-4</v>
      </c>
      <c r="U198" s="3">
        <f t="shared" si="134"/>
        <v>1.1662493677479036E-4</v>
      </c>
      <c r="V198" s="3">
        <f t="shared" si="134"/>
        <v>1.1662493677425327E-4</v>
      </c>
      <c r="W198" s="3">
        <f t="shared" si="134"/>
        <v>1.1662493676888248E-4</v>
      </c>
      <c r="X198" s="3">
        <f t="shared" si="134"/>
        <v>1.1662493671517446E-4</v>
      </c>
      <c r="Y198" s="3">
        <f t="shared" si="134"/>
        <v>1.1662493617809434E-4</v>
      </c>
      <c r="Z198" s="3">
        <f t="shared" si="134"/>
        <v>1.1662493080729324E-4</v>
      </c>
      <c r="AA198" s="3">
        <f t="shared" si="134"/>
        <v>1.1662487709929582E-4</v>
      </c>
      <c r="AB198" s="3">
        <f t="shared" si="134"/>
        <v>1.1662434002068205E-4</v>
      </c>
      <c r="AC198" s="3">
        <f t="shared" si="134"/>
        <v>1.166189693705762E-4</v>
      </c>
      <c r="AD198" s="3">
        <f t="shared" si="134"/>
        <v>1.1656527647040423E-4</v>
      </c>
      <c r="AE198" s="3">
        <f t="shared" si="134"/>
        <v>1.1602970524268802E-4</v>
      </c>
      <c r="AF198" s="3">
        <f t="shared" si="134"/>
        <v>1.1080748504885797E-4</v>
      </c>
      <c r="AG198" s="3"/>
      <c r="AH198" s="3"/>
    </row>
    <row r="199" spans="1:34" x14ac:dyDescent="0.25">
      <c r="B199" s="3">
        <f t="shared" ref="B199:AF199" si="135">$C46*EXP(-B$168/$A46/EXP(-$C$126))</f>
        <v>1.2727846034903288E-3</v>
      </c>
      <c r="C199" s="3">
        <f t="shared" si="135"/>
        <v>1.2727846034903288E-3</v>
      </c>
      <c r="D199" s="3">
        <f t="shared" si="135"/>
        <v>1.2727846034903288E-3</v>
      </c>
      <c r="E199" s="3">
        <f t="shared" si="135"/>
        <v>1.2727846034903288E-3</v>
      </c>
      <c r="F199" s="3">
        <f t="shared" si="135"/>
        <v>1.2727846034903288E-3</v>
      </c>
      <c r="G199" s="3">
        <f t="shared" si="135"/>
        <v>1.2727846034903288E-3</v>
      </c>
      <c r="H199" s="3">
        <f t="shared" si="135"/>
        <v>1.2727846034903288E-3</v>
      </c>
      <c r="I199" s="3">
        <f t="shared" si="135"/>
        <v>1.2727846034903288E-3</v>
      </c>
      <c r="J199" s="3">
        <f t="shared" si="135"/>
        <v>1.2727846034903288E-3</v>
      </c>
      <c r="K199" s="3">
        <f t="shared" si="135"/>
        <v>1.2727846034903288E-3</v>
      </c>
      <c r="L199" s="3">
        <f t="shared" si="135"/>
        <v>1.2727846034903288E-3</v>
      </c>
      <c r="M199" s="3">
        <f t="shared" si="135"/>
        <v>1.2727846034903288E-3</v>
      </c>
      <c r="N199" s="3">
        <f t="shared" si="135"/>
        <v>1.2727846034903288E-3</v>
      </c>
      <c r="O199" s="3">
        <f t="shared" si="135"/>
        <v>1.2727846034903288E-3</v>
      </c>
      <c r="P199" s="3">
        <f t="shared" si="135"/>
        <v>1.2727846034903288E-3</v>
      </c>
      <c r="Q199" s="3">
        <f t="shared" si="135"/>
        <v>1.2727846034903288E-3</v>
      </c>
      <c r="R199" s="3">
        <f t="shared" si="135"/>
        <v>1.2727846034903288E-3</v>
      </c>
      <c r="S199" s="3">
        <f t="shared" si="135"/>
        <v>1.2727846034903281E-3</v>
      </c>
      <c r="T199" s="3">
        <f t="shared" si="135"/>
        <v>1.2727846034903223E-3</v>
      </c>
      <c r="U199" s="3">
        <f t="shared" si="135"/>
        <v>1.2727846034902637E-3</v>
      </c>
      <c r="V199" s="3">
        <f t="shared" si="135"/>
        <v>1.2727846034896774E-3</v>
      </c>
      <c r="W199" s="3">
        <f t="shared" si="135"/>
        <v>1.272784603483816E-3</v>
      </c>
      <c r="X199" s="3">
        <f t="shared" si="135"/>
        <v>1.2727846034252021E-3</v>
      </c>
      <c r="Y199" s="3">
        <f t="shared" si="135"/>
        <v>1.2727846028390602E-3</v>
      </c>
      <c r="Z199" s="3">
        <f t="shared" si="135"/>
        <v>1.2727845969776439E-3</v>
      </c>
      <c r="AA199" s="3">
        <f t="shared" si="135"/>
        <v>1.2727845383634819E-3</v>
      </c>
      <c r="AB199" s="3">
        <f t="shared" si="135"/>
        <v>1.2727839522220091E-3</v>
      </c>
      <c r="AC199" s="3">
        <f t="shared" si="135"/>
        <v>1.2727780908221285E-3</v>
      </c>
      <c r="AD199" s="3">
        <f t="shared" si="135"/>
        <v>1.2727194783079057E-3</v>
      </c>
      <c r="AE199" s="3">
        <f t="shared" si="135"/>
        <v>1.2721335015987603E-3</v>
      </c>
      <c r="AF199" s="3">
        <f t="shared" si="135"/>
        <v>1.2662885525547526E-3</v>
      </c>
      <c r="AG199" s="3"/>
      <c r="AH199" s="3"/>
    </row>
    <row r="200" spans="1:34" x14ac:dyDescent="0.25">
      <c r="B200" s="3">
        <f t="shared" ref="B200:AF200" si="136">$C47*EXP(-B$168/$A47/EXP(-$C$126))</f>
        <v>2.0157372743803063E-3</v>
      </c>
      <c r="C200" s="3">
        <f t="shared" si="136"/>
        <v>2.0157372743803063E-3</v>
      </c>
      <c r="D200" s="3">
        <f t="shared" si="136"/>
        <v>2.0157372743803063E-3</v>
      </c>
      <c r="E200" s="3">
        <f t="shared" si="136"/>
        <v>2.0157372743803063E-3</v>
      </c>
      <c r="F200" s="3">
        <f t="shared" si="136"/>
        <v>2.0157372743803063E-3</v>
      </c>
      <c r="G200" s="3">
        <f t="shared" si="136"/>
        <v>2.0157372743803063E-3</v>
      </c>
      <c r="H200" s="3">
        <f t="shared" si="136"/>
        <v>2.0157372743803063E-3</v>
      </c>
      <c r="I200" s="3">
        <f t="shared" si="136"/>
        <v>2.0157372743803063E-3</v>
      </c>
      <c r="J200" s="3">
        <f t="shared" si="136"/>
        <v>2.0157372743803063E-3</v>
      </c>
      <c r="K200" s="3">
        <f t="shared" si="136"/>
        <v>2.0157372743803063E-3</v>
      </c>
      <c r="L200" s="3">
        <f t="shared" si="136"/>
        <v>2.0157372743803063E-3</v>
      </c>
      <c r="M200" s="3">
        <f t="shared" si="136"/>
        <v>2.0157372743803063E-3</v>
      </c>
      <c r="N200" s="3">
        <f t="shared" si="136"/>
        <v>2.0157372743803063E-3</v>
      </c>
      <c r="O200" s="3">
        <f t="shared" si="136"/>
        <v>2.0157372743803063E-3</v>
      </c>
      <c r="P200" s="3">
        <f t="shared" si="136"/>
        <v>2.0157372743803063E-3</v>
      </c>
      <c r="Q200" s="3">
        <f t="shared" si="136"/>
        <v>2.0157372743803063E-3</v>
      </c>
      <c r="R200" s="3">
        <f t="shared" si="136"/>
        <v>2.0157372743803063E-3</v>
      </c>
      <c r="S200" s="3">
        <f t="shared" si="136"/>
        <v>2.0157372743803063E-3</v>
      </c>
      <c r="T200" s="3">
        <f t="shared" si="136"/>
        <v>2.015737274380305E-3</v>
      </c>
      <c r="U200" s="3">
        <f t="shared" si="136"/>
        <v>2.0157372743802959E-3</v>
      </c>
      <c r="V200" s="3">
        <f t="shared" si="136"/>
        <v>2.0157372743802031E-3</v>
      </c>
      <c r="W200" s="3">
        <f t="shared" si="136"/>
        <v>2.015737274379275E-3</v>
      </c>
      <c r="X200" s="3">
        <f t="shared" si="136"/>
        <v>2.0157372743699921E-3</v>
      </c>
      <c r="Y200" s="3">
        <f t="shared" si="136"/>
        <v>2.0157372742771636E-3</v>
      </c>
      <c r="Z200" s="3">
        <f t="shared" si="136"/>
        <v>2.0157372733488779E-3</v>
      </c>
      <c r="AA200" s="3">
        <f t="shared" si="136"/>
        <v>2.0157372640660226E-3</v>
      </c>
      <c r="AB200" s="3">
        <f t="shared" si="136"/>
        <v>2.0157371712374709E-3</v>
      </c>
      <c r="AC200" s="3">
        <f t="shared" si="136"/>
        <v>2.0157362429521889E-3</v>
      </c>
      <c r="AD200" s="3">
        <f t="shared" si="136"/>
        <v>2.0157269601228816E-3</v>
      </c>
      <c r="AE200" s="3">
        <f t="shared" si="136"/>
        <v>2.0156341341809741E-3</v>
      </c>
      <c r="AF200" s="3">
        <f t="shared" si="136"/>
        <v>2.0147061098386744E-3</v>
      </c>
      <c r="AG200" s="3"/>
      <c r="AH200" s="3"/>
    </row>
    <row r="201" spans="1:34" x14ac:dyDescent="0.25">
      <c r="B201" s="3">
        <f t="shared" ref="B201:AF201" si="137">$C48*EXP(-B$168/$A48/EXP(-$C$126))</f>
        <v>9.8070147356989854E-3</v>
      </c>
      <c r="C201" s="3">
        <f t="shared" si="137"/>
        <v>9.8070147356989854E-3</v>
      </c>
      <c r="D201" s="3">
        <f t="shared" si="137"/>
        <v>9.8070147356989854E-3</v>
      </c>
      <c r="E201" s="3">
        <f t="shared" si="137"/>
        <v>9.8070147356989854E-3</v>
      </c>
      <c r="F201" s="3">
        <f t="shared" si="137"/>
        <v>9.8070147356989854E-3</v>
      </c>
      <c r="G201" s="3">
        <f t="shared" si="137"/>
        <v>9.8070147356989854E-3</v>
      </c>
      <c r="H201" s="3">
        <f t="shared" si="137"/>
        <v>9.8070147356989854E-3</v>
      </c>
      <c r="I201" s="3">
        <f t="shared" si="137"/>
        <v>9.8070147356989854E-3</v>
      </c>
      <c r="J201" s="3">
        <f t="shared" si="137"/>
        <v>9.8070147356989854E-3</v>
      </c>
      <c r="K201" s="3">
        <f t="shared" si="137"/>
        <v>9.8070147356989854E-3</v>
      </c>
      <c r="L201" s="3">
        <f t="shared" si="137"/>
        <v>9.8070147356989854E-3</v>
      </c>
      <c r="M201" s="3">
        <f t="shared" si="137"/>
        <v>9.8070147356989854E-3</v>
      </c>
      <c r="N201" s="3">
        <f t="shared" si="137"/>
        <v>9.8070147356989854E-3</v>
      </c>
      <c r="O201" s="3">
        <f t="shared" si="137"/>
        <v>9.8070147356989854E-3</v>
      </c>
      <c r="P201" s="3">
        <f t="shared" si="137"/>
        <v>9.8070147356989854E-3</v>
      </c>
      <c r="Q201" s="3">
        <f t="shared" si="137"/>
        <v>9.8070147356989854E-3</v>
      </c>
      <c r="R201" s="3">
        <f t="shared" si="137"/>
        <v>9.8070147356989854E-3</v>
      </c>
      <c r="S201" s="3">
        <f t="shared" si="137"/>
        <v>9.8070147356989854E-3</v>
      </c>
      <c r="T201" s="3">
        <f t="shared" si="137"/>
        <v>9.8070147356989854E-3</v>
      </c>
      <c r="U201" s="3">
        <f t="shared" si="137"/>
        <v>9.8070147356989802E-3</v>
      </c>
      <c r="V201" s="3">
        <f t="shared" si="137"/>
        <v>9.8070147356989351E-3</v>
      </c>
      <c r="W201" s="3">
        <f t="shared" si="137"/>
        <v>9.8070147356984841E-3</v>
      </c>
      <c r="X201" s="3">
        <f t="shared" si="137"/>
        <v>9.8070147356939669E-3</v>
      </c>
      <c r="Y201" s="3">
        <f t="shared" si="137"/>
        <v>9.8070147356488033E-3</v>
      </c>
      <c r="Z201" s="3">
        <f t="shared" si="137"/>
        <v>9.8070147351971733E-3</v>
      </c>
      <c r="AA201" s="3">
        <f t="shared" si="137"/>
        <v>9.8070147306808537E-3</v>
      </c>
      <c r="AB201" s="3">
        <f t="shared" si="137"/>
        <v>9.8070146855176767E-3</v>
      </c>
      <c r="AC201" s="3">
        <f t="shared" si="137"/>
        <v>9.8070142338859169E-3</v>
      </c>
      <c r="AD201" s="3">
        <f t="shared" si="137"/>
        <v>9.8070097175694537E-3</v>
      </c>
      <c r="AE201" s="3">
        <f t="shared" si="137"/>
        <v>9.8069645545192062E-3</v>
      </c>
      <c r="AF201" s="3">
        <f t="shared" si="137"/>
        <v>9.8065129354556954E-3</v>
      </c>
      <c r="AG201" s="3"/>
      <c r="AH201" s="3"/>
    </row>
    <row r="202" spans="1:34" x14ac:dyDescent="0.25">
      <c r="A202" s="79">
        <f>AVERAGE(B202:AF202)</f>
        <v>1.0564221723501093E-2</v>
      </c>
      <c r="B202" s="80">
        <f>IF($A$64&lt;=B168,IF($B$64&gt;=B168,ABS((B170-B169)/B169),0),0)</f>
        <v>8.657463099268202E-2</v>
      </c>
      <c r="C202" s="80">
        <f t="shared" ref="C202:AF202" si="138">IF($A$64&lt;=C168,IF($B$64&gt;=C168,ABS((C170-C169)/C169),0),0)</f>
        <v>5.3012654872977537E-2</v>
      </c>
      <c r="D202" s="80">
        <f t="shared" si="138"/>
        <v>3.2683324749895694E-2</v>
      </c>
      <c r="E202" s="80">
        <f t="shared" si="138"/>
        <v>1.1849613701387225E-2</v>
      </c>
      <c r="F202" s="80">
        <f t="shared" si="138"/>
        <v>5.9215693990508009E-3</v>
      </c>
      <c r="G202" s="80">
        <f t="shared" si="138"/>
        <v>2.9348431757449727E-3</v>
      </c>
      <c r="H202" s="80">
        <f t="shared" si="138"/>
        <v>4.6523601873213281E-3</v>
      </c>
      <c r="I202" s="80">
        <f t="shared" si="138"/>
        <v>3.1502476095446896E-3</v>
      </c>
      <c r="J202" s="80">
        <f t="shared" si="138"/>
        <v>3.1129712672588118E-3</v>
      </c>
      <c r="K202" s="80">
        <f t="shared" si="138"/>
        <v>3.1389001301274128E-3</v>
      </c>
      <c r="L202" s="80">
        <f t="shared" si="138"/>
        <v>2.8049162239474641E-3</v>
      </c>
      <c r="M202" s="80">
        <f t="shared" si="138"/>
        <v>2.6195091070721124E-3</v>
      </c>
      <c r="N202" s="80">
        <f t="shared" si="138"/>
        <v>2.8067018886504857E-3</v>
      </c>
      <c r="O202" s="80">
        <f t="shared" si="138"/>
        <v>3.8954676059193708E-3</v>
      </c>
      <c r="P202" s="80">
        <f t="shared" si="138"/>
        <v>3.2632063674358247E-3</v>
      </c>
      <c r="Q202" s="80">
        <f t="shared" si="138"/>
        <v>4.1824815900410586E-3</v>
      </c>
      <c r="R202" s="80">
        <f t="shared" si="138"/>
        <v>4.5762568991001337E-3</v>
      </c>
      <c r="S202" s="80">
        <f t="shared" si="138"/>
        <v>3.6826929089819366E-3</v>
      </c>
      <c r="T202" s="80">
        <f t="shared" si="138"/>
        <v>9.7812341091748994E-4</v>
      </c>
      <c r="U202" s="80">
        <f t="shared" si="138"/>
        <v>8.4220289322475307E-3</v>
      </c>
      <c r="V202" s="80">
        <f t="shared" si="138"/>
        <v>1.2161268841776852E-2</v>
      </c>
      <c r="W202" s="80">
        <f t="shared" si="138"/>
        <v>1.1764752280771026E-2</v>
      </c>
      <c r="X202" s="80">
        <f t="shared" si="138"/>
        <v>5.8896752829414988E-3</v>
      </c>
      <c r="Y202" s="80">
        <f t="shared" si="138"/>
        <v>6.8629604270851767E-3</v>
      </c>
      <c r="Z202" s="80">
        <f t="shared" si="138"/>
        <v>6.3919447291722288E-3</v>
      </c>
      <c r="AA202" s="80">
        <f t="shared" si="138"/>
        <v>3.0389291243166923E-2</v>
      </c>
      <c r="AB202" s="80">
        <f t="shared" si="138"/>
        <v>4.9133058707041329E-5</v>
      </c>
      <c r="AC202" s="80">
        <f t="shared" si="138"/>
        <v>2.6038871571430703E-3</v>
      </c>
      <c r="AD202" s="80">
        <f t="shared" si="138"/>
        <v>1.096664254485964E-3</v>
      </c>
      <c r="AE202" s="80">
        <f t="shared" si="138"/>
        <v>2.5390725237990118E-3</v>
      </c>
      <c r="AF202" s="80">
        <f t="shared" si="138"/>
        <v>3.4797226091812781E-3</v>
      </c>
    </row>
    <row r="203" spans="1:34" x14ac:dyDescent="0.25">
      <c r="B203" s="21">
        <f>(B170-B169)^2</f>
        <v>759374.023746058</v>
      </c>
      <c r="C203" s="21">
        <f t="shared" ref="C203:AF203" si="139">(C170-C169)^2</f>
        <v>264902.22344256809</v>
      </c>
      <c r="D203" s="21">
        <f t="shared" si="139"/>
        <v>96487.860275718878</v>
      </c>
      <c r="E203" s="21">
        <f t="shared" si="139"/>
        <v>12138.09199287312</v>
      </c>
      <c r="F203" s="21">
        <f t="shared" si="139"/>
        <v>2889.1002557002289</v>
      </c>
      <c r="G203" s="21">
        <f t="shared" si="139"/>
        <v>672.17695466750718</v>
      </c>
      <c r="H203" s="21">
        <f t="shared" si="139"/>
        <v>1589.7483339048608</v>
      </c>
      <c r="I203" s="21">
        <f t="shared" si="139"/>
        <v>680.85802827602913</v>
      </c>
      <c r="J203" s="21">
        <f t="shared" si="139"/>
        <v>619.21222346519983</v>
      </c>
      <c r="K203" s="21">
        <f t="shared" si="139"/>
        <v>587.58673401649173</v>
      </c>
      <c r="L203" s="21">
        <f t="shared" si="139"/>
        <v>432.21703104610958</v>
      </c>
      <c r="M203" s="21">
        <f t="shared" si="139"/>
        <v>340.5188715159349</v>
      </c>
      <c r="N203" s="21">
        <f t="shared" si="139"/>
        <v>349.88601809844255</v>
      </c>
      <c r="O203" s="21">
        <f t="shared" si="139"/>
        <v>610.18784218760834</v>
      </c>
      <c r="P203" s="21">
        <f t="shared" si="139"/>
        <v>390.77899823060181</v>
      </c>
      <c r="Q203" s="21">
        <f t="shared" si="139"/>
        <v>583.66863470421617</v>
      </c>
      <c r="R203" s="21">
        <f t="shared" si="139"/>
        <v>631.97596594128777</v>
      </c>
      <c r="S203" s="21">
        <f t="shared" si="139"/>
        <v>368.91676931072925</v>
      </c>
      <c r="T203" s="21">
        <f t="shared" si="139"/>
        <v>22.949484848536891</v>
      </c>
      <c r="U203" s="21">
        <f t="shared" si="139"/>
        <v>1433.6142101842879</v>
      </c>
      <c r="V203" s="21">
        <f t="shared" si="139"/>
        <v>2436.8999323919829</v>
      </c>
      <c r="W203" s="21">
        <f t="shared" si="139"/>
        <v>1791.375497303155</v>
      </c>
      <c r="X203" s="21">
        <f t="shared" si="139"/>
        <v>336.22042184114423</v>
      </c>
      <c r="Y203" s="21">
        <f t="shared" si="139"/>
        <v>315.26207393253429</v>
      </c>
      <c r="Z203" s="21">
        <f t="shared" si="139"/>
        <v>167.62994033864371</v>
      </c>
      <c r="AA203" s="21">
        <f t="shared" si="139"/>
        <v>2045.8670964522103</v>
      </c>
      <c r="AB203" s="21">
        <f t="shared" si="139"/>
        <v>2.7912192994703588E-3</v>
      </c>
      <c r="AC203" s="21">
        <f t="shared" si="139"/>
        <v>4.3350867700192124</v>
      </c>
      <c r="AD203" s="21">
        <f t="shared" si="139"/>
        <v>0.52522507034484789</v>
      </c>
      <c r="AE203" s="21">
        <f t="shared" si="139"/>
        <v>2.2226683438816917</v>
      </c>
      <c r="AF203" s="21">
        <f t="shared" si="139"/>
        <v>3.6883263954779779</v>
      </c>
      <c r="AG203" s="3"/>
      <c r="AH203" s="3"/>
    </row>
    <row r="204" spans="1:34" x14ac:dyDescent="0.25">
      <c r="A204" s="71">
        <f>SUM(B204:AF204)</f>
        <v>1152209.6248733755</v>
      </c>
      <c r="B204" s="60">
        <f>IF($A$64&lt;=B168,IF($B$64&gt;=B168,ABS(B203),0),0)</f>
        <v>759374.023746058</v>
      </c>
      <c r="C204" s="60">
        <f t="shared" ref="C204" si="140">IF($A$64&lt;=C168,IF($B$64&gt;=C168,ABS(C203),0),0)</f>
        <v>264902.22344256809</v>
      </c>
      <c r="D204" s="60">
        <f t="shared" ref="D204" si="141">IF($A$64&lt;=D168,IF($B$64&gt;=D168,ABS(D203),0),0)</f>
        <v>96487.860275718878</v>
      </c>
      <c r="E204" s="60">
        <f t="shared" ref="E204" si="142">IF($A$64&lt;=E168,IF($B$64&gt;=E168,ABS(E203),0),0)</f>
        <v>12138.09199287312</v>
      </c>
      <c r="F204" s="60">
        <f t="shared" ref="F204" si="143">IF($A$64&lt;=F168,IF($B$64&gt;=F168,ABS(F203),0),0)</f>
        <v>2889.1002557002289</v>
      </c>
      <c r="G204" s="60">
        <f t="shared" ref="G204" si="144">IF($A$64&lt;=G168,IF($B$64&gt;=G168,ABS(G203),0),0)</f>
        <v>672.17695466750718</v>
      </c>
      <c r="H204" s="60">
        <f t="shared" ref="H204" si="145">IF($A$64&lt;=H168,IF($B$64&gt;=H168,ABS(H203),0),0)</f>
        <v>1589.7483339048608</v>
      </c>
      <c r="I204" s="60">
        <f t="shared" ref="I204" si="146">IF($A$64&lt;=I168,IF($B$64&gt;=I168,ABS(I203),0),0)</f>
        <v>680.85802827602913</v>
      </c>
      <c r="J204" s="60">
        <f t="shared" ref="J204" si="147">IF($A$64&lt;=J168,IF($B$64&gt;=J168,ABS(J203),0),0)</f>
        <v>619.21222346519983</v>
      </c>
      <c r="K204" s="60">
        <f t="shared" ref="K204" si="148">IF($A$64&lt;=K168,IF($B$64&gt;=K168,ABS(K203),0),0)</f>
        <v>587.58673401649173</v>
      </c>
      <c r="L204" s="60">
        <f t="shared" ref="L204" si="149">IF($A$64&lt;=L168,IF($B$64&gt;=L168,ABS(L203),0),0)</f>
        <v>432.21703104610958</v>
      </c>
      <c r="M204" s="60">
        <f t="shared" ref="M204" si="150">IF($A$64&lt;=M168,IF($B$64&gt;=M168,ABS(M203),0),0)</f>
        <v>340.5188715159349</v>
      </c>
      <c r="N204" s="60">
        <f t="shared" ref="N204" si="151">IF($A$64&lt;=N168,IF($B$64&gt;=N168,ABS(N203),0),0)</f>
        <v>349.88601809844255</v>
      </c>
      <c r="O204" s="60">
        <f t="shared" ref="O204" si="152">IF($A$64&lt;=O168,IF($B$64&gt;=O168,ABS(O203),0),0)</f>
        <v>610.18784218760834</v>
      </c>
      <c r="P204" s="60">
        <f t="shared" ref="P204" si="153">IF($A$64&lt;=P168,IF($B$64&gt;=P168,ABS(P203),0),0)</f>
        <v>390.77899823060181</v>
      </c>
      <c r="Q204" s="60">
        <f t="shared" ref="Q204" si="154">IF($A$64&lt;=Q168,IF($B$64&gt;=Q168,ABS(Q203),0),0)</f>
        <v>583.66863470421617</v>
      </c>
      <c r="R204" s="60">
        <f t="shared" ref="R204" si="155">IF($A$64&lt;=R168,IF($B$64&gt;=R168,ABS(R203),0),0)</f>
        <v>631.97596594128777</v>
      </c>
      <c r="S204" s="60">
        <f t="shared" ref="S204" si="156">IF($A$64&lt;=S168,IF($B$64&gt;=S168,ABS(S203),0),0)</f>
        <v>368.91676931072925</v>
      </c>
      <c r="T204" s="60">
        <f t="shared" ref="T204" si="157">IF($A$64&lt;=T168,IF($B$64&gt;=T168,ABS(T203),0),0)</f>
        <v>22.949484848536891</v>
      </c>
      <c r="U204" s="60">
        <f t="shared" ref="U204" si="158">IF($A$64&lt;=U168,IF($B$64&gt;=U168,ABS(U203),0),0)</f>
        <v>1433.6142101842879</v>
      </c>
      <c r="V204" s="60">
        <f t="shared" ref="V204" si="159">IF($A$64&lt;=V168,IF($B$64&gt;=V168,ABS(V203),0),0)</f>
        <v>2436.8999323919829</v>
      </c>
      <c r="W204" s="60">
        <f t="shared" ref="W204" si="160">IF($A$64&lt;=W168,IF($B$64&gt;=W168,ABS(W203),0),0)</f>
        <v>1791.375497303155</v>
      </c>
      <c r="X204" s="60">
        <f t="shared" ref="X204" si="161">IF($A$64&lt;=X168,IF($B$64&gt;=X168,ABS(X203),0),0)</f>
        <v>336.22042184114423</v>
      </c>
      <c r="Y204" s="60">
        <f t="shared" ref="Y204" si="162">IF($A$64&lt;=Y168,IF($B$64&gt;=Y168,ABS(Y203),0),0)</f>
        <v>315.26207393253429</v>
      </c>
      <c r="Z204" s="60">
        <f t="shared" ref="Z204" si="163">IF($A$64&lt;=Z168,IF($B$64&gt;=Z168,ABS(Z203),0),0)</f>
        <v>167.62994033864371</v>
      </c>
      <c r="AA204" s="60">
        <f t="shared" ref="AA204" si="164">IF($A$64&lt;=AA168,IF($B$64&gt;=AA168,ABS(AA203),0),0)</f>
        <v>2045.8670964522103</v>
      </c>
      <c r="AB204" s="60">
        <f t="shared" ref="AB204" si="165">IF($A$64&lt;=AB168,IF($B$64&gt;=AB168,ABS(AB203),0),0)</f>
        <v>2.7912192994703588E-3</v>
      </c>
      <c r="AC204" s="60">
        <f t="shared" ref="AC204" si="166">IF($A$64&lt;=AC168,IF($B$64&gt;=AC168,ABS(AC203),0),0)</f>
        <v>4.3350867700192124</v>
      </c>
      <c r="AD204" s="60">
        <f t="shared" ref="AD204" si="167">IF($A$64&lt;=AD168,IF($B$64&gt;=AD168,ABS(AD203),0),0)</f>
        <v>0.52522507034484789</v>
      </c>
      <c r="AE204" s="60">
        <f t="shared" ref="AE204" si="168">IF($A$64&lt;=AE168,IF($B$64&gt;=AE168,ABS(AE203),0),0)</f>
        <v>2.2226683438816917</v>
      </c>
      <c r="AF204" s="60">
        <f t="shared" ref="AF204" si="169">IF($A$64&lt;=AF168,IF($B$64&gt;=AF168,ABS(AF203),0),0)</f>
        <v>3.6883263954779779</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9730.0167223959397</v>
      </c>
      <c r="C208" s="26">
        <f>INDEX(Comparison!$AM$3:$AS$33,G$14,$D$122)</f>
        <v>9476.1525473419642</v>
      </c>
      <c r="D208" s="26">
        <f>INDEX(Comparison!$AM$3:$AS$33,H$14,$D$122)</f>
        <v>9264.0506360514537</v>
      </c>
      <c r="E208" s="26">
        <f>INDEX(Comparison!$AM$3:$AS$33,I$14,$D$122)</f>
        <v>9042.8661048910981</v>
      </c>
      <c r="F208" s="26">
        <f>INDEX(Comparison!$AM$3:$AS$33,J$14,$D$122)</f>
        <v>8796.5318501985184</v>
      </c>
      <c r="G208" s="26">
        <f>INDEX(Comparison!$AM$3:$AS$33,K$14,$D$122)</f>
        <v>8532.9278199977016</v>
      </c>
      <c r="H208" s="26">
        <f>INDEX(Comparison!$AM$3:$AS$33,L$14,$D$122)</f>
        <v>8242.1892422663423</v>
      </c>
      <c r="I208" s="26">
        <f>INDEX(Comparison!$AM$3:$AS$33,M$14,$D$122)</f>
        <v>7957.4855284258747</v>
      </c>
      <c r="J208" s="26">
        <f>INDEX(Comparison!$AM$3:$AS$33,N$14,$D$122)</f>
        <v>7685.4052187432317</v>
      </c>
      <c r="K208" s="26">
        <f>INDEX(Comparison!$AM$3:$AS$33,O$14,$D$122)</f>
        <v>7368.9543787655439</v>
      </c>
      <c r="L208" s="26">
        <f>INDEX(Comparison!$AM$3:$AS$33,P$14,$D$122)</f>
        <v>6998.3812744112274</v>
      </c>
      <c r="M208" s="26">
        <f>INDEX(Comparison!$AM$3:$AS$33,Q$14,$D$122)</f>
        <v>6621.5844226341051</v>
      </c>
      <c r="N208" s="26">
        <f>INDEX(Comparison!$AM$3:$AS$33,R$14,$D$122)</f>
        <v>6307.1591705971805</v>
      </c>
      <c r="O208" s="26">
        <f>INDEX(Comparison!$AM$3:$AS$33,S$14,$D$122)</f>
        <v>6022.8689849680577</v>
      </c>
      <c r="P208" s="26">
        <f>INDEX(Comparison!$AM$3:$AS$33,T$14,$D$122)</f>
        <v>5743.6712365645317</v>
      </c>
      <c r="Q208" s="26">
        <f>INDEX(Comparison!$AM$3:$AS$33,U$14,$D$122)</f>
        <v>5459.2543435964462</v>
      </c>
      <c r="R208" s="26">
        <f>INDEX(Comparison!$AM$3:$AS$33,V$14,$D$122)</f>
        <v>5186.1259100095131</v>
      </c>
      <c r="S208" s="26">
        <f>INDEX(Comparison!$AM$3:$AS$33,W$14,$D$122)</f>
        <v>4865.5108844814831</v>
      </c>
      <c r="T208" s="26">
        <f>INDEX(Comparison!$AM$3:$AS$33,X$14,$D$122)</f>
        <v>4471.3145751722259</v>
      </c>
      <c r="U208" s="26">
        <f>INDEX(Comparison!$AM$3:$AS$33,Y$14,$D$122)</f>
        <v>4031.2545236434685</v>
      </c>
      <c r="V208" s="26">
        <f>INDEX(Comparison!$AM$3:$AS$33,Z$14,$D$122)</f>
        <v>3565.3464541885878</v>
      </c>
      <c r="W208" s="26">
        <f>INDEX(Comparison!$AM$3:$AS$33,AA$14,$D$122)</f>
        <v>3072.2800042990852</v>
      </c>
      <c r="X208" s="26">
        <f>INDEX(Comparison!$AM$3:$AS$33,AB$14,$D$122)</f>
        <v>2540.7682600840731</v>
      </c>
      <c r="Y208" s="26">
        <f>INDEX(Comparison!$AM$3:$AS$33,AC$14,$D$122)</f>
        <v>1974.0579457073152</v>
      </c>
      <c r="Z208" s="26">
        <f>INDEX(Comparison!$AM$3:$AS$33,AD$14,$D$122)</f>
        <v>1447.7693345065175</v>
      </c>
      <c r="AA208" s="26">
        <f>INDEX(Comparison!$AM$3:$AS$33,AE$14,$D$122)</f>
        <v>1044.3571981147218</v>
      </c>
      <c r="AB208" s="26">
        <f>INDEX(Comparison!$AM$3:$AS$33,AF$14,$D$122)</f>
        <v>784.40987612375113</v>
      </c>
      <c r="AC208" s="26">
        <f>INDEX(Comparison!$AM$3:$AS$33,AG$14,$D$122)</f>
        <v>651.40811766035665</v>
      </c>
      <c r="AD208" s="26">
        <f>INDEX(Comparison!$AM$3:$AS$33,AH$14,$D$122)</f>
        <v>583.80121108393644</v>
      </c>
      <c r="AE208" s="26">
        <f>INDEX(Comparison!$AM$3:$AS$33,AI$14,$D$122)</f>
        <v>548.71871201984641</v>
      </c>
      <c r="AF208" s="26">
        <f>INDEX(Comparison!$AM$3:$AS$33,AJ$14,$D$122)</f>
        <v>525.29950476563715</v>
      </c>
      <c r="AG208" s="26"/>
      <c r="AH208" s="26"/>
    </row>
    <row r="209" spans="1:34" x14ac:dyDescent="0.25">
      <c r="A209" s="70" t="s">
        <v>22</v>
      </c>
      <c r="B209" s="27">
        <f>($C$17+SUM(B210:B240))*$B$51</f>
        <v>9194.0450444111684</v>
      </c>
      <c r="C209" s="27">
        <f t="shared" ref="C209:AF209" si="170">($C$17+SUM(C210:C240))*$B$51</f>
        <v>9193.2873422100001</v>
      </c>
      <c r="D209" s="27">
        <f t="shared" si="170"/>
        <v>9185.7692371964131</v>
      </c>
      <c r="E209" s="27">
        <f t="shared" si="170"/>
        <v>9116.171642555084</v>
      </c>
      <c r="F209" s="27">
        <f t="shared" si="170"/>
        <v>8764.9400027955489</v>
      </c>
      <c r="G209" s="27">
        <f t="shared" si="170"/>
        <v>8506.5598459791909</v>
      </c>
      <c r="H209" s="27">
        <f t="shared" si="170"/>
        <v>8222.5788267700118</v>
      </c>
      <c r="I209" s="27">
        <f t="shared" si="170"/>
        <v>7939.7346695494916</v>
      </c>
      <c r="J209" s="27">
        <f t="shared" si="170"/>
        <v>7668.5864038271875</v>
      </c>
      <c r="K209" s="27">
        <f t="shared" si="170"/>
        <v>7355.2650644601017</v>
      </c>
      <c r="L209" s="27">
        <f t="shared" si="170"/>
        <v>6986.5051906124145</v>
      </c>
      <c r="M209" s="27">
        <f t="shared" si="170"/>
        <v>6610.9083520151153</v>
      </c>
      <c r="N209" s="27">
        <f t="shared" si="170"/>
        <v>6290.4815062950092</v>
      </c>
      <c r="O209" s="27">
        <f t="shared" si="170"/>
        <v>6012.4149190332755</v>
      </c>
      <c r="P209" s="27">
        <f t="shared" si="170"/>
        <v>5726.750514491835</v>
      </c>
      <c r="Q209" s="27">
        <f t="shared" si="170"/>
        <v>5445.3966773721322</v>
      </c>
      <c r="R209" s="27">
        <f t="shared" si="170"/>
        <v>5172.0594668232125</v>
      </c>
      <c r="S209" s="27">
        <f t="shared" si="170"/>
        <v>4864.7892767623389</v>
      </c>
      <c r="T209" s="27">
        <f t="shared" si="170"/>
        <v>4499.8531877001051</v>
      </c>
      <c r="U209" s="27">
        <f t="shared" si="170"/>
        <v>4070.0969871904804</v>
      </c>
      <c r="V209" s="27">
        <f t="shared" si="170"/>
        <v>3596.6833791320764</v>
      </c>
      <c r="W209" s="27">
        <f t="shared" si="170"/>
        <v>3084.9181995728404</v>
      </c>
      <c r="X209" s="27">
        <f t="shared" si="170"/>
        <v>2551.6604157309789</v>
      </c>
      <c r="Y209" s="27">
        <f t="shared" si="170"/>
        <v>1959.5171404712287</v>
      </c>
      <c r="Z209" s="27">
        <f t="shared" si="170"/>
        <v>1477.2083313434755</v>
      </c>
      <c r="AA209" s="27">
        <f t="shared" si="170"/>
        <v>1046.0961875909545</v>
      </c>
      <c r="AB209" s="27">
        <f t="shared" si="170"/>
        <v>786.6118605827719</v>
      </c>
      <c r="AC209" s="27">
        <f t="shared" si="170"/>
        <v>651.41748839311367</v>
      </c>
      <c r="AD209" s="27">
        <f t="shared" si="170"/>
        <v>582.89298131051066</v>
      </c>
      <c r="AE209" s="27">
        <f t="shared" si="170"/>
        <v>550.27347287279463</v>
      </c>
      <c r="AF209" s="27">
        <f t="shared" si="170"/>
        <v>523.8661316037211</v>
      </c>
      <c r="AG209" s="27"/>
      <c r="AH209" s="27"/>
    </row>
    <row r="210" spans="1:34" x14ac:dyDescent="0.25">
      <c r="B210" s="3">
        <f t="shared" ref="B210:AF210" si="171">$C18*EXP(-B$207/$A18/EXP(-$D$126))</f>
        <v>1.6621386479585039E-279</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4.8495724301870768E-2</v>
      </c>
      <c r="C211" s="3">
        <f t="shared" si="172"/>
        <v>4.8424270376237068E-2</v>
      </c>
      <c r="D211" s="3">
        <f t="shared" si="172"/>
        <v>4.7715496038302177E-2</v>
      </c>
      <c r="E211" s="3">
        <f t="shared" si="172"/>
        <v>4.1173995729988346E-2</v>
      </c>
      <c r="F211" s="3">
        <f t="shared" si="172"/>
        <v>9.4245090667403383E-3</v>
      </c>
      <c r="G211" s="3">
        <f t="shared" si="172"/>
        <v>3.7206254370980847E-9</v>
      </c>
      <c r="H211" s="3">
        <f t="shared" si="172"/>
        <v>3.4212758694763987E-73</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1.8704059675578026E-2</v>
      </c>
      <c r="C212" s="3">
        <f t="shared" si="173"/>
        <v>1.8701571984927404E-2</v>
      </c>
      <c r="D212" s="3">
        <f t="shared" si="173"/>
        <v>1.8676713268990123E-2</v>
      </c>
      <c r="E212" s="3">
        <f t="shared" si="173"/>
        <v>1.8429936245917006E-2</v>
      </c>
      <c r="F212" s="3">
        <f t="shared" si="173"/>
        <v>1.6134579364313856E-2</v>
      </c>
      <c r="G212" s="3">
        <f t="shared" si="173"/>
        <v>4.266736226330955E-3</v>
      </c>
      <c r="H212" s="3">
        <f t="shared" si="173"/>
        <v>7.136368552465436E-9</v>
      </c>
      <c r="I212" s="3">
        <f t="shared" si="173"/>
        <v>1.2226214938263019E-66</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3.3573417831122193E-2</v>
      </c>
      <c r="C213" s="3">
        <f t="shared" si="174"/>
        <v>3.3573014994525571E-2</v>
      </c>
      <c r="D213" s="3">
        <f t="shared" si="174"/>
        <v>3.3568986894392638E-2</v>
      </c>
      <c r="E213" s="3">
        <f t="shared" si="174"/>
        <v>3.3528732464592592E-2</v>
      </c>
      <c r="F213" s="3">
        <f t="shared" si="174"/>
        <v>3.3128833560756091E-2</v>
      </c>
      <c r="G213" s="3">
        <f t="shared" si="174"/>
        <v>2.9383007110811495E-2</v>
      </c>
      <c r="H213" s="3">
        <f t="shared" si="174"/>
        <v>8.851098879756783E-3</v>
      </c>
      <c r="I213" s="3">
        <f t="shared" si="174"/>
        <v>5.4451107202909026E-8</v>
      </c>
      <c r="J213" s="3">
        <f t="shared" si="174"/>
        <v>4.2276783803950724E-60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2.7431859829444176E-2</v>
      </c>
      <c r="C214" s="3">
        <f t="shared" si="175"/>
        <v>2.743183013757235E-2</v>
      </c>
      <c r="D214" s="3">
        <f t="shared" si="175"/>
        <v>2.7431533220621699E-2</v>
      </c>
      <c r="E214" s="3">
        <f t="shared" si="175"/>
        <v>2.7428564227866954E-2</v>
      </c>
      <c r="F214" s="3">
        <f t="shared" si="175"/>
        <v>2.7398891968420616E-2</v>
      </c>
      <c r="G214" s="3">
        <f t="shared" si="175"/>
        <v>2.7103929128729998E-2</v>
      </c>
      <c r="H214" s="3">
        <f t="shared" si="175"/>
        <v>2.432342811308983E-2</v>
      </c>
      <c r="I214" s="3">
        <f t="shared" si="175"/>
        <v>8.2404341168462857E-3</v>
      </c>
      <c r="J214" s="3">
        <f t="shared" si="175"/>
        <v>1.6413574405794106E-7</v>
      </c>
      <c r="K214" s="3">
        <f t="shared" si="175"/>
        <v>1.6133698456224645E-54</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2.7107660757711528E-2</v>
      </c>
      <c r="C215" s="3">
        <f t="shared" si="176"/>
        <v>2.7107658110911256E-2</v>
      </c>
      <c r="D215" s="3">
        <f t="shared" si="176"/>
        <v>2.7107631642922733E-2</v>
      </c>
      <c r="E215" s="3">
        <f t="shared" si="176"/>
        <v>2.7107366964458902E-2</v>
      </c>
      <c r="F215" s="3">
        <f t="shared" si="176"/>
        <v>2.7104720321953796E-2</v>
      </c>
      <c r="G215" s="3">
        <f t="shared" si="176"/>
        <v>2.7078268105091528E-2</v>
      </c>
      <c r="H215" s="3">
        <f t="shared" si="176"/>
        <v>2.6815161635745689E-2</v>
      </c>
      <c r="I215" s="3">
        <f t="shared" si="176"/>
        <v>2.4320683231804797E-2</v>
      </c>
      <c r="J215" s="3">
        <f t="shared" si="176"/>
        <v>9.1607133198973439E-3</v>
      </c>
      <c r="K215" s="3">
        <f t="shared" si="176"/>
        <v>5.2658017324955617E-7</v>
      </c>
      <c r="L215" s="3">
        <f t="shared" si="176"/>
        <v>2.0740375287594978E-49</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3.4301565889640895E-2</v>
      </c>
      <c r="C216" s="3">
        <f t="shared" si="177"/>
        <v>3.4301565587513794E-2</v>
      </c>
      <c r="D216" s="3">
        <f t="shared" si="177"/>
        <v>3.4301562566242914E-2</v>
      </c>
      <c r="E216" s="3">
        <f t="shared" si="177"/>
        <v>3.4301532353548783E-2</v>
      </c>
      <c r="F216" s="3">
        <f t="shared" si="177"/>
        <v>3.4301230228071064E-2</v>
      </c>
      <c r="G216" s="3">
        <f t="shared" si="177"/>
        <v>3.429820911965048E-2</v>
      </c>
      <c r="H216" s="3">
        <f t="shared" si="177"/>
        <v>3.4268012666338776E-2</v>
      </c>
      <c r="I216" s="3">
        <f t="shared" si="177"/>
        <v>3.3967506465717237E-2</v>
      </c>
      <c r="J216" s="3">
        <f t="shared" si="177"/>
        <v>3.1103634983540566E-2</v>
      </c>
      <c r="K216" s="3">
        <f t="shared" si="177"/>
        <v>1.2890980319048739E-2</v>
      </c>
      <c r="L216" s="3">
        <f t="shared" si="177"/>
        <v>1.9276755225031034E-6</v>
      </c>
      <c r="M216" s="3">
        <f t="shared" si="177"/>
        <v>1.0777395158698106E-44</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4.0817755578686402E-2</v>
      </c>
      <c r="C217" s="3">
        <f t="shared" si="178"/>
        <v>4.0817755546254574E-2</v>
      </c>
      <c r="D217" s="3">
        <f t="shared" si="178"/>
        <v>4.0817755221936279E-2</v>
      </c>
      <c r="E217" s="3">
        <f t="shared" si="178"/>
        <v>4.0817751978753453E-2</v>
      </c>
      <c r="F217" s="3">
        <f t="shared" si="178"/>
        <v>4.0817719546939364E-2</v>
      </c>
      <c r="G217" s="3">
        <f t="shared" si="178"/>
        <v>4.0817395230215721E-2</v>
      </c>
      <c r="H217" s="3">
        <f t="shared" si="178"/>
        <v>4.0814152204702969E-2</v>
      </c>
      <c r="I217" s="3">
        <f t="shared" si="178"/>
        <v>4.0781736117773533E-2</v>
      </c>
      <c r="J217" s="3">
        <f t="shared" si="178"/>
        <v>4.0458987911900605E-2</v>
      </c>
      <c r="K217" s="3">
        <f t="shared" si="178"/>
        <v>3.7368705979824834E-2</v>
      </c>
      <c r="L217" s="3">
        <f t="shared" si="178"/>
        <v>1.6882567881154751E-2</v>
      </c>
      <c r="M217" s="3">
        <f t="shared" si="178"/>
        <v>5.9805752459272239E-6</v>
      </c>
      <c r="N217" s="3">
        <f t="shared" si="178"/>
        <v>1.8611762508302366E-40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3.8228361614265592E-2</v>
      </c>
      <c r="C218" s="3">
        <f t="shared" si="179"/>
        <v>3.8228361611525569E-2</v>
      </c>
      <c r="D218" s="3">
        <f t="shared" si="179"/>
        <v>3.8228361584125313E-2</v>
      </c>
      <c r="E218" s="3">
        <f t="shared" si="179"/>
        <v>3.8228361310122763E-2</v>
      </c>
      <c r="F218" s="3">
        <f t="shared" si="179"/>
        <v>3.8228358570097362E-2</v>
      </c>
      <c r="G218" s="3">
        <f t="shared" si="179"/>
        <v>3.8228331169854121E-2</v>
      </c>
      <c r="H218" s="3">
        <f t="shared" si="179"/>
        <v>3.822805716850191E-2</v>
      </c>
      <c r="I218" s="3">
        <f t="shared" si="179"/>
        <v>3.8225317262992164E-2</v>
      </c>
      <c r="J218" s="3">
        <f t="shared" si="179"/>
        <v>3.8197929006265931E-2</v>
      </c>
      <c r="K218" s="3">
        <f t="shared" si="179"/>
        <v>3.7925123417906291E-2</v>
      </c>
      <c r="L218" s="3">
        <f t="shared" si="179"/>
        <v>3.530196322874507E-2</v>
      </c>
      <c r="M218" s="3">
        <f t="shared" si="179"/>
        <v>1.7239212101105881E-2</v>
      </c>
      <c r="N218" s="3">
        <f t="shared" si="179"/>
        <v>1.3295447534498445E-5</v>
      </c>
      <c r="O218" s="3">
        <f t="shared" si="179"/>
        <v>9.8982504067601435E-37</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2.8035434187671803E-2</v>
      </c>
      <c r="C219" s="3">
        <f t="shared" si="180"/>
        <v>2.8035434187490531E-2</v>
      </c>
      <c r="D219" s="3">
        <f t="shared" si="180"/>
        <v>2.8035434185677846E-2</v>
      </c>
      <c r="E219" s="3">
        <f t="shared" si="180"/>
        <v>2.8035434167550978E-2</v>
      </c>
      <c r="F219" s="3">
        <f t="shared" si="180"/>
        <v>2.8035433986282287E-2</v>
      </c>
      <c r="G219" s="3">
        <f t="shared" si="180"/>
        <v>2.8035432173595443E-2</v>
      </c>
      <c r="H219" s="3">
        <f t="shared" si="180"/>
        <v>2.8035414046733435E-2</v>
      </c>
      <c r="I219" s="3">
        <f t="shared" si="180"/>
        <v>2.8035232778757972E-2</v>
      </c>
      <c r="J219" s="3">
        <f t="shared" si="180"/>
        <v>2.8033420163463236E-2</v>
      </c>
      <c r="K219" s="3">
        <f t="shared" si="180"/>
        <v>2.8015300454961561E-2</v>
      </c>
      <c r="L219" s="3">
        <f t="shared" si="180"/>
        <v>2.7834746275466775E-2</v>
      </c>
      <c r="M219" s="3">
        <f t="shared" si="180"/>
        <v>2.6091983242429988E-2</v>
      </c>
      <c r="N219" s="3">
        <f t="shared" si="180"/>
        <v>1.3668011363465018E-2</v>
      </c>
      <c r="O219" s="3">
        <f t="shared" si="180"/>
        <v>2.1266094229882868E-5</v>
      </c>
      <c r="P219" s="3">
        <f t="shared" si="180"/>
        <v>1.7681200988176032E-33</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2.8888698027935585E-2</v>
      </c>
      <c r="C220" s="3">
        <f t="shared" si="181"/>
        <v>2.8888698027918738E-2</v>
      </c>
      <c r="D220" s="3">
        <f t="shared" si="181"/>
        <v>2.888869802775024E-2</v>
      </c>
      <c r="E220" s="3">
        <f t="shared" si="181"/>
        <v>2.8888698026065279E-2</v>
      </c>
      <c r="F220" s="3">
        <f t="shared" si="181"/>
        <v>2.888869800921566E-2</v>
      </c>
      <c r="G220" s="3">
        <f t="shared" si="181"/>
        <v>2.8888697840719475E-2</v>
      </c>
      <c r="H220" s="3">
        <f t="shared" si="181"/>
        <v>2.8888696155757679E-2</v>
      </c>
      <c r="I220" s="3">
        <f t="shared" si="181"/>
        <v>2.8888679306145117E-2</v>
      </c>
      <c r="J220" s="3">
        <f t="shared" si="181"/>
        <v>2.8888510810560025E-2</v>
      </c>
      <c r="K220" s="3">
        <f t="shared" si="181"/>
        <v>2.8886825908760197E-2</v>
      </c>
      <c r="L220" s="3">
        <f t="shared" si="181"/>
        <v>2.8869982294704624E-2</v>
      </c>
      <c r="M220" s="3">
        <f t="shared" si="181"/>
        <v>2.8702085384032346E-2</v>
      </c>
      <c r="N220" s="3">
        <f t="shared" si="181"/>
        <v>2.7075893506712991E-2</v>
      </c>
      <c r="O220" s="3">
        <f t="shared" si="181"/>
        <v>1.5110410037526438E-2</v>
      </c>
      <c r="P220" s="3">
        <f t="shared" si="181"/>
        <v>4.4280322192754812E-5</v>
      </c>
      <c r="Q220" s="3">
        <f t="shared" si="181"/>
        <v>2.0680260212133046E-30</v>
      </c>
      <c r="R220" s="3">
        <f t="shared" si="181"/>
        <v>1.0209589177829718E-283</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3.0018666279788209E-2</v>
      </c>
      <c r="C221" s="3">
        <f t="shared" si="182"/>
        <v>3.0018666279786631E-2</v>
      </c>
      <c r="D221" s="3">
        <f t="shared" si="182"/>
        <v>3.0018666279770834E-2</v>
      </c>
      <c r="E221" s="3">
        <f t="shared" si="182"/>
        <v>3.0018666279612895E-2</v>
      </c>
      <c r="F221" s="3">
        <f t="shared" si="182"/>
        <v>3.0018666278033464E-2</v>
      </c>
      <c r="G221" s="3">
        <f t="shared" si="182"/>
        <v>3.0018666262239178E-2</v>
      </c>
      <c r="H221" s="3">
        <f t="shared" si="182"/>
        <v>3.0018666104296283E-2</v>
      </c>
      <c r="I221" s="3">
        <f t="shared" si="182"/>
        <v>3.0018664524867407E-2</v>
      </c>
      <c r="J221" s="3">
        <f t="shared" si="182"/>
        <v>3.001864873058319E-2</v>
      </c>
      <c r="K221" s="3">
        <f t="shared" si="182"/>
        <v>3.0018490788198099E-2</v>
      </c>
      <c r="L221" s="3">
        <f t="shared" si="182"/>
        <v>3.0016911410052024E-2</v>
      </c>
      <c r="M221" s="3">
        <f t="shared" si="182"/>
        <v>3.0001122198184429E-2</v>
      </c>
      <c r="N221" s="3">
        <f t="shared" si="182"/>
        <v>2.984368615049041E-2</v>
      </c>
      <c r="O221" s="3">
        <f t="shared" si="182"/>
        <v>2.8314057272103652E-2</v>
      </c>
      <c r="P221" s="3">
        <f t="shared" si="182"/>
        <v>1.6730099622788375E-2</v>
      </c>
      <c r="Q221" s="3">
        <f t="shared" si="182"/>
        <v>8.6788610595281513E-5</v>
      </c>
      <c r="R221" s="3">
        <f t="shared" si="182"/>
        <v>1.2249118126554046E-27</v>
      </c>
      <c r="S221" s="3">
        <f t="shared" si="182"/>
        <v>3.8417198687490061E-256</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2.6688629032373474E-2</v>
      </c>
      <c r="C222" s="3">
        <f t="shared" si="183"/>
        <v>2.6688629032373345E-2</v>
      </c>
      <c r="D222" s="3">
        <f t="shared" si="183"/>
        <v>2.6688629032372079E-2</v>
      </c>
      <c r="E222" s="3">
        <f t="shared" si="183"/>
        <v>2.6688629032359412E-2</v>
      </c>
      <c r="F222" s="3">
        <f t="shared" si="183"/>
        <v>2.6688629032232739E-2</v>
      </c>
      <c r="G222" s="3">
        <f t="shared" si="183"/>
        <v>2.6688629030966016E-2</v>
      </c>
      <c r="H222" s="3">
        <f t="shared" si="183"/>
        <v>2.6688629018298791E-2</v>
      </c>
      <c r="I222" s="3">
        <f t="shared" si="183"/>
        <v>2.6688628891626522E-2</v>
      </c>
      <c r="J222" s="3">
        <f t="shared" si="183"/>
        <v>2.6688627624903864E-2</v>
      </c>
      <c r="K222" s="3">
        <f t="shared" si="183"/>
        <v>2.6688614957680584E-2</v>
      </c>
      <c r="L222" s="3">
        <f t="shared" si="183"/>
        <v>2.6688488285778467E-2</v>
      </c>
      <c r="M222" s="3">
        <f t="shared" si="183"/>
        <v>2.6687221599824004E-2</v>
      </c>
      <c r="N222" s="3">
        <f t="shared" si="183"/>
        <v>2.6674558046370259E-2</v>
      </c>
      <c r="O222" s="3">
        <f t="shared" si="183"/>
        <v>2.6548252541065128E-2</v>
      </c>
      <c r="P222" s="3">
        <f t="shared" si="183"/>
        <v>2.5317628121074263E-2</v>
      </c>
      <c r="Q222" s="3">
        <f t="shared" si="183"/>
        <v>1.5750479449424416E-2</v>
      </c>
      <c r="R222" s="3">
        <f t="shared" si="183"/>
        <v>1.3677332282574278E-4</v>
      </c>
      <c r="S222" s="3">
        <f t="shared" si="183"/>
        <v>3.3348599020951228E-25</v>
      </c>
      <c r="T222" s="3">
        <f t="shared" si="183"/>
        <v>2.4765069596568948E-231</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2.9107380567630754E-2</v>
      </c>
      <c r="C223" s="3">
        <f t="shared" si="184"/>
        <v>2.910738056763074E-2</v>
      </c>
      <c r="D223" s="3">
        <f t="shared" si="184"/>
        <v>2.9107380567630615E-2</v>
      </c>
      <c r="E223" s="3">
        <f t="shared" si="184"/>
        <v>2.9107380567629369E-2</v>
      </c>
      <c r="F223" s="3">
        <f t="shared" si="184"/>
        <v>2.9107380567616907E-2</v>
      </c>
      <c r="G223" s="3">
        <f t="shared" si="184"/>
        <v>2.9107380567492281E-2</v>
      </c>
      <c r="H223" s="3">
        <f t="shared" si="184"/>
        <v>2.9107380566246031E-2</v>
      </c>
      <c r="I223" s="3">
        <f t="shared" si="184"/>
        <v>2.9107380553783539E-2</v>
      </c>
      <c r="J223" s="3">
        <f t="shared" si="184"/>
        <v>2.9107380429158586E-2</v>
      </c>
      <c r="K223" s="3">
        <f t="shared" si="184"/>
        <v>2.9107379182909107E-2</v>
      </c>
      <c r="L223" s="3">
        <f t="shared" si="184"/>
        <v>2.9107366720417235E-2</v>
      </c>
      <c r="M223" s="3">
        <f t="shared" si="184"/>
        <v>2.9107242095791998E-2</v>
      </c>
      <c r="N223" s="3">
        <f t="shared" si="184"/>
        <v>2.9105995878886518E-2</v>
      </c>
      <c r="O223" s="3">
        <f t="shared" si="184"/>
        <v>2.9093536644054781E-2</v>
      </c>
      <c r="P223" s="3">
        <f t="shared" si="184"/>
        <v>2.8969237253743164E-2</v>
      </c>
      <c r="Q223" s="3">
        <f t="shared" si="184"/>
        <v>2.7755080321129843E-2</v>
      </c>
      <c r="R223" s="3">
        <f t="shared" si="184"/>
        <v>1.8088258981925703E-2</v>
      </c>
      <c r="S223" s="3">
        <f t="shared" si="184"/>
        <v>2.4999974018929667E-4</v>
      </c>
      <c r="T223" s="3">
        <f t="shared" si="184"/>
        <v>6.3586871195010512E-23</v>
      </c>
      <c r="U223" s="3">
        <f t="shared" si="184"/>
        <v>7.2052066673697727E-209</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3.4462873235499507E-2</v>
      </c>
      <c r="C224" s="3">
        <f t="shared" si="185"/>
        <v>3.4462873235499507E-2</v>
      </c>
      <c r="D224" s="3">
        <f t="shared" si="185"/>
        <v>3.4462873235499493E-2</v>
      </c>
      <c r="E224" s="3">
        <f t="shared" si="185"/>
        <v>3.4462873235499354E-2</v>
      </c>
      <c r="F224" s="3">
        <f t="shared" si="185"/>
        <v>3.4462873235498029E-2</v>
      </c>
      <c r="G224" s="3">
        <f t="shared" si="185"/>
        <v>3.446287323548472E-2</v>
      </c>
      <c r="H224" s="3">
        <f t="shared" si="185"/>
        <v>3.4462873235351611E-2</v>
      </c>
      <c r="I224" s="3">
        <f t="shared" si="185"/>
        <v>3.4462873234020544E-2</v>
      </c>
      <c r="J224" s="3">
        <f t="shared" si="185"/>
        <v>3.4462873220709872E-2</v>
      </c>
      <c r="K224" s="3">
        <f t="shared" si="185"/>
        <v>3.4462873087603166E-2</v>
      </c>
      <c r="L224" s="3">
        <f t="shared" si="185"/>
        <v>3.446287175653609E-2</v>
      </c>
      <c r="M224" s="3">
        <f t="shared" si="185"/>
        <v>3.4462858445868175E-2</v>
      </c>
      <c r="N224" s="3">
        <f t="shared" si="185"/>
        <v>3.4462725339471756E-2</v>
      </c>
      <c r="O224" s="3">
        <f t="shared" si="185"/>
        <v>3.44613943037827E-2</v>
      </c>
      <c r="P224" s="3">
        <f t="shared" si="185"/>
        <v>3.4448086773998556E-2</v>
      </c>
      <c r="Q224" s="3">
        <f t="shared" si="185"/>
        <v>3.4315293783202645E-2</v>
      </c>
      <c r="R224" s="3">
        <f t="shared" si="185"/>
        <v>3.3015195280362161E-2</v>
      </c>
      <c r="S224" s="3">
        <f t="shared" si="185"/>
        <v>2.2437546236373562E-2</v>
      </c>
      <c r="T224" s="3">
        <f t="shared" si="185"/>
        <v>4.7161788396358513E-4</v>
      </c>
      <c r="U224" s="3">
        <f t="shared" si="185"/>
        <v>7.9385157462853338E-21</v>
      </c>
      <c r="V224" s="3">
        <f t="shared" si="185"/>
        <v>1.4495385251993024E-188</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4.2396011613293615E-2</v>
      </c>
      <c r="C225" s="3">
        <f t="shared" si="186"/>
        <v>4.2396011613293615E-2</v>
      </c>
      <c r="D225" s="3">
        <f t="shared" si="186"/>
        <v>4.2396011613293615E-2</v>
      </c>
      <c r="E225" s="3">
        <f t="shared" si="186"/>
        <v>4.2396011613293601E-2</v>
      </c>
      <c r="F225" s="3">
        <f t="shared" si="186"/>
        <v>4.2396011613293448E-2</v>
      </c>
      <c r="G225" s="3">
        <f t="shared" si="186"/>
        <v>4.239601161329197E-2</v>
      </c>
      <c r="H225" s="3">
        <f t="shared" si="186"/>
        <v>4.2396011613277204E-2</v>
      </c>
      <c r="I225" s="3">
        <f t="shared" si="186"/>
        <v>4.2396011613129489E-2</v>
      </c>
      <c r="J225" s="3">
        <f t="shared" si="186"/>
        <v>4.2396011611652358E-2</v>
      </c>
      <c r="K225" s="3">
        <f t="shared" si="186"/>
        <v>4.2396011596881007E-2</v>
      </c>
      <c r="L225" s="3">
        <f t="shared" si="186"/>
        <v>4.2396011449167555E-2</v>
      </c>
      <c r="M225" s="3">
        <f t="shared" si="186"/>
        <v>4.2396009972033015E-2</v>
      </c>
      <c r="N225" s="3">
        <f t="shared" si="186"/>
        <v>4.239599520069047E-2</v>
      </c>
      <c r="O225" s="3">
        <f t="shared" si="186"/>
        <v>4.2395847487548127E-2</v>
      </c>
      <c r="P225" s="3">
        <f t="shared" si="186"/>
        <v>4.239437038443019E-2</v>
      </c>
      <c r="Q225" s="3">
        <f t="shared" si="186"/>
        <v>4.2379602183440931E-2</v>
      </c>
      <c r="R225" s="3">
        <f t="shared" si="186"/>
        <v>4.2232202828048453E-2</v>
      </c>
      <c r="S225" s="3">
        <f t="shared" si="186"/>
        <v>4.0786113716599418E-2</v>
      </c>
      <c r="T225" s="3">
        <f t="shared" si="186"/>
        <v>2.8787121158857707E-2</v>
      </c>
      <c r="U225" s="3">
        <f t="shared" si="186"/>
        <v>8.8319649023835419E-4</v>
      </c>
      <c r="V225" s="3">
        <f t="shared" si="186"/>
        <v>6.5260188413024053E-19</v>
      </c>
      <c r="W225" s="3">
        <f t="shared" si="186"/>
        <v>3.1663448389207952E-170</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4.6864772655648361E-2</v>
      </c>
      <c r="C226" s="3">
        <f t="shared" si="187"/>
        <v>4.6864772655648361E-2</v>
      </c>
      <c r="D226" s="3">
        <f t="shared" si="187"/>
        <v>4.6864772655648361E-2</v>
      </c>
      <c r="E226" s="3">
        <f t="shared" si="187"/>
        <v>4.6864772655648361E-2</v>
      </c>
      <c r="F226" s="3">
        <f t="shared" si="187"/>
        <v>4.6864772655648347E-2</v>
      </c>
      <c r="G226" s="3">
        <f t="shared" si="187"/>
        <v>4.6864772655648201E-2</v>
      </c>
      <c r="H226" s="3">
        <f t="shared" si="187"/>
        <v>4.6864772655646723E-2</v>
      </c>
      <c r="I226" s="3">
        <f t="shared" si="187"/>
        <v>4.6864772655631999E-2</v>
      </c>
      <c r="J226" s="3">
        <f t="shared" si="187"/>
        <v>4.68647726554847E-2</v>
      </c>
      <c r="K226" s="3">
        <f t="shared" si="187"/>
        <v>4.6864772654011753E-2</v>
      </c>
      <c r="L226" s="3">
        <f t="shared" si="187"/>
        <v>4.6864772639282244E-2</v>
      </c>
      <c r="M226" s="3">
        <f t="shared" si="187"/>
        <v>4.6864772491987186E-2</v>
      </c>
      <c r="N226" s="3">
        <f t="shared" si="187"/>
        <v>4.6864771019036675E-2</v>
      </c>
      <c r="O226" s="3">
        <f t="shared" si="187"/>
        <v>4.6864756289534078E-2</v>
      </c>
      <c r="P226" s="3">
        <f t="shared" si="187"/>
        <v>4.6864608994762677E-2</v>
      </c>
      <c r="Q226" s="3">
        <f t="shared" si="187"/>
        <v>4.68631360725104E-2</v>
      </c>
      <c r="R226" s="3">
        <f t="shared" si="187"/>
        <v>4.6848409395858569E-2</v>
      </c>
      <c r="S226" s="3">
        <f t="shared" si="187"/>
        <v>4.6701396920626748E-2</v>
      </c>
      <c r="T226" s="3">
        <f t="shared" si="187"/>
        <v>4.5256408050564911E-2</v>
      </c>
      <c r="U226" s="3">
        <f t="shared" si="187"/>
        <v>3.3050815830103671E-2</v>
      </c>
      <c r="V226" s="3">
        <f t="shared" si="187"/>
        <v>1.4262748037274172E-3</v>
      </c>
      <c r="W226" s="3">
        <f t="shared" si="187"/>
        <v>3.1945778053225216E-17</v>
      </c>
      <c r="X226" s="3">
        <f t="shared" si="187"/>
        <v>1.0151169256852682E-153</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5.22700837249113E-2</v>
      </c>
      <c r="C227" s="3">
        <f t="shared" si="188"/>
        <v>5.22700837249113E-2</v>
      </c>
      <c r="D227" s="3">
        <f t="shared" si="188"/>
        <v>5.22700837249113E-2</v>
      </c>
      <c r="E227" s="3">
        <f t="shared" si="188"/>
        <v>5.22700837249113E-2</v>
      </c>
      <c r="F227" s="3">
        <f t="shared" si="188"/>
        <v>5.22700837249113E-2</v>
      </c>
      <c r="G227" s="3">
        <f t="shared" si="188"/>
        <v>5.2270083724911279E-2</v>
      </c>
      <c r="H227" s="3">
        <f t="shared" si="188"/>
        <v>5.227008372491114E-2</v>
      </c>
      <c r="I227" s="3">
        <f t="shared" si="188"/>
        <v>5.2270083724909648E-2</v>
      </c>
      <c r="J227" s="3">
        <f t="shared" si="188"/>
        <v>5.2270083724894834E-2</v>
      </c>
      <c r="K227" s="3">
        <f t="shared" si="188"/>
        <v>5.2270083724746633E-2</v>
      </c>
      <c r="L227" s="3">
        <f t="shared" si="188"/>
        <v>5.2270083723264658E-2</v>
      </c>
      <c r="M227" s="3">
        <f t="shared" si="188"/>
        <v>5.2270083708444888E-2</v>
      </c>
      <c r="N227" s="3">
        <f t="shared" si="188"/>
        <v>5.2270083560247198E-2</v>
      </c>
      <c r="O227" s="3">
        <f t="shared" si="188"/>
        <v>5.2270082078270316E-2</v>
      </c>
      <c r="P227" s="3">
        <f t="shared" si="188"/>
        <v>5.2270067258503791E-2</v>
      </c>
      <c r="Q227" s="3">
        <f t="shared" si="188"/>
        <v>5.2269919061069627E-2</v>
      </c>
      <c r="R227" s="3">
        <f t="shared" si="188"/>
        <v>5.2268437109837307E-2</v>
      </c>
      <c r="S227" s="3">
        <f t="shared" si="188"/>
        <v>5.2253619908204471E-2</v>
      </c>
      <c r="T227" s="3">
        <f t="shared" si="188"/>
        <v>5.2105678718693753E-2</v>
      </c>
      <c r="U227" s="3">
        <f t="shared" si="188"/>
        <v>5.0649109185373742E-2</v>
      </c>
      <c r="V227" s="3">
        <f t="shared" si="188"/>
        <v>3.81451522300588E-2</v>
      </c>
      <c r="W227" s="3">
        <f t="shared" si="188"/>
        <v>2.2393128000192551E-3</v>
      </c>
      <c r="X227" s="3">
        <f t="shared" si="188"/>
        <v>1.0886013382493434E-15</v>
      </c>
      <c r="Y227" s="3">
        <f t="shared" si="188"/>
        <v>8.0243502569613213E-139</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5.1448795530600389E-2</v>
      </c>
      <c r="C228" s="3">
        <f t="shared" si="189"/>
        <v>5.1448795530600389E-2</v>
      </c>
      <c r="D228" s="3">
        <f t="shared" si="189"/>
        <v>5.1448795530600389E-2</v>
      </c>
      <c r="E228" s="3">
        <f t="shared" si="189"/>
        <v>5.1448795530600389E-2</v>
      </c>
      <c r="F228" s="3">
        <f t="shared" si="189"/>
        <v>5.1448795530600389E-2</v>
      </c>
      <c r="G228" s="3">
        <f t="shared" si="189"/>
        <v>5.1448795530600389E-2</v>
      </c>
      <c r="H228" s="3">
        <f t="shared" si="189"/>
        <v>5.1448795530600375E-2</v>
      </c>
      <c r="I228" s="3">
        <f t="shared" si="189"/>
        <v>5.1448795530600243E-2</v>
      </c>
      <c r="J228" s="3">
        <f t="shared" si="189"/>
        <v>5.1448795530598924E-2</v>
      </c>
      <c r="K228" s="3">
        <f t="shared" si="189"/>
        <v>5.1448795530585768E-2</v>
      </c>
      <c r="L228" s="3">
        <f t="shared" si="189"/>
        <v>5.1448795530454179E-2</v>
      </c>
      <c r="M228" s="3">
        <f t="shared" si="189"/>
        <v>5.1448795529138322E-2</v>
      </c>
      <c r="N228" s="3">
        <f t="shared" si="189"/>
        <v>5.1448795515979709E-2</v>
      </c>
      <c r="O228" s="3">
        <f t="shared" si="189"/>
        <v>5.1448795384393599E-2</v>
      </c>
      <c r="P228" s="3">
        <f t="shared" si="189"/>
        <v>5.1448794068532533E-2</v>
      </c>
      <c r="Q228" s="3">
        <f t="shared" si="189"/>
        <v>5.1448780909923719E-2</v>
      </c>
      <c r="R228" s="3">
        <f t="shared" si="189"/>
        <v>5.144864932402067E-2</v>
      </c>
      <c r="S228" s="3">
        <f t="shared" si="189"/>
        <v>5.144733348350003E-2</v>
      </c>
      <c r="T228" s="3">
        <f t="shared" si="189"/>
        <v>5.143417692910391E-2</v>
      </c>
      <c r="U228" s="3">
        <f t="shared" si="189"/>
        <v>5.1302796291144787E-2</v>
      </c>
      <c r="V228" s="3">
        <f t="shared" si="189"/>
        <v>5.0007306722739397E-2</v>
      </c>
      <c r="W228" s="3">
        <f t="shared" si="189"/>
        <v>3.8721996685309026E-2</v>
      </c>
      <c r="X228" s="3">
        <f t="shared" si="189"/>
        <v>3.0005476438203765E-3</v>
      </c>
      <c r="Y228" s="3">
        <f t="shared" si="189"/>
        <v>2.3422236565592321E-14</v>
      </c>
      <c r="Z228" s="3">
        <f t="shared" si="189"/>
        <v>1.9674636765820671E-125</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6.7081242502453009E-2</v>
      </c>
      <c r="C229" s="3">
        <f t="shared" si="190"/>
        <v>6.7081242502453009E-2</v>
      </c>
      <c r="D229" s="3">
        <f t="shared" si="190"/>
        <v>6.7081242502453009E-2</v>
      </c>
      <c r="E229" s="3">
        <f t="shared" si="190"/>
        <v>6.7081242502453009E-2</v>
      </c>
      <c r="F229" s="3">
        <f t="shared" si="190"/>
        <v>6.7081242502453009E-2</v>
      </c>
      <c r="G229" s="3">
        <f t="shared" si="190"/>
        <v>6.7081242502453009E-2</v>
      </c>
      <c r="H229" s="3">
        <f t="shared" si="190"/>
        <v>6.7081242502453009E-2</v>
      </c>
      <c r="I229" s="3">
        <f t="shared" si="190"/>
        <v>6.7081242502452995E-2</v>
      </c>
      <c r="J229" s="3">
        <f t="shared" si="190"/>
        <v>6.7081242502452842E-2</v>
      </c>
      <c r="K229" s="3">
        <f t="shared" si="190"/>
        <v>6.7081242502451288E-2</v>
      </c>
      <c r="L229" s="3">
        <f t="shared" si="190"/>
        <v>6.7081242502435814E-2</v>
      </c>
      <c r="M229" s="3">
        <f t="shared" si="190"/>
        <v>6.7081242502281049E-2</v>
      </c>
      <c r="N229" s="3">
        <f t="shared" si="190"/>
        <v>6.7081242500733357E-2</v>
      </c>
      <c r="O229" s="3">
        <f t="shared" si="190"/>
        <v>6.7081242485256515E-2</v>
      </c>
      <c r="P229" s="3">
        <f t="shared" si="190"/>
        <v>6.7081242330488025E-2</v>
      </c>
      <c r="Q229" s="3">
        <f t="shared" si="190"/>
        <v>6.7081240782803239E-2</v>
      </c>
      <c r="R229" s="3">
        <f t="shared" si="190"/>
        <v>6.7081225305957282E-2</v>
      </c>
      <c r="S229" s="3">
        <f t="shared" si="190"/>
        <v>6.7081070537694104E-2</v>
      </c>
      <c r="T229" s="3">
        <f t="shared" si="190"/>
        <v>6.7079522874701508E-2</v>
      </c>
      <c r="U229" s="3">
        <f t="shared" si="190"/>
        <v>6.7064048208522145E-2</v>
      </c>
      <c r="V229" s="3">
        <f t="shared" si="190"/>
        <v>6.6909497753853214E-2</v>
      </c>
      <c r="W229" s="3">
        <f t="shared" si="190"/>
        <v>6.5383447454804094E-2</v>
      </c>
      <c r="X229" s="3">
        <f t="shared" si="190"/>
        <v>5.191206133088494E-2</v>
      </c>
      <c r="Y229" s="3">
        <f t="shared" si="190"/>
        <v>5.1674092578769667E-3</v>
      </c>
      <c r="Z229" s="3">
        <f t="shared" si="190"/>
        <v>4.9353585128517913E-13</v>
      </c>
      <c r="AA229" s="3">
        <f t="shared" si="190"/>
        <v>3.1172897888607944E-113</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3.0532939065729049E-2</v>
      </c>
      <c r="C230" s="3">
        <f t="shared" si="191"/>
        <v>3.0532939065729049E-2</v>
      </c>
      <c r="D230" s="3">
        <f t="shared" si="191"/>
        <v>3.0532939065729049E-2</v>
      </c>
      <c r="E230" s="3">
        <f t="shared" si="191"/>
        <v>3.0532939065729049E-2</v>
      </c>
      <c r="F230" s="3">
        <f t="shared" si="191"/>
        <v>3.0532939065729049E-2</v>
      </c>
      <c r="G230" s="3">
        <f t="shared" si="191"/>
        <v>3.0532939065729049E-2</v>
      </c>
      <c r="H230" s="3">
        <f t="shared" si="191"/>
        <v>3.0532939065729049E-2</v>
      </c>
      <c r="I230" s="3">
        <f t="shared" si="191"/>
        <v>3.0532939065729049E-2</v>
      </c>
      <c r="J230" s="3">
        <f t="shared" si="191"/>
        <v>3.0532939065729042E-2</v>
      </c>
      <c r="K230" s="3">
        <f t="shared" si="191"/>
        <v>3.0532939065728976E-2</v>
      </c>
      <c r="L230" s="3">
        <f t="shared" si="191"/>
        <v>3.0532939065728345E-2</v>
      </c>
      <c r="M230" s="3">
        <f t="shared" si="191"/>
        <v>3.0532939065721989E-2</v>
      </c>
      <c r="N230" s="3">
        <f t="shared" si="191"/>
        <v>3.0532939065658442E-2</v>
      </c>
      <c r="O230" s="3">
        <f t="shared" si="191"/>
        <v>3.0532939065022968E-2</v>
      </c>
      <c r="P230" s="3">
        <f t="shared" si="191"/>
        <v>3.0532939058668246E-2</v>
      </c>
      <c r="Q230" s="3">
        <f t="shared" si="191"/>
        <v>3.0532938995121016E-2</v>
      </c>
      <c r="R230" s="3">
        <f t="shared" si="191"/>
        <v>3.0532938359648723E-2</v>
      </c>
      <c r="S230" s="3">
        <f t="shared" si="191"/>
        <v>3.0532932004926527E-2</v>
      </c>
      <c r="T230" s="3">
        <f t="shared" si="191"/>
        <v>3.0532868457777286E-2</v>
      </c>
      <c r="U230" s="3">
        <f t="shared" si="191"/>
        <v>3.0532232993559054E-2</v>
      </c>
      <c r="V230" s="3">
        <f t="shared" si="191"/>
        <v>3.0525879078737991E-2</v>
      </c>
      <c r="W230" s="3">
        <f t="shared" si="191"/>
        <v>3.0462412610673218E-2</v>
      </c>
      <c r="X230" s="3">
        <f t="shared" si="191"/>
        <v>2.9834960286089781E-2</v>
      </c>
      <c r="Y230" s="3">
        <f t="shared" si="191"/>
        <v>2.4229092158022523E-2</v>
      </c>
      <c r="Z230" s="3">
        <f t="shared" si="191"/>
        <v>3.0231097868420858E-3</v>
      </c>
      <c r="AA230" s="3">
        <f t="shared" si="191"/>
        <v>2.764532458862199E-12</v>
      </c>
      <c r="AB230" s="3">
        <f t="shared" si="191"/>
        <v>1.1305751496715376E-102</v>
      </c>
      <c r="AC230" s="3">
        <f t="shared" si="191"/>
        <v>0</v>
      </c>
      <c r="AD230" s="3">
        <f t="shared" si="191"/>
        <v>0</v>
      </c>
      <c r="AE230" s="3">
        <f t="shared" si="191"/>
        <v>0</v>
      </c>
      <c r="AF230" s="3">
        <f t="shared" si="191"/>
        <v>0</v>
      </c>
      <c r="AG230" s="3"/>
      <c r="AH230" s="3"/>
    </row>
    <row r="231" spans="2:34" x14ac:dyDescent="0.25">
      <c r="B231" s="3">
        <f t="shared" ref="B231:AF231" si="192">$C39*EXP(-B$207/$A39/EXP(-$D$126))</f>
        <v>4.6215233336182188E-2</v>
      </c>
      <c r="C231" s="3">
        <f t="shared" si="192"/>
        <v>4.6215233336182188E-2</v>
      </c>
      <c r="D231" s="3">
        <f t="shared" si="192"/>
        <v>4.6215233336182188E-2</v>
      </c>
      <c r="E231" s="3">
        <f t="shared" si="192"/>
        <v>4.6215233336182188E-2</v>
      </c>
      <c r="F231" s="3">
        <f t="shared" si="192"/>
        <v>4.6215233336182188E-2</v>
      </c>
      <c r="G231" s="3">
        <f t="shared" si="192"/>
        <v>4.6215233336182188E-2</v>
      </c>
      <c r="H231" s="3">
        <f t="shared" si="192"/>
        <v>4.6215233336182188E-2</v>
      </c>
      <c r="I231" s="3">
        <f t="shared" si="192"/>
        <v>4.6215233336182188E-2</v>
      </c>
      <c r="J231" s="3">
        <f t="shared" si="192"/>
        <v>4.6215233336182181E-2</v>
      </c>
      <c r="K231" s="3">
        <f t="shared" si="192"/>
        <v>4.621523333618216E-2</v>
      </c>
      <c r="L231" s="3">
        <f t="shared" si="192"/>
        <v>4.6215233336181889E-2</v>
      </c>
      <c r="M231" s="3">
        <f t="shared" si="192"/>
        <v>4.6215233336179232E-2</v>
      </c>
      <c r="N231" s="3">
        <f t="shared" si="192"/>
        <v>4.6215233336152628E-2</v>
      </c>
      <c r="O231" s="3">
        <f t="shared" si="192"/>
        <v>4.6215233335886598E-2</v>
      </c>
      <c r="P231" s="3">
        <f t="shared" si="192"/>
        <v>4.621523333322633E-2</v>
      </c>
      <c r="Q231" s="3">
        <f t="shared" si="192"/>
        <v>4.621523330662361E-2</v>
      </c>
      <c r="R231" s="3">
        <f t="shared" si="192"/>
        <v>4.6215233040596423E-2</v>
      </c>
      <c r="S231" s="3">
        <f t="shared" si="192"/>
        <v>4.6215230380324622E-2</v>
      </c>
      <c r="T231" s="3">
        <f t="shared" si="192"/>
        <v>4.6215203777615052E-2</v>
      </c>
      <c r="U231" s="3">
        <f t="shared" si="192"/>
        <v>4.6214937751361609E-2</v>
      </c>
      <c r="V231" s="3">
        <f t="shared" si="192"/>
        <v>4.6212277573047945E-2</v>
      </c>
      <c r="W231" s="3">
        <f t="shared" si="192"/>
        <v>4.6185684210196913E-2</v>
      </c>
      <c r="X231" s="3">
        <f t="shared" si="192"/>
        <v>4.5920590819634878E-2</v>
      </c>
      <c r="Y231" s="3">
        <f t="shared" si="192"/>
        <v>4.3351918374809111E-2</v>
      </c>
      <c r="Z231" s="3">
        <f t="shared" si="192"/>
        <v>2.4379054157543864E-2</v>
      </c>
      <c r="AA231" s="3">
        <f t="shared" si="192"/>
        <v>7.7108485043209462E-5</v>
      </c>
      <c r="AB231" s="3">
        <f t="shared" si="192"/>
        <v>7.7260115862382896E-30</v>
      </c>
      <c r="AC231" s="3">
        <f t="shared" si="192"/>
        <v>7.8792920867736701E-280</v>
      </c>
      <c r="AD231" s="3">
        <f t="shared" si="192"/>
        <v>0</v>
      </c>
      <c r="AE231" s="3">
        <f t="shared" si="192"/>
        <v>0</v>
      </c>
      <c r="AF231" s="3">
        <f t="shared" si="192"/>
        <v>0</v>
      </c>
      <c r="AG231" s="3"/>
      <c r="AH231" s="3"/>
    </row>
    <row r="232" spans="2:34" x14ac:dyDescent="0.25">
      <c r="B232" s="3">
        <f t="shared" ref="B232:AF232" si="193">$C40*EXP(-B$207/$A40/EXP(-$D$126))</f>
        <v>3.4109179879759796E-2</v>
      </c>
      <c r="C232" s="3">
        <f t="shared" si="193"/>
        <v>3.4109179879759796E-2</v>
      </c>
      <c r="D232" s="3">
        <f t="shared" si="193"/>
        <v>3.4109179879759796E-2</v>
      </c>
      <c r="E232" s="3">
        <f t="shared" si="193"/>
        <v>3.4109179879759796E-2</v>
      </c>
      <c r="F232" s="3">
        <f t="shared" si="193"/>
        <v>3.4109179879759796E-2</v>
      </c>
      <c r="G232" s="3">
        <f t="shared" si="193"/>
        <v>3.4109179879759796E-2</v>
      </c>
      <c r="H232" s="3">
        <f t="shared" si="193"/>
        <v>3.4109179879759796E-2</v>
      </c>
      <c r="I232" s="3">
        <f t="shared" si="193"/>
        <v>3.4109179879759796E-2</v>
      </c>
      <c r="J232" s="3">
        <f t="shared" si="193"/>
        <v>3.4109179879759796E-2</v>
      </c>
      <c r="K232" s="3">
        <f t="shared" si="193"/>
        <v>3.4109179879759789E-2</v>
      </c>
      <c r="L232" s="3">
        <f t="shared" si="193"/>
        <v>3.4109179879759775E-2</v>
      </c>
      <c r="M232" s="3">
        <f t="shared" si="193"/>
        <v>3.4109179879759574E-2</v>
      </c>
      <c r="N232" s="3">
        <f t="shared" si="193"/>
        <v>3.4109179879757617E-2</v>
      </c>
      <c r="O232" s="3">
        <f t="shared" si="193"/>
        <v>3.410917987973798E-2</v>
      </c>
      <c r="P232" s="3">
        <f t="shared" si="193"/>
        <v>3.4109179879541637E-2</v>
      </c>
      <c r="Q232" s="3">
        <f t="shared" si="193"/>
        <v>3.4109179877578222E-2</v>
      </c>
      <c r="R232" s="3">
        <f t="shared" si="193"/>
        <v>3.4109179857944073E-2</v>
      </c>
      <c r="S232" s="3">
        <f t="shared" si="193"/>
        <v>3.4109179661602547E-2</v>
      </c>
      <c r="T232" s="3">
        <f t="shared" si="193"/>
        <v>3.4109177698187401E-2</v>
      </c>
      <c r="U232" s="3">
        <f t="shared" si="193"/>
        <v>3.4109158064042105E-2</v>
      </c>
      <c r="V232" s="3">
        <f t="shared" si="193"/>
        <v>3.4108961723210818E-2</v>
      </c>
      <c r="W232" s="3">
        <f t="shared" si="193"/>
        <v>3.4106998377057121E-2</v>
      </c>
      <c r="X232" s="3">
        <f t="shared" si="193"/>
        <v>3.4087371130116798E-2</v>
      </c>
      <c r="Y232" s="3">
        <f t="shared" si="193"/>
        <v>3.3891718798820733E-2</v>
      </c>
      <c r="Z232" s="3">
        <f t="shared" si="193"/>
        <v>3.1995908604908974E-2</v>
      </c>
      <c r="AA232" s="3">
        <f t="shared" si="193"/>
        <v>1.7992975119462275E-2</v>
      </c>
      <c r="AB232" s="3">
        <f t="shared" si="193"/>
        <v>5.6909962294520598E-5</v>
      </c>
      <c r="AC232" s="3">
        <f t="shared" si="193"/>
        <v>5.7021873508922111E-30</v>
      </c>
      <c r="AD232" s="3">
        <f t="shared" si="193"/>
        <v>5.8153161135837045E-280</v>
      </c>
      <c r="AE232" s="3">
        <f t="shared" si="193"/>
        <v>0</v>
      </c>
      <c r="AF232" s="3">
        <f t="shared" si="193"/>
        <v>0</v>
      </c>
      <c r="AG232" s="3"/>
      <c r="AH232" s="3"/>
    </row>
    <row r="233" spans="2:34" x14ac:dyDescent="0.25">
      <c r="B233" s="3">
        <f t="shared" ref="B233:AF233" si="194">$C41*EXP(-B$207/$A41/EXP(-$D$126))</f>
        <v>1.6721828719437171E-2</v>
      </c>
      <c r="C233" s="3">
        <f t="shared" si="194"/>
        <v>1.6721828719437171E-2</v>
      </c>
      <c r="D233" s="3">
        <f t="shared" si="194"/>
        <v>1.6721828719437171E-2</v>
      </c>
      <c r="E233" s="3">
        <f t="shared" si="194"/>
        <v>1.6721828719437171E-2</v>
      </c>
      <c r="F233" s="3">
        <f t="shared" si="194"/>
        <v>1.6721828719437171E-2</v>
      </c>
      <c r="G233" s="3">
        <f t="shared" si="194"/>
        <v>1.6721828719437171E-2</v>
      </c>
      <c r="H233" s="3">
        <f t="shared" si="194"/>
        <v>1.6721828719437171E-2</v>
      </c>
      <c r="I233" s="3">
        <f t="shared" si="194"/>
        <v>1.6721828719437171E-2</v>
      </c>
      <c r="J233" s="3">
        <f t="shared" si="194"/>
        <v>1.6721828719437171E-2</v>
      </c>
      <c r="K233" s="3">
        <f t="shared" si="194"/>
        <v>1.6721828719437171E-2</v>
      </c>
      <c r="L233" s="3">
        <f t="shared" si="194"/>
        <v>1.6721828719437167E-2</v>
      </c>
      <c r="M233" s="3">
        <f t="shared" si="194"/>
        <v>1.672182871943716E-2</v>
      </c>
      <c r="N233" s="3">
        <f t="shared" si="194"/>
        <v>1.6721828719437063E-2</v>
      </c>
      <c r="O233" s="3">
        <f t="shared" si="194"/>
        <v>1.6721828719436102E-2</v>
      </c>
      <c r="P233" s="3">
        <f t="shared" si="194"/>
        <v>1.6721828719426474E-2</v>
      </c>
      <c r="Q233" s="3">
        <f t="shared" si="194"/>
        <v>1.6721828719330221E-2</v>
      </c>
      <c r="R233" s="3">
        <f t="shared" si="194"/>
        <v>1.6721828718367669E-2</v>
      </c>
      <c r="S233" s="3">
        <f t="shared" si="194"/>
        <v>1.6721828708742136E-2</v>
      </c>
      <c r="T233" s="3">
        <f t="shared" si="194"/>
        <v>1.672182861248684E-2</v>
      </c>
      <c r="U233" s="3">
        <f t="shared" si="194"/>
        <v>1.6721827649933886E-2</v>
      </c>
      <c r="V233" s="3">
        <f t="shared" si="194"/>
        <v>1.6721818024407392E-2</v>
      </c>
      <c r="W233" s="3">
        <f t="shared" si="194"/>
        <v>1.6721721769447199E-2</v>
      </c>
      <c r="X233" s="3">
        <f t="shared" si="194"/>
        <v>1.6720759250318483E-2</v>
      </c>
      <c r="Y233" s="3">
        <f t="shared" si="194"/>
        <v>1.671113710570149E-2</v>
      </c>
      <c r="Z233" s="3">
        <f t="shared" si="194"/>
        <v>1.6615219678662065E-2</v>
      </c>
      <c r="AA233" s="3">
        <f t="shared" si="194"/>
        <v>1.5685809664733034E-2</v>
      </c>
      <c r="AB233" s="3">
        <f t="shared" si="194"/>
        <v>8.8209522820946098E-3</v>
      </c>
      <c r="AC233" s="3">
        <f t="shared" si="194"/>
        <v>2.7899780800162195E-5</v>
      </c>
      <c r="AD233" s="3">
        <f t="shared" si="194"/>
        <v>2.795464462760112E-30</v>
      </c>
      <c r="AE233" s="3">
        <f t="shared" si="194"/>
        <v>2.8509251862262756E-280</v>
      </c>
      <c r="AF233" s="3">
        <f t="shared" si="194"/>
        <v>0</v>
      </c>
      <c r="AG233" s="3"/>
      <c r="AH233" s="3"/>
    </row>
    <row r="234" spans="2:34" x14ac:dyDescent="0.25">
      <c r="B234" s="3">
        <f t="shared" ref="B234:AF234" si="195">$C42*EXP(-B$207/$A42/EXP(-$D$126))</f>
        <v>1.0380166217025045E-2</v>
      </c>
      <c r="C234" s="3">
        <f t="shared" si="195"/>
        <v>1.0380166217025045E-2</v>
      </c>
      <c r="D234" s="3">
        <f t="shared" si="195"/>
        <v>1.0380166217025045E-2</v>
      </c>
      <c r="E234" s="3">
        <f t="shared" si="195"/>
        <v>1.0380166217025045E-2</v>
      </c>
      <c r="F234" s="3">
        <f t="shared" si="195"/>
        <v>1.0380166217025045E-2</v>
      </c>
      <c r="G234" s="3">
        <f t="shared" si="195"/>
        <v>1.0380166217025045E-2</v>
      </c>
      <c r="H234" s="3">
        <f t="shared" si="195"/>
        <v>1.0380166217025045E-2</v>
      </c>
      <c r="I234" s="3">
        <f t="shared" si="195"/>
        <v>1.0380166217025045E-2</v>
      </c>
      <c r="J234" s="3">
        <f t="shared" si="195"/>
        <v>1.0380166217025045E-2</v>
      </c>
      <c r="K234" s="3">
        <f t="shared" si="195"/>
        <v>1.0380166217025045E-2</v>
      </c>
      <c r="L234" s="3">
        <f t="shared" si="195"/>
        <v>1.0380166217025045E-2</v>
      </c>
      <c r="M234" s="3">
        <f t="shared" si="195"/>
        <v>1.0380166217025043E-2</v>
      </c>
      <c r="N234" s="3">
        <f t="shared" si="195"/>
        <v>1.0380166217025038E-2</v>
      </c>
      <c r="O234" s="3">
        <f t="shared" si="195"/>
        <v>1.0380166217024978E-2</v>
      </c>
      <c r="P234" s="3">
        <f t="shared" si="195"/>
        <v>1.0380166217024381E-2</v>
      </c>
      <c r="Q234" s="3">
        <f t="shared" si="195"/>
        <v>1.0380166217018406E-2</v>
      </c>
      <c r="R234" s="3">
        <f t="shared" si="195"/>
        <v>1.0380166216958656E-2</v>
      </c>
      <c r="S234" s="3">
        <f t="shared" si="195"/>
        <v>1.0380166216361146E-2</v>
      </c>
      <c r="T234" s="3">
        <f t="shared" si="195"/>
        <v>1.0380166210386045E-2</v>
      </c>
      <c r="U234" s="3">
        <f t="shared" si="195"/>
        <v>1.0380166150635044E-2</v>
      </c>
      <c r="V234" s="3">
        <f t="shared" si="195"/>
        <v>1.0380165553125058E-2</v>
      </c>
      <c r="W234" s="3">
        <f t="shared" si="195"/>
        <v>1.0380159578027083E-2</v>
      </c>
      <c r="X234" s="3">
        <f t="shared" si="195"/>
        <v>1.0380099827236498E-2</v>
      </c>
      <c r="Y234" s="3">
        <f t="shared" si="195"/>
        <v>1.0379502338247059E-2</v>
      </c>
      <c r="Z234" s="3">
        <f t="shared" si="195"/>
        <v>1.0373529339589767E-2</v>
      </c>
      <c r="AA234" s="3">
        <f t="shared" si="195"/>
        <v>1.0313988074547311E-2</v>
      </c>
      <c r="AB234" s="3">
        <f t="shared" si="195"/>
        <v>9.7370517483704438E-3</v>
      </c>
      <c r="AC234" s="3">
        <f t="shared" si="195"/>
        <v>5.475654153433423E-3</v>
      </c>
      <c r="AD234" s="3">
        <f t="shared" si="195"/>
        <v>1.7318940827782572E-5</v>
      </c>
      <c r="AE234" s="3">
        <f t="shared" si="195"/>
        <v>1.7352997847362989E-30</v>
      </c>
      <c r="AF234" s="3">
        <f t="shared" si="195"/>
        <v>1.7697273307753314E-280</v>
      </c>
      <c r="AG234" s="3"/>
      <c r="AH234" s="3"/>
    </row>
    <row r="235" spans="2:34" x14ac:dyDescent="0.25">
      <c r="B235" s="3">
        <f t="shared" ref="B235:AF235" si="196">$C43*EXP(-B$207/$A43/EXP(-$D$126))</f>
        <v>2.3857851620006894E-3</v>
      </c>
      <c r="C235" s="3">
        <f t="shared" si="196"/>
        <v>2.3857851620006894E-3</v>
      </c>
      <c r="D235" s="3">
        <f t="shared" si="196"/>
        <v>2.3857851620006894E-3</v>
      </c>
      <c r="E235" s="3">
        <f t="shared" si="196"/>
        <v>2.3857851620006894E-3</v>
      </c>
      <c r="F235" s="3">
        <f t="shared" si="196"/>
        <v>2.3857851620006894E-3</v>
      </c>
      <c r="G235" s="3">
        <f t="shared" si="196"/>
        <v>2.3857851620006894E-3</v>
      </c>
      <c r="H235" s="3">
        <f t="shared" si="196"/>
        <v>2.3857851620006894E-3</v>
      </c>
      <c r="I235" s="3">
        <f t="shared" si="196"/>
        <v>2.3857851620006894E-3</v>
      </c>
      <c r="J235" s="3">
        <f t="shared" si="196"/>
        <v>2.3857851620006894E-3</v>
      </c>
      <c r="K235" s="3">
        <f t="shared" si="196"/>
        <v>2.3857851620006894E-3</v>
      </c>
      <c r="L235" s="3">
        <f t="shared" si="196"/>
        <v>2.3857851620006894E-3</v>
      </c>
      <c r="M235" s="3">
        <f t="shared" si="196"/>
        <v>2.3857851620006894E-3</v>
      </c>
      <c r="N235" s="3">
        <f t="shared" si="196"/>
        <v>2.385785162000689E-3</v>
      </c>
      <c r="O235" s="3">
        <f t="shared" si="196"/>
        <v>2.3857851620006877E-3</v>
      </c>
      <c r="P235" s="3">
        <f t="shared" si="196"/>
        <v>2.3857851620006742E-3</v>
      </c>
      <c r="Q235" s="3">
        <f t="shared" si="196"/>
        <v>2.3857851620005368E-3</v>
      </c>
      <c r="R235" s="3">
        <f t="shared" si="196"/>
        <v>2.3857851619991633E-3</v>
      </c>
      <c r="S235" s="3">
        <f t="shared" si="196"/>
        <v>2.3857851619854304E-3</v>
      </c>
      <c r="T235" s="3">
        <f t="shared" si="196"/>
        <v>2.3857851618480984E-3</v>
      </c>
      <c r="U235" s="3">
        <f t="shared" si="196"/>
        <v>2.3857851604747768E-3</v>
      </c>
      <c r="V235" s="3">
        <f t="shared" si="196"/>
        <v>2.3857851467415621E-3</v>
      </c>
      <c r="W235" s="3">
        <f t="shared" si="196"/>
        <v>2.3857850094094199E-3</v>
      </c>
      <c r="X235" s="3">
        <f t="shared" si="196"/>
        <v>2.3857836360884352E-3</v>
      </c>
      <c r="Y235" s="3">
        <f t="shared" si="196"/>
        <v>2.3857699029220668E-3</v>
      </c>
      <c r="Z235" s="3">
        <f t="shared" si="196"/>
        <v>2.3856325756061395E-3</v>
      </c>
      <c r="AA235" s="3">
        <f t="shared" si="196"/>
        <v>2.3842597371302155E-3</v>
      </c>
      <c r="AB235" s="3">
        <f t="shared" si="196"/>
        <v>2.3705747282685985E-3</v>
      </c>
      <c r="AC235" s="3">
        <f t="shared" si="196"/>
        <v>2.2379712518276937E-3</v>
      </c>
      <c r="AD235" s="3">
        <f t="shared" si="196"/>
        <v>1.2585284434157137E-3</v>
      </c>
      <c r="AE235" s="3">
        <f t="shared" si="196"/>
        <v>3.9805983049406024E-6</v>
      </c>
      <c r="AF235" s="3">
        <f t="shared" si="196"/>
        <v>3.9884259957769641E-31</v>
      </c>
      <c r="AG235" s="3"/>
      <c r="AH235" s="3"/>
    </row>
    <row r="236" spans="2:34" x14ac:dyDescent="0.25">
      <c r="B236" s="3">
        <f t="shared" ref="B236:AF236" si="197">$C44*EXP(-B$207/$A44/EXP(-$D$126))</f>
        <v>4.6637051545343495E-3</v>
      </c>
      <c r="C236" s="3">
        <f t="shared" si="197"/>
        <v>4.6637051545343495E-3</v>
      </c>
      <c r="D236" s="3">
        <f t="shared" si="197"/>
        <v>4.6637051545343495E-3</v>
      </c>
      <c r="E236" s="3">
        <f t="shared" si="197"/>
        <v>4.6637051545343495E-3</v>
      </c>
      <c r="F236" s="3">
        <f t="shared" si="197"/>
        <v>4.6637051545343495E-3</v>
      </c>
      <c r="G236" s="3">
        <f t="shared" si="197"/>
        <v>4.6637051545343495E-3</v>
      </c>
      <c r="H236" s="3">
        <f t="shared" si="197"/>
        <v>4.6637051545343495E-3</v>
      </c>
      <c r="I236" s="3">
        <f t="shared" si="197"/>
        <v>4.6637051545343495E-3</v>
      </c>
      <c r="J236" s="3">
        <f t="shared" si="197"/>
        <v>4.6637051545343495E-3</v>
      </c>
      <c r="K236" s="3">
        <f t="shared" si="197"/>
        <v>4.6637051545343495E-3</v>
      </c>
      <c r="L236" s="3">
        <f t="shared" si="197"/>
        <v>4.6637051545343495E-3</v>
      </c>
      <c r="M236" s="3">
        <f t="shared" si="197"/>
        <v>4.6637051545343495E-3</v>
      </c>
      <c r="N236" s="3">
        <f t="shared" si="197"/>
        <v>4.6637051545343495E-3</v>
      </c>
      <c r="O236" s="3">
        <f t="shared" si="197"/>
        <v>4.6637051545343486E-3</v>
      </c>
      <c r="P236" s="3">
        <f t="shared" si="197"/>
        <v>4.663705154534346E-3</v>
      </c>
      <c r="Q236" s="3">
        <f t="shared" si="197"/>
        <v>4.6637051545343191E-3</v>
      </c>
      <c r="R236" s="3">
        <f t="shared" si="197"/>
        <v>4.6637051545340511E-3</v>
      </c>
      <c r="S236" s="3">
        <f t="shared" si="197"/>
        <v>4.6637051545313666E-3</v>
      </c>
      <c r="T236" s="3">
        <f t="shared" si="197"/>
        <v>4.6637051545045209E-3</v>
      </c>
      <c r="U236" s="3">
        <f t="shared" si="197"/>
        <v>4.6637051542360655E-3</v>
      </c>
      <c r="V236" s="3">
        <f t="shared" si="197"/>
        <v>4.6637051515515133E-3</v>
      </c>
      <c r="W236" s="3">
        <f t="shared" si="197"/>
        <v>4.663705124705984E-3</v>
      </c>
      <c r="X236" s="3">
        <f t="shared" si="197"/>
        <v>4.6637048562507069E-3</v>
      </c>
      <c r="Y236" s="3">
        <f t="shared" si="197"/>
        <v>4.6637021716987789E-3</v>
      </c>
      <c r="Z236" s="3">
        <f t="shared" si="197"/>
        <v>4.6636753262644954E-3</v>
      </c>
      <c r="AA236" s="3">
        <f t="shared" si="197"/>
        <v>4.6634068804206072E-3</v>
      </c>
      <c r="AB236" s="3">
        <f t="shared" si="197"/>
        <v>4.6607232716956966E-3</v>
      </c>
      <c r="AC236" s="3">
        <f t="shared" si="197"/>
        <v>4.6339719751480012E-3</v>
      </c>
      <c r="AD236" s="3">
        <f t="shared" si="197"/>
        <v>4.3747602378815904E-3</v>
      </c>
      <c r="AE236" s="3">
        <f t="shared" si="197"/>
        <v>2.4601567996021677E-3</v>
      </c>
      <c r="AF236" s="3">
        <f t="shared" si="197"/>
        <v>7.7812273831539644E-6</v>
      </c>
      <c r="AG236" s="3"/>
      <c r="AH236" s="3"/>
    </row>
    <row r="237" spans="2:34" x14ac:dyDescent="0.25">
      <c r="B237" s="3">
        <f t="shared" ref="B237:AF237" si="198">$C45*EXP(-B$207/$A45/EXP(-$D$126))</f>
        <v>1.1662493677485003E-4</v>
      </c>
      <c r="C237" s="3">
        <f t="shared" si="198"/>
        <v>1.1662493677485003E-4</v>
      </c>
      <c r="D237" s="3">
        <f t="shared" si="198"/>
        <v>1.1662493677485003E-4</v>
      </c>
      <c r="E237" s="3">
        <f t="shared" si="198"/>
        <v>1.1662493677485003E-4</v>
      </c>
      <c r="F237" s="3">
        <f t="shared" si="198"/>
        <v>1.1662493677485003E-4</v>
      </c>
      <c r="G237" s="3">
        <f t="shared" si="198"/>
        <v>1.1662493677485003E-4</v>
      </c>
      <c r="H237" s="3">
        <f t="shared" si="198"/>
        <v>1.1662493677485003E-4</v>
      </c>
      <c r="I237" s="3">
        <f t="shared" si="198"/>
        <v>1.1662493677485003E-4</v>
      </c>
      <c r="J237" s="3">
        <f t="shared" si="198"/>
        <v>1.1662493677485003E-4</v>
      </c>
      <c r="K237" s="3">
        <f t="shared" si="198"/>
        <v>1.1662493677485003E-4</v>
      </c>
      <c r="L237" s="3">
        <f t="shared" si="198"/>
        <v>1.1662493677485003E-4</v>
      </c>
      <c r="M237" s="3">
        <f t="shared" si="198"/>
        <v>1.1662493677485003E-4</v>
      </c>
      <c r="N237" s="3">
        <f t="shared" si="198"/>
        <v>1.1662493677485003E-4</v>
      </c>
      <c r="O237" s="3">
        <f t="shared" si="198"/>
        <v>1.1662493677485003E-4</v>
      </c>
      <c r="P237" s="3">
        <f t="shared" si="198"/>
        <v>1.1662493677485002E-4</v>
      </c>
      <c r="Q237" s="3">
        <f t="shared" si="198"/>
        <v>1.1662493677484995E-4</v>
      </c>
      <c r="R237" s="3">
        <f t="shared" si="198"/>
        <v>1.1662493677484929E-4</v>
      </c>
      <c r="S237" s="3">
        <f t="shared" si="198"/>
        <v>1.1662493677484258E-4</v>
      </c>
      <c r="T237" s="3">
        <f t="shared" si="198"/>
        <v>1.1662493677477544E-4</v>
      </c>
      <c r="U237" s="3">
        <f t="shared" si="198"/>
        <v>1.1662493677410412E-4</v>
      </c>
      <c r="V237" s="3">
        <f t="shared" si="198"/>
        <v>1.1662493676739087E-4</v>
      </c>
      <c r="W237" s="3">
        <f t="shared" si="198"/>
        <v>1.1662493670025846E-4</v>
      </c>
      <c r="X237" s="3">
        <f t="shared" si="198"/>
        <v>1.1662493602893427E-4</v>
      </c>
      <c r="Y237" s="3">
        <f t="shared" si="198"/>
        <v>1.166249293156926E-4</v>
      </c>
      <c r="Z237" s="3">
        <f t="shared" si="198"/>
        <v>1.1662486218329711E-4</v>
      </c>
      <c r="AA237" s="3">
        <f t="shared" si="198"/>
        <v>1.1662419086146773E-4</v>
      </c>
      <c r="AB237" s="3">
        <f t="shared" si="198"/>
        <v>1.1661747785570654E-4</v>
      </c>
      <c r="AC237" s="3">
        <f t="shared" si="198"/>
        <v>1.1655036904683022E-4</v>
      </c>
      <c r="AD237" s="3">
        <f t="shared" si="198"/>
        <v>1.1588140131299162E-4</v>
      </c>
      <c r="AE237" s="3">
        <f t="shared" si="198"/>
        <v>1.0939931218679502E-4</v>
      </c>
      <c r="AF237" s="3">
        <f t="shared" si="198"/>
        <v>6.152096277588703E-5</v>
      </c>
      <c r="AG237" s="3"/>
      <c r="AH237" s="3"/>
    </row>
    <row r="238" spans="2:34" x14ac:dyDescent="0.25">
      <c r="B238" s="3">
        <f t="shared" ref="B238:AF238" si="199">$C46*EXP(-B$207/$A46/EXP(-$D$126))</f>
        <v>1.2727846034903288E-3</v>
      </c>
      <c r="C238" s="3">
        <f t="shared" si="199"/>
        <v>1.2727846034903288E-3</v>
      </c>
      <c r="D238" s="3">
        <f t="shared" si="199"/>
        <v>1.2727846034903288E-3</v>
      </c>
      <c r="E238" s="3">
        <f t="shared" si="199"/>
        <v>1.2727846034903288E-3</v>
      </c>
      <c r="F238" s="3">
        <f t="shared" si="199"/>
        <v>1.2727846034903288E-3</v>
      </c>
      <c r="G238" s="3">
        <f t="shared" si="199"/>
        <v>1.2727846034903288E-3</v>
      </c>
      <c r="H238" s="3">
        <f t="shared" si="199"/>
        <v>1.2727846034903288E-3</v>
      </c>
      <c r="I238" s="3">
        <f t="shared" si="199"/>
        <v>1.2727846034903288E-3</v>
      </c>
      <c r="J238" s="3">
        <f t="shared" si="199"/>
        <v>1.2727846034903288E-3</v>
      </c>
      <c r="K238" s="3">
        <f t="shared" si="199"/>
        <v>1.2727846034903288E-3</v>
      </c>
      <c r="L238" s="3">
        <f t="shared" si="199"/>
        <v>1.2727846034903288E-3</v>
      </c>
      <c r="M238" s="3">
        <f t="shared" si="199"/>
        <v>1.2727846034903288E-3</v>
      </c>
      <c r="N238" s="3">
        <f t="shared" si="199"/>
        <v>1.2727846034903288E-3</v>
      </c>
      <c r="O238" s="3">
        <f t="shared" si="199"/>
        <v>1.2727846034903288E-3</v>
      </c>
      <c r="P238" s="3">
        <f t="shared" si="199"/>
        <v>1.2727846034903288E-3</v>
      </c>
      <c r="Q238" s="3">
        <f t="shared" si="199"/>
        <v>1.2727846034903286E-3</v>
      </c>
      <c r="R238" s="3">
        <f t="shared" si="199"/>
        <v>1.2727846034903279E-3</v>
      </c>
      <c r="S238" s="3">
        <f t="shared" si="199"/>
        <v>1.2727846034903205E-3</v>
      </c>
      <c r="T238" s="3">
        <f t="shared" si="199"/>
        <v>1.2727846034902475E-3</v>
      </c>
      <c r="U238" s="3">
        <f t="shared" si="199"/>
        <v>1.2727846034895148E-3</v>
      </c>
      <c r="V238" s="3">
        <f t="shared" si="199"/>
        <v>1.2727846034821882E-3</v>
      </c>
      <c r="W238" s="3">
        <f t="shared" si="199"/>
        <v>1.2727846034089234E-3</v>
      </c>
      <c r="X238" s="3">
        <f t="shared" si="199"/>
        <v>1.2727846026762747E-3</v>
      </c>
      <c r="Y238" s="3">
        <f t="shared" si="199"/>
        <v>1.2727845953497876E-3</v>
      </c>
      <c r="Z238" s="3">
        <f t="shared" si="199"/>
        <v>1.2727845220849192E-3</v>
      </c>
      <c r="AA238" s="3">
        <f t="shared" si="199"/>
        <v>1.2727837894364676E-3</v>
      </c>
      <c r="AB238" s="3">
        <f t="shared" si="199"/>
        <v>1.2727764629751458E-3</v>
      </c>
      <c r="AC238" s="3">
        <f t="shared" si="199"/>
        <v>1.2727032006814008E-3</v>
      </c>
      <c r="AD238" s="3">
        <f t="shared" si="199"/>
        <v>1.2719708096417274E-3</v>
      </c>
      <c r="AE238" s="3">
        <f t="shared" si="199"/>
        <v>1.2646700397085755E-3</v>
      </c>
      <c r="AF238" s="3">
        <f t="shared" si="199"/>
        <v>1.1939278514045192E-3</v>
      </c>
      <c r="AG238" s="3"/>
      <c r="AH238" s="3"/>
    </row>
    <row r="239" spans="2:34" x14ac:dyDescent="0.25">
      <c r="B239" s="3">
        <f t="shared" ref="B239:AF239" si="200">$C47*EXP(-B$207/$A47/EXP(-$D$126))</f>
        <v>2.0157372743803063E-3</v>
      </c>
      <c r="C239" s="3">
        <f t="shared" si="200"/>
        <v>2.0157372743803063E-3</v>
      </c>
      <c r="D239" s="3">
        <f t="shared" si="200"/>
        <v>2.0157372743803063E-3</v>
      </c>
      <c r="E239" s="3">
        <f t="shared" si="200"/>
        <v>2.0157372743803063E-3</v>
      </c>
      <c r="F239" s="3">
        <f t="shared" si="200"/>
        <v>2.0157372743803063E-3</v>
      </c>
      <c r="G239" s="3">
        <f t="shared" si="200"/>
        <v>2.0157372743803063E-3</v>
      </c>
      <c r="H239" s="3">
        <f t="shared" si="200"/>
        <v>2.0157372743803063E-3</v>
      </c>
      <c r="I239" s="3">
        <f t="shared" si="200"/>
        <v>2.0157372743803063E-3</v>
      </c>
      <c r="J239" s="3">
        <f t="shared" si="200"/>
        <v>2.0157372743803063E-3</v>
      </c>
      <c r="K239" s="3">
        <f t="shared" si="200"/>
        <v>2.0157372743803063E-3</v>
      </c>
      <c r="L239" s="3">
        <f t="shared" si="200"/>
        <v>2.0157372743803063E-3</v>
      </c>
      <c r="M239" s="3">
        <f t="shared" si="200"/>
        <v>2.0157372743803063E-3</v>
      </c>
      <c r="N239" s="3">
        <f t="shared" si="200"/>
        <v>2.0157372743803063E-3</v>
      </c>
      <c r="O239" s="3">
        <f t="shared" si="200"/>
        <v>2.0157372743803063E-3</v>
      </c>
      <c r="P239" s="3">
        <f t="shared" si="200"/>
        <v>2.0157372743803063E-3</v>
      </c>
      <c r="Q239" s="3">
        <f t="shared" si="200"/>
        <v>2.0157372743803063E-3</v>
      </c>
      <c r="R239" s="3">
        <f t="shared" si="200"/>
        <v>2.0157372743803059E-3</v>
      </c>
      <c r="S239" s="3">
        <f t="shared" si="200"/>
        <v>2.015737274380305E-3</v>
      </c>
      <c r="T239" s="3">
        <f t="shared" si="200"/>
        <v>2.0157372743802933E-3</v>
      </c>
      <c r="U239" s="3">
        <f t="shared" si="200"/>
        <v>2.0157372743801775E-3</v>
      </c>
      <c r="V239" s="3">
        <f t="shared" si="200"/>
        <v>2.015737274379017E-3</v>
      </c>
      <c r="W239" s="3">
        <f t="shared" si="200"/>
        <v>2.0157372743674139E-3</v>
      </c>
      <c r="X239" s="3">
        <f t="shared" si="200"/>
        <v>2.015737274251383E-3</v>
      </c>
      <c r="Y239" s="3">
        <f t="shared" si="200"/>
        <v>2.0157372730910707E-3</v>
      </c>
      <c r="Z239" s="3">
        <f t="shared" si="200"/>
        <v>2.0157372614879503E-3</v>
      </c>
      <c r="AA239" s="3">
        <f t="shared" si="200"/>
        <v>2.0157371454567492E-3</v>
      </c>
      <c r="AB239" s="3">
        <f t="shared" si="200"/>
        <v>2.0157359851451073E-3</v>
      </c>
      <c r="AC239" s="3">
        <f t="shared" si="200"/>
        <v>2.0157243820654231E-3</v>
      </c>
      <c r="AD239" s="3">
        <f t="shared" si="200"/>
        <v>2.0156083549419776E-3</v>
      </c>
      <c r="AE239" s="3">
        <f t="shared" si="200"/>
        <v>2.0144484509691898E-3</v>
      </c>
      <c r="AF239" s="3">
        <f t="shared" si="200"/>
        <v>2.0028860593079671E-3</v>
      </c>
      <c r="AG239" s="3"/>
      <c r="AH239" s="3"/>
    </row>
    <row r="240" spans="2:34" x14ac:dyDescent="0.25">
      <c r="B240" s="3">
        <f t="shared" ref="B240:AF240" si="201">$C48*EXP(-B$207/$A48/EXP(-$D$126))</f>
        <v>9.8070147356989854E-3</v>
      </c>
      <c r="C240" s="3">
        <f t="shared" si="201"/>
        <v>9.8070147356989854E-3</v>
      </c>
      <c r="D240" s="3">
        <f t="shared" si="201"/>
        <v>9.8070147356989854E-3</v>
      </c>
      <c r="E240" s="3">
        <f t="shared" si="201"/>
        <v>9.8070147356989854E-3</v>
      </c>
      <c r="F240" s="3">
        <f t="shared" si="201"/>
        <v>9.8070147356989854E-3</v>
      </c>
      <c r="G240" s="3">
        <f t="shared" si="201"/>
        <v>9.8070147356989854E-3</v>
      </c>
      <c r="H240" s="3">
        <f t="shared" si="201"/>
        <v>9.8070147356989854E-3</v>
      </c>
      <c r="I240" s="3">
        <f t="shared" si="201"/>
        <v>9.8070147356989854E-3</v>
      </c>
      <c r="J240" s="3">
        <f t="shared" si="201"/>
        <v>9.8070147356989854E-3</v>
      </c>
      <c r="K240" s="3">
        <f t="shared" si="201"/>
        <v>9.8070147356989854E-3</v>
      </c>
      <c r="L240" s="3">
        <f t="shared" si="201"/>
        <v>9.8070147356989854E-3</v>
      </c>
      <c r="M240" s="3">
        <f t="shared" si="201"/>
        <v>9.8070147356989854E-3</v>
      </c>
      <c r="N240" s="3">
        <f t="shared" si="201"/>
        <v>9.8070147356989854E-3</v>
      </c>
      <c r="O240" s="3">
        <f t="shared" si="201"/>
        <v>9.8070147356989854E-3</v>
      </c>
      <c r="P240" s="3">
        <f t="shared" si="201"/>
        <v>9.8070147356989854E-3</v>
      </c>
      <c r="Q240" s="3">
        <f t="shared" si="201"/>
        <v>9.8070147356989854E-3</v>
      </c>
      <c r="R240" s="3">
        <f t="shared" si="201"/>
        <v>9.8070147356989854E-3</v>
      </c>
      <c r="S240" s="3">
        <f t="shared" si="201"/>
        <v>9.8070147356989837E-3</v>
      </c>
      <c r="T240" s="3">
        <f t="shared" si="201"/>
        <v>9.8070147356989785E-3</v>
      </c>
      <c r="U240" s="3">
        <f t="shared" si="201"/>
        <v>9.807014735698923E-3</v>
      </c>
      <c r="V240" s="3">
        <f t="shared" si="201"/>
        <v>9.8070147356983575E-3</v>
      </c>
      <c r="W240" s="3">
        <f t="shared" si="201"/>
        <v>9.8070147356927127E-3</v>
      </c>
      <c r="X240" s="3">
        <f t="shared" si="201"/>
        <v>9.8070147356362613E-3</v>
      </c>
      <c r="Y240" s="3">
        <f t="shared" si="201"/>
        <v>9.8070147350717441E-3</v>
      </c>
      <c r="Z240" s="3">
        <f t="shared" si="201"/>
        <v>9.8070147294265636E-3</v>
      </c>
      <c r="AA240" s="3">
        <f t="shared" si="201"/>
        <v>9.8070146729747759E-3</v>
      </c>
      <c r="AB240" s="3">
        <f t="shared" si="201"/>
        <v>9.8070141084569146E-3</v>
      </c>
      <c r="AC240" s="3">
        <f t="shared" si="201"/>
        <v>9.8070084632800765E-3</v>
      </c>
      <c r="AD240" s="3">
        <f t="shared" si="201"/>
        <v>9.8069520116904323E-3</v>
      </c>
      <c r="AE240" s="3">
        <f t="shared" si="201"/>
        <v>9.8063875136658978E-3</v>
      </c>
      <c r="AF240" s="3">
        <f t="shared" si="201"/>
        <v>9.8007443202310675E-3</v>
      </c>
      <c r="AG240" s="3"/>
      <c r="AH240" s="3"/>
    </row>
    <row r="241" spans="1:34" x14ac:dyDescent="0.25">
      <c r="A241" s="79">
        <f>AVERAGE(B241:AF241)</f>
        <v>6.6250082767422072E-3</v>
      </c>
      <c r="B241" s="80">
        <f>IF($A$64&lt;=B207,IF($B$64&gt;=B207,ABS((B209-B208)/B208),0),0)</f>
        <v>5.5084353221213425E-2</v>
      </c>
      <c r="C241" s="80">
        <f t="shared" ref="C241:AF241" si="202">IF($A$64&lt;=C207,IF($B$64&gt;=C207,ABS((C209-C208)/C208),0),0)</f>
        <v>2.9850216500715478E-2</v>
      </c>
      <c r="D241" s="80">
        <f t="shared" si="202"/>
        <v>8.4500184563332543E-3</v>
      </c>
      <c r="E241" s="80">
        <f t="shared" si="202"/>
        <v>8.1064495275824603E-3</v>
      </c>
      <c r="F241" s="80">
        <f t="shared" si="202"/>
        <v>3.5913980578898886E-3</v>
      </c>
      <c r="G241" s="80">
        <f t="shared" si="202"/>
        <v>3.0901438023083882E-3</v>
      </c>
      <c r="H241" s="80">
        <f t="shared" si="202"/>
        <v>2.3792726568042516E-3</v>
      </c>
      <c r="I241" s="80">
        <f t="shared" si="202"/>
        <v>2.2307120525664951E-3</v>
      </c>
      <c r="J241" s="80">
        <f t="shared" si="202"/>
        <v>2.188409646250832E-3</v>
      </c>
      <c r="K241" s="80">
        <f t="shared" si="202"/>
        <v>1.8577010525250963E-3</v>
      </c>
      <c r="L241" s="80">
        <f t="shared" si="202"/>
        <v>1.6969758195708015E-3</v>
      </c>
      <c r="M241" s="80">
        <f t="shared" si="202"/>
        <v>1.6123136001251486E-3</v>
      </c>
      <c r="N241" s="80">
        <f t="shared" si="202"/>
        <v>2.6442434463869987E-3</v>
      </c>
      <c r="O241" s="80">
        <f t="shared" si="202"/>
        <v>1.7357285972637898E-3</v>
      </c>
      <c r="P241" s="80">
        <f t="shared" si="202"/>
        <v>2.9459767761389963E-3</v>
      </c>
      <c r="Q241" s="80">
        <f t="shared" si="202"/>
        <v>2.5383807663346323E-3</v>
      </c>
      <c r="R241" s="80">
        <f t="shared" si="202"/>
        <v>2.7123219586997647E-3</v>
      </c>
      <c r="S241" s="80">
        <f t="shared" si="202"/>
        <v>1.4831078098001882E-4</v>
      </c>
      <c r="T241" s="80">
        <f t="shared" si="202"/>
        <v>6.3826000269238377E-3</v>
      </c>
      <c r="U241" s="80">
        <f t="shared" si="202"/>
        <v>9.6353289823798791E-3</v>
      </c>
      <c r="V241" s="80">
        <f t="shared" si="202"/>
        <v>8.7893071111431048E-3</v>
      </c>
      <c r="W241" s="80">
        <f t="shared" si="202"/>
        <v>4.1136209121793478E-3</v>
      </c>
      <c r="X241" s="80">
        <f t="shared" si="202"/>
        <v>4.286953602980475E-3</v>
      </c>
      <c r="Y241" s="80">
        <f t="shared" si="202"/>
        <v>7.3659465101853696E-3</v>
      </c>
      <c r="Z241" s="80">
        <f t="shared" si="202"/>
        <v>2.033403812009358E-2</v>
      </c>
      <c r="AA241" s="80">
        <f t="shared" si="202"/>
        <v>1.6651290184737343E-3</v>
      </c>
      <c r="AB241" s="80">
        <f t="shared" si="202"/>
        <v>2.8071860465374503E-3</v>
      </c>
      <c r="AC241" s="80">
        <f t="shared" si="202"/>
        <v>1.4385348452022114E-5</v>
      </c>
      <c r="AD241" s="80">
        <f t="shared" si="202"/>
        <v>1.555717521961756E-3</v>
      </c>
      <c r="AE241" s="80">
        <f t="shared" si="202"/>
        <v>2.833438734438469E-3</v>
      </c>
      <c r="AF241" s="80">
        <f t="shared" si="202"/>
        <v>2.7286779235696263E-3</v>
      </c>
    </row>
    <row r="242" spans="1:34" x14ac:dyDescent="0.25">
      <c r="B242" s="21">
        <f>(B209-B208)^2</f>
        <v>287265.63960181136</v>
      </c>
      <c r="C242" s="21">
        <f t="shared" ref="C242:AF242" si="203">(C209-C208)^2</f>
        <v>80012.724274348133</v>
      </c>
      <c r="D242" s="21">
        <f t="shared" si="203"/>
        <v>6127.9774067019525</v>
      </c>
      <c r="E242" s="21">
        <f t="shared" si="203"/>
        <v>5373.7018522060534</v>
      </c>
      <c r="F242" s="21">
        <f t="shared" si="203"/>
        <v>998.0448223325111</v>
      </c>
      <c r="G242" s="21">
        <f t="shared" si="203"/>
        <v>695.27005384085646</v>
      </c>
      <c r="H242" s="21">
        <f t="shared" si="203"/>
        <v>384.56839593871786</v>
      </c>
      <c r="I242" s="21">
        <f t="shared" si="203"/>
        <v>315.09299084926738</v>
      </c>
      <c r="J242" s="21">
        <f t="shared" si="203"/>
        <v>282.87253518015007</v>
      </c>
      <c r="K242" s="21">
        <f t="shared" si="203"/>
        <v>187.39732615318357</v>
      </c>
      <c r="L242" s="21">
        <f t="shared" si="203"/>
        <v>141.04136639642724</v>
      </c>
      <c r="M242" s="21">
        <f t="shared" si="203"/>
        <v>113.9784838616572</v>
      </c>
      <c r="N242" s="21">
        <f t="shared" si="203"/>
        <v>278.14448657591731</v>
      </c>
      <c r="O242" s="21">
        <f t="shared" si="203"/>
        <v>109.28749456877348</v>
      </c>
      <c r="P242" s="21">
        <f t="shared" si="203"/>
        <v>286.31083546144401</v>
      </c>
      <c r="Q242" s="21">
        <f t="shared" si="203"/>
        <v>192.03491318449349</v>
      </c>
      <c r="R242" s="21">
        <f t="shared" si="203"/>
        <v>197.86482391342267</v>
      </c>
      <c r="S242" s="21">
        <f t="shared" si="203"/>
        <v>0.52071770032853926</v>
      </c>
      <c r="T242" s="21">
        <f t="shared" si="203"/>
        <v>814.45240501642331</v>
      </c>
      <c r="U242" s="21">
        <f t="shared" si="203"/>
        <v>1508.7369744009484</v>
      </c>
      <c r="V242" s="21">
        <f t="shared" si="203"/>
        <v>982.00286491383872</v>
      </c>
      <c r="W242" s="21">
        <f t="shared" si="203"/>
        <v>159.72397977756759</v>
      </c>
      <c r="X242" s="21">
        <f t="shared" si="203"/>
        <v>118.63905463642297</v>
      </c>
      <c r="Y242" s="21">
        <f t="shared" si="203"/>
        <v>211.43501691380052</v>
      </c>
      <c r="Z242" s="21">
        <f t="shared" si="203"/>
        <v>866.65453476642551</v>
      </c>
      <c r="AA242" s="21">
        <f t="shared" si="203"/>
        <v>3.0240843984482395</v>
      </c>
      <c r="AB242" s="21">
        <f t="shared" si="203"/>
        <v>4.8487355577689666</v>
      </c>
      <c r="AC242" s="21">
        <f t="shared" si="203"/>
        <v>8.78106324034886E-5</v>
      </c>
      <c r="AD242" s="21">
        <f t="shared" si="203"/>
        <v>0.82488132133703207</v>
      </c>
      <c r="AE242" s="21">
        <f t="shared" si="203"/>
        <v>2.4172813098602779</v>
      </c>
      <c r="AF242" s="21">
        <f t="shared" si="203"/>
        <v>2.0545586213012199</v>
      </c>
      <c r="AG242" s="3"/>
      <c r="AH242" s="3"/>
    </row>
    <row r="243" spans="1:34" x14ac:dyDescent="0.25">
      <c r="A243" s="71">
        <f>SUM(B243:AF243)</f>
        <v>387637.28684046929</v>
      </c>
      <c r="B243" s="60">
        <f>IF($A$64&lt;=B207,IF($B$64&gt;=B207,ABS(B242),0),0)</f>
        <v>287265.63960181136</v>
      </c>
      <c r="C243" s="60">
        <f t="shared" ref="C243" si="204">IF($A$64&lt;=C207,IF($B$64&gt;=C207,ABS(C242),0),0)</f>
        <v>80012.724274348133</v>
      </c>
      <c r="D243" s="60">
        <f t="shared" ref="D243" si="205">IF($A$64&lt;=D207,IF($B$64&gt;=D207,ABS(D242),0),0)</f>
        <v>6127.9774067019525</v>
      </c>
      <c r="E243" s="60">
        <f t="shared" ref="E243" si="206">IF($A$64&lt;=E207,IF($B$64&gt;=E207,ABS(E242),0),0)</f>
        <v>5373.7018522060534</v>
      </c>
      <c r="F243" s="60">
        <f t="shared" ref="F243" si="207">IF($A$64&lt;=F207,IF($B$64&gt;=F207,ABS(F242),0),0)</f>
        <v>998.0448223325111</v>
      </c>
      <c r="G243" s="60">
        <f t="shared" ref="G243" si="208">IF($A$64&lt;=G207,IF($B$64&gt;=G207,ABS(G242),0),0)</f>
        <v>695.27005384085646</v>
      </c>
      <c r="H243" s="60">
        <f t="shared" ref="H243" si="209">IF($A$64&lt;=H207,IF($B$64&gt;=H207,ABS(H242),0),0)</f>
        <v>384.56839593871786</v>
      </c>
      <c r="I243" s="60">
        <f t="shared" ref="I243" si="210">IF($A$64&lt;=I207,IF($B$64&gt;=I207,ABS(I242),0),0)</f>
        <v>315.09299084926738</v>
      </c>
      <c r="J243" s="60">
        <f t="shared" ref="J243" si="211">IF($A$64&lt;=J207,IF($B$64&gt;=J207,ABS(J242),0),0)</f>
        <v>282.87253518015007</v>
      </c>
      <c r="K243" s="60">
        <f t="shared" ref="K243" si="212">IF($A$64&lt;=K207,IF($B$64&gt;=K207,ABS(K242),0),0)</f>
        <v>187.39732615318357</v>
      </c>
      <c r="L243" s="60">
        <f t="shared" ref="L243" si="213">IF($A$64&lt;=L207,IF($B$64&gt;=L207,ABS(L242),0),0)</f>
        <v>141.04136639642724</v>
      </c>
      <c r="M243" s="60">
        <f t="shared" ref="M243" si="214">IF($A$64&lt;=M207,IF($B$64&gt;=M207,ABS(M242),0),0)</f>
        <v>113.9784838616572</v>
      </c>
      <c r="N243" s="60">
        <f t="shared" ref="N243" si="215">IF($A$64&lt;=N207,IF($B$64&gt;=N207,ABS(N242),0),0)</f>
        <v>278.14448657591731</v>
      </c>
      <c r="O243" s="60">
        <f t="shared" ref="O243" si="216">IF($A$64&lt;=O207,IF($B$64&gt;=O207,ABS(O242),0),0)</f>
        <v>109.28749456877348</v>
      </c>
      <c r="P243" s="60">
        <f t="shared" ref="P243" si="217">IF($A$64&lt;=P207,IF($B$64&gt;=P207,ABS(P242),0),0)</f>
        <v>286.31083546144401</v>
      </c>
      <c r="Q243" s="60">
        <f t="shared" ref="Q243" si="218">IF($A$64&lt;=Q207,IF($B$64&gt;=Q207,ABS(Q242),0),0)</f>
        <v>192.03491318449349</v>
      </c>
      <c r="R243" s="60">
        <f t="shared" ref="R243" si="219">IF($A$64&lt;=R207,IF($B$64&gt;=R207,ABS(R242),0),0)</f>
        <v>197.86482391342267</v>
      </c>
      <c r="S243" s="60">
        <f t="shared" ref="S243" si="220">IF($A$64&lt;=S207,IF($B$64&gt;=S207,ABS(S242),0),0)</f>
        <v>0.52071770032853926</v>
      </c>
      <c r="T243" s="60">
        <f t="shared" ref="T243" si="221">IF($A$64&lt;=T207,IF($B$64&gt;=T207,ABS(T242),0),0)</f>
        <v>814.45240501642331</v>
      </c>
      <c r="U243" s="60">
        <f t="shared" ref="U243" si="222">IF($A$64&lt;=U207,IF($B$64&gt;=U207,ABS(U242),0),0)</f>
        <v>1508.7369744009484</v>
      </c>
      <c r="V243" s="60">
        <f t="shared" ref="V243" si="223">IF($A$64&lt;=V207,IF($B$64&gt;=V207,ABS(V242),0),0)</f>
        <v>982.00286491383872</v>
      </c>
      <c r="W243" s="60">
        <f t="shared" ref="W243" si="224">IF($A$64&lt;=W207,IF($B$64&gt;=W207,ABS(W242),0),0)</f>
        <v>159.72397977756759</v>
      </c>
      <c r="X243" s="60">
        <f t="shared" ref="X243" si="225">IF($A$64&lt;=X207,IF($B$64&gt;=X207,ABS(X242),0),0)</f>
        <v>118.63905463642297</v>
      </c>
      <c r="Y243" s="60">
        <f t="shared" ref="Y243" si="226">IF($A$64&lt;=Y207,IF($B$64&gt;=Y207,ABS(Y242),0),0)</f>
        <v>211.43501691380052</v>
      </c>
      <c r="Z243" s="60">
        <f t="shared" ref="Z243" si="227">IF($A$64&lt;=Z207,IF($B$64&gt;=Z207,ABS(Z242),0),0)</f>
        <v>866.65453476642551</v>
      </c>
      <c r="AA243" s="60">
        <f t="shared" ref="AA243" si="228">IF($A$64&lt;=AA207,IF($B$64&gt;=AA207,ABS(AA242),0),0)</f>
        <v>3.0240843984482395</v>
      </c>
      <c r="AB243" s="60">
        <f t="shared" ref="AB243" si="229">IF($A$64&lt;=AB207,IF($B$64&gt;=AB207,ABS(AB242),0),0)</f>
        <v>4.8487355577689666</v>
      </c>
      <c r="AC243" s="60">
        <f t="shared" ref="AC243" si="230">IF($A$64&lt;=AC207,IF($B$64&gt;=AC207,ABS(AC242),0),0)</f>
        <v>8.78106324034886E-5</v>
      </c>
      <c r="AD243" s="60">
        <f t="shared" ref="AD243" si="231">IF($A$64&lt;=AD207,IF($B$64&gt;=AD207,ABS(AD242),0),0)</f>
        <v>0.82488132133703207</v>
      </c>
      <c r="AE243" s="60">
        <f t="shared" ref="AE243" si="232">IF($A$64&lt;=AE207,IF($B$64&gt;=AE207,ABS(AE242),0),0)</f>
        <v>2.4172813098602779</v>
      </c>
      <c r="AF243" s="60">
        <f t="shared" ref="AF243" si="233">IF($A$64&lt;=AF207,IF($B$64&gt;=AF207,ABS(AF242),0),0)</f>
        <v>2.0545586213012199</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9521.3086452220268</v>
      </c>
      <c r="C247" s="26">
        <f>INDEX(Comparison!$AM$3:$AS$33,G$14,$E$122)</f>
        <v>9264.9569626866305</v>
      </c>
      <c r="D247" s="26">
        <f>INDEX(Comparison!$AM$3:$AS$33,H$14,$E$122)</f>
        <v>9040.3201170121174</v>
      </c>
      <c r="E247" s="26">
        <f>INDEX(Comparison!$AM$3:$AS$33,I$14,$E$122)</f>
        <v>8795.6860246078559</v>
      </c>
      <c r="F247" s="26">
        <f>INDEX(Comparison!$AM$3:$AS$33,J$14,$E$122)</f>
        <v>8532.6912536798991</v>
      </c>
      <c r="G247" s="26">
        <f>INDEX(Comparison!$AM$3:$AS$33,K$14,$E$122)</f>
        <v>8244.2374276121209</v>
      </c>
      <c r="H247" s="26">
        <f>INDEX(Comparison!$AM$3:$AS$33,L$14,$E$122)</f>
        <v>7958.2786468847135</v>
      </c>
      <c r="I247" s="26">
        <f>INDEX(Comparison!$AM$3:$AS$33,M$14,$E$122)</f>
        <v>7687.376383967704</v>
      </c>
      <c r="J247" s="26">
        <f>INDEX(Comparison!$AM$3:$AS$33,N$14,$E$122)</f>
        <v>7374.3712231841728</v>
      </c>
      <c r="K247" s="26">
        <f>INDEX(Comparison!$AM$3:$AS$33,O$14,$E$122)</f>
        <v>7006.1552436770207</v>
      </c>
      <c r="L247" s="26">
        <f>INDEX(Comparison!$AM$3:$AS$33,P$14,$E$122)</f>
        <v>6628.8785990090082</v>
      </c>
      <c r="M247" s="26">
        <f>INDEX(Comparison!$AM$3:$AS$33,Q$14,$E$122)</f>
        <v>6311.3720523241727</v>
      </c>
      <c r="N247" s="26">
        <f>INDEX(Comparison!$AM$3:$AS$33,R$14,$E$122)</f>
        <v>6028.2349504089671</v>
      </c>
      <c r="O247" s="26">
        <f>INDEX(Comparison!$AM$3:$AS$33,S$14,$E$122)</f>
        <v>5748.7087759518809</v>
      </c>
      <c r="P247" s="26">
        <f>INDEX(Comparison!$AM$3:$AS$33,T$14,$E$122)</f>
        <v>5465.7818754747968</v>
      </c>
      <c r="Q247" s="26">
        <f>INDEX(Comparison!$AM$3:$AS$33,U$14,$E$122)</f>
        <v>5192.657072535425</v>
      </c>
      <c r="R247" s="26">
        <f>INDEX(Comparison!$AM$3:$AS$33,V$14,$E$122)</f>
        <v>4882.9062343607484</v>
      </c>
      <c r="S247" s="26">
        <f>INDEX(Comparison!$AM$3:$AS$33,W$14,$E$122)</f>
        <v>4501.5398610325774</v>
      </c>
      <c r="T247" s="26">
        <f>INDEX(Comparison!$AM$3:$AS$33,X$14,$E$122)</f>
        <v>4066.6104281555185</v>
      </c>
      <c r="U247" s="26">
        <f>INDEX(Comparison!$AM$3:$AS$33,Y$14,$E$122)</f>
        <v>3597.5685781370817</v>
      </c>
      <c r="V247" s="26">
        <f>INDEX(Comparison!$AM$3:$AS$33,Z$14,$E$122)</f>
        <v>3102.4717339118838</v>
      </c>
      <c r="W247" s="26">
        <f>INDEX(Comparison!$AM$3:$AS$33,AA$14,$E$122)</f>
        <v>2568.6205512482802</v>
      </c>
      <c r="X247" s="26">
        <f>INDEX(Comparison!$AM$3:$AS$33,AB$14,$E$122)</f>
        <v>2000.7316961631682</v>
      </c>
      <c r="Y247" s="26">
        <f>INDEX(Comparison!$AM$3:$AS$33,AC$14,$E$122)</f>
        <v>1467.5042196825975</v>
      </c>
      <c r="Z247" s="26">
        <f>INDEX(Comparison!$AM$3:$AS$33,AD$14,$E$122)</f>
        <v>1058.8226695409851</v>
      </c>
      <c r="AA247" s="26">
        <f>INDEX(Comparison!$AM$3:$AS$33,AE$14,$E$122)</f>
        <v>791.47453302018846</v>
      </c>
      <c r="AB247" s="26">
        <f>INDEX(Comparison!$AM$3:$AS$33,AF$14,$E$122)</f>
        <v>655.80009654126911</v>
      </c>
      <c r="AC247" s="26">
        <f>INDEX(Comparison!$AM$3:$AS$33,AG$14,$E$122)</f>
        <v>585.43210743850034</v>
      </c>
      <c r="AD247" s="26">
        <f>INDEX(Comparison!$AM$3:$AS$33,AH$14,$E$122)</f>
        <v>550.22961238933465</v>
      </c>
      <c r="AE247" s="26">
        <f>INDEX(Comparison!$AM$3:$AS$33,AI$14,$E$122)</f>
        <v>525.95012363885235</v>
      </c>
      <c r="AF247" s="26">
        <f>INDEX(Comparison!$AM$3:$AS$33,AJ$14,$E$122)</f>
        <v>515.3503886433972</v>
      </c>
      <c r="AG247" s="26"/>
      <c r="AH247" s="26"/>
    </row>
    <row r="248" spans="1:34" x14ac:dyDescent="0.25">
      <c r="A248" s="70" t="s">
        <v>22</v>
      </c>
      <c r="B248" s="27">
        <f>($C$17+SUM(B249:B279))*$B$51</f>
        <v>9193.3573026667109</v>
      </c>
      <c r="C248" s="27">
        <f t="shared" ref="C248:AF248" si="234">($C$17+SUM(C249:C279))*$B$51</f>
        <v>9186.4593804111082</v>
      </c>
      <c r="D248" s="27">
        <f t="shared" si="234"/>
        <v>9122.1968077011315</v>
      </c>
      <c r="E248" s="27">
        <f t="shared" si="234"/>
        <v>8781.3898978586458</v>
      </c>
      <c r="F248" s="27">
        <f t="shared" si="234"/>
        <v>8515.8849027903652</v>
      </c>
      <c r="G248" s="27">
        <f t="shared" si="234"/>
        <v>8235.9188495644576</v>
      </c>
      <c r="H248" s="27">
        <f t="shared" si="234"/>
        <v>7951.1252188801691</v>
      </c>
      <c r="I248" s="27">
        <f t="shared" si="234"/>
        <v>7680.3189614711009</v>
      </c>
      <c r="J248" s="27">
        <f t="shared" si="234"/>
        <v>7369.4864313523876</v>
      </c>
      <c r="K248" s="27">
        <f t="shared" si="234"/>
        <v>7002.2068768869531</v>
      </c>
      <c r="L248" s="27">
        <f t="shared" si="234"/>
        <v>6624.7645130393348</v>
      </c>
      <c r="M248" s="27">
        <f t="shared" si="234"/>
        <v>6300.8315603536967</v>
      </c>
      <c r="N248" s="27">
        <f t="shared" si="234"/>
        <v>6022.6522176445869</v>
      </c>
      <c r="O248" s="27">
        <f t="shared" si="234"/>
        <v>5736.8268166792886</v>
      </c>
      <c r="P248" s="27">
        <f t="shared" si="234"/>
        <v>5454.4038968583709</v>
      </c>
      <c r="Q248" s="27">
        <f t="shared" si="234"/>
        <v>5181.6181431124296</v>
      </c>
      <c r="R248" s="27">
        <f t="shared" si="234"/>
        <v>4875.8223375379348</v>
      </c>
      <c r="S248" s="27">
        <f t="shared" si="234"/>
        <v>4513.0010915690318</v>
      </c>
      <c r="T248" s="27">
        <f t="shared" si="234"/>
        <v>4084.926730663472</v>
      </c>
      <c r="U248" s="27">
        <f t="shared" si="234"/>
        <v>3613.2522368380019</v>
      </c>
      <c r="V248" s="27">
        <f t="shared" si="234"/>
        <v>3102.6902769188382</v>
      </c>
      <c r="W248" s="27">
        <f t="shared" si="234"/>
        <v>2572.0558249184719</v>
      </c>
      <c r="X248" s="27">
        <f t="shared" si="234"/>
        <v>1979.3648780888179</v>
      </c>
      <c r="Y248" s="27">
        <f t="shared" si="234"/>
        <v>1499.138058233279</v>
      </c>
      <c r="Z248" s="27">
        <f t="shared" si="234"/>
        <v>1057.5695911378857</v>
      </c>
      <c r="AA248" s="27">
        <f t="shared" si="234"/>
        <v>792.47172723578274</v>
      </c>
      <c r="AB248" s="27">
        <f t="shared" si="234"/>
        <v>654.81084644852046</v>
      </c>
      <c r="AC248" s="27">
        <f t="shared" si="234"/>
        <v>583.95629967396474</v>
      </c>
      <c r="AD248" s="27">
        <f t="shared" si="234"/>
        <v>551.68534046545176</v>
      </c>
      <c r="AE248" s="27">
        <f t="shared" si="234"/>
        <v>524.03703990959229</v>
      </c>
      <c r="AF248" s="27">
        <f t="shared" si="234"/>
        <v>516.65515995800547</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4.8430867728056028E-2</v>
      </c>
      <c r="C250" s="3">
        <f t="shared" si="236"/>
        <v>4.778054378774714E-2</v>
      </c>
      <c r="D250" s="3">
        <f t="shared" si="236"/>
        <v>4.1738752668340241E-2</v>
      </c>
      <c r="E250" s="3">
        <f t="shared" si="236"/>
        <v>1.0799987396471564E-2</v>
      </c>
      <c r="F250" s="3">
        <f t="shared" si="236"/>
        <v>1.4529848024334371E-8</v>
      </c>
      <c r="G250" s="3">
        <f t="shared" si="236"/>
        <v>2.8225347863120144E-67</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1.8701801813674129E-2</v>
      </c>
      <c r="C251" s="3">
        <f t="shared" si="237"/>
        <v>1.8679008628436106E-2</v>
      </c>
      <c r="D251" s="3">
        <f t="shared" si="237"/>
        <v>1.8452599083365131E-2</v>
      </c>
      <c r="E251" s="3">
        <f t="shared" si="237"/>
        <v>1.6334083780283143E-2</v>
      </c>
      <c r="F251" s="3">
        <f t="shared" si="237"/>
        <v>4.8246643730590569E-3</v>
      </c>
      <c r="G251" s="3">
        <f t="shared" si="237"/>
        <v>2.4388797621452435E-8</v>
      </c>
      <c r="H251" s="3">
        <f t="shared" si="237"/>
        <v>2.6571937247431024E-61</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3.357305221318644E-2</v>
      </c>
      <c r="C252" s="3">
        <f t="shared" si="238"/>
        <v>3.3569359038202733E-2</v>
      </c>
      <c r="D252" s="3">
        <f t="shared" si="238"/>
        <v>3.3532449625544379E-2</v>
      </c>
      <c r="E252" s="3">
        <f t="shared" si="238"/>
        <v>3.3165580151452365E-2</v>
      </c>
      <c r="F252" s="3">
        <f t="shared" si="238"/>
        <v>2.9710555818426583E-2</v>
      </c>
      <c r="G252" s="3">
        <f t="shared" si="238"/>
        <v>9.8887763758722016E-3</v>
      </c>
      <c r="H252" s="3">
        <f t="shared" si="238"/>
        <v>1.6499103587962089E-7</v>
      </c>
      <c r="I252" s="3">
        <f t="shared" si="238"/>
        <v>2.7582795685105741E-55</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2.7431832880861297E-2</v>
      </c>
      <c r="C253" s="3">
        <f t="shared" si="239"/>
        <v>2.7431560653226571E-2</v>
      </c>
      <c r="D253" s="3">
        <f t="shared" si="239"/>
        <v>2.7428838525458982E-2</v>
      </c>
      <c r="E253" s="3">
        <f t="shared" si="239"/>
        <v>2.740163210029473E-2</v>
      </c>
      <c r="F253" s="3">
        <f t="shared" si="239"/>
        <v>2.7131047660688745E-2</v>
      </c>
      <c r="G253" s="3">
        <f t="shared" si="239"/>
        <v>2.4567892104637511E-2</v>
      </c>
      <c r="H253" s="3">
        <f t="shared" si="239"/>
        <v>9.1071232610911938E-3</v>
      </c>
      <c r="I253" s="3">
        <f t="shared" si="239"/>
        <v>4.4618441787124663E-7</v>
      </c>
      <c r="J253" s="3">
        <f t="shared" si="239"/>
        <v>3.5550543642751054E-50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2.7107658355454315E-2</v>
      </c>
      <c r="C254" s="3">
        <f t="shared" si="240"/>
        <v>2.710763408835104E-2</v>
      </c>
      <c r="D254" s="3">
        <f t="shared" si="240"/>
        <v>2.7107391418513118E-2</v>
      </c>
      <c r="E254" s="3">
        <f t="shared" si="240"/>
        <v>2.7104964839612732E-2</v>
      </c>
      <c r="F254" s="3">
        <f t="shared" si="240"/>
        <v>2.7080710994536752E-2</v>
      </c>
      <c r="G254" s="3">
        <f t="shared" si="240"/>
        <v>2.6839362989847109E-2</v>
      </c>
      <c r="H254" s="3">
        <f t="shared" si="240"/>
        <v>2.4541077100299763E-2</v>
      </c>
      <c r="I254" s="3">
        <f t="shared" si="240"/>
        <v>1.0025540101619265E-2</v>
      </c>
      <c r="J254" s="3">
        <f t="shared" si="240"/>
        <v>1.2979243037405781E-6</v>
      </c>
      <c r="K254" s="3">
        <f t="shared" si="240"/>
        <v>1.7165846591045058E-45</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3.4301565615427909E-2</v>
      </c>
      <c r="C255" s="3">
        <f t="shared" si="241"/>
        <v>3.4301562845384048E-2</v>
      </c>
      <c r="D255" s="3">
        <f t="shared" si="241"/>
        <v>3.4301535144957755E-2</v>
      </c>
      <c r="E255" s="3">
        <f t="shared" si="241"/>
        <v>3.4301258141925146E-2</v>
      </c>
      <c r="F255" s="3">
        <f t="shared" si="241"/>
        <v>3.4298488234628062E-2</v>
      </c>
      <c r="G255" s="3">
        <f t="shared" si="241"/>
        <v>3.4270801460886631E-2</v>
      </c>
      <c r="H255" s="3">
        <f t="shared" si="241"/>
        <v>3.3995159979379255E-2</v>
      </c>
      <c r="I255" s="3">
        <f t="shared" si="241"/>
        <v>3.1357784558893098E-2</v>
      </c>
      <c r="J255" s="3">
        <f t="shared" si="241"/>
        <v>1.3983896444805513E-2</v>
      </c>
      <c r="K255" s="3">
        <f t="shared" si="241"/>
        <v>4.3496716235091745E-6</v>
      </c>
      <c r="L255" s="3">
        <f t="shared" si="241"/>
        <v>3.6875608239852121E-41</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4.0817755549251017E-2</v>
      </c>
      <c r="C256" s="3">
        <f t="shared" si="242"/>
        <v>4.0817755251900685E-2</v>
      </c>
      <c r="D256" s="3">
        <f t="shared" si="242"/>
        <v>4.0817752278397471E-2</v>
      </c>
      <c r="E256" s="3">
        <f t="shared" si="242"/>
        <v>4.0817722543377212E-2</v>
      </c>
      <c r="F256" s="3">
        <f t="shared" si="242"/>
        <v>4.0817425194366083E-2</v>
      </c>
      <c r="G256" s="3">
        <f t="shared" si="242"/>
        <v>4.081445182338924E-2</v>
      </c>
      <c r="H256" s="3">
        <f t="shared" si="242"/>
        <v>4.0784730023856977E-2</v>
      </c>
      <c r="I256" s="3">
        <f t="shared" si="242"/>
        <v>4.0488699848130624E-2</v>
      </c>
      <c r="J256" s="3">
        <f t="shared" si="242"/>
        <v>3.764403984953444E-2</v>
      </c>
      <c r="K256" s="3">
        <f t="shared" si="242"/>
        <v>1.8168545371344821E-2</v>
      </c>
      <c r="L256" s="3">
        <f t="shared" si="242"/>
        <v>1.2461189217545923E-5</v>
      </c>
      <c r="M256" s="3">
        <f t="shared" si="242"/>
        <v>2.8704687241927013E-37</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3.8228361611778727E-2</v>
      </c>
      <c r="C257" s="3">
        <f t="shared" si="243"/>
        <v>3.8228361586656878E-2</v>
      </c>
      <c r="D257" s="3">
        <f t="shared" si="243"/>
        <v>3.8228361335438395E-2</v>
      </c>
      <c r="E257" s="3">
        <f t="shared" si="243"/>
        <v>3.8228358823253678E-2</v>
      </c>
      <c r="F257" s="3">
        <f t="shared" si="243"/>
        <v>3.8228333701415533E-2</v>
      </c>
      <c r="G257" s="3">
        <f t="shared" si="243"/>
        <v>3.8228082483942091E-2</v>
      </c>
      <c r="H257" s="3">
        <f t="shared" si="243"/>
        <v>3.8225570400004037E-2</v>
      </c>
      <c r="I257" s="3">
        <f t="shared" si="243"/>
        <v>3.8200458638052402E-2</v>
      </c>
      <c r="J257" s="3">
        <f t="shared" si="243"/>
        <v>3.7950246558155189E-2</v>
      </c>
      <c r="K257" s="3">
        <f t="shared" si="243"/>
        <v>3.5536516103161053E-2</v>
      </c>
      <c r="L257" s="3">
        <f t="shared" si="243"/>
        <v>1.8419477921073579E-2</v>
      </c>
      <c r="M257" s="3">
        <f t="shared" si="243"/>
        <v>2.5781132753622696E-5</v>
      </c>
      <c r="N257" s="3">
        <f t="shared" si="243"/>
        <v>7.4395862361450321E-34</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2.8035434187507282E-2</v>
      </c>
      <c r="C258" s="3">
        <f t="shared" si="244"/>
        <v>2.8035434185845323E-2</v>
      </c>
      <c r="D258" s="3">
        <f t="shared" si="244"/>
        <v>2.8035434169225753E-2</v>
      </c>
      <c r="E258" s="3">
        <f t="shared" si="244"/>
        <v>2.8035434003030057E-2</v>
      </c>
      <c r="F258" s="3">
        <f t="shared" si="244"/>
        <v>2.8035432341073131E-2</v>
      </c>
      <c r="G258" s="3">
        <f t="shared" si="244"/>
        <v>2.8035415721509287E-2</v>
      </c>
      <c r="H258" s="3">
        <f t="shared" si="244"/>
        <v>2.8035249526412731E-2</v>
      </c>
      <c r="I258" s="3">
        <f t="shared" si="244"/>
        <v>2.8033587629632831E-2</v>
      </c>
      <c r="J258" s="3">
        <f t="shared" si="244"/>
        <v>2.8016974079211641E-2</v>
      </c>
      <c r="K258" s="3">
        <f t="shared" si="244"/>
        <v>2.7851379126425706E-2</v>
      </c>
      <c r="L258" s="3">
        <f t="shared" si="244"/>
        <v>2.6248317671324975E-2</v>
      </c>
      <c r="M258" s="3">
        <f t="shared" si="244"/>
        <v>1.4509390079599612E-2</v>
      </c>
      <c r="N258" s="3">
        <f t="shared" si="244"/>
        <v>3.864790785524201E-5</v>
      </c>
      <c r="O258" s="3">
        <f t="shared" si="244"/>
        <v>6.9485520049290994E-31</v>
      </c>
      <c r="P258" s="3">
        <f t="shared" si="244"/>
        <v>2.4523222832525262E-288</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2.8888698027920292E-2</v>
      </c>
      <c r="C259" s="3">
        <f t="shared" si="245"/>
        <v>2.8888698027765808E-2</v>
      </c>
      <c r="D259" s="3">
        <f t="shared" si="245"/>
        <v>2.8888698026220957E-2</v>
      </c>
      <c r="E259" s="3">
        <f t="shared" si="245"/>
        <v>2.8888698010772429E-2</v>
      </c>
      <c r="F259" s="3">
        <f t="shared" si="245"/>
        <v>2.8888697856287168E-2</v>
      </c>
      <c r="G259" s="3">
        <f t="shared" si="245"/>
        <v>2.8888696311434602E-2</v>
      </c>
      <c r="H259" s="3">
        <f t="shared" si="245"/>
        <v>2.888868086291347E-2</v>
      </c>
      <c r="I259" s="3">
        <f t="shared" si="245"/>
        <v>2.8888526378156514E-2</v>
      </c>
      <c r="J259" s="3">
        <f t="shared" si="245"/>
        <v>2.8886981576022885E-2</v>
      </c>
      <c r="K259" s="3">
        <f t="shared" si="245"/>
        <v>2.8871538097379239E-2</v>
      </c>
      <c r="L259" s="3">
        <f t="shared" si="245"/>
        <v>2.8717556682667372E-2</v>
      </c>
      <c r="M259" s="3">
        <f t="shared" si="245"/>
        <v>2.7222195347885888E-2</v>
      </c>
      <c r="N259" s="3">
        <f t="shared" si="245"/>
        <v>1.5947027328700403E-2</v>
      </c>
      <c r="O259" s="3">
        <f t="shared" si="245"/>
        <v>7.5900679083281552E-5</v>
      </c>
      <c r="P259" s="3">
        <f t="shared" si="245"/>
        <v>4.5279840892806826E-28</v>
      </c>
      <c r="Q259" s="3">
        <f t="shared" si="245"/>
        <v>2.5852181600448908E-260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3.0018666279786776E-2</v>
      </c>
      <c r="C260" s="3">
        <f t="shared" si="246"/>
        <v>3.0018666279772295E-2</v>
      </c>
      <c r="D260" s="3">
        <f t="shared" si="246"/>
        <v>3.0018666279627487E-2</v>
      </c>
      <c r="E260" s="3">
        <f t="shared" si="246"/>
        <v>3.0018666278179392E-2</v>
      </c>
      <c r="F260" s="3">
        <f t="shared" si="246"/>
        <v>3.0018666263698441E-2</v>
      </c>
      <c r="G260" s="3">
        <f t="shared" si="246"/>
        <v>3.001866611888894E-2</v>
      </c>
      <c r="H260" s="3">
        <f t="shared" si="246"/>
        <v>3.0018664670793931E-2</v>
      </c>
      <c r="I260" s="3">
        <f t="shared" si="246"/>
        <v>3.0018650189847746E-2</v>
      </c>
      <c r="J260" s="3">
        <f t="shared" si="246"/>
        <v>3.0018505380770097E-2</v>
      </c>
      <c r="K260" s="3">
        <f t="shared" si="246"/>
        <v>3.0017057328413539E-2</v>
      </c>
      <c r="L260" s="3">
        <f t="shared" si="246"/>
        <v>3.0002580646157531E-2</v>
      </c>
      <c r="M260" s="3">
        <f t="shared" si="246"/>
        <v>2.9858197269811319E-2</v>
      </c>
      <c r="N260" s="3">
        <f t="shared" si="246"/>
        <v>2.8452032466259311E-2</v>
      </c>
      <c r="O260" s="3">
        <f t="shared" si="246"/>
        <v>1.7563473956009174E-2</v>
      </c>
      <c r="P260" s="3">
        <f t="shared" si="246"/>
        <v>1.4111776051642207E-4</v>
      </c>
      <c r="Q260" s="3">
        <f t="shared" si="246"/>
        <v>1.5823196548166345E-25</v>
      </c>
      <c r="R260" s="3">
        <f t="shared" si="246"/>
        <v>4.9707244887480857E-235</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2.6688629032373356E-2</v>
      </c>
      <c r="C261" s="3">
        <f t="shared" si="247"/>
        <v>2.6688629032372197E-2</v>
      </c>
      <c r="D261" s="3">
        <f t="shared" si="247"/>
        <v>2.6688629032360585E-2</v>
      </c>
      <c r="E261" s="3">
        <f t="shared" si="247"/>
        <v>2.6688629032244445E-2</v>
      </c>
      <c r="F261" s="3">
        <f t="shared" si="247"/>
        <v>2.6688629031083055E-2</v>
      </c>
      <c r="G261" s="3">
        <f t="shared" si="247"/>
        <v>2.668862901946914E-2</v>
      </c>
      <c r="H261" s="3">
        <f t="shared" si="247"/>
        <v>2.6688628903330021E-2</v>
      </c>
      <c r="I261" s="3">
        <f t="shared" si="247"/>
        <v>2.6688627741938854E-2</v>
      </c>
      <c r="J261" s="3">
        <f t="shared" si="247"/>
        <v>2.6688616128029946E-2</v>
      </c>
      <c r="K261" s="3">
        <f t="shared" si="247"/>
        <v>2.6688499989218822E-2</v>
      </c>
      <c r="L261" s="3">
        <f t="shared" si="247"/>
        <v>2.6687338628903851E-2</v>
      </c>
      <c r="M261" s="3">
        <f t="shared" si="247"/>
        <v>2.6675727804928464E-2</v>
      </c>
      <c r="N261" s="3">
        <f t="shared" si="247"/>
        <v>2.6559897035654222E-2</v>
      </c>
      <c r="O261" s="3">
        <f t="shared" si="247"/>
        <v>2.5428894787048354E-2</v>
      </c>
      <c r="P261" s="3">
        <f t="shared" si="247"/>
        <v>1.6456537475631066E-2</v>
      </c>
      <c r="Q261" s="3">
        <f t="shared" si="247"/>
        <v>2.1205486728212059E-4</v>
      </c>
      <c r="R261" s="3">
        <f t="shared" si="247"/>
        <v>2.6763694665672109E-23</v>
      </c>
      <c r="S261" s="3">
        <f t="shared" si="247"/>
        <v>2.7448857961638809E-212</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2.910738056763074E-2</v>
      </c>
      <c r="C262" s="3">
        <f t="shared" si="248"/>
        <v>2.9107380567630629E-2</v>
      </c>
      <c r="D262" s="3">
        <f t="shared" si="248"/>
        <v>2.9107380567629484E-2</v>
      </c>
      <c r="E262" s="3">
        <f t="shared" si="248"/>
        <v>2.9107380567618055E-2</v>
      </c>
      <c r="F262" s="3">
        <f t="shared" si="248"/>
        <v>2.9107380567503796E-2</v>
      </c>
      <c r="G262" s="3">
        <f t="shared" si="248"/>
        <v>2.9107380566361175E-2</v>
      </c>
      <c r="H262" s="3">
        <f t="shared" si="248"/>
        <v>2.9107380554934972E-2</v>
      </c>
      <c r="I262" s="3">
        <f t="shared" si="248"/>
        <v>2.9107380440672931E-2</v>
      </c>
      <c r="J262" s="3">
        <f t="shared" si="248"/>
        <v>2.910737929805254E-2</v>
      </c>
      <c r="K262" s="3">
        <f t="shared" si="248"/>
        <v>2.9107367871851086E-2</v>
      </c>
      <c r="L262" s="3">
        <f t="shared" si="248"/>
        <v>2.9107253610083265E-2</v>
      </c>
      <c r="M262" s="3">
        <f t="shared" si="248"/>
        <v>2.9106111017074332E-2</v>
      </c>
      <c r="N262" s="3">
        <f t="shared" si="248"/>
        <v>2.9094687553555008E-2</v>
      </c>
      <c r="O262" s="3">
        <f t="shared" si="248"/>
        <v>2.8980699217479127E-2</v>
      </c>
      <c r="P262" s="3">
        <f t="shared" si="248"/>
        <v>2.786509175705831E-2</v>
      </c>
      <c r="Q262" s="3">
        <f t="shared" si="248"/>
        <v>1.8818138364797E-2</v>
      </c>
      <c r="R262" s="3">
        <f t="shared" si="248"/>
        <v>3.713115488403713E-4</v>
      </c>
      <c r="S262" s="3">
        <f t="shared" si="248"/>
        <v>3.3216697760660139E-21</v>
      </c>
      <c r="T262" s="3">
        <f t="shared" si="248"/>
        <v>1.0902759473627113E-191</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3.4462873235499507E-2</v>
      </c>
      <c r="C263" s="3">
        <f t="shared" si="249"/>
        <v>3.4462873235499493E-2</v>
      </c>
      <c r="D263" s="3">
        <f t="shared" si="249"/>
        <v>3.4462873235499375E-2</v>
      </c>
      <c r="E263" s="3">
        <f t="shared" si="249"/>
        <v>3.4462873235498154E-2</v>
      </c>
      <c r="F263" s="3">
        <f t="shared" si="249"/>
        <v>3.4462873235485948E-2</v>
      </c>
      <c r="G263" s="3">
        <f t="shared" si="249"/>
        <v>3.4462873235363907E-2</v>
      </c>
      <c r="H263" s="3">
        <f t="shared" si="249"/>
        <v>3.4462873234143522E-2</v>
      </c>
      <c r="I263" s="3">
        <f t="shared" si="249"/>
        <v>3.4462873221939673E-2</v>
      </c>
      <c r="J263" s="3">
        <f t="shared" si="249"/>
        <v>3.4462873099901155E-2</v>
      </c>
      <c r="K263" s="3">
        <f t="shared" si="249"/>
        <v>3.4462871879515987E-2</v>
      </c>
      <c r="L263" s="3">
        <f t="shared" si="249"/>
        <v>3.4462859675666681E-2</v>
      </c>
      <c r="M263" s="3">
        <f t="shared" si="249"/>
        <v>3.4462737637411318E-2</v>
      </c>
      <c r="N263" s="3">
        <f t="shared" si="249"/>
        <v>3.446151727862605E-2</v>
      </c>
      <c r="O263" s="3">
        <f t="shared" si="249"/>
        <v>3.4449316067295344E-2</v>
      </c>
      <c r="P263" s="3">
        <f t="shared" si="249"/>
        <v>3.4327541295107011E-2</v>
      </c>
      <c r="Q263" s="3">
        <f t="shared" si="249"/>
        <v>3.3133219637474849E-2</v>
      </c>
      <c r="R263" s="3">
        <f t="shared" si="249"/>
        <v>2.325268192255095E-2</v>
      </c>
      <c r="S263" s="3">
        <f t="shared" si="249"/>
        <v>6.7385610194161988E-4</v>
      </c>
      <c r="T263" s="3">
        <f t="shared" si="249"/>
        <v>2.8151938849971936E-19</v>
      </c>
      <c r="U263" s="3">
        <f t="shared" si="249"/>
        <v>4.5595266824844144E-173</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4.2396011613293615E-2</v>
      </c>
      <c r="C264" s="3">
        <f t="shared" si="250"/>
        <v>4.2396011613293615E-2</v>
      </c>
      <c r="D264" s="3">
        <f t="shared" si="250"/>
        <v>4.2396011613293601E-2</v>
      </c>
      <c r="E264" s="3">
        <f t="shared" si="250"/>
        <v>4.2396011613293462E-2</v>
      </c>
      <c r="F264" s="3">
        <f t="shared" si="250"/>
        <v>4.2396011613292109E-2</v>
      </c>
      <c r="G264" s="3">
        <f t="shared" si="250"/>
        <v>4.2396011613278564E-2</v>
      </c>
      <c r="H264" s="3">
        <f t="shared" si="250"/>
        <v>4.2396011613143138E-2</v>
      </c>
      <c r="I264" s="3">
        <f t="shared" si="250"/>
        <v>4.2396011611788825E-2</v>
      </c>
      <c r="J264" s="3">
        <f t="shared" si="250"/>
        <v>4.2396011598245763E-2</v>
      </c>
      <c r="K264" s="3">
        <f t="shared" si="250"/>
        <v>4.2396011462815089E-2</v>
      </c>
      <c r="L264" s="3">
        <f t="shared" si="250"/>
        <v>4.2396010108508367E-2</v>
      </c>
      <c r="M264" s="3">
        <f t="shared" si="250"/>
        <v>4.2395996565443579E-2</v>
      </c>
      <c r="N264" s="3">
        <f t="shared" si="250"/>
        <v>4.2395861135033582E-2</v>
      </c>
      <c r="O264" s="3">
        <f t="shared" si="250"/>
        <v>4.2394506854727551E-2</v>
      </c>
      <c r="P264" s="3">
        <f t="shared" si="250"/>
        <v>4.2380966430778405E-2</v>
      </c>
      <c r="Q264" s="3">
        <f t="shared" si="250"/>
        <v>4.2245799821448618E-2</v>
      </c>
      <c r="R264" s="3">
        <f t="shared" si="250"/>
        <v>4.0917618264523316E-2</v>
      </c>
      <c r="S264" s="3">
        <f t="shared" si="250"/>
        <v>2.9728872698080545E-2</v>
      </c>
      <c r="T264" s="3">
        <f t="shared" si="250"/>
        <v>1.2185949980834246E-3</v>
      </c>
      <c r="U264" s="3">
        <f t="shared" si="250"/>
        <v>1.6318073674639706E-17</v>
      </c>
      <c r="V264" s="3">
        <f t="shared" si="250"/>
        <v>3.0252681417356767E-156</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4.6864772655648361E-2</v>
      </c>
      <c r="C265" s="3">
        <f t="shared" si="251"/>
        <v>4.6864772655648361E-2</v>
      </c>
      <c r="D265" s="3">
        <f t="shared" si="251"/>
        <v>4.6864772655648361E-2</v>
      </c>
      <c r="E265" s="3">
        <f t="shared" si="251"/>
        <v>4.6864772655648347E-2</v>
      </c>
      <c r="F265" s="3">
        <f t="shared" si="251"/>
        <v>4.6864772655648208E-2</v>
      </c>
      <c r="G265" s="3">
        <f t="shared" si="251"/>
        <v>4.6864772655646862E-2</v>
      </c>
      <c r="H265" s="3">
        <f t="shared" si="251"/>
        <v>4.6864772655633352E-2</v>
      </c>
      <c r="I265" s="3">
        <f t="shared" si="251"/>
        <v>4.6864772655498307E-2</v>
      </c>
      <c r="J265" s="3">
        <f t="shared" si="251"/>
        <v>4.6864772654147839E-2</v>
      </c>
      <c r="K265" s="3">
        <f t="shared" si="251"/>
        <v>4.6864772640643128E-2</v>
      </c>
      <c r="L265" s="3">
        <f t="shared" si="251"/>
        <v>4.6864772505596071E-2</v>
      </c>
      <c r="M265" s="3">
        <f t="shared" si="251"/>
        <v>4.6864771155125461E-2</v>
      </c>
      <c r="N265" s="3">
        <f t="shared" si="251"/>
        <v>4.6864757650421522E-2</v>
      </c>
      <c r="O265" s="3">
        <f t="shared" si="251"/>
        <v>4.6864622603596189E-2</v>
      </c>
      <c r="P265" s="3">
        <f t="shared" si="251"/>
        <v>4.6863272156746169E-2</v>
      </c>
      <c r="Q265" s="3">
        <f t="shared" si="251"/>
        <v>4.6849769828350617E-2</v>
      </c>
      <c r="R265" s="3">
        <f t="shared" si="251"/>
        <v>4.6714960326858984E-2</v>
      </c>
      <c r="S265" s="3">
        <f t="shared" si="251"/>
        <v>4.5388017368845332E-2</v>
      </c>
      <c r="T265" s="3">
        <f t="shared" si="251"/>
        <v>3.4024636385168082E-2</v>
      </c>
      <c r="U265" s="3">
        <f t="shared" si="251"/>
        <v>1.9068489658129921E-3</v>
      </c>
      <c r="V265" s="3">
        <f t="shared" si="251"/>
        <v>5.8283325684211116E-16</v>
      </c>
      <c r="W265" s="3">
        <f t="shared" si="251"/>
        <v>4.1478650486900569E-141</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5.22700837249113E-2</v>
      </c>
      <c r="C266" s="3">
        <f t="shared" si="252"/>
        <v>5.22700837249113E-2</v>
      </c>
      <c r="D266" s="3">
        <f t="shared" si="252"/>
        <v>5.22700837249113E-2</v>
      </c>
      <c r="E266" s="3">
        <f t="shared" si="252"/>
        <v>5.22700837249113E-2</v>
      </c>
      <c r="F266" s="3">
        <f t="shared" si="252"/>
        <v>5.2270083724911279E-2</v>
      </c>
      <c r="G266" s="3">
        <f t="shared" si="252"/>
        <v>5.2270083724911147E-2</v>
      </c>
      <c r="H266" s="3">
        <f t="shared" si="252"/>
        <v>5.2270083724909794E-2</v>
      </c>
      <c r="I266" s="3">
        <f t="shared" si="252"/>
        <v>5.2270083724896201E-2</v>
      </c>
      <c r="J266" s="3">
        <f t="shared" si="252"/>
        <v>5.2270083724760323E-2</v>
      </c>
      <c r="K266" s="3">
        <f t="shared" si="252"/>
        <v>5.2270083723401584E-2</v>
      </c>
      <c r="L266" s="3">
        <f t="shared" si="252"/>
        <v>5.2270083709814119E-2</v>
      </c>
      <c r="M266" s="3">
        <f t="shared" si="252"/>
        <v>5.2270083573939474E-2</v>
      </c>
      <c r="N266" s="3">
        <f t="shared" si="252"/>
        <v>5.2270082215193067E-2</v>
      </c>
      <c r="O266" s="3">
        <f t="shared" si="252"/>
        <v>5.2270068627730919E-2</v>
      </c>
      <c r="P266" s="3">
        <f t="shared" si="252"/>
        <v>5.2269932753303709E-2</v>
      </c>
      <c r="Q266" s="3">
        <f t="shared" si="252"/>
        <v>5.2268574028457575E-2</v>
      </c>
      <c r="R266" s="3">
        <f t="shared" si="252"/>
        <v>5.22549887224018E-2</v>
      </c>
      <c r="S266" s="3">
        <f t="shared" si="252"/>
        <v>5.2119329715709581E-2</v>
      </c>
      <c r="T266" s="3">
        <f t="shared" si="252"/>
        <v>5.0781959684058887E-2</v>
      </c>
      <c r="U266" s="3">
        <f t="shared" si="252"/>
        <v>3.9157576214381928E-2</v>
      </c>
      <c r="V266" s="3">
        <f t="shared" si="252"/>
        <v>2.9099079917395418E-3</v>
      </c>
      <c r="W266" s="3">
        <f t="shared" si="252"/>
        <v>1.4945615700789381E-14</v>
      </c>
      <c r="X266" s="3">
        <f t="shared" si="252"/>
        <v>1.9092348278829319E-127</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5.1448795530600389E-2</v>
      </c>
      <c r="C267" s="3">
        <f t="shared" si="253"/>
        <v>5.1448795530600389E-2</v>
      </c>
      <c r="D267" s="3">
        <f t="shared" si="253"/>
        <v>5.1448795530600389E-2</v>
      </c>
      <c r="E267" s="3">
        <f t="shared" si="253"/>
        <v>5.1448795530600389E-2</v>
      </c>
      <c r="F267" s="3">
        <f t="shared" si="253"/>
        <v>5.1448795530600389E-2</v>
      </c>
      <c r="G267" s="3">
        <f t="shared" si="253"/>
        <v>5.1448795530600375E-2</v>
      </c>
      <c r="H267" s="3">
        <f t="shared" si="253"/>
        <v>5.1448795530600257E-2</v>
      </c>
      <c r="I267" s="3">
        <f t="shared" si="253"/>
        <v>5.1448795530599049E-2</v>
      </c>
      <c r="J267" s="3">
        <f t="shared" si="253"/>
        <v>5.1448795530586983E-2</v>
      </c>
      <c r="K267" s="3">
        <f t="shared" si="253"/>
        <v>5.1448795530466343E-2</v>
      </c>
      <c r="L267" s="3">
        <f t="shared" si="253"/>
        <v>5.1448795529259891E-2</v>
      </c>
      <c r="M267" s="3">
        <f t="shared" si="253"/>
        <v>5.1448795517195459E-2</v>
      </c>
      <c r="N267" s="3">
        <f t="shared" si="253"/>
        <v>5.1448795396551096E-2</v>
      </c>
      <c r="O267" s="3">
        <f t="shared" si="253"/>
        <v>5.1448794190107519E-2</v>
      </c>
      <c r="P267" s="3">
        <f t="shared" si="253"/>
        <v>5.1448782125673269E-2</v>
      </c>
      <c r="Q267" s="3">
        <f t="shared" si="253"/>
        <v>5.1448661481486316E-2</v>
      </c>
      <c r="R267" s="3">
        <f t="shared" si="253"/>
        <v>5.1447455055176367E-2</v>
      </c>
      <c r="S267" s="3">
        <f t="shared" si="253"/>
        <v>5.1435392347897985E-2</v>
      </c>
      <c r="T267" s="3">
        <f t="shared" si="253"/>
        <v>5.1314920722321626E-2</v>
      </c>
      <c r="U267" s="3">
        <f t="shared" si="253"/>
        <v>5.0125615158742434E-2</v>
      </c>
      <c r="V267" s="3">
        <f t="shared" si="253"/>
        <v>3.9647905293135353E-2</v>
      </c>
      <c r="W267" s="3">
        <f t="shared" si="253"/>
        <v>3.8003672386737663E-3</v>
      </c>
      <c r="X267" s="3">
        <f t="shared" si="253"/>
        <v>2.4881625452439992E-13</v>
      </c>
      <c r="Y267" s="3">
        <f t="shared" si="253"/>
        <v>3.6008959754162014E-115</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6.7081242502453009E-2</v>
      </c>
      <c r="C268" s="3">
        <f t="shared" si="254"/>
        <v>6.7081242502453009E-2</v>
      </c>
      <c r="D268" s="3">
        <f t="shared" si="254"/>
        <v>6.7081242502453009E-2</v>
      </c>
      <c r="E268" s="3">
        <f t="shared" si="254"/>
        <v>6.7081242502453009E-2</v>
      </c>
      <c r="F268" s="3">
        <f t="shared" si="254"/>
        <v>6.7081242502453009E-2</v>
      </c>
      <c r="G268" s="3">
        <f t="shared" si="254"/>
        <v>6.7081242502453009E-2</v>
      </c>
      <c r="H268" s="3">
        <f t="shared" si="254"/>
        <v>6.7081242502452995E-2</v>
      </c>
      <c r="I268" s="3">
        <f t="shared" si="254"/>
        <v>6.7081242502452856E-2</v>
      </c>
      <c r="J268" s="3">
        <f t="shared" si="254"/>
        <v>6.7081242502451427E-2</v>
      </c>
      <c r="K268" s="3">
        <f t="shared" si="254"/>
        <v>6.7081242502437244E-2</v>
      </c>
      <c r="L268" s="3">
        <f t="shared" si="254"/>
        <v>6.7081242502295343E-2</v>
      </c>
      <c r="M268" s="3">
        <f t="shared" si="254"/>
        <v>6.7081242500876354E-2</v>
      </c>
      <c r="N268" s="3">
        <f t="shared" si="254"/>
        <v>6.7081242486686454E-2</v>
      </c>
      <c r="O268" s="3">
        <f t="shared" si="254"/>
        <v>6.7081242344787392E-2</v>
      </c>
      <c r="P268" s="3">
        <f t="shared" si="254"/>
        <v>6.708124092579687E-2</v>
      </c>
      <c r="Q268" s="3">
        <f t="shared" si="254"/>
        <v>6.7081226735893298E-2</v>
      </c>
      <c r="R268" s="3">
        <f t="shared" si="254"/>
        <v>6.7081084837022631E-2</v>
      </c>
      <c r="S268" s="3">
        <f t="shared" si="254"/>
        <v>6.7079665864824778E-2</v>
      </c>
      <c r="T268" s="3">
        <f t="shared" si="254"/>
        <v>6.7065477793602071E-2</v>
      </c>
      <c r="U268" s="3">
        <f t="shared" si="254"/>
        <v>6.6923762027825323E-2</v>
      </c>
      <c r="V268" s="3">
        <f t="shared" si="254"/>
        <v>6.5522970643248385E-2</v>
      </c>
      <c r="W268" s="3">
        <f t="shared" si="254"/>
        <v>5.3030522538152179E-2</v>
      </c>
      <c r="X268" s="3">
        <f t="shared" si="254"/>
        <v>6.3951271145959365E-3</v>
      </c>
      <c r="Y268" s="3">
        <f t="shared" si="254"/>
        <v>4.1598907911856329E-12</v>
      </c>
      <c r="Z268" s="3">
        <f t="shared" si="254"/>
        <v>5.6416924806554947E-104</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3.0532939065729049E-2</v>
      </c>
      <c r="C269" s="3">
        <f t="shared" si="255"/>
        <v>3.0532939065729049E-2</v>
      </c>
      <c r="D269" s="3">
        <f t="shared" si="255"/>
        <v>3.0532939065729049E-2</v>
      </c>
      <c r="E269" s="3">
        <f t="shared" si="255"/>
        <v>3.0532939065729049E-2</v>
      </c>
      <c r="F269" s="3">
        <f t="shared" si="255"/>
        <v>3.0532939065729049E-2</v>
      </c>
      <c r="G269" s="3">
        <f t="shared" si="255"/>
        <v>3.0532939065729049E-2</v>
      </c>
      <c r="H269" s="3">
        <f t="shared" si="255"/>
        <v>3.0532939065729049E-2</v>
      </c>
      <c r="I269" s="3">
        <f t="shared" si="255"/>
        <v>3.0532939065729042E-2</v>
      </c>
      <c r="J269" s="3">
        <f t="shared" si="255"/>
        <v>3.0532939065728983E-2</v>
      </c>
      <c r="K269" s="3">
        <f t="shared" si="255"/>
        <v>3.05329390657284E-2</v>
      </c>
      <c r="L269" s="3">
        <f t="shared" si="255"/>
        <v>3.0532939065722575E-2</v>
      </c>
      <c r="M269" s="3">
        <f t="shared" si="255"/>
        <v>3.0532939065664313E-2</v>
      </c>
      <c r="N269" s="3">
        <f t="shared" si="255"/>
        <v>3.0532939065081682E-2</v>
      </c>
      <c r="O269" s="3">
        <f t="shared" si="255"/>
        <v>3.0532939059255373E-2</v>
      </c>
      <c r="P269" s="3">
        <f t="shared" si="255"/>
        <v>3.0532939000992271E-2</v>
      </c>
      <c r="Q269" s="3">
        <f t="shared" si="255"/>
        <v>3.0532938418361254E-2</v>
      </c>
      <c r="R269" s="3">
        <f t="shared" si="255"/>
        <v>3.0532932592051722E-2</v>
      </c>
      <c r="S269" s="3">
        <f t="shared" si="255"/>
        <v>3.0532874329017533E-2</v>
      </c>
      <c r="T269" s="3">
        <f t="shared" si="255"/>
        <v>3.053229170479043E-2</v>
      </c>
      <c r="U269" s="3">
        <f t="shared" si="255"/>
        <v>3.0526466073950008E-2</v>
      </c>
      <c r="V269" s="3">
        <f t="shared" si="255"/>
        <v>3.0468270865465347E-2</v>
      </c>
      <c r="W269" s="3">
        <f t="shared" si="255"/>
        <v>2.9892385853150821E-2</v>
      </c>
      <c r="X269" s="3">
        <f t="shared" si="255"/>
        <v>2.469950764794503E-2</v>
      </c>
      <c r="Y269" s="3">
        <f t="shared" si="255"/>
        <v>3.6640843558421962E-3</v>
      </c>
      <c r="Z269" s="3">
        <f t="shared" si="255"/>
        <v>1.8911985965618269E-11</v>
      </c>
      <c r="AA269" s="3">
        <f t="shared" si="255"/>
        <v>2.5377794140922391E-94</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4.6215233336182188E-2</v>
      </c>
      <c r="C270" s="3">
        <f t="shared" si="256"/>
        <v>4.6215233336182188E-2</v>
      </c>
      <c r="D270" s="3">
        <f t="shared" si="256"/>
        <v>4.6215233336182188E-2</v>
      </c>
      <c r="E270" s="3">
        <f t="shared" si="256"/>
        <v>4.6215233336182188E-2</v>
      </c>
      <c r="F270" s="3">
        <f t="shared" si="256"/>
        <v>4.6215233336182188E-2</v>
      </c>
      <c r="G270" s="3">
        <f t="shared" si="256"/>
        <v>4.6215233336182188E-2</v>
      </c>
      <c r="H270" s="3">
        <f t="shared" si="256"/>
        <v>4.6215233336182188E-2</v>
      </c>
      <c r="I270" s="3">
        <f t="shared" si="256"/>
        <v>4.6215233336182181E-2</v>
      </c>
      <c r="J270" s="3">
        <f t="shared" si="256"/>
        <v>4.621523333618216E-2</v>
      </c>
      <c r="K270" s="3">
        <f t="shared" si="256"/>
        <v>4.6215233336181917E-2</v>
      </c>
      <c r="L270" s="3">
        <f t="shared" si="256"/>
        <v>4.6215233336179481E-2</v>
      </c>
      <c r="M270" s="3">
        <f t="shared" si="256"/>
        <v>4.6215233336155084E-2</v>
      </c>
      <c r="N270" s="3">
        <f t="shared" si="256"/>
        <v>4.6215233335911182E-2</v>
      </c>
      <c r="O270" s="3">
        <f t="shared" si="256"/>
        <v>4.6215233333472119E-2</v>
      </c>
      <c r="P270" s="3">
        <f t="shared" si="256"/>
        <v>4.6215233309081491E-2</v>
      </c>
      <c r="Q270" s="3">
        <f t="shared" si="256"/>
        <v>4.6215233065175193E-2</v>
      </c>
      <c r="R270" s="3">
        <f t="shared" si="256"/>
        <v>4.6215230626112346E-2</v>
      </c>
      <c r="S270" s="3">
        <f t="shared" si="256"/>
        <v>4.6215206235490948E-2</v>
      </c>
      <c r="T270" s="3">
        <f t="shared" si="256"/>
        <v>4.6214962329984906E-2</v>
      </c>
      <c r="U270" s="3">
        <f t="shared" si="256"/>
        <v>4.6212523345721374E-2</v>
      </c>
      <c r="V270" s="3">
        <f t="shared" si="256"/>
        <v>4.6188140581391902E-2</v>
      </c>
      <c r="W270" s="3">
        <f t="shared" si="256"/>
        <v>4.5945019388438771E-2</v>
      </c>
      <c r="X270" s="3">
        <f t="shared" si="256"/>
        <v>4.3583092252408265E-2</v>
      </c>
      <c r="Y270" s="3">
        <f t="shared" si="256"/>
        <v>2.5710709084389879E-2</v>
      </c>
      <c r="Z270" s="3">
        <f t="shared" si="256"/>
        <v>1.3124240882577806E-4</v>
      </c>
      <c r="AA270" s="3">
        <f t="shared" si="256"/>
        <v>1.5764332179764392E-27</v>
      </c>
      <c r="AB270" s="3">
        <f t="shared" si="256"/>
        <v>9.8557442409977185E-257</v>
      </c>
      <c r="AC270" s="3">
        <f t="shared" si="256"/>
        <v>0</v>
      </c>
      <c r="AD270" s="3">
        <f t="shared" si="256"/>
        <v>0</v>
      </c>
      <c r="AE270" s="3">
        <f t="shared" si="256"/>
        <v>0</v>
      </c>
      <c r="AF270" s="3">
        <f t="shared" si="256"/>
        <v>0</v>
      </c>
      <c r="AG270" s="3"/>
      <c r="AH270" s="3"/>
    </row>
    <row r="271" spans="2:34" x14ac:dyDescent="0.25">
      <c r="B271" s="3">
        <f t="shared" ref="B271:AF271" si="257">$C40*EXP(-B$246/$A40/EXP(-$E$126))</f>
        <v>3.4109179879759796E-2</v>
      </c>
      <c r="C271" s="3">
        <f t="shared" si="257"/>
        <v>3.4109179879759796E-2</v>
      </c>
      <c r="D271" s="3">
        <f t="shared" si="257"/>
        <v>3.4109179879759796E-2</v>
      </c>
      <c r="E271" s="3">
        <f t="shared" si="257"/>
        <v>3.4109179879759796E-2</v>
      </c>
      <c r="F271" s="3">
        <f t="shared" si="257"/>
        <v>3.4109179879759796E-2</v>
      </c>
      <c r="G271" s="3">
        <f t="shared" si="257"/>
        <v>3.4109179879759796E-2</v>
      </c>
      <c r="H271" s="3">
        <f t="shared" si="257"/>
        <v>3.4109179879759796E-2</v>
      </c>
      <c r="I271" s="3">
        <f t="shared" si="257"/>
        <v>3.4109179879759796E-2</v>
      </c>
      <c r="J271" s="3">
        <f t="shared" si="257"/>
        <v>3.4109179879759789E-2</v>
      </c>
      <c r="K271" s="3">
        <f t="shared" si="257"/>
        <v>3.4109179879759775E-2</v>
      </c>
      <c r="L271" s="3">
        <f t="shared" si="257"/>
        <v>3.4109179879759595E-2</v>
      </c>
      <c r="M271" s="3">
        <f t="shared" si="257"/>
        <v>3.4109179879757798E-2</v>
      </c>
      <c r="N271" s="3">
        <f t="shared" si="257"/>
        <v>3.4109179879739791E-2</v>
      </c>
      <c r="O271" s="3">
        <f t="shared" si="257"/>
        <v>3.4109179879559783E-2</v>
      </c>
      <c r="P271" s="3">
        <f t="shared" si="257"/>
        <v>3.4109179877759625E-2</v>
      </c>
      <c r="Q271" s="3">
        <f t="shared" si="257"/>
        <v>3.4109179859758108E-2</v>
      </c>
      <c r="R271" s="3">
        <f t="shared" si="257"/>
        <v>3.4109179679742925E-2</v>
      </c>
      <c r="S271" s="3">
        <f t="shared" si="257"/>
        <v>3.4109177879591175E-2</v>
      </c>
      <c r="T271" s="3">
        <f t="shared" si="257"/>
        <v>3.4109159878078846E-2</v>
      </c>
      <c r="U271" s="3">
        <f t="shared" si="257"/>
        <v>3.4108979863478057E-2</v>
      </c>
      <c r="V271" s="3">
        <f t="shared" si="257"/>
        <v>3.4107179769721878E-2</v>
      </c>
      <c r="W271" s="3">
        <f t="shared" si="257"/>
        <v>3.408918405630787E-2</v>
      </c>
      <c r="X271" s="3">
        <f t="shared" si="257"/>
        <v>3.3909748318253767E-2</v>
      </c>
      <c r="Y271" s="3">
        <f t="shared" si="257"/>
        <v>3.216652661990789E-2</v>
      </c>
      <c r="Z271" s="3">
        <f t="shared" si="257"/>
        <v>1.8975803813783679E-2</v>
      </c>
      <c r="AA271" s="3">
        <f t="shared" si="257"/>
        <v>9.6863536270122084E-5</v>
      </c>
      <c r="AB271" s="3">
        <f t="shared" si="257"/>
        <v>1.1634874546503573E-27</v>
      </c>
      <c r="AC271" s="3">
        <f t="shared" si="257"/>
        <v>7.2740377771047037E-257</v>
      </c>
      <c r="AD271" s="3">
        <f t="shared" si="257"/>
        <v>0</v>
      </c>
      <c r="AE271" s="3">
        <f t="shared" si="257"/>
        <v>0</v>
      </c>
      <c r="AF271" s="3">
        <f t="shared" si="257"/>
        <v>0</v>
      </c>
      <c r="AG271" s="3"/>
      <c r="AH271" s="3"/>
    </row>
    <row r="272" spans="2:34" x14ac:dyDescent="0.25">
      <c r="B272" s="3">
        <f t="shared" ref="B272:AF272" si="258">$C41*EXP(-B$246/$A41/EXP(-$E$126))</f>
        <v>1.6721828719437171E-2</v>
      </c>
      <c r="C272" s="3">
        <f t="shared" si="258"/>
        <v>1.6721828719437171E-2</v>
      </c>
      <c r="D272" s="3">
        <f t="shared" si="258"/>
        <v>1.6721828719437171E-2</v>
      </c>
      <c r="E272" s="3">
        <f t="shared" si="258"/>
        <v>1.6721828719437171E-2</v>
      </c>
      <c r="F272" s="3">
        <f t="shared" si="258"/>
        <v>1.6721828719437171E-2</v>
      </c>
      <c r="G272" s="3">
        <f t="shared" si="258"/>
        <v>1.6721828719437171E-2</v>
      </c>
      <c r="H272" s="3">
        <f t="shared" si="258"/>
        <v>1.6721828719437171E-2</v>
      </c>
      <c r="I272" s="3">
        <f t="shared" si="258"/>
        <v>1.6721828719437171E-2</v>
      </c>
      <c r="J272" s="3">
        <f t="shared" si="258"/>
        <v>1.6721828719437171E-2</v>
      </c>
      <c r="K272" s="3">
        <f t="shared" si="258"/>
        <v>1.6721828719437167E-2</v>
      </c>
      <c r="L272" s="3">
        <f t="shared" si="258"/>
        <v>1.672182871943716E-2</v>
      </c>
      <c r="M272" s="3">
        <f t="shared" si="258"/>
        <v>1.6721828719437073E-2</v>
      </c>
      <c r="N272" s="3">
        <f t="shared" si="258"/>
        <v>1.6721828719436189E-2</v>
      </c>
      <c r="O272" s="3">
        <f t="shared" si="258"/>
        <v>1.6721828719427366E-2</v>
      </c>
      <c r="P272" s="3">
        <f t="shared" si="258"/>
        <v>1.6721828719339114E-2</v>
      </c>
      <c r="Q272" s="3">
        <f t="shared" si="258"/>
        <v>1.6721828718456601E-2</v>
      </c>
      <c r="R272" s="3">
        <f t="shared" si="258"/>
        <v>1.6721828709631459E-2</v>
      </c>
      <c r="S272" s="3">
        <f t="shared" si="258"/>
        <v>1.6721828621380053E-2</v>
      </c>
      <c r="T272" s="3">
        <f t="shared" si="258"/>
        <v>1.6721827738866039E-2</v>
      </c>
      <c r="U272" s="3">
        <f t="shared" si="258"/>
        <v>1.672181891372844E-2</v>
      </c>
      <c r="V272" s="3">
        <f t="shared" si="258"/>
        <v>1.6721730662608594E-2</v>
      </c>
      <c r="W272" s="3">
        <f t="shared" si="258"/>
        <v>1.6720848177026244E-2</v>
      </c>
      <c r="X272" s="3">
        <f t="shared" si="258"/>
        <v>1.6712025882311039E-2</v>
      </c>
      <c r="Y272" s="3">
        <f t="shared" si="258"/>
        <v>1.662405854658313E-2</v>
      </c>
      <c r="Z272" s="3">
        <f t="shared" si="258"/>
        <v>1.5769454162587269E-2</v>
      </c>
      <c r="AA272" s="3">
        <f t="shared" si="258"/>
        <v>9.302778381254E-3</v>
      </c>
      <c r="AB272" s="3">
        <f t="shared" si="258"/>
        <v>4.7486790018927243E-5</v>
      </c>
      <c r="AC272" s="3">
        <f t="shared" si="258"/>
        <v>5.7039301450405345E-28</v>
      </c>
      <c r="AD272" s="3">
        <f t="shared" si="258"/>
        <v>3.5660550689357976E-257</v>
      </c>
      <c r="AE272" s="3">
        <f t="shared" si="258"/>
        <v>0</v>
      </c>
      <c r="AF272" s="3">
        <f t="shared" si="258"/>
        <v>0</v>
      </c>
      <c r="AG272" s="3"/>
      <c r="AH272" s="3"/>
    </row>
    <row r="273" spans="1:34" x14ac:dyDescent="0.25">
      <c r="B273" s="3">
        <f t="shared" ref="B273:AF273" si="259">$C42*EXP(-B$246/$A42/EXP(-$E$126))</f>
        <v>1.0380166217025045E-2</v>
      </c>
      <c r="C273" s="3">
        <f t="shared" si="259"/>
        <v>1.0380166217025045E-2</v>
      </c>
      <c r="D273" s="3">
        <f t="shared" si="259"/>
        <v>1.0380166217025045E-2</v>
      </c>
      <c r="E273" s="3">
        <f t="shared" si="259"/>
        <v>1.0380166217025045E-2</v>
      </c>
      <c r="F273" s="3">
        <f t="shared" si="259"/>
        <v>1.0380166217025045E-2</v>
      </c>
      <c r="G273" s="3">
        <f t="shared" si="259"/>
        <v>1.0380166217025045E-2</v>
      </c>
      <c r="H273" s="3">
        <f t="shared" si="259"/>
        <v>1.0380166217025045E-2</v>
      </c>
      <c r="I273" s="3">
        <f t="shared" si="259"/>
        <v>1.0380166217025045E-2</v>
      </c>
      <c r="J273" s="3">
        <f t="shared" si="259"/>
        <v>1.0380166217025045E-2</v>
      </c>
      <c r="K273" s="3">
        <f t="shared" si="259"/>
        <v>1.0380166217025045E-2</v>
      </c>
      <c r="L273" s="3">
        <f t="shared" si="259"/>
        <v>1.0380166217025043E-2</v>
      </c>
      <c r="M273" s="3">
        <f t="shared" si="259"/>
        <v>1.038016621702504E-2</v>
      </c>
      <c r="N273" s="3">
        <f t="shared" si="259"/>
        <v>1.0380166217024984E-2</v>
      </c>
      <c r="O273" s="3">
        <f t="shared" si="259"/>
        <v>1.0380166217024436E-2</v>
      </c>
      <c r="P273" s="3">
        <f t="shared" si="259"/>
        <v>1.0380166217018958E-2</v>
      </c>
      <c r="Q273" s="3">
        <f t="shared" si="259"/>
        <v>1.0380166216964175E-2</v>
      </c>
      <c r="R273" s="3">
        <f t="shared" si="259"/>
        <v>1.038016621641635E-2</v>
      </c>
      <c r="S273" s="3">
        <f t="shared" si="259"/>
        <v>1.0380166210938097E-2</v>
      </c>
      <c r="T273" s="3">
        <f t="shared" si="259"/>
        <v>1.0380166156155557E-2</v>
      </c>
      <c r="U273" s="3">
        <f t="shared" si="259"/>
        <v>1.0380165608330176E-2</v>
      </c>
      <c r="V273" s="3">
        <f t="shared" si="259"/>
        <v>1.0380160130077963E-2</v>
      </c>
      <c r="W273" s="3">
        <f t="shared" si="259"/>
        <v>1.0380105347714851E-2</v>
      </c>
      <c r="X273" s="3">
        <f t="shared" si="259"/>
        <v>1.0379557539985049E-2</v>
      </c>
      <c r="Y273" s="3">
        <f t="shared" si="259"/>
        <v>1.0374081052508954E-2</v>
      </c>
      <c r="Z273" s="3">
        <f t="shared" si="259"/>
        <v>1.0319474849931173E-2</v>
      </c>
      <c r="AA273" s="3">
        <f t="shared" si="259"/>
        <v>9.7889745258031135E-3</v>
      </c>
      <c r="AB273" s="3">
        <f t="shared" si="259"/>
        <v>5.7747503277149883E-3</v>
      </c>
      <c r="AC273" s="3">
        <f t="shared" si="259"/>
        <v>2.9477683438801638E-5</v>
      </c>
      <c r="AD273" s="3">
        <f t="shared" si="259"/>
        <v>3.5407456917076565E-28</v>
      </c>
      <c r="AE273" s="3">
        <f t="shared" si="259"/>
        <v>2.2136480988823448E-257</v>
      </c>
      <c r="AF273" s="3">
        <f t="shared" si="259"/>
        <v>0</v>
      </c>
      <c r="AG273" s="3"/>
      <c r="AH273" s="3"/>
    </row>
    <row r="274" spans="1:34" x14ac:dyDescent="0.25">
      <c r="B274" s="3">
        <f t="shared" ref="B274:AF274" si="260">$C43*EXP(-B$246/$A43/EXP(-$E$126))</f>
        <v>2.3857851620006894E-3</v>
      </c>
      <c r="C274" s="3">
        <f t="shared" si="260"/>
        <v>2.3857851620006894E-3</v>
      </c>
      <c r="D274" s="3">
        <f t="shared" si="260"/>
        <v>2.3857851620006894E-3</v>
      </c>
      <c r="E274" s="3">
        <f t="shared" si="260"/>
        <v>2.3857851620006894E-3</v>
      </c>
      <c r="F274" s="3">
        <f t="shared" si="260"/>
        <v>2.3857851620006894E-3</v>
      </c>
      <c r="G274" s="3">
        <f t="shared" si="260"/>
        <v>2.3857851620006894E-3</v>
      </c>
      <c r="H274" s="3">
        <f t="shared" si="260"/>
        <v>2.3857851620006894E-3</v>
      </c>
      <c r="I274" s="3">
        <f t="shared" si="260"/>
        <v>2.3857851620006894E-3</v>
      </c>
      <c r="J274" s="3">
        <f t="shared" si="260"/>
        <v>2.3857851620006894E-3</v>
      </c>
      <c r="K274" s="3">
        <f t="shared" si="260"/>
        <v>2.3857851620006894E-3</v>
      </c>
      <c r="L274" s="3">
        <f t="shared" si="260"/>
        <v>2.3857851620006894E-3</v>
      </c>
      <c r="M274" s="3">
        <f t="shared" si="260"/>
        <v>2.385785162000689E-3</v>
      </c>
      <c r="N274" s="3">
        <f t="shared" si="260"/>
        <v>2.3857851620006881E-3</v>
      </c>
      <c r="O274" s="3">
        <f t="shared" si="260"/>
        <v>2.3857851620006755E-3</v>
      </c>
      <c r="P274" s="3">
        <f t="shared" si="260"/>
        <v>2.3857851620005498E-3</v>
      </c>
      <c r="Q274" s="3">
        <f t="shared" si="260"/>
        <v>2.3857851619992904E-3</v>
      </c>
      <c r="R274" s="3">
        <f t="shared" si="260"/>
        <v>2.3857851619866993E-3</v>
      </c>
      <c r="S274" s="3">
        <f t="shared" si="260"/>
        <v>2.3857851618607866E-3</v>
      </c>
      <c r="T274" s="3">
        <f t="shared" si="260"/>
        <v>2.3857851606016605E-3</v>
      </c>
      <c r="U274" s="3">
        <f t="shared" si="260"/>
        <v>2.3857851480104005E-3</v>
      </c>
      <c r="V274" s="3">
        <f t="shared" si="260"/>
        <v>2.3857850220978059E-3</v>
      </c>
      <c r="W274" s="3">
        <f t="shared" si="260"/>
        <v>2.3857837629722226E-3</v>
      </c>
      <c r="X274" s="3">
        <f t="shared" si="260"/>
        <v>2.3857711717529375E-3</v>
      </c>
      <c r="Y274" s="3">
        <f t="shared" si="260"/>
        <v>2.3856452632148597E-3</v>
      </c>
      <c r="Z274" s="3">
        <f t="shared" si="260"/>
        <v>2.3843865432399405E-3</v>
      </c>
      <c r="AA274" s="3">
        <f t="shared" si="260"/>
        <v>2.3718358128239289E-3</v>
      </c>
      <c r="AB274" s="3">
        <f t="shared" si="260"/>
        <v>2.2499052218026205E-3</v>
      </c>
      <c r="AC274" s="3">
        <f t="shared" si="260"/>
        <v>1.3272729316727275E-3</v>
      </c>
      <c r="AD274" s="3">
        <f t="shared" si="260"/>
        <v>6.7751727947379861E-6</v>
      </c>
      <c r="AE274" s="3">
        <f t="shared" si="260"/>
        <v>8.138076363207828E-29</v>
      </c>
      <c r="AF274" s="3">
        <f t="shared" si="260"/>
        <v>5.0878653364359612E-258</v>
      </c>
      <c r="AG274" s="3"/>
      <c r="AH274" s="3"/>
    </row>
    <row r="275" spans="1:34" x14ac:dyDescent="0.25">
      <c r="B275" s="3">
        <f t="shared" ref="B275:AF275" si="261">$C44*EXP(-B$246/$A44/EXP(-$E$126))</f>
        <v>4.6637051545343495E-3</v>
      </c>
      <c r="C275" s="3">
        <f t="shared" si="261"/>
        <v>4.6637051545343495E-3</v>
      </c>
      <c r="D275" s="3">
        <f t="shared" si="261"/>
        <v>4.6637051545343495E-3</v>
      </c>
      <c r="E275" s="3">
        <f t="shared" si="261"/>
        <v>4.6637051545343495E-3</v>
      </c>
      <c r="F275" s="3">
        <f t="shared" si="261"/>
        <v>4.6637051545343495E-3</v>
      </c>
      <c r="G275" s="3">
        <f t="shared" si="261"/>
        <v>4.6637051545343495E-3</v>
      </c>
      <c r="H275" s="3">
        <f t="shared" si="261"/>
        <v>4.6637051545343495E-3</v>
      </c>
      <c r="I275" s="3">
        <f t="shared" si="261"/>
        <v>4.6637051545343495E-3</v>
      </c>
      <c r="J275" s="3">
        <f t="shared" si="261"/>
        <v>4.6637051545343495E-3</v>
      </c>
      <c r="K275" s="3">
        <f t="shared" si="261"/>
        <v>4.6637051545343495E-3</v>
      </c>
      <c r="L275" s="3">
        <f t="shared" si="261"/>
        <v>4.6637051545343495E-3</v>
      </c>
      <c r="M275" s="3">
        <f t="shared" si="261"/>
        <v>4.6637051545343495E-3</v>
      </c>
      <c r="N275" s="3">
        <f t="shared" si="261"/>
        <v>4.6637051545343486E-3</v>
      </c>
      <c r="O275" s="3">
        <f t="shared" si="261"/>
        <v>4.6637051545343469E-3</v>
      </c>
      <c r="P275" s="3">
        <f t="shared" si="261"/>
        <v>4.6637051545343217E-3</v>
      </c>
      <c r="Q275" s="3">
        <f t="shared" si="261"/>
        <v>4.6637051545340763E-3</v>
      </c>
      <c r="R275" s="3">
        <f t="shared" si="261"/>
        <v>4.6637051545316147E-3</v>
      </c>
      <c r="S275" s="3">
        <f t="shared" si="261"/>
        <v>4.6637051545070016E-3</v>
      </c>
      <c r="T275" s="3">
        <f t="shared" si="261"/>
        <v>4.6637051542608686E-3</v>
      </c>
      <c r="U275" s="3">
        <f t="shared" si="261"/>
        <v>4.663705151799544E-3</v>
      </c>
      <c r="V275" s="3">
        <f t="shared" si="261"/>
        <v>4.6637051271862951E-3</v>
      </c>
      <c r="W275" s="3">
        <f t="shared" si="261"/>
        <v>4.6637048810538161E-3</v>
      </c>
      <c r="X275" s="3">
        <f t="shared" si="261"/>
        <v>4.6637024197297341E-3</v>
      </c>
      <c r="Y275" s="3">
        <f t="shared" si="261"/>
        <v>4.6636778065603599E-3</v>
      </c>
      <c r="Z275" s="3">
        <f t="shared" si="261"/>
        <v>4.6634316820109304E-3</v>
      </c>
      <c r="AA275" s="3">
        <f t="shared" si="261"/>
        <v>4.6609711508077672E-3</v>
      </c>
      <c r="AB275" s="3">
        <f t="shared" si="261"/>
        <v>4.6364371286055171E-3</v>
      </c>
      <c r="AC275" s="3">
        <f t="shared" si="261"/>
        <v>4.3980886239293315E-3</v>
      </c>
      <c r="AD275" s="3">
        <f t="shared" si="261"/>
        <v>2.5945377276657858E-3</v>
      </c>
      <c r="AE275" s="3">
        <f t="shared" si="261"/>
        <v>1.3244029172846078E-5</v>
      </c>
      <c r="AF275" s="3">
        <f t="shared" si="261"/>
        <v>1.5908217255932255E-28</v>
      </c>
      <c r="AG275" s="3"/>
      <c r="AH275" s="3"/>
    </row>
    <row r="276" spans="1:34" x14ac:dyDescent="0.25">
      <c r="B276" s="3">
        <f t="shared" ref="B276:AF276" si="262">$C45*EXP(-B$246/$A45/EXP(-$E$126))</f>
        <v>1.1662493677485003E-4</v>
      </c>
      <c r="C276" s="3">
        <f t="shared" si="262"/>
        <v>1.1662493677485003E-4</v>
      </c>
      <c r="D276" s="3">
        <f t="shared" si="262"/>
        <v>1.1662493677485003E-4</v>
      </c>
      <c r="E276" s="3">
        <f t="shared" si="262"/>
        <v>1.1662493677485003E-4</v>
      </c>
      <c r="F276" s="3">
        <f t="shared" si="262"/>
        <v>1.1662493677485003E-4</v>
      </c>
      <c r="G276" s="3">
        <f t="shared" si="262"/>
        <v>1.1662493677485003E-4</v>
      </c>
      <c r="H276" s="3">
        <f t="shared" si="262"/>
        <v>1.1662493677485003E-4</v>
      </c>
      <c r="I276" s="3">
        <f t="shared" si="262"/>
        <v>1.1662493677485003E-4</v>
      </c>
      <c r="J276" s="3">
        <f t="shared" si="262"/>
        <v>1.1662493677485003E-4</v>
      </c>
      <c r="K276" s="3">
        <f t="shared" si="262"/>
        <v>1.1662493677485003E-4</v>
      </c>
      <c r="L276" s="3">
        <f t="shared" si="262"/>
        <v>1.1662493677485003E-4</v>
      </c>
      <c r="M276" s="3">
        <f t="shared" si="262"/>
        <v>1.1662493677485003E-4</v>
      </c>
      <c r="N276" s="3">
        <f t="shared" si="262"/>
        <v>1.1662493677485003E-4</v>
      </c>
      <c r="O276" s="3">
        <f t="shared" si="262"/>
        <v>1.1662493677485002E-4</v>
      </c>
      <c r="P276" s="3">
        <f t="shared" si="262"/>
        <v>1.1662493677484997E-4</v>
      </c>
      <c r="Q276" s="3">
        <f t="shared" si="262"/>
        <v>1.1662493677484934E-4</v>
      </c>
      <c r="R276" s="3">
        <f t="shared" si="262"/>
        <v>1.166249367748432E-4</v>
      </c>
      <c r="S276" s="3">
        <f t="shared" si="262"/>
        <v>1.1662493677478165E-4</v>
      </c>
      <c r="T276" s="3">
        <f t="shared" si="262"/>
        <v>1.1662493677416615E-4</v>
      </c>
      <c r="U276" s="3">
        <f t="shared" si="262"/>
        <v>1.1662493676801113E-4</v>
      </c>
      <c r="V276" s="3">
        <f t="shared" si="262"/>
        <v>1.1662493670646096E-4</v>
      </c>
      <c r="W276" s="3">
        <f t="shared" si="262"/>
        <v>1.1662493609095922E-4</v>
      </c>
      <c r="X276" s="3">
        <f t="shared" si="262"/>
        <v>1.1662492993594215E-4</v>
      </c>
      <c r="Y276" s="3">
        <f t="shared" si="262"/>
        <v>1.1662486838578923E-4</v>
      </c>
      <c r="Z276" s="3">
        <f t="shared" si="262"/>
        <v>1.1662425288604666E-4</v>
      </c>
      <c r="AA276" s="3">
        <f t="shared" si="262"/>
        <v>1.1661809806727813E-4</v>
      </c>
      <c r="AB276" s="3">
        <f t="shared" si="262"/>
        <v>1.1655656774181954E-4</v>
      </c>
      <c r="AC276" s="3">
        <f t="shared" si="262"/>
        <v>1.159430472268298E-4</v>
      </c>
      <c r="AD276" s="3">
        <f t="shared" si="262"/>
        <v>1.0998268344585325E-4</v>
      </c>
      <c r="AE276" s="3">
        <f t="shared" si="262"/>
        <v>6.4881416904066138E-5</v>
      </c>
      <c r="AF276" s="3">
        <f t="shared" si="262"/>
        <v>3.3119247760028328E-7</v>
      </c>
      <c r="AG276" s="3"/>
      <c r="AH276" s="3"/>
    </row>
    <row r="277" spans="1:34" x14ac:dyDescent="0.25">
      <c r="B277" s="3">
        <f t="shared" ref="B277:AF277" si="263">$C46*EXP(-B$246/$A46/EXP(-$E$126))</f>
        <v>1.2727846034903288E-3</v>
      </c>
      <c r="C277" s="3">
        <f t="shared" si="263"/>
        <v>1.2727846034903288E-3</v>
      </c>
      <c r="D277" s="3">
        <f t="shared" si="263"/>
        <v>1.2727846034903288E-3</v>
      </c>
      <c r="E277" s="3">
        <f t="shared" si="263"/>
        <v>1.2727846034903288E-3</v>
      </c>
      <c r="F277" s="3">
        <f t="shared" si="263"/>
        <v>1.2727846034903288E-3</v>
      </c>
      <c r="G277" s="3">
        <f t="shared" si="263"/>
        <v>1.2727846034903288E-3</v>
      </c>
      <c r="H277" s="3">
        <f t="shared" si="263"/>
        <v>1.2727846034903288E-3</v>
      </c>
      <c r="I277" s="3">
        <f t="shared" si="263"/>
        <v>1.2727846034903288E-3</v>
      </c>
      <c r="J277" s="3">
        <f t="shared" si="263"/>
        <v>1.2727846034903288E-3</v>
      </c>
      <c r="K277" s="3">
        <f t="shared" si="263"/>
        <v>1.2727846034903288E-3</v>
      </c>
      <c r="L277" s="3">
        <f t="shared" si="263"/>
        <v>1.2727846034903288E-3</v>
      </c>
      <c r="M277" s="3">
        <f t="shared" si="263"/>
        <v>1.2727846034903288E-3</v>
      </c>
      <c r="N277" s="3">
        <f t="shared" si="263"/>
        <v>1.2727846034903288E-3</v>
      </c>
      <c r="O277" s="3">
        <f t="shared" si="263"/>
        <v>1.2727846034903288E-3</v>
      </c>
      <c r="P277" s="3">
        <f t="shared" si="263"/>
        <v>1.2727846034903286E-3</v>
      </c>
      <c r="Q277" s="3">
        <f t="shared" si="263"/>
        <v>1.2727846034903281E-3</v>
      </c>
      <c r="R277" s="3">
        <f t="shared" si="263"/>
        <v>1.2727846034903212E-3</v>
      </c>
      <c r="S277" s="3">
        <f t="shared" si="263"/>
        <v>1.2727846034902542E-3</v>
      </c>
      <c r="T277" s="3">
        <f t="shared" si="263"/>
        <v>1.2727846034895824E-3</v>
      </c>
      <c r="U277" s="3">
        <f t="shared" si="263"/>
        <v>1.2727846034828651E-3</v>
      </c>
      <c r="V277" s="3">
        <f t="shared" si="263"/>
        <v>1.2727846034156925E-3</v>
      </c>
      <c r="W277" s="3">
        <f t="shared" si="263"/>
        <v>1.2727846027439655E-3</v>
      </c>
      <c r="X277" s="3">
        <f t="shared" si="263"/>
        <v>1.272784596026696E-3</v>
      </c>
      <c r="Y277" s="3">
        <f t="shared" si="263"/>
        <v>1.2727845288540039E-3</v>
      </c>
      <c r="Z277" s="3">
        <f t="shared" si="263"/>
        <v>1.2727838571272778E-3</v>
      </c>
      <c r="AA277" s="3">
        <f t="shared" si="263"/>
        <v>1.2727771398795137E-3</v>
      </c>
      <c r="AB277" s="3">
        <f t="shared" si="263"/>
        <v>1.2727099693516446E-3</v>
      </c>
      <c r="AC277" s="3">
        <f t="shared" si="263"/>
        <v>1.2720384590121138E-3</v>
      </c>
      <c r="AD277" s="3">
        <f t="shared" si="263"/>
        <v>1.2653428115202577E-3</v>
      </c>
      <c r="AE277" s="3">
        <f t="shared" si="263"/>
        <v>1.2002944654167654E-3</v>
      </c>
      <c r="AF277" s="3">
        <f t="shared" si="263"/>
        <v>7.0808242878242467E-4</v>
      </c>
      <c r="AG277" s="3"/>
      <c r="AH277" s="3"/>
    </row>
    <row r="278" spans="1:34" x14ac:dyDescent="0.25">
      <c r="B278" s="3">
        <f t="shared" ref="B278:AF278" si="264">$C47*EXP(-B$246/$A47/EXP(-$E$126))</f>
        <v>2.0157372743803063E-3</v>
      </c>
      <c r="C278" s="3">
        <f t="shared" si="264"/>
        <v>2.0157372743803063E-3</v>
      </c>
      <c r="D278" s="3">
        <f t="shared" si="264"/>
        <v>2.0157372743803063E-3</v>
      </c>
      <c r="E278" s="3">
        <f t="shared" si="264"/>
        <v>2.0157372743803063E-3</v>
      </c>
      <c r="F278" s="3">
        <f t="shared" si="264"/>
        <v>2.0157372743803063E-3</v>
      </c>
      <c r="G278" s="3">
        <f t="shared" si="264"/>
        <v>2.0157372743803063E-3</v>
      </c>
      <c r="H278" s="3">
        <f t="shared" si="264"/>
        <v>2.0157372743803063E-3</v>
      </c>
      <c r="I278" s="3">
        <f t="shared" si="264"/>
        <v>2.0157372743803063E-3</v>
      </c>
      <c r="J278" s="3">
        <f t="shared" si="264"/>
        <v>2.0157372743803063E-3</v>
      </c>
      <c r="K278" s="3">
        <f t="shared" si="264"/>
        <v>2.0157372743803063E-3</v>
      </c>
      <c r="L278" s="3">
        <f t="shared" si="264"/>
        <v>2.0157372743803063E-3</v>
      </c>
      <c r="M278" s="3">
        <f t="shared" si="264"/>
        <v>2.0157372743803063E-3</v>
      </c>
      <c r="N278" s="3">
        <f t="shared" si="264"/>
        <v>2.0157372743803063E-3</v>
      </c>
      <c r="O278" s="3">
        <f t="shared" si="264"/>
        <v>2.0157372743803063E-3</v>
      </c>
      <c r="P278" s="3">
        <f t="shared" si="264"/>
        <v>2.0157372743803063E-3</v>
      </c>
      <c r="Q278" s="3">
        <f t="shared" si="264"/>
        <v>2.0157372743803059E-3</v>
      </c>
      <c r="R278" s="3">
        <f t="shared" si="264"/>
        <v>2.015737274380305E-3</v>
      </c>
      <c r="S278" s="3">
        <f t="shared" si="264"/>
        <v>2.0157372743802946E-3</v>
      </c>
      <c r="T278" s="3">
        <f t="shared" si="264"/>
        <v>2.0157372743801884E-3</v>
      </c>
      <c r="U278" s="3">
        <f t="shared" si="264"/>
        <v>2.0157372743791241E-3</v>
      </c>
      <c r="V278" s="3">
        <f t="shared" si="264"/>
        <v>2.0157372743684859E-3</v>
      </c>
      <c r="W278" s="3">
        <f t="shared" si="264"/>
        <v>2.0157372742621031E-3</v>
      </c>
      <c r="X278" s="3">
        <f t="shared" si="264"/>
        <v>2.0157372731982744E-3</v>
      </c>
      <c r="Y278" s="3">
        <f t="shared" si="264"/>
        <v>2.0157372625599851E-3</v>
      </c>
      <c r="Z278" s="3">
        <f t="shared" si="264"/>
        <v>2.0157371561770995E-3</v>
      </c>
      <c r="AA278" s="3">
        <f t="shared" si="264"/>
        <v>2.0157360923485487E-3</v>
      </c>
      <c r="AB278" s="3">
        <f t="shared" si="264"/>
        <v>2.0157254540939199E-3</v>
      </c>
      <c r="AC278" s="3">
        <f t="shared" si="264"/>
        <v>2.0156190746355306E-3</v>
      </c>
      <c r="AD278" s="3">
        <f t="shared" si="264"/>
        <v>2.0145555887811197E-3</v>
      </c>
      <c r="AE278" s="3">
        <f t="shared" si="264"/>
        <v>2.0039515429838704E-3</v>
      </c>
      <c r="AF278" s="3">
        <f t="shared" si="264"/>
        <v>1.9009330310392474E-3</v>
      </c>
      <c r="AG278" s="3"/>
      <c r="AH278" s="3"/>
    </row>
    <row r="279" spans="1:34" x14ac:dyDescent="0.25">
      <c r="B279" s="3">
        <f t="shared" ref="B279:AF279" si="265">$C48*EXP(-B$246/$A48/EXP(-$E$126))</f>
        <v>9.8070147356989854E-3</v>
      </c>
      <c r="C279" s="3">
        <f t="shared" si="265"/>
        <v>9.8070147356989854E-3</v>
      </c>
      <c r="D279" s="3">
        <f t="shared" si="265"/>
        <v>9.8070147356989854E-3</v>
      </c>
      <c r="E279" s="3">
        <f t="shared" si="265"/>
        <v>9.8070147356989854E-3</v>
      </c>
      <c r="F279" s="3">
        <f t="shared" si="265"/>
        <v>9.8070147356989854E-3</v>
      </c>
      <c r="G279" s="3">
        <f t="shared" si="265"/>
        <v>9.8070147356989854E-3</v>
      </c>
      <c r="H279" s="3">
        <f t="shared" si="265"/>
        <v>9.8070147356989854E-3</v>
      </c>
      <c r="I279" s="3">
        <f t="shared" si="265"/>
        <v>9.8070147356989854E-3</v>
      </c>
      <c r="J279" s="3">
        <f t="shared" si="265"/>
        <v>9.8070147356989854E-3</v>
      </c>
      <c r="K279" s="3">
        <f t="shared" si="265"/>
        <v>9.8070147356989854E-3</v>
      </c>
      <c r="L279" s="3">
        <f t="shared" si="265"/>
        <v>9.8070147356989854E-3</v>
      </c>
      <c r="M279" s="3">
        <f t="shared" si="265"/>
        <v>9.8070147356989854E-3</v>
      </c>
      <c r="N279" s="3">
        <f t="shared" si="265"/>
        <v>9.8070147356989854E-3</v>
      </c>
      <c r="O279" s="3">
        <f t="shared" si="265"/>
        <v>9.8070147356989854E-3</v>
      </c>
      <c r="P279" s="3">
        <f t="shared" si="265"/>
        <v>9.8070147356989854E-3</v>
      </c>
      <c r="Q279" s="3">
        <f t="shared" si="265"/>
        <v>9.8070147356989854E-3</v>
      </c>
      <c r="R279" s="3">
        <f t="shared" si="265"/>
        <v>9.8070147356989837E-3</v>
      </c>
      <c r="S279" s="3">
        <f t="shared" si="265"/>
        <v>9.8070147356989802E-3</v>
      </c>
      <c r="T279" s="3">
        <f t="shared" si="265"/>
        <v>9.8070147356989282E-3</v>
      </c>
      <c r="U279" s="3">
        <f t="shared" si="265"/>
        <v>9.8070147356984112E-3</v>
      </c>
      <c r="V279" s="3">
        <f t="shared" si="265"/>
        <v>9.8070147356932348E-3</v>
      </c>
      <c r="W279" s="3">
        <f t="shared" si="265"/>
        <v>9.8070147356414776E-3</v>
      </c>
      <c r="X279" s="3">
        <f t="shared" si="265"/>
        <v>9.8070147351239003E-3</v>
      </c>
      <c r="Y279" s="3">
        <f t="shared" si="265"/>
        <v>9.8070147299481342E-3</v>
      </c>
      <c r="Z279" s="3">
        <f t="shared" si="265"/>
        <v>9.8070146781904666E-3</v>
      </c>
      <c r="AA279" s="3">
        <f t="shared" si="265"/>
        <v>9.8070141606138254E-3</v>
      </c>
      <c r="AB279" s="3">
        <f t="shared" si="265"/>
        <v>9.8070089848489046E-3</v>
      </c>
      <c r="AC279" s="3">
        <f t="shared" si="265"/>
        <v>9.8069572273499321E-3</v>
      </c>
      <c r="AD279" s="3">
        <f t="shared" si="265"/>
        <v>9.806439667383534E-3</v>
      </c>
      <c r="AE279" s="3">
        <f t="shared" si="265"/>
        <v>9.8012655697578294E-3</v>
      </c>
      <c r="AF279" s="3">
        <f t="shared" si="265"/>
        <v>9.7496745044372644E-3</v>
      </c>
      <c r="AG279" s="3"/>
      <c r="AH279" s="3"/>
    </row>
    <row r="280" spans="1:34" x14ac:dyDescent="0.25">
      <c r="A280" s="79">
        <f>AVERAGE(B280:AF280)</f>
        <v>3.7295292839074974E-3</v>
      </c>
      <c r="B280" s="80">
        <f>IF($D$61&lt;=B246,IF($E$61&gt;=B246,ABS((B248-B247)/B247),0),0)</f>
        <v>3.444393567893507E-2</v>
      </c>
      <c r="C280" s="80">
        <f t="shared" ref="C280:AF280" si="266">IF($D$61&lt;=C246,IF($E$61&gt;=C246,ABS((C248-C247)/C247),0),0)</f>
        <v>8.4725253006204728E-3</v>
      </c>
      <c r="D280" s="80">
        <f t="shared" si="266"/>
        <v>9.0568353364985591E-3</v>
      </c>
      <c r="E280" s="80">
        <f t="shared" si="266"/>
        <v>1.6253566474762227E-3</v>
      </c>
      <c r="F280" s="80">
        <f t="shared" si="266"/>
        <v>1.9696424480712079E-3</v>
      </c>
      <c r="G280" s="80">
        <f t="shared" si="266"/>
        <v>1.0090172827631352E-3</v>
      </c>
      <c r="H280" s="80">
        <f t="shared" si="266"/>
        <v>8.9886624004357932E-4</v>
      </c>
      <c r="I280" s="80">
        <f t="shared" si="266"/>
        <v>9.1805346116804847E-4</v>
      </c>
      <c r="J280" s="80">
        <f t="shared" si="266"/>
        <v>6.6240113006895134E-4</v>
      </c>
      <c r="K280" s="80">
        <f t="shared" si="266"/>
        <v>5.6355685147442666E-4</v>
      </c>
      <c r="L280" s="80">
        <f t="shared" si="266"/>
        <v>6.2063076102923903E-4</v>
      </c>
      <c r="M280" s="80">
        <f t="shared" si="266"/>
        <v>1.6700793239711666E-3</v>
      </c>
      <c r="N280" s="80">
        <f t="shared" si="266"/>
        <v>9.2609740833034086E-4</v>
      </c>
      <c r="O280" s="80">
        <f t="shared" si="266"/>
        <v>2.0668918422684888E-3</v>
      </c>
      <c r="P280" s="80">
        <f t="shared" si="266"/>
        <v>2.0816744750608187E-3</v>
      </c>
      <c r="Q280" s="80">
        <f t="shared" si="266"/>
        <v>2.1258729911862563E-3</v>
      </c>
      <c r="R280" s="80">
        <f t="shared" si="266"/>
        <v>1.4507542194778561E-3</v>
      </c>
      <c r="S280" s="80">
        <f t="shared" si="266"/>
        <v>2.546068876490057E-3</v>
      </c>
      <c r="T280" s="80">
        <f t="shared" si="266"/>
        <v>4.5040711008703877E-3</v>
      </c>
      <c r="U280" s="80">
        <f t="shared" si="266"/>
        <v>4.3595162566829031E-3</v>
      </c>
      <c r="V280" s="80">
        <f t="shared" si="266"/>
        <v>7.0441578746906477E-5</v>
      </c>
      <c r="W280" s="80">
        <f t="shared" si="266"/>
        <v>1.3374002121575492E-3</v>
      </c>
      <c r="X280" s="80">
        <f t="shared" si="266"/>
        <v>1.06795019618701E-2</v>
      </c>
      <c r="Y280" s="80">
        <f t="shared" si="266"/>
        <v>2.1556216415870681E-2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107552.08308383418</v>
      </c>
      <c r="C281" s="21">
        <f t="shared" ref="C281:AF281" si="267">(C248-C247)^2</f>
        <v>6161.8704231023912</v>
      </c>
      <c r="D281" s="21">
        <f t="shared" si="267"/>
        <v>6703.7924781844949</v>
      </c>
      <c r="E281" s="21">
        <f t="shared" si="267"/>
        <v>204.37924002948023</v>
      </c>
      <c r="F281" s="21">
        <f t="shared" si="267"/>
        <v>282.45343022213558</v>
      </c>
      <c r="G281" s="21">
        <f t="shared" si="267"/>
        <v>69.198740735066139</v>
      </c>
      <c r="H281" s="21">
        <f t="shared" si="267"/>
        <v>51.171532216199601</v>
      </c>
      <c r="I281" s="21">
        <f t="shared" si="267"/>
        <v>49.807212295559069</v>
      </c>
      <c r="J281" s="21">
        <f t="shared" si="267"/>
        <v>23.86119123987493</v>
      </c>
      <c r="K281" s="21">
        <f t="shared" si="267"/>
        <v>15.589600308909247</v>
      </c>
      <c r="L281" s="21">
        <f t="shared" si="267"/>
        <v>16.925703365863495</v>
      </c>
      <c r="M281" s="21">
        <f t="shared" si="267"/>
        <v>111.10197097967048</v>
      </c>
      <c r="N281" s="21">
        <f t="shared" si="267"/>
        <v>31.166905118483356</v>
      </c>
      <c r="O281" s="21">
        <f t="shared" si="267"/>
        <v>141.18095615554006</v>
      </c>
      <c r="P281" s="21">
        <f t="shared" si="267"/>
        <v>129.45839739584582</v>
      </c>
      <c r="Q281" s="21">
        <f t="shared" si="267"/>
        <v>121.8579628058725</v>
      </c>
      <c r="R281" s="21">
        <f t="shared" si="267"/>
        <v>50.181594196268414</v>
      </c>
      <c r="S281" s="21">
        <f t="shared" si="267"/>
        <v>131.35980540975532</v>
      </c>
      <c r="T281" s="21">
        <f t="shared" si="267"/>
        <v>335.48693756286087</v>
      </c>
      <c r="U281" s="21">
        <f t="shared" si="267"/>
        <v>245.97715024695006</v>
      </c>
      <c r="V281" s="21">
        <f t="shared" si="267"/>
        <v>4.7761045888673297E-2</v>
      </c>
      <c r="W281" s="21">
        <f t="shared" si="267"/>
        <v>11.801105189112292</v>
      </c>
      <c r="X281" s="21">
        <f t="shared" si="267"/>
        <v>456.54091462238046</v>
      </c>
      <c r="Y281" s="21">
        <f t="shared" si="267"/>
        <v>1000.6997414505832</v>
      </c>
      <c r="Z281" s="21">
        <f t="shared" si="267"/>
        <v>1.5702054843140922</v>
      </c>
      <c r="AA281" s="21">
        <f t="shared" si="267"/>
        <v>0.99439630361468545</v>
      </c>
      <c r="AB281" s="21">
        <f t="shared" si="267"/>
        <v>0.97861574600320878</v>
      </c>
      <c r="AC281" s="21">
        <f t="shared" si="267"/>
        <v>2.1780085578635724</v>
      </c>
      <c r="AD281" s="21">
        <f t="shared" si="267"/>
        <v>2.1191442315956266</v>
      </c>
      <c r="AE281" s="21">
        <f t="shared" si="267"/>
        <v>3.6598893551595473</v>
      </c>
      <c r="AF281" s="21">
        <f t="shared" si="267"/>
        <v>1.7024281834246042</v>
      </c>
      <c r="AG281" s="3"/>
      <c r="AH281" s="3"/>
    </row>
    <row r="282" spans="1:34" s="3" customFormat="1" x14ac:dyDescent="0.25">
      <c r="A282" s="71">
        <f>SUM(B282:AF282)</f>
        <v>123897.99383771339</v>
      </c>
      <c r="B282" s="21">
        <f>IF($D$61&lt;=B246,IF($E$61&gt;=B246,ABS(B281),0),0)</f>
        <v>107552.08308383418</v>
      </c>
      <c r="C282" s="21">
        <f t="shared" ref="C282:AF282" si="268">IF($D$61&lt;=C246,IF($E$61&gt;=C246,ABS(C281),0),0)</f>
        <v>6161.8704231023912</v>
      </c>
      <c r="D282" s="21">
        <f t="shared" si="268"/>
        <v>6703.7924781844949</v>
      </c>
      <c r="E282" s="21">
        <f t="shared" si="268"/>
        <v>204.37924002948023</v>
      </c>
      <c r="F282" s="21">
        <f t="shared" si="268"/>
        <v>282.45343022213558</v>
      </c>
      <c r="G282" s="21">
        <f t="shared" si="268"/>
        <v>69.198740735066139</v>
      </c>
      <c r="H282" s="21">
        <f t="shared" si="268"/>
        <v>51.171532216199601</v>
      </c>
      <c r="I282" s="21">
        <f t="shared" si="268"/>
        <v>49.807212295559069</v>
      </c>
      <c r="J282" s="21">
        <f t="shared" si="268"/>
        <v>23.86119123987493</v>
      </c>
      <c r="K282" s="21">
        <f t="shared" si="268"/>
        <v>15.589600308909247</v>
      </c>
      <c r="L282" s="21">
        <f t="shared" si="268"/>
        <v>16.925703365863495</v>
      </c>
      <c r="M282" s="21">
        <f t="shared" si="268"/>
        <v>111.10197097967048</v>
      </c>
      <c r="N282" s="21">
        <f t="shared" si="268"/>
        <v>31.166905118483356</v>
      </c>
      <c r="O282" s="21">
        <f t="shared" si="268"/>
        <v>141.18095615554006</v>
      </c>
      <c r="P282" s="21">
        <f t="shared" si="268"/>
        <v>129.45839739584582</v>
      </c>
      <c r="Q282" s="21">
        <f t="shared" si="268"/>
        <v>121.8579628058725</v>
      </c>
      <c r="R282" s="21">
        <f t="shared" si="268"/>
        <v>50.181594196268414</v>
      </c>
      <c r="S282" s="21">
        <f t="shared" si="268"/>
        <v>131.35980540975532</v>
      </c>
      <c r="T282" s="21">
        <f t="shared" si="268"/>
        <v>335.48693756286087</v>
      </c>
      <c r="U282" s="21">
        <f t="shared" si="268"/>
        <v>245.97715024695006</v>
      </c>
      <c r="V282" s="21">
        <f t="shared" si="268"/>
        <v>4.7761045888673297E-2</v>
      </c>
      <c r="W282" s="21">
        <f t="shared" si="268"/>
        <v>11.801105189112292</v>
      </c>
      <c r="X282" s="21">
        <f t="shared" si="268"/>
        <v>456.54091462238046</v>
      </c>
      <c r="Y282" s="21">
        <f t="shared" si="268"/>
        <v>1000.6997414505832</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9259.9030429946288</v>
      </c>
      <c r="C286" s="26">
        <f>INDEX(Comparison!$AM$3:$AS$33,G$14,$F$122)</f>
        <v>8975.4373156175916</v>
      </c>
      <c r="D286" s="26">
        <f>INDEX(Comparison!$AM$3:$AS$33,H$14,$F$122)</f>
        <v>8718.1797337443004</v>
      </c>
      <c r="E286" s="26">
        <f>INDEX(Comparison!$AM$3:$AS$33,I$14,$F$122)</f>
        <v>8453.8665906134283</v>
      </c>
      <c r="F286" s="26">
        <f>INDEX(Comparison!$AM$3:$AS$33,J$14,$F$122)</f>
        <v>8157.4497816903277</v>
      </c>
      <c r="G286" s="26">
        <f>INDEX(Comparison!$AM$3:$AS$33,K$14,$F$122)</f>
        <v>7881.4803699008435</v>
      </c>
      <c r="H286" s="26">
        <f>INDEX(Comparison!$AM$3:$AS$33,L$14,$F$122)</f>
        <v>7606.797789198542</v>
      </c>
      <c r="I286" s="26">
        <f>INDEX(Comparison!$AM$3:$AS$33,M$14,$F$122)</f>
        <v>7278.8872759198184</v>
      </c>
      <c r="J286" s="26">
        <f>INDEX(Comparison!$AM$3:$AS$33,N$14,$F$122)</f>
        <v>6902.9128773701668</v>
      </c>
      <c r="K286" s="26">
        <f>INDEX(Comparison!$AM$3:$AS$33,O$14,$F$122)</f>
        <v>6533.8294095397778</v>
      </c>
      <c r="L286" s="26">
        <f>INDEX(Comparison!$AM$3:$AS$33,P$14,$F$122)</f>
        <v>6236.0805337275306</v>
      </c>
      <c r="M286" s="26">
        <f>INDEX(Comparison!$AM$3:$AS$33,Q$14,$F$122)</f>
        <v>5950.4123980915811</v>
      </c>
      <c r="N286" s="26">
        <f>INDEX(Comparison!$AM$3:$AS$33,R$14,$F$122)</f>
        <v>5675.5372968728034</v>
      </c>
      <c r="O286" s="26">
        <f>INDEX(Comparison!$AM$3:$AS$33,S$14,$F$122)</f>
        <v>5389.077424650558</v>
      </c>
      <c r="P286" s="26">
        <f>INDEX(Comparison!$AM$3:$AS$33,T$14,$F$122)</f>
        <v>5123.5437168709832</v>
      </c>
      <c r="Q286" s="26">
        <f>INDEX(Comparison!$AM$3:$AS$33,U$14,$F$122)</f>
        <v>4799.280908658001</v>
      </c>
      <c r="R286" s="26">
        <f>INDEX(Comparison!$AM$3:$AS$33,V$14,$F$122)</f>
        <v>4430.6662258617935</v>
      </c>
      <c r="S286" s="26">
        <f>INDEX(Comparison!$AM$3:$AS$33,W$14,$F$122)</f>
        <v>3990.4031488339651</v>
      </c>
      <c r="T286" s="26">
        <f>INDEX(Comparison!$AM$3:$AS$33,X$14,$F$122)</f>
        <v>3512.6173919241392</v>
      </c>
      <c r="U286" s="26">
        <f>INDEX(Comparison!$AM$3:$AS$33,Y$14,$F$122)</f>
        <v>2997.1269883218743</v>
      </c>
      <c r="V286" s="26">
        <f>INDEX(Comparison!$AM$3:$AS$33,Z$14,$F$122)</f>
        <v>2450.4999019800034</v>
      </c>
      <c r="W286" s="26">
        <f>INDEX(Comparison!$AM$3:$AS$33,AA$14,$F$122)</f>
        <v>1872.1545257089074</v>
      </c>
      <c r="X286" s="26">
        <f>INDEX(Comparison!$AM$3:$AS$33,AB$14,$F$122)</f>
        <v>1367.4511296212941</v>
      </c>
      <c r="Y286" s="26">
        <f>INDEX(Comparison!$AM$3:$AS$33,AC$14,$F$122)</f>
        <v>983.81195335121254</v>
      </c>
      <c r="Z286" s="26">
        <f>INDEX(Comparison!$AM$3:$AS$33,AD$14,$F$122)</f>
        <v>755.24433140254177</v>
      </c>
      <c r="AA286" s="26">
        <f>INDEX(Comparison!$AM$3:$AS$33,AE$14,$F$122)</f>
        <v>633.28610309701617</v>
      </c>
      <c r="AB286" s="26">
        <f>INDEX(Comparison!$AM$3:$AS$33,AF$14,$F$122)</f>
        <v>577.24905136540178</v>
      </c>
      <c r="AC286" s="26">
        <f>INDEX(Comparison!$AM$3:$AS$33,AG$14,$F$122)</f>
        <v>542.56491517927657</v>
      </c>
      <c r="AD286" s="26">
        <f>INDEX(Comparison!$AM$3:$AS$33,AH$14,$F$122)</f>
        <v>523.04517618896307</v>
      </c>
      <c r="AE286" s="26">
        <f>INDEX(Comparison!$AM$3:$AS$33,AI$14,$F$122)</f>
        <v>513.02385818918287</v>
      </c>
      <c r="AF286" s="26">
        <f>INDEX(Comparison!$AM$3:$AS$33,AJ$14,$F$122)</f>
        <v>488.70376604058401</v>
      </c>
      <c r="AG286" s="26"/>
      <c r="AH286" s="26"/>
    </row>
    <row r="287" spans="1:34" x14ac:dyDescent="0.25">
      <c r="A287" s="70" t="s">
        <v>22</v>
      </c>
      <c r="B287" s="27">
        <f>($C$17+SUM(B288:B318))*$B$51</f>
        <v>9180.9847334479382</v>
      </c>
      <c r="C287" s="27">
        <f t="shared" ref="C287:AF287" si="269">($C$17+SUM(C288:C318))*$B$51</f>
        <v>9076.2949938588463</v>
      </c>
      <c r="D287" s="27">
        <f t="shared" si="269"/>
        <v>8689.7812407571455</v>
      </c>
      <c r="E287" s="27">
        <f t="shared" si="269"/>
        <v>8457.1845554528354</v>
      </c>
      <c r="F287" s="27">
        <f t="shared" si="269"/>
        <v>8155.438069955967</v>
      </c>
      <c r="G287" s="27">
        <f t="shared" si="269"/>
        <v>7880.3166519863134</v>
      </c>
      <c r="H287" s="27">
        <f t="shared" si="269"/>
        <v>7605.2646669704791</v>
      </c>
      <c r="I287" s="27">
        <f t="shared" si="269"/>
        <v>7277.5209979035926</v>
      </c>
      <c r="J287" s="27">
        <f t="shared" si="269"/>
        <v>6900.0919667897533</v>
      </c>
      <c r="K287" s="27">
        <f t="shared" si="269"/>
        <v>6533.8800895790309</v>
      </c>
      <c r="L287" s="27">
        <f t="shared" si="269"/>
        <v>6231.6457926535031</v>
      </c>
      <c r="M287" s="27">
        <f t="shared" si="269"/>
        <v>5953.4821917860818</v>
      </c>
      <c r="N287" s="27">
        <f t="shared" si="269"/>
        <v>5668.6612330645294</v>
      </c>
      <c r="O287" s="27">
        <f t="shared" si="269"/>
        <v>5393.6272123516055</v>
      </c>
      <c r="P287" s="27">
        <f t="shared" si="269"/>
        <v>5117.0006462253396</v>
      </c>
      <c r="Q287" s="27">
        <f t="shared" si="269"/>
        <v>4801.7911232332972</v>
      </c>
      <c r="R287" s="27">
        <f t="shared" si="269"/>
        <v>4426.2150172582951</v>
      </c>
      <c r="S287" s="27">
        <f t="shared" si="269"/>
        <v>3990.0676733831947</v>
      </c>
      <c r="T287" s="27">
        <f t="shared" si="269"/>
        <v>3509.8399230269706</v>
      </c>
      <c r="U287" s="27">
        <f t="shared" si="269"/>
        <v>2995.4621922140709</v>
      </c>
      <c r="V287" s="27">
        <f t="shared" si="269"/>
        <v>2448.0657482639363</v>
      </c>
      <c r="W287" s="27">
        <f t="shared" si="269"/>
        <v>1870.4226329031828</v>
      </c>
      <c r="X287" s="27">
        <f t="shared" si="269"/>
        <v>1365.0320217333692</v>
      </c>
      <c r="Y287" s="27">
        <f t="shared" si="269"/>
        <v>982.34812332009892</v>
      </c>
      <c r="Z287" s="27">
        <f t="shared" si="269"/>
        <v>754.49985833390201</v>
      </c>
      <c r="AA287" s="27">
        <f t="shared" si="269"/>
        <v>632.85923347209905</v>
      </c>
      <c r="AB287" s="27">
        <f t="shared" si="269"/>
        <v>577.11834180560334</v>
      </c>
      <c r="AC287" s="27">
        <f t="shared" si="269"/>
        <v>542.37254990626298</v>
      </c>
      <c r="AD287" s="27">
        <f t="shared" si="269"/>
        <v>523.03968441510472</v>
      </c>
      <c r="AE287" s="27">
        <f t="shared" si="269"/>
        <v>512.93627804443383</v>
      </c>
      <c r="AF287" s="27">
        <f t="shared" si="269"/>
        <v>488.53550922837513</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4.7264634441957935E-2</v>
      </c>
      <c r="C289" s="3">
        <f t="shared" si="271"/>
        <v>3.7444808855243789E-2</v>
      </c>
      <c r="D289" s="3">
        <f t="shared" si="271"/>
        <v>3.6470755922059814E-3</v>
      </c>
      <c r="E289" s="3">
        <f t="shared" si="271"/>
        <v>2.8020522835657856E-13</v>
      </c>
      <c r="F289" s="3">
        <f t="shared" si="271"/>
        <v>2.0081258674199905E-114</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1.8660724875612753E-2</v>
      </c>
      <c r="C290" s="3">
        <f t="shared" si="272"/>
        <v>1.8272771265137648E-2</v>
      </c>
      <c r="D290" s="3">
        <f t="shared" si="272"/>
        <v>1.4810287775075846E-2</v>
      </c>
      <c r="E290" s="3">
        <f t="shared" si="272"/>
        <v>1.8119837207262346E-3</v>
      </c>
      <c r="F290" s="3">
        <f t="shared" si="272"/>
        <v>1.3616397914953237E-12</v>
      </c>
      <c r="G290" s="3">
        <f t="shared" si="272"/>
        <v>7.8188280605216985E-104</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3.3566393560830458E-2</v>
      </c>
      <c r="C291" s="3">
        <f t="shared" si="273"/>
        <v>3.3502839229928125E-2</v>
      </c>
      <c r="D291" s="3">
        <f t="shared" si="273"/>
        <v>3.2873876797959799E-2</v>
      </c>
      <c r="E291" s="3">
        <f t="shared" si="273"/>
        <v>2.7198441696243442E-2</v>
      </c>
      <c r="F291" s="3">
        <f t="shared" si="273"/>
        <v>4.0876623380643592E-3</v>
      </c>
      <c r="G291" s="3">
        <f t="shared" si="273"/>
        <v>2.4031723955855791E-11</v>
      </c>
      <c r="H291" s="3">
        <f t="shared" si="273"/>
        <v>1.1854522297564338E-93</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2.743134204518901E-2</v>
      </c>
      <c r="C292" s="3">
        <f t="shared" si="274"/>
        <v>2.7426652740402228E-2</v>
      </c>
      <c r="D292" s="3">
        <f t="shared" si="274"/>
        <v>2.7379803759165659E-2</v>
      </c>
      <c r="E292" s="3">
        <f t="shared" si="274"/>
        <v>2.6915692862244139E-2</v>
      </c>
      <c r="F292" s="3">
        <f t="shared" si="274"/>
        <v>2.268599813386029E-2</v>
      </c>
      <c r="G292" s="3">
        <f t="shared" si="274"/>
        <v>4.104697656821467E-3</v>
      </c>
      <c r="H292" s="3">
        <f t="shared" si="274"/>
        <v>1.5435261358917288E-10</v>
      </c>
      <c r="I292" s="3">
        <f t="shared" si="274"/>
        <v>8.7265409165397558E-85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2.7107614600884202E-2</v>
      </c>
      <c r="C293" s="3">
        <f t="shared" si="275"/>
        <v>2.7107196546219681E-2</v>
      </c>
      <c r="D293" s="3">
        <f t="shared" si="275"/>
        <v>2.7103016354157072E-2</v>
      </c>
      <c r="E293" s="3">
        <f t="shared" si="275"/>
        <v>2.7061249871567876E-2</v>
      </c>
      <c r="F293" s="3">
        <f t="shared" si="275"/>
        <v>2.6647108710865404E-2</v>
      </c>
      <c r="G293" s="3">
        <f t="shared" si="275"/>
        <v>2.2838759794748153E-2</v>
      </c>
      <c r="H293" s="3">
        <f t="shared" si="275"/>
        <v>4.8853619842736846E-3</v>
      </c>
      <c r="I293" s="3">
        <f t="shared" si="275"/>
        <v>9.7980367905454509E-10</v>
      </c>
      <c r="J293" s="3">
        <f t="shared" si="275"/>
        <v>1.0317209239431984E-76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3.4301560620925001E-2</v>
      </c>
      <c r="C294" s="3">
        <f t="shared" si="276"/>
        <v>3.4301512900391712E-2</v>
      </c>
      <c r="D294" s="3">
        <f t="shared" si="276"/>
        <v>3.4301035698710222E-2</v>
      </c>
      <c r="E294" s="3">
        <f t="shared" si="276"/>
        <v>3.4296264047014968E-2</v>
      </c>
      <c r="F294" s="3">
        <f t="shared" si="276"/>
        <v>3.4248584023241123E-2</v>
      </c>
      <c r="G294" s="3">
        <f t="shared" si="276"/>
        <v>3.3775414388330101E-2</v>
      </c>
      <c r="H294" s="3">
        <f t="shared" si="276"/>
        <v>2.9388765243738655E-2</v>
      </c>
      <c r="I294" s="3">
        <f t="shared" si="276"/>
        <v>7.3111867424213578E-3</v>
      </c>
      <c r="J294" s="3">
        <f t="shared" si="276"/>
        <v>6.638244544132476E-9</v>
      </c>
      <c r="K294" s="3">
        <f t="shared" si="276"/>
        <v>2.5275918782019546E-69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4.081775501311613E-2</v>
      </c>
      <c r="C295" s="3">
        <f t="shared" si="277"/>
        <v>4.0817749890552174E-2</v>
      </c>
      <c r="D295" s="3">
        <f t="shared" si="277"/>
        <v>4.0817698664947985E-2</v>
      </c>
      <c r="E295" s="3">
        <f t="shared" si="277"/>
        <v>4.0817186412441871E-2</v>
      </c>
      <c r="F295" s="3">
        <f t="shared" si="277"/>
        <v>4.0812064240943059E-2</v>
      </c>
      <c r="G295" s="3">
        <f t="shared" si="277"/>
        <v>4.0760877865777582E-2</v>
      </c>
      <c r="H295" s="3">
        <f t="shared" si="277"/>
        <v>4.0252531741489399E-2</v>
      </c>
      <c r="I295" s="3">
        <f t="shared" si="277"/>
        <v>3.5505033306012644E-2</v>
      </c>
      <c r="J295" s="3">
        <f t="shared" si="277"/>
        <v>1.0121786133878671E-2</v>
      </c>
      <c r="K295" s="3">
        <f t="shared" si="277"/>
        <v>3.5886365848715454E-8</v>
      </c>
      <c r="L295" s="3">
        <f t="shared" si="277"/>
        <v>1.1262964516362036E-62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3.8228361566483002E-2</v>
      </c>
      <c r="C296" s="3">
        <f t="shared" si="278"/>
        <v>3.8228361133699616E-2</v>
      </c>
      <c r="D296" s="3">
        <f t="shared" si="278"/>
        <v>3.822835680586608E-2</v>
      </c>
      <c r="E296" s="3">
        <f t="shared" si="278"/>
        <v>3.8228313527557643E-2</v>
      </c>
      <c r="F296" s="3">
        <f t="shared" si="278"/>
        <v>3.8227880747168021E-2</v>
      </c>
      <c r="G296" s="3">
        <f t="shared" si="278"/>
        <v>3.8223553212733997E-2</v>
      </c>
      <c r="H296" s="3">
        <f t="shared" si="278"/>
        <v>3.8180304803336028E-2</v>
      </c>
      <c r="I296" s="3">
        <f t="shared" si="278"/>
        <v>3.7750502955235188E-2</v>
      </c>
      <c r="J296" s="3">
        <f t="shared" si="278"/>
        <v>3.3709805932472539E-2</v>
      </c>
      <c r="K296" s="3">
        <f t="shared" si="278"/>
        <v>1.0866541764708495E-2</v>
      </c>
      <c r="L296" s="3">
        <f t="shared" si="278"/>
        <v>1.3165651828112629E-7</v>
      </c>
      <c r="M296" s="3">
        <f t="shared" si="278"/>
        <v>8.9733062169751389E-57</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2.8035434184510703E-2</v>
      </c>
      <c r="C297" s="3">
        <f t="shared" si="279"/>
        <v>2.8035434155879557E-2</v>
      </c>
      <c r="D297" s="3">
        <f t="shared" si="279"/>
        <v>2.8035433869568072E-2</v>
      </c>
      <c r="E297" s="3">
        <f t="shared" si="279"/>
        <v>2.8035431006453396E-2</v>
      </c>
      <c r="F297" s="3">
        <f t="shared" si="279"/>
        <v>2.8035402375322729E-2</v>
      </c>
      <c r="G297" s="3">
        <f t="shared" si="279"/>
        <v>2.8035116065624213E-2</v>
      </c>
      <c r="H297" s="3">
        <f t="shared" si="279"/>
        <v>2.8032253129449656E-2</v>
      </c>
      <c r="I297" s="3">
        <f t="shared" si="279"/>
        <v>2.8003639842690716E-2</v>
      </c>
      <c r="J297" s="3">
        <f t="shared" si="279"/>
        <v>2.7719108416194117E-2</v>
      </c>
      <c r="K297" s="3">
        <f t="shared" si="279"/>
        <v>2.5028048792891711E-2</v>
      </c>
      <c r="L297" s="3">
        <f t="shared" si="279"/>
        <v>9.0137259893575371E-3</v>
      </c>
      <c r="M297" s="3">
        <f t="shared" si="279"/>
        <v>3.3088565463657293E-7</v>
      </c>
      <c r="N297" s="3">
        <f t="shared" si="279"/>
        <v>1.4703265913656062E-51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2.8888698027641751E-2</v>
      </c>
      <c r="C298" s="3">
        <f t="shared" si="280"/>
        <v>2.8888698024980376E-2</v>
      </c>
      <c r="D298" s="3">
        <f t="shared" si="280"/>
        <v>2.888869799836663E-2</v>
      </c>
      <c r="E298" s="3">
        <f t="shared" si="280"/>
        <v>2.8888697732229147E-2</v>
      </c>
      <c r="F298" s="3">
        <f t="shared" si="280"/>
        <v>2.8888695070854477E-2</v>
      </c>
      <c r="G298" s="3">
        <f t="shared" si="280"/>
        <v>2.8888668457121246E-2</v>
      </c>
      <c r="H298" s="3">
        <f t="shared" si="280"/>
        <v>2.8888402321137423E-2</v>
      </c>
      <c r="I298" s="3">
        <f t="shared" si="280"/>
        <v>2.8885741096142805E-2</v>
      </c>
      <c r="J298" s="3">
        <f t="shared" si="280"/>
        <v>2.8859142325962074E-2</v>
      </c>
      <c r="K298" s="3">
        <f t="shared" si="280"/>
        <v>2.8594498017249597E-2</v>
      </c>
      <c r="L298" s="3">
        <f t="shared" si="280"/>
        <v>2.6077925771838671E-2</v>
      </c>
      <c r="M298" s="3">
        <f t="shared" si="280"/>
        <v>1.0379554769239978E-2</v>
      </c>
      <c r="N298" s="3">
        <f t="shared" si="280"/>
        <v>1.0357036941302503E-6</v>
      </c>
      <c r="O298" s="3">
        <f t="shared" si="280"/>
        <v>1.0134528060953067E-46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3.0018666279760669E-2</v>
      </c>
      <c r="C299" s="3">
        <f t="shared" si="281"/>
        <v>3.0018666279511198E-2</v>
      </c>
      <c r="D299" s="3">
        <f t="shared" si="281"/>
        <v>3.0018666277016513E-2</v>
      </c>
      <c r="E299" s="3">
        <f t="shared" si="281"/>
        <v>3.0018666252069642E-2</v>
      </c>
      <c r="F299" s="3">
        <f t="shared" si="281"/>
        <v>3.0018666002600947E-2</v>
      </c>
      <c r="G299" s="3">
        <f t="shared" si="281"/>
        <v>3.0018663507914108E-2</v>
      </c>
      <c r="H299" s="3">
        <f t="shared" si="281"/>
        <v>3.00186385610571E-2</v>
      </c>
      <c r="I299" s="3">
        <f t="shared" si="281"/>
        <v>3.0018389093627303E-2</v>
      </c>
      <c r="J299" s="3">
        <f t="shared" si="281"/>
        <v>3.001589453335134E-2</v>
      </c>
      <c r="K299" s="3">
        <f t="shared" si="281"/>
        <v>2.9990960329284326E-2</v>
      </c>
      <c r="L299" s="3">
        <f t="shared" si="281"/>
        <v>2.9742754660713501E-2</v>
      </c>
      <c r="M299" s="3">
        <f t="shared" si="281"/>
        <v>2.7370917310609671E-2</v>
      </c>
      <c r="N299" s="3">
        <f t="shared" si="281"/>
        <v>1.1922600484443496E-2</v>
      </c>
      <c r="O299" s="3">
        <f t="shared" si="281"/>
        <v>2.9321580695244814E-6</v>
      </c>
      <c r="P299" s="3">
        <f t="shared" si="281"/>
        <v>2.373292433717448E-42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2.6688629032371264E-2</v>
      </c>
      <c r="C300" s="3">
        <f t="shared" si="282"/>
        <v>2.6688629032351256E-2</v>
      </c>
      <c r="D300" s="3">
        <f t="shared" si="282"/>
        <v>2.6688629032151179E-2</v>
      </c>
      <c r="E300" s="3">
        <f t="shared" si="282"/>
        <v>2.6688629030150408E-2</v>
      </c>
      <c r="F300" s="3">
        <f t="shared" si="282"/>
        <v>2.6688629010142691E-2</v>
      </c>
      <c r="G300" s="3">
        <f t="shared" si="282"/>
        <v>2.6688628810065531E-2</v>
      </c>
      <c r="H300" s="3">
        <f t="shared" si="282"/>
        <v>2.6688626809293986E-2</v>
      </c>
      <c r="I300" s="3">
        <f t="shared" si="282"/>
        <v>2.6688606801586814E-2</v>
      </c>
      <c r="J300" s="3">
        <f t="shared" si="282"/>
        <v>2.668840672534005E-2</v>
      </c>
      <c r="K300" s="3">
        <f t="shared" si="282"/>
        <v>2.6686406045365599E-2</v>
      </c>
      <c r="L300" s="3">
        <f t="shared" si="282"/>
        <v>2.6666407492652033E-2</v>
      </c>
      <c r="M300" s="3">
        <f t="shared" si="282"/>
        <v>2.6467244385644483E-2</v>
      </c>
      <c r="N300" s="3">
        <f t="shared" si="282"/>
        <v>2.4555619135014785E-2</v>
      </c>
      <c r="O300" s="3">
        <f t="shared" si="282"/>
        <v>1.1603059021056615E-2</v>
      </c>
      <c r="P300" s="3">
        <f t="shared" si="282"/>
        <v>6.4385582302561088E-6</v>
      </c>
      <c r="Q300" s="3">
        <f t="shared" si="282"/>
        <v>1.7821731328055562E-38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2.9107380567630535E-2</v>
      </c>
      <c r="C301" s="3">
        <f t="shared" si="283"/>
        <v>2.9107380567628564E-2</v>
      </c>
      <c r="D301" s="3">
        <f t="shared" si="283"/>
        <v>2.9107380567608882E-2</v>
      </c>
      <c r="E301" s="3">
        <f t="shared" si="283"/>
        <v>2.9107380567412036E-2</v>
      </c>
      <c r="F301" s="3">
        <f t="shared" si="283"/>
        <v>2.9107380565443604E-2</v>
      </c>
      <c r="G301" s="3">
        <f t="shared" si="283"/>
        <v>2.9107380545759259E-2</v>
      </c>
      <c r="H301" s="3">
        <f t="shared" si="283"/>
        <v>2.9107380348915808E-2</v>
      </c>
      <c r="I301" s="3">
        <f t="shared" si="283"/>
        <v>2.9107378380481372E-2</v>
      </c>
      <c r="J301" s="3">
        <f t="shared" si="283"/>
        <v>2.9107358696144357E-2</v>
      </c>
      <c r="K301" s="3">
        <f t="shared" si="283"/>
        <v>2.9107161853506341E-2</v>
      </c>
      <c r="L301" s="3">
        <f t="shared" si="283"/>
        <v>2.9105193500339396E-2</v>
      </c>
      <c r="M301" s="3">
        <f t="shared" si="283"/>
        <v>2.9085517288159096E-2</v>
      </c>
      <c r="N301" s="3">
        <f t="shared" si="283"/>
        <v>2.888948528710766E-2</v>
      </c>
      <c r="O301" s="3">
        <f t="shared" si="283"/>
        <v>2.7000383031144683E-2</v>
      </c>
      <c r="P301" s="3">
        <f t="shared" si="283"/>
        <v>1.3730018874466629E-2</v>
      </c>
      <c r="Q301" s="3">
        <f t="shared" si="283"/>
        <v>1.5873884834961884E-5</v>
      </c>
      <c r="R301" s="3">
        <f t="shared" si="283"/>
        <v>6.7733596202619327E-35</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3.4462873235499486E-2</v>
      </c>
      <c r="C302" s="3">
        <f t="shared" si="284"/>
        <v>3.4462873235499271E-2</v>
      </c>
      <c r="D302" s="3">
        <f t="shared" si="284"/>
        <v>3.4462873235497168E-2</v>
      </c>
      <c r="E302" s="3">
        <f t="shared" si="284"/>
        <v>3.4462873235476151E-2</v>
      </c>
      <c r="F302" s="3">
        <f t="shared" si="284"/>
        <v>3.4462873235265902E-2</v>
      </c>
      <c r="G302" s="3">
        <f t="shared" si="284"/>
        <v>3.44628732331635E-2</v>
      </c>
      <c r="H302" s="3">
        <f t="shared" si="284"/>
        <v>3.4462873212139478E-2</v>
      </c>
      <c r="I302" s="3">
        <f t="shared" si="284"/>
        <v>3.4462873001899201E-2</v>
      </c>
      <c r="J302" s="3">
        <f t="shared" si="284"/>
        <v>3.4462870899496505E-2</v>
      </c>
      <c r="K302" s="3">
        <f t="shared" si="284"/>
        <v>3.4462849875476605E-2</v>
      </c>
      <c r="L302" s="3">
        <f t="shared" si="284"/>
        <v>3.4462639635983026E-2</v>
      </c>
      <c r="M302" s="3">
        <f t="shared" si="284"/>
        <v>3.44605373115867E-2</v>
      </c>
      <c r="N302" s="3">
        <f t="shared" si="284"/>
        <v>3.4439521119977896E-2</v>
      </c>
      <c r="O302" s="3">
        <f t="shared" si="284"/>
        <v>3.4230062850088817E-2</v>
      </c>
      <c r="P302" s="3">
        <f t="shared" si="284"/>
        <v>3.2204282099504079E-2</v>
      </c>
      <c r="Q302" s="3">
        <f t="shared" si="284"/>
        <v>1.7497374188539028E-2</v>
      </c>
      <c r="R302" s="3">
        <f t="shared" si="284"/>
        <v>3.9225225741837791E-5</v>
      </c>
      <c r="S302" s="3">
        <f t="shared" si="284"/>
        <v>1.2574512969552142E-31</v>
      </c>
      <c r="T302" s="3">
        <f t="shared" si="284"/>
        <v>1.4412800933726059E-296</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4.2396011613293608E-2</v>
      </c>
      <c r="C303" s="3">
        <f t="shared" si="285"/>
        <v>4.2396011613293587E-2</v>
      </c>
      <c r="D303" s="3">
        <f t="shared" si="285"/>
        <v>4.2396011613293358E-2</v>
      </c>
      <c r="E303" s="3">
        <f t="shared" si="285"/>
        <v>4.2396011613291019E-2</v>
      </c>
      <c r="F303" s="3">
        <f t="shared" si="285"/>
        <v>4.2396011613267691E-2</v>
      </c>
      <c r="G303" s="3">
        <f t="shared" si="285"/>
        <v>4.2396011613034384E-2</v>
      </c>
      <c r="H303" s="3">
        <f t="shared" si="285"/>
        <v>4.2396011610701265E-2</v>
      </c>
      <c r="I303" s="3">
        <f t="shared" si="285"/>
        <v>4.2396011587370122E-2</v>
      </c>
      <c r="J303" s="3">
        <f t="shared" si="285"/>
        <v>4.2396011354058682E-2</v>
      </c>
      <c r="K303" s="3">
        <f t="shared" si="285"/>
        <v>4.2396009020944377E-2</v>
      </c>
      <c r="L303" s="3">
        <f t="shared" si="285"/>
        <v>4.2395985689808353E-2</v>
      </c>
      <c r="M303" s="3">
        <f t="shared" si="285"/>
        <v>4.2395752379154342E-2</v>
      </c>
      <c r="N303" s="3">
        <f t="shared" si="285"/>
        <v>4.2393419343229662E-2</v>
      </c>
      <c r="O303" s="3">
        <f t="shared" si="285"/>
        <v>4.2370096044093412E-2</v>
      </c>
      <c r="P303" s="3">
        <f t="shared" si="285"/>
        <v>4.2137567628342039E-2</v>
      </c>
      <c r="Q303" s="3">
        <f t="shared" si="285"/>
        <v>3.9881327273767364E-2</v>
      </c>
      <c r="R303" s="3">
        <f t="shared" si="285"/>
        <v>2.3002286717508712E-2</v>
      </c>
      <c r="S303" s="3">
        <f t="shared" si="285"/>
        <v>9.3709819881828885E-5</v>
      </c>
      <c r="T303" s="3">
        <f t="shared" si="285"/>
        <v>1.1801195616295769E-28</v>
      </c>
      <c r="U303" s="3">
        <f t="shared" si="285"/>
        <v>1.1839546586974221E-267</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4.6864772655648361E-2</v>
      </c>
      <c r="C304" s="3">
        <f t="shared" si="286"/>
        <v>4.6864772655648361E-2</v>
      </c>
      <c r="D304" s="3">
        <f t="shared" si="286"/>
        <v>4.6864772655648333E-2</v>
      </c>
      <c r="E304" s="3">
        <f t="shared" si="286"/>
        <v>4.6864772655648104E-2</v>
      </c>
      <c r="F304" s="3">
        <f t="shared" si="286"/>
        <v>4.6864772655645773E-2</v>
      </c>
      <c r="G304" s="3">
        <f t="shared" si="286"/>
        <v>4.6864772655622514E-2</v>
      </c>
      <c r="H304" s="3">
        <f t="shared" si="286"/>
        <v>4.6864772655389859E-2</v>
      </c>
      <c r="I304" s="3">
        <f t="shared" si="286"/>
        <v>4.6864772653063352E-2</v>
      </c>
      <c r="J304" s="3">
        <f t="shared" si="286"/>
        <v>4.6864772629798296E-2</v>
      </c>
      <c r="K304" s="3">
        <f t="shared" si="286"/>
        <v>4.6864772397147716E-2</v>
      </c>
      <c r="L304" s="3">
        <f t="shared" si="286"/>
        <v>4.686477007064202E-2</v>
      </c>
      <c r="M304" s="3">
        <f t="shared" si="286"/>
        <v>4.6864746805591335E-2</v>
      </c>
      <c r="N304" s="3">
        <f t="shared" si="286"/>
        <v>4.6864514155719746E-2</v>
      </c>
      <c r="O304" s="3">
        <f t="shared" si="286"/>
        <v>4.6862187720524626E-2</v>
      </c>
      <c r="P304" s="3">
        <f t="shared" si="286"/>
        <v>4.6838929719481219E-2</v>
      </c>
      <c r="Q304" s="3">
        <f t="shared" si="286"/>
        <v>4.660698363485484E-2</v>
      </c>
      <c r="R304" s="3">
        <f t="shared" si="286"/>
        <v>4.434976628120841E-2</v>
      </c>
      <c r="S304" s="3">
        <f t="shared" si="286"/>
        <v>2.6995708109281875E-2</v>
      </c>
      <c r="T304" s="3">
        <f t="shared" si="286"/>
        <v>1.8850748781712128E-4</v>
      </c>
      <c r="U304" s="3">
        <f t="shared" si="286"/>
        <v>5.1959794688334623E-26</v>
      </c>
      <c r="V304" s="3">
        <f t="shared" si="286"/>
        <v>1.3153933209610448E-241</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5.22700837249113E-2</v>
      </c>
      <c r="C305" s="3">
        <f t="shared" si="287"/>
        <v>5.22700837249113E-2</v>
      </c>
      <c r="D305" s="3">
        <f t="shared" si="287"/>
        <v>5.22700837249113E-2</v>
      </c>
      <c r="E305" s="3">
        <f t="shared" si="287"/>
        <v>5.2270083724911279E-2</v>
      </c>
      <c r="F305" s="3">
        <f t="shared" si="287"/>
        <v>5.2270083724911036E-2</v>
      </c>
      <c r="G305" s="3">
        <f t="shared" si="287"/>
        <v>5.2270083724908697E-2</v>
      </c>
      <c r="H305" s="3">
        <f t="shared" si="287"/>
        <v>5.2270083724885293E-2</v>
      </c>
      <c r="I305" s="3">
        <f t="shared" si="287"/>
        <v>5.2270083724651216E-2</v>
      </c>
      <c r="J305" s="3">
        <f t="shared" si="287"/>
        <v>5.2270083722310449E-2</v>
      </c>
      <c r="K305" s="3">
        <f t="shared" si="287"/>
        <v>5.2270083698902819E-2</v>
      </c>
      <c r="L305" s="3">
        <f t="shared" si="287"/>
        <v>5.227008346482654E-2</v>
      </c>
      <c r="M305" s="3">
        <f t="shared" si="287"/>
        <v>5.2270081124063811E-2</v>
      </c>
      <c r="N305" s="3">
        <f t="shared" si="287"/>
        <v>5.2270057716442227E-2</v>
      </c>
      <c r="O305" s="3">
        <f t="shared" si="287"/>
        <v>5.2269823640802883E-2</v>
      </c>
      <c r="P305" s="3">
        <f t="shared" si="287"/>
        <v>5.2267482942061759E-2</v>
      </c>
      <c r="Q305" s="3">
        <f t="shared" si="287"/>
        <v>5.2244081718921032E-2</v>
      </c>
      <c r="R305" s="3">
        <f t="shared" si="287"/>
        <v>5.2010644960606096E-2</v>
      </c>
      <c r="S305" s="3">
        <f t="shared" si="287"/>
        <v>4.9732882478241154E-2</v>
      </c>
      <c r="T305" s="3">
        <f t="shared" si="287"/>
        <v>3.1780267731013397E-2</v>
      </c>
      <c r="U305" s="3">
        <f t="shared" si="287"/>
        <v>3.6082511116176236E-4</v>
      </c>
      <c r="V305" s="3">
        <f t="shared" si="287"/>
        <v>1.2843659376744454E-23</v>
      </c>
      <c r="W305" s="3">
        <f t="shared" si="287"/>
        <v>4.1938127020065194E-218</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5.1448795530600389E-2</v>
      </c>
      <c r="C306" s="3">
        <f t="shared" si="288"/>
        <v>5.1448795530600389E-2</v>
      </c>
      <c r="D306" s="3">
        <f t="shared" si="288"/>
        <v>5.1448795530600389E-2</v>
      </c>
      <c r="E306" s="3">
        <f t="shared" si="288"/>
        <v>5.1448795530600389E-2</v>
      </c>
      <c r="F306" s="3">
        <f t="shared" si="288"/>
        <v>5.1448795530600368E-2</v>
      </c>
      <c r="G306" s="3">
        <f t="shared" si="288"/>
        <v>5.144879553060016E-2</v>
      </c>
      <c r="H306" s="3">
        <f t="shared" si="288"/>
        <v>5.1448795530598078E-2</v>
      </c>
      <c r="I306" s="3">
        <f t="shared" si="288"/>
        <v>5.1448795530577296E-2</v>
      </c>
      <c r="J306" s="3">
        <f t="shared" si="288"/>
        <v>5.1448795530369462E-2</v>
      </c>
      <c r="K306" s="3">
        <f t="shared" si="288"/>
        <v>5.1448795528291069E-2</v>
      </c>
      <c r="L306" s="3">
        <f t="shared" si="288"/>
        <v>5.1448795507507222E-2</v>
      </c>
      <c r="M306" s="3">
        <f t="shared" si="288"/>
        <v>5.1448795299668719E-2</v>
      </c>
      <c r="N306" s="3">
        <f t="shared" si="288"/>
        <v>5.1448793221283692E-2</v>
      </c>
      <c r="O306" s="3">
        <f t="shared" si="288"/>
        <v>5.1448772437438131E-2</v>
      </c>
      <c r="P306" s="3">
        <f t="shared" si="288"/>
        <v>5.1448564599444267E-2</v>
      </c>
      <c r="Q306" s="3">
        <f t="shared" si="288"/>
        <v>5.1446486265683343E-2</v>
      </c>
      <c r="R306" s="3">
        <f t="shared" si="288"/>
        <v>5.1425707545153888E-2</v>
      </c>
      <c r="S306" s="3">
        <f t="shared" si="288"/>
        <v>5.1218381358472308E-2</v>
      </c>
      <c r="T306" s="3">
        <f t="shared" si="288"/>
        <v>4.9190539653434173E-2</v>
      </c>
      <c r="U306" s="3">
        <f t="shared" si="288"/>
        <v>3.2842708332666684E-2</v>
      </c>
      <c r="V306" s="3">
        <f t="shared" si="288"/>
        <v>5.7811298917003655E-4</v>
      </c>
      <c r="W306" s="3">
        <f t="shared" si="288"/>
        <v>1.6510125163559097E-21</v>
      </c>
      <c r="X306" s="3">
        <f t="shared" si="288"/>
        <v>5.9583601349013961E-197</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6.7081242502453009E-2</v>
      </c>
      <c r="C307" s="3">
        <f t="shared" si="289"/>
        <v>6.7081242502453009E-2</v>
      </c>
      <c r="D307" s="3">
        <f t="shared" si="289"/>
        <v>6.7081242502453009E-2</v>
      </c>
      <c r="E307" s="3">
        <f t="shared" si="289"/>
        <v>6.7081242502453009E-2</v>
      </c>
      <c r="F307" s="3">
        <f t="shared" si="289"/>
        <v>6.7081242502453009E-2</v>
      </c>
      <c r="G307" s="3">
        <f t="shared" si="289"/>
        <v>6.7081242502452981E-2</v>
      </c>
      <c r="H307" s="3">
        <f t="shared" si="289"/>
        <v>6.7081242502452745E-2</v>
      </c>
      <c r="I307" s="3">
        <f t="shared" si="289"/>
        <v>6.7081242502450289E-2</v>
      </c>
      <c r="J307" s="3">
        <f t="shared" si="289"/>
        <v>6.708124250242585E-2</v>
      </c>
      <c r="K307" s="3">
        <f t="shared" si="289"/>
        <v>6.7081242502181393E-2</v>
      </c>
      <c r="L307" s="3">
        <f t="shared" si="289"/>
        <v>6.7081242499736848E-2</v>
      </c>
      <c r="M307" s="3">
        <f t="shared" si="289"/>
        <v>6.7081242475291361E-2</v>
      </c>
      <c r="N307" s="3">
        <f t="shared" si="289"/>
        <v>6.7081242230836613E-2</v>
      </c>
      <c r="O307" s="3">
        <f t="shared" si="289"/>
        <v>6.7081239786289118E-2</v>
      </c>
      <c r="P307" s="3">
        <f t="shared" si="289"/>
        <v>6.7081215340818956E-2</v>
      </c>
      <c r="Q307" s="3">
        <f t="shared" si="289"/>
        <v>6.7080970886607388E-2</v>
      </c>
      <c r="R307" s="3">
        <f t="shared" si="289"/>
        <v>6.7078526393486659E-2</v>
      </c>
      <c r="S307" s="3">
        <f t="shared" si="289"/>
        <v>6.7054086361122381E-2</v>
      </c>
      <c r="T307" s="3">
        <f t="shared" si="289"/>
        <v>6.6810175261881474E-2</v>
      </c>
      <c r="U307" s="3">
        <f t="shared" si="289"/>
        <v>6.4419333449838703E-2</v>
      </c>
      <c r="V307" s="3">
        <f t="shared" si="289"/>
        <v>4.4745811104442389E-2</v>
      </c>
      <c r="W307" s="3">
        <f t="shared" si="289"/>
        <v>1.1698063263023432E-3</v>
      </c>
      <c r="X307" s="3">
        <f t="shared" si="289"/>
        <v>1.7447362060611076E-19</v>
      </c>
      <c r="Y307" s="3">
        <f t="shared" si="289"/>
        <v>9.5035934857971039E-178</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3.0532939065729049E-2</v>
      </c>
      <c r="C308" s="3">
        <f t="shared" si="290"/>
        <v>3.0532939065729049E-2</v>
      </c>
      <c r="D308" s="3">
        <f t="shared" si="290"/>
        <v>3.0532939065729049E-2</v>
      </c>
      <c r="E308" s="3">
        <f t="shared" si="290"/>
        <v>3.0532939065729049E-2</v>
      </c>
      <c r="F308" s="3">
        <f t="shared" si="290"/>
        <v>3.0532939065729049E-2</v>
      </c>
      <c r="G308" s="3">
        <f t="shared" si="290"/>
        <v>3.0532939065729049E-2</v>
      </c>
      <c r="H308" s="3">
        <f t="shared" si="290"/>
        <v>3.0532939065729039E-2</v>
      </c>
      <c r="I308" s="3">
        <f t="shared" si="290"/>
        <v>3.0532939065728938E-2</v>
      </c>
      <c r="J308" s="3">
        <f t="shared" si="290"/>
        <v>3.0532939065727936E-2</v>
      </c>
      <c r="K308" s="3">
        <f t="shared" si="290"/>
        <v>3.0532939065717895E-2</v>
      </c>
      <c r="L308" s="3">
        <f t="shared" si="290"/>
        <v>3.0532939065617524E-2</v>
      </c>
      <c r="M308" s="3">
        <f t="shared" si="290"/>
        <v>3.0532939064613806E-2</v>
      </c>
      <c r="N308" s="3">
        <f t="shared" si="290"/>
        <v>3.0532939054576602E-2</v>
      </c>
      <c r="O308" s="3">
        <f t="shared" si="290"/>
        <v>3.0532938954204603E-2</v>
      </c>
      <c r="P308" s="3">
        <f t="shared" si="290"/>
        <v>3.053293795048458E-2</v>
      </c>
      <c r="Q308" s="3">
        <f t="shared" si="290"/>
        <v>3.0532927913286208E-2</v>
      </c>
      <c r="R308" s="3">
        <f t="shared" si="290"/>
        <v>3.0532827541483943E-2</v>
      </c>
      <c r="S308" s="3">
        <f t="shared" si="290"/>
        <v>3.0531823841608643E-2</v>
      </c>
      <c r="T308" s="3">
        <f t="shared" si="290"/>
        <v>3.0521788657370739E-2</v>
      </c>
      <c r="U308" s="3">
        <f t="shared" si="290"/>
        <v>3.0421618045989342E-2</v>
      </c>
      <c r="V308" s="3">
        <f t="shared" si="290"/>
        <v>2.9437816523024442E-2</v>
      </c>
      <c r="W308" s="3">
        <f t="shared" si="290"/>
        <v>2.1190365245554357E-2</v>
      </c>
      <c r="X308" s="3">
        <f t="shared" si="290"/>
        <v>7.9152917191465473E-4</v>
      </c>
      <c r="Y308" s="3">
        <f t="shared" si="290"/>
        <v>4.185542496511838E-18</v>
      </c>
      <c r="Z308" s="3">
        <f t="shared" si="290"/>
        <v>7.1548421781927953E-161</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4.6215233336182188E-2</v>
      </c>
      <c r="C309" s="3">
        <f t="shared" si="291"/>
        <v>4.6215233336182188E-2</v>
      </c>
      <c r="D309" s="3">
        <f t="shared" si="291"/>
        <v>4.6215233336182188E-2</v>
      </c>
      <c r="E309" s="3">
        <f t="shared" si="291"/>
        <v>4.6215233336182188E-2</v>
      </c>
      <c r="F309" s="3">
        <f t="shared" si="291"/>
        <v>4.6215233336182188E-2</v>
      </c>
      <c r="G309" s="3">
        <f t="shared" si="291"/>
        <v>4.6215233336182188E-2</v>
      </c>
      <c r="H309" s="3">
        <f t="shared" si="291"/>
        <v>4.6215233336182181E-2</v>
      </c>
      <c r="I309" s="3">
        <f t="shared" si="291"/>
        <v>4.6215233336182139E-2</v>
      </c>
      <c r="J309" s="3">
        <f t="shared" si="291"/>
        <v>4.6215233336181723E-2</v>
      </c>
      <c r="K309" s="3">
        <f t="shared" si="291"/>
        <v>4.6215233336177518E-2</v>
      </c>
      <c r="L309" s="3">
        <f t="shared" si="291"/>
        <v>4.6215233336135503E-2</v>
      </c>
      <c r="M309" s="3">
        <f t="shared" si="291"/>
        <v>4.6215233335715318E-2</v>
      </c>
      <c r="N309" s="3">
        <f t="shared" si="291"/>
        <v>4.621523333151345E-2</v>
      </c>
      <c r="O309" s="3">
        <f t="shared" si="291"/>
        <v>4.6215233289494811E-2</v>
      </c>
      <c r="P309" s="3">
        <f t="shared" si="291"/>
        <v>4.6215232869308412E-2</v>
      </c>
      <c r="Q309" s="3">
        <f t="shared" si="291"/>
        <v>4.6215228667444604E-2</v>
      </c>
      <c r="R309" s="3">
        <f t="shared" si="291"/>
        <v>4.621518664882756E-2</v>
      </c>
      <c r="S309" s="3">
        <f t="shared" si="291"/>
        <v>4.6214766464758292E-2</v>
      </c>
      <c r="T309" s="3">
        <f t="shared" si="291"/>
        <v>4.6210564834174947E-2</v>
      </c>
      <c r="U309" s="3">
        <f t="shared" si="291"/>
        <v>4.6168569532206175E-2</v>
      </c>
      <c r="V309" s="3">
        <f t="shared" si="291"/>
        <v>4.5750709850393853E-2</v>
      </c>
      <c r="W309" s="3">
        <f t="shared" si="291"/>
        <v>4.1774572786101451E-2</v>
      </c>
      <c r="X309" s="3">
        <f t="shared" si="291"/>
        <v>1.6828826046799659E-2</v>
      </c>
      <c r="Y309" s="3">
        <f t="shared" si="291"/>
        <v>1.8944007733378098E-6</v>
      </c>
      <c r="Z309" s="3">
        <f t="shared" si="291"/>
        <v>6.1894530438789505E-46</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3.4109179879759796E-2</v>
      </c>
      <c r="C310" s="3">
        <f t="shared" si="292"/>
        <v>3.4109179879759796E-2</v>
      </c>
      <c r="D310" s="3">
        <f t="shared" si="292"/>
        <v>3.4109179879759796E-2</v>
      </c>
      <c r="E310" s="3">
        <f t="shared" si="292"/>
        <v>3.4109179879759796E-2</v>
      </c>
      <c r="F310" s="3">
        <f t="shared" si="292"/>
        <v>3.4109179879759796E-2</v>
      </c>
      <c r="G310" s="3">
        <f t="shared" si="292"/>
        <v>3.4109179879759796E-2</v>
      </c>
      <c r="H310" s="3">
        <f t="shared" si="292"/>
        <v>3.4109179879759796E-2</v>
      </c>
      <c r="I310" s="3">
        <f t="shared" si="292"/>
        <v>3.4109179879759789E-2</v>
      </c>
      <c r="J310" s="3">
        <f t="shared" si="292"/>
        <v>3.4109179879759761E-2</v>
      </c>
      <c r="K310" s="3">
        <f t="shared" si="292"/>
        <v>3.4109179879759449E-2</v>
      </c>
      <c r="L310" s="3">
        <f t="shared" si="292"/>
        <v>3.4109179879756348E-2</v>
      </c>
      <c r="M310" s="3">
        <f t="shared" si="292"/>
        <v>3.4109179879725338E-2</v>
      </c>
      <c r="N310" s="3">
        <f t="shared" si="292"/>
        <v>3.4109179879415218E-2</v>
      </c>
      <c r="O310" s="3">
        <f t="shared" si="292"/>
        <v>3.4109179876314032E-2</v>
      </c>
      <c r="P310" s="3">
        <f t="shared" si="292"/>
        <v>3.4109179845302151E-2</v>
      </c>
      <c r="Q310" s="3">
        <f t="shared" si="292"/>
        <v>3.4109179535183332E-2</v>
      </c>
      <c r="R310" s="3">
        <f t="shared" si="292"/>
        <v>3.4109176433995303E-2</v>
      </c>
      <c r="S310" s="3">
        <f t="shared" si="292"/>
        <v>3.4109145422130525E-2</v>
      </c>
      <c r="T310" s="3">
        <f t="shared" si="292"/>
        <v>3.4108835305033482E-2</v>
      </c>
      <c r="U310" s="3">
        <f t="shared" si="292"/>
        <v>3.4105734289134396E-2</v>
      </c>
      <c r="V310" s="3">
        <f t="shared" si="292"/>
        <v>3.4074739632058058E-2</v>
      </c>
      <c r="W310" s="3">
        <f t="shared" si="292"/>
        <v>3.3766338050532835E-2</v>
      </c>
      <c r="X310" s="3">
        <f t="shared" si="292"/>
        <v>3.0831747774509075E-2</v>
      </c>
      <c r="Y310" s="3">
        <f t="shared" si="292"/>
        <v>1.2420524865035677E-2</v>
      </c>
      <c r="Z310" s="3">
        <f t="shared" si="292"/>
        <v>1.3981635940707629E-6</v>
      </c>
      <c r="AA310" s="3">
        <f t="shared" si="292"/>
        <v>4.568129423804272E-46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1.6721828719437171E-2</v>
      </c>
      <c r="C311" s="3">
        <f t="shared" si="293"/>
        <v>1.6721828719437171E-2</v>
      </c>
      <c r="D311" s="3">
        <f t="shared" si="293"/>
        <v>1.6721828719437171E-2</v>
      </c>
      <c r="E311" s="3">
        <f t="shared" si="293"/>
        <v>1.6721828719437171E-2</v>
      </c>
      <c r="F311" s="3">
        <f t="shared" si="293"/>
        <v>1.6721828719437171E-2</v>
      </c>
      <c r="G311" s="3">
        <f t="shared" si="293"/>
        <v>1.6721828719437171E-2</v>
      </c>
      <c r="H311" s="3">
        <f t="shared" si="293"/>
        <v>1.6721828719437171E-2</v>
      </c>
      <c r="I311" s="3">
        <f t="shared" si="293"/>
        <v>1.6721828719437171E-2</v>
      </c>
      <c r="J311" s="3">
        <f t="shared" si="293"/>
        <v>1.6721828719437167E-2</v>
      </c>
      <c r="K311" s="3">
        <f t="shared" si="293"/>
        <v>1.6721828719437153E-2</v>
      </c>
      <c r="L311" s="3">
        <f t="shared" si="293"/>
        <v>1.6721828719437001E-2</v>
      </c>
      <c r="M311" s="3">
        <f t="shared" si="293"/>
        <v>1.6721828719435481E-2</v>
      </c>
      <c r="N311" s="3">
        <f t="shared" si="293"/>
        <v>1.6721828719420278E-2</v>
      </c>
      <c r="O311" s="3">
        <f t="shared" si="293"/>
        <v>1.6721828719268243E-2</v>
      </c>
      <c r="P311" s="3">
        <f t="shared" si="293"/>
        <v>1.6721828717747904E-2</v>
      </c>
      <c r="Q311" s="3">
        <f t="shared" si="293"/>
        <v>1.6721828702544506E-2</v>
      </c>
      <c r="R311" s="3">
        <f t="shared" si="293"/>
        <v>1.6721828550510544E-2</v>
      </c>
      <c r="S311" s="3">
        <f t="shared" si="293"/>
        <v>1.6721827030170999E-2</v>
      </c>
      <c r="T311" s="3">
        <f t="shared" si="293"/>
        <v>1.6721811826783145E-2</v>
      </c>
      <c r="U311" s="3">
        <f t="shared" si="293"/>
        <v>1.6721659793664849E-2</v>
      </c>
      <c r="V311" s="3">
        <f t="shared" si="293"/>
        <v>1.6720139538504694E-2</v>
      </c>
      <c r="W311" s="3">
        <f t="shared" si="293"/>
        <v>1.6704944586627364E-2</v>
      </c>
      <c r="X311" s="3">
        <f t="shared" si="293"/>
        <v>1.6553752489917691E-2</v>
      </c>
      <c r="Y311" s="3">
        <f t="shared" si="293"/>
        <v>1.5115086531651303E-2</v>
      </c>
      <c r="Z311" s="3">
        <f t="shared" si="293"/>
        <v>6.0890906826487935E-3</v>
      </c>
      <c r="AA311" s="3">
        <f t="shared" si="293"/>
        <v>6.8544163841586405E-7</v>
      </c>
      <c r="AB311" s="3">
        <f t="shared" si="293"/>
        <v>2.2394991044157049E-46</v>
      </c>
      <c r="AC311" s="3">
        <f t="shared" si="293"/>
        <v>0</v>
      </c>
      <c r="AD311" s="3">
        <f t="shared" si="293"/>
        <v>0</v>
      </c>
      <c r="AE311" s="3">
        <f t="shared" si="293"/>
        <v>0</v>
      </c>
      <c r="AF311" s="3">
        <f t="shared" si="293"/>
        <v>0</v>
      </c>
      <c r="AG311" s="3"/>
      <c r="AH311" s="3"/>
    </row>
    <row r="312" spans="1:34" x14ac:dyDescent="0.25">
      <c r="B312" s="3">
        <f t="shared" ref="B312:AF312" si="294">$C42*EXP(-B$285/$A42/EXP(-$F$126))</f>
        <v>1.0380166217025045E-2</v>
      </c>
      <c r="C312" s="3">
        <f t="shared" si="294"/>
        <v>1.0380166217025045E-2</v>
      </c>
      <c r="D312" s="3">
        <f t="shared" si="294"/>
        <v>1.0380166217025045E-2</v>
      </c>
      <c r="E312" s="3">
        <f t="shared" si="294"/>
        <v>1.0380166217025045E-2</v>
      </c>
      <c r="F312" s="3">
        <f t="shared" si="294"/>
        <v>1.0380166217025045E-2</v>
      </c>
      <c r="G312" s="3">
        <f t="shared" si="294"/>
        <v>1.0380166217025045E-2</v>
      </c>
      <c r="H312" s="3">
        <f t="shared" si="294"/>
        <v>1.0380166217025045E-2</v>
      </c>
      <c r="I312" s="3">
        <f t="shared" si="294"/>
        <v>1.0380166217025045E-2</v>
      </c>
      <c r="J312" s="3">
        <f t="shared" si="294"/>
        <v>1.0380166217025045E-2</v>
      </c>
      <c r="K312" s="3">
        <f t="shared" si="294"/>
        <v>1.0380166217025043E-2</v>
      </c>
      <c r="L312" s="3">
        <f t="shared" si="294"/>
        <v>1.0380166217025035E-2</v>
      </c>
      <c r="M312" s="3">
        <f t="shared" si="294"/>
        <v>1.0380166217024941E-2</v>
      </c>
      <c r="N312" s="3">
        <f t="shared" si="294"/>
        <v>1.0380166217023996E-2</v>
      </c>
      <c r="O312" s="3">
        <f t="shared" si="294"/>
        <v>1.0380166217014559E-2</v>
      </c>
      <c r="P312" s="3">
        <f t="shared" si="294"/>
        <v>1.0380166216920183E-2</v>
      </c>
      <c r="Q312" s="3">
        <f t="shared" si="294"/>
        <v>1.0380166215976424E-2</v>
      </c>
      <c r="R312" s="3">
        <f t="shared" si="294"/>
        <v>1.0380166206538833E-2</v>
      </c>
      <c r="S312" s="3">
        <f t="shared" si="294"/>
        <v>1.0380166112162923E-2</v>
      </c>
      <c r="T312" s="3">
        <f t="shared" si="294"/>
        <v>1.0380165168403873E-2</v>
      </c>
      <c r="U312" s="3">
        <f t="shared" si="294"/>
        <v>1.0380155730818089E-2</v>
      </c>
      <c r="V312" s="3">
        <f t="shared" si="294"/>
        <v>1.0380061355432185E-2</v>
      </c>
      <c r="W312" s="3">
        <f t="shared" si="294"/>
        <v>1.0379117648764724E-2</v>
      </c>
      <c r="X312" s="3">
        <f t="shared" si="294"/>
        <v>1.0369685299660284E-2</v>
      </c>
      <c r="Y312" s="3">
        <f t="shared" si="294"/>
        <v>1.0275831982485549E-2</v>
      </c>
      <c r="Z312" s="3">
        <f t="shared" si="294"/>
        <v>9.3827722562953037E-3</v>
      </c>
      <c r="AA312" s="3">
        <f t="shared" si="294"/>
        <v>3.7798361923755178E-3</v>
      </c>
      <c r="AB312" s="3">
        <f t="shared" si="294"/>
        <v>4.2549162882862773E-7</v>
      </c>
      <c r="AC312" s="3">
        <f t="shared" si="294"/>
        <v>1.3901812616757971E-46</v>
      </c>
      <c r="AD312" s="3">
        <f t="shared" si="294"/>
        <v>0</v>
      </c>
      <c r="AE312" s="3">
        <f t="shared" si="294"/>
        <v>0</v>
      </c>
      <c r="AF312" s="3">
        <f t="shared" si="294"/>
        <v>0</v>
      </c>
      <c r="AG312" s="3"/>
      <c r="AH312" s="3"/>
    </row>
    <row r="313" spans="1:34" x14ac:dyDescent="0.25">
      <c r="B313" s="3">
        <f t="shared" ref="B313:AF313" si="295">$C43*EXP(-B$285/$A43/EXP(-$F$126))</f>
        <v>2.3857851620006894E-3</v>
      </c>
      <c r="C313" s="3">
        <f t="shared" si="295"/>
        <v>2.3857851620006894E-3</v>
      </c>
      <c r="D313" s="3">
        <f t="shared" si="295"/>
        <v>2.3857851620006894E-3</v>
      </c>
      <c r="E313" s="3">
        <f t="shared" si="295"/>
        <v>2.3857851620006894E-3</v>
      </c>
      <c r="F313" s="3">
        <f t="shared" si="295"/>
        <v>2.3857851620006894E-3</v>
      </c>
      <c r="G313" s="3">
        <f t="shared" si="295"/>
        <v>2.3857851620006894E-3</v>
      </c>
      <c r="H313" s="3">
        <f t="shared" si="295"/>
        <v>2.3857851620006894E-3</v>
      </c>
      <c r="I313" s="3">
        <f t="shared" si="295"/>
        <v>2.3857851620006894E-3</v>
      </c>
      <c r="J313" s="3">
        <f t="shared" si="295"/>
        <v>2.3857851620006894E-3</v>
      </c>
      <c r="K313" s="3">
        <f t="shared" si="295"/>
        <v>2.3857851620006894E-3</v>
      </c>
      <c r="L313" s="3">
        <f t="shared" si="295"/>
        <v>2.385785162000689E-3</v>
      </c>
      <c r="M313" s="3">
        <f t="shared" si="295"/>
        <v>2.3857851620006872E-3</v>
      </c>
      <c r="N313" s="3">
        <f t="shared" si="295"/>
        <v>2.3857851620006651E-3</v>
      </c>
      <c r="O313" s="3">
        <f t="shared" si="295"/>
        <v>2.3857851620004483E-3</v>
      </c>
      <c r="P313" s="3">
        <f t="shared" si="295"/>
        <v>2.3857851619982795E-3</v>
      </c>
      <c r="Q313" s="3">
        <f t="shared" si="295"/>
        <v>2.385785161976588E-3</v>
      </c>
      <c r="R313" s="3">
        <f t="shared" si="295"/>
        <v>2.3857851617596734E-3</v>
      </c>
      <c r="S313" s="3">
        <f t="shared" si="295"/>
        <v>2.3857851595905305E-3</v>
      </c>
      <c r="T313" s="3">
        <f t="shared" si="295"/>
        <v>2.3857851378991011E-3</v>
      </c>
      <c r="U313" s="3">
        <f t="shared" si="295"/>
        <v>2.3857849209848155E-3</v>
      </c>
      <c r="V313" s="3">
        <f t="shared" si="295"/>
        <v>2.3857827518430448E-3</v>
      </c>
      <c r="W313" s="3">
        <f t="shared" si="295"/>
        <v>2.3857610605338077E-3</v>
      </c>
      <c r="X313" s="3">
        <f t="shared" si="295"/>
        <v>2.3855441582879824E-3</v>
      </c>
      <c r="Y313" s="3">
        <f t="shared" si="295"/>
        <v>2.3833762201195866E-3</v>
      </c>
      <c r="Z313" s="3">
        <f t="shared" si="295"/>
        <v>2.3618049035492627E-3</v>
      </c>
      <c r="AA313" s="3">
        <f t="shared" si="295"/>
        <v>2.1565433885621038E-3</v>
      </c>
      <c r="AB313" s="3">
        <f t="shared" si="295"/>
        <v>8.6876037570304116E-4</v>
      </c>
      <c r="AC313" s="3">
        <f t="shared" si="295"/>
        <v>9.7795314004690522E-8</v>
      </c>
      <c r="AD313" s="3">
        <f t="shared" si="295"/>
        <v>3.1952030027781894E-47</v>
      </c>
      <c r="AE313" s="3">
        <f t="shared" si="295"/>
        <v>0</v>
      </c>
      <c r="AF313" s="3">
        <f t="shared" si="295"/>
        <v>0</v>
      </c>
      <c r="AG313" s="3"/>
      <c r="AH313" s="3"/>
    </row>
    <row r="314" spans="1:34" x14ac:dyDescent="0.25">
      <c r="B314" s="3">
        <f t="shared" ref="B314:AF314" si="296">$C44*EXP(-B$285/$A44/EXP(-$F$126))</f>
        <v>4.6637051545343495E-3</v>
      </c>
      <c r="C314" s="3">
        <f t="shared" si="296"/>
        <v>4.6637051545343495E-3</v>
      </c>
      <c r="D314" s="3">
        <f t="shared" si="296"/>
        <v>4.6637051545343495E-3</v>
      </c>
      <c r="E314" s="3">
        <f t="shared" si="296"/>
        <v>4.6637051545343495E-3</v>
      </c>
      <c r="F314" s="3">
        <f t="shared" si="296"/>
        <v>4.6637051545343495E-3</v>
      </c>
      <c r="G314" s="3">
        <f t="shared" si="296"/>
        <v>4.6637051545343495E-3</v>
      </c>
      <c r="H314" s="3">
        <f t="shared" si="296"/>
        <v>4.6637051545343495E-3</v>
      </c>
      <c r="I314" s="3">
        <f t="shared" si="296"/>
        <v>4.6637051545343495E-3</v>
      </c>
      <c r="J314" s="3">
        <f t="shared" si="296"/>
        <v>4.6637051545343495E-3</v>
      </c>
      <c r="K314" s="3">
        <f t="shared" si="296"/>
        <v>4.6637051545343495E-3</v>
      </c>
      <c r="L314" s="3">
        <f t="shared" si="296"/>
        <v>4.6637051545343495E-3</v>
      </c>
      <c r="M314" s="3">
        <f t="shared" si="296"/>
        <v>4.6637051545343486E-3</v>
      </c>
      <c r="N314" s="3">
        <f t="shared" si="296"/>
        <v>4.6637051545343452E-3</v>
      </c>
      <c r="O314" s="3">
        <f t="shared" si="296"/>
        <v>4.6637051545343026E-3</v>
      </c>
      <c r="P314" s="3">
        <f t="shared" si="296"/>
        <v>4.6637051545338785E-3</v>
      </c>
      <c r="Q314" s="3">
        <f t="shared" si="296"/>
        <v>4.663705154529638E-3</v>
      </c>
      <c r="R314" s="3">
        <f t="shared" si="296"/>
        <v>4.6637051544872361E-3</v>
      </c>
      <c r="S314" s="3">
        <f t="shared" si="296"/>
        <v>4.6637051540632142E-3</v>
      </c>
      <c r="T314" s="3">
        <f t="shared" si="296"/>
        <v>4.6637051498229984E-3</v>
      </c>
      <c r="U314" s="3">
        <f t="shared" si="296"/>
        <v>4.6637051074208437E-3</v>
      </c>
      <c r="V314" s="3">
        <f t="shared" si="296"/>
        <v>4.6637046833993157E-3</v>
      </c>
      <c r="W314" s="3">
        <f t="shared" si="296"/>
        <v>4.663700443186149E-3</v>
      </c>
      <c r="X314" s="3">
        <f t="shared" si="296"/>
        <v>4.6636580412665165E-3</v>
      </c>
      <c r="Y314" s="3">
        <f t="shared" si="296"/>
        <v>4.6632340432729014E-3</v>
      </c>
      <c r="Z314" s="3">
        <f t="shared" si="296"/>
        <v>4.6589961828939807E-3</v>
      </c>
      <c r="AA314" s="3">
        <f t="shared" si="296"/>
        <v>4.6168288235351237E-3</v>
      </c>
      <c r="AB314" s="3">
        <f t="shared" si="296"/>
        <v>4.2155859955051349E-3</v>
      </c>
      <c r="AC314" s="3">
        <f t="shared" si="296"/>
        <v>1.6982427029698746E-3</v>
      </c>
      <c r="AD314" s="3">
        <f t="shared" si="296"/>
        <v>1.9116914518426729E-7</v>
      </c>
      <c r="AE314" s="3">
        <f t="shared" si="296"/>
        <v>6.2459457587304622E-47</v>
      </c>
      <c r="AF314" s="3">
        <f t="shared" si="296"/>
        <v>0</v>
      </c>
      <c r="AG314" s="3"/>
      <c r="AH314" s="3"/>
    </row>
    <row r="315" spans="1:34" x14ac:dyDescent="0.25">
      <c r="B315" s="3">
        <f t="shared" ref="B315:AF315" si="297">$C45*EXP(-B$285/$A45/EXP(-$F$126))</f>
        <v>1.1662493677485003E-4</v>
      </c>
      <c r="C315" s="3">
        <f t="shared" si="297"/>
        <v>1.1662493677485003E-4</v>
      </c>
      <c r="D315" s="3">
        <f t="shared" si="297"/>
        <v>1.1662493677485003E-4</v>
      </c>
      <c r="E315" s="3">
        <f t="shared" si="297"/>
        <v>1.1662493677485003E-4</v>
      </c>
      <c r="F315" s="3">
        <f t="shared" si="297"/>
        <v>1.1662493677485003E-4</v>
      </c>
      <c r="G315" s="3">
        <f t="shared" si="297"/>
        <v>1.1662493677485003E-4</v>
      </c>
      <c r="H315" s="3">
        <f t="shared" si="297"/>
        <v>1.1662493677485003E-4</v>
      </c>
      <c r="I315" s="3">
        <f t="shared" si="297"/>
        <v>1.1662493677485003E-4</v>
      </c>
      <c r="J315" s="3">
        <f t="shared" si="297"/>
        <v>1.1662493677485003E-4</v>
      </c>
      <c r="K315" s="3">
        <f t="shared" si="297"/>
        <v>1.1662493677485003E-4</v>
      </c>
      <c r="L315" s="3">
        <f t="shared" si="297"/>
        <v>1.1662493677485003E-4</v>
      </c>
      <c r="M315" s="3">
        <f t="shared" si="297"/>
        <v>1.1662493677485003E-4</v>
      </c>
      <c r="N315" s="3">
        <f t="shared" si="297"/>
        <v>1.1662493677485002E-4</v>
      </c>
      <c r="O315" s="3">
        <f t="shared" si="297"/>
        <v>1.1662493677484991E-4</v>
      </c>
      <c r="P315" s="3">
        <f t="shared" si="297"/>
        <v>1.1662493677484885E-4</v>
      </c>
      <c r="Q315" s="3">
        <f t="shared" si="297"/>
        <v>1.1662493677483826E-4</v>
      </c>
      <c r="R315" s="3">
        <f t="shared" si="297"/>
        <v>1.1662493677473222E-4</v>
      </c>
      <c r="S315" s="3">
        <f t="shared" si="297"/>
        <v>1.1662493677367187E-4</v>
      </c>
      <c r="T315" s="3">
        <f t="shared" si="297"/>
        <v>1.1662493676306839E-4</v>
      </c>
      <c r="U315" s="3">
        <f t="shared" si="297"/>
        <v>1.1662493665703363E-4</v>
      </c>
      <c r="V315" s="3">
        <f t="shared" si="297"/>
        <v>1.1662493559668602E-4</v>
      </c>
      <c r="W315" s="3">
        <f t="shared" si="297"/>
        <v>1.1662492499321038E-4</v>
      </c>
      <c r="X315" s="3">
        <f t="shared" si="297"/>
        <v>1.1662481895850705E-4</v>
      </c>
      <c r="Y315" s="3">
        <f t="shared" si="297"/>
        <v>1.166237586167761E-4</v>
      </c>
      <c r="Z315" s="3">
        <f t="shared" si="297"/>
        <v>1.1661315572968108E-4</v>
      </c>
      <c r="AA315" s="3">
        <f t="shared" si="297"/>
        <v>1.1650717986234483E-4</v>
      </c>
      <c r="AB315" s="3">
        <f t="shared" si="297"/>
        <v>1.1545270376314123E-4</v>
      </c>
      <c r="AC315" s="3">
        <f t="shared" si="297"/>
        <v>1.0541885344461018E-4</v>
      </c>
      <c r="AD315" s="3">
        <f t="shared" si="297"/>
        <v>4.2467832184812981E-5</v>
      </c>
      <c r="AE315" s="3">
        <f t="shared" si="297"/>
        <v>4.7805529577144474E-9</v>
      </c>
      <c r="AF315" s="3">
        <f t="shared" si="297"/>
        <v>1.5619191288344078E-48</v>
      </c>
      <c r="AG315" s="3"/>
      <c r="AH315" s="3"/>
    </row>
    <row r="316" spans="1:34" x14ac:dyDescent="0.25">
      <c r="B316" s="3">
        <f t="shared" ref="B316:AF316" si="298">$C46*EXP(-B$285/$A46/EXP(-$F$126))</f>
        <v>1.2727846034903288E-3</v>
      </c>
      <c r="C316" s="3">
        <f t="shared" si="298"/>
        <v>1.2727846034903288E-3</v>
      </c>
      <c r="D316" s="3">
        <f t="shared" si="298"/>
        <v>1.2727846034903288E-3</v>
      </c>
      <c r="E316" s="3">
        <f t="shared" si="298"/>
        <v>1.2727846034903288E-3</v>
      </c>
      <c r="F316" s="3">
        <f t="shared" si="298"/>
        <v>1.2727846034903288E-3</v>
      </c>
      <c r="G316" s="3">
        <f t="shared" si="298"/>
        <v>1.2727846034903288E-3</v>
      </c>
      <c r="H316" s="3">
        <f t="shared" si="298"/>
        <v>1.2727846034903288E-3</v>
      </c>
      <c r="I316" s="3">
        <f t="shared" si="298"/>
        <v>1.2727846034903288E-3</v>
      </c>
      <c r="J316" s="3">
        <f t="shared" si="298"/>
        <v>1.2727846034903288E-3</v>
      </c>
      <c r="K316" s="3">
        <f t="shared" si="298"/>
        <v>1.2727846034903288E-3</v>
      </c>
      <c r="L316" s="3">
        <f t="shared" si="298"/>
        <v>1.2727846034903288E-3</v>
      </c>
      <c r="M316" s="3">
        <f t="shared" si="298"/>
        <v>1.2727846034903288E-3</v>
      </c>
      <c r="N316" s="3">
        <f t="shared" si="298"/>
        <v>1.2727846034903288E-3</v>
      </c>
      <c r="O316" s="3">
        <f t="shared" si="298"/>
        <v>1.2727846034903286E-3</v>
      </c>
      <c r="P316" s="3">
        <f t="shared" si="298"/>
        <v>1.2727846034903275E-3</v>
      </c>
      <c r="Q316" s="3">
        <f t="shared" si="298"/>
        <v>1.272784603490316E-3</v>
      </c>
      <c r="R316" s="3">
        <f t="shared" si="298"/>
        <v>1.2727846034902002E-3</v>
      </c>
      <c r="S316" s="3">
        <f t="shared" si="298"/>
        <v>1.2727846034890429E-3</v>
      </c>
      <c r="T316" s="3">
        <f t="shared" si="298"/>
        <v>1.272784603477471E-3</v>
      </c>
      <c r="U316" s="3">
        <f t="shared" si="298"/>
        <v>1.27278460336175E-3</v>
      </c>
      <c r="V316" s="3">
        <f t="shared" si="298"/>
        <v>1.2727846022045411E-3</v>
      </c>
      <c r="W316" s="3">
        <f t="shared" si="298"/>
        <v>1.2727845906324523E-3</v>
      </c>
      <c r="X316" s="3">
        <f t="shared" si="298"/>
        <v>1.2727844749115705E-3</v>
      </c>
      <c r="Y316" s="3">
        <f t="shared" si="298"/>
        <v>1.2727833177033304E-3</v>
      </c>
      <c r="Z316" s="3">
        <f t="shared" si="298"/>
        <v>1.2727717456787967E-3</v>
      </c>
      <c r="AA316" s="3">
        <f t="shared" si="298"/>
        <v>1.2726560312199488E-3</v>
      </c>
      <c r="AB316" s="3">
        <f t="shared" si="298"/>
        <v>1.2714994650856622E-3</v>
      </c>
      <c r="AC316" s="3">
        <f t="shared" si="298"/>
        <v>1.2599914550414132E-3</v>
      </c>
      <c r="AD316" s="3">
        <f t="shared" si="298"/>
        <v>1.150487171032173E-3</v>
      </c>
      <c r="AE316" s="3">
        <f t="shared" si="298"/>
        <v>4.634720879016787E-4</v>
      </c>
      <c r="AF316" s="3">
        <f t="shared" si="298"/>
        <v>5.2172497315010231E-8</v>
      </c>
      <c r="AG316" s="3"/>
      <c r="AH316" s="3"/>
    </row>
    <row r="317" spans="1:34" x14ac:dyDescent="0.25">
      <c r="B317" s="3">
        <f t="shared" ref="B317:AF317" si="299">$C47*EXP(-B$285/$A47/EXP(-$F$126))</f>
        <v>2.0157372743803063E-3</v>
      </c>
      <c r="C317" s="3">
        <f t="shared" si="299"/>
        <v>2.0157372743803063E-3</v>
      </c>
      <c r="D317" s="3">
        <f t="shared" si="299"/>
        <v>2.0157372743803063E-3</v>
      </c>
      <c r="E317" s="3">
        <f t="shared" si="299"/>
        <v>2.0157372743803063E-3</v>
      </c>
      <c r="F317" s="3">
        <f t="shared" si="299"/>
        <v>2.0157372743803063E-3</v>
      </c>
      <c r="G317" s="3">
        <f t="shared" si="299"/>
        <v>2.0157372743803063E-3</v>
      </c>
      <c r="H317" s="3">
        <f t="shared" si="299"/>
        <v>2.0157372743803063E-3</v>
      </c>
      <c r="I317" s="3">
        <f t="shared" si="299"/>
        <v>2.0157372743803063E-3</v>
      </c>
      <c r="J317" s="3">
        <f t="shared" si="299"/>
        <v>2.0157372743803063E-3</v>
      </c>
      <c r="K317" s="3">
        <f t="shared" si="299"/>
        <v>2.0157372743803063E-3</v>
      </c>
      <c r="L317" s="3">
        <f t="shared" si="299"/>
        <v>2.0157372743803063E-3</v>
      </c>
      <c r="M317" s="3">
        <f t="shared" si="299"/>
        <v>2.0157372743803063E-3</v>
      </c>
      <c r="N317" s="3">
        <f t="shared" si="299"/>
        <v>2.0157372743803063E-3</v>
      </c>
      <c r="O317" s="3">
        <f t="shared" si="299"/>
        <v>2.0157372743803063E-3</v>
      </c>
      <c r="P317" s="3">
        <f t="shared" si="299"/>
        <v>2.0157372743803059E-3</v>
      </c>
      <c r="Q317" s="3">
        <f t="shared" si="299"/>
        <v>2.0157372743803042E-3</v>
      </c>
      <c r="R317" s="3">
        <f t="shared" si="299"/>
        <v>2.0157372743802859E-3</v>
      </c>
      <c r="S317" s="3">
        <f t="shared" si="299"/>
        <v>2.0157372743801025E-3</v>
      </c>
      <c r="T317" s="3">
        <f t="shared" si="299"/>
        <v>2.0157372743782702E-3</v>
      </c>
      <c r="U317" s="3">
        <f t="shared" si="299"/>
        <v>2.0157372743599433E-3</v>
      </c>
      <c r="V317" s="3">
        <f t="shared" si="299"/>
        <v>2.0157372741766732E-3</v>
      </c>
      <c r="W317" s="3">
        <f t="shared" si="299"/>
        <v>2.0157372723439756E-3</v>
      </c>
      <c r="X317" s="3">
        <f t="shared" si="299"/>
        <v>2.0157372540170015E-3</v>
      </c>
      <c r="Y317" s="3">
        <f t="shared" si="299"/>
        <v>2.0157370707472684E-3</v>
      </c>
      <c r="Z317" s="3">
        <f t="shared" si="299"/>
        <v>2.0157352380508501E-3</v>
      </c>
      <c r="AA317" s="3">
        <f t="shared" si="299"/>
        <v>2.0157169111783154E-3</v>
      </c>
      <c r="AB317" s="3">
        <f t="shared" si="299"/>
        <v>2.0155336516171568E-3</v>
      </c>
      <c r="AC317" s="3">
        <f t="shared" si="299"/>
        <v>2.0137019721163411E-3</v>
      </c>
      <c r="AD317" s="3">
        <f t="shared" si="299"/>
        <v>1.9954764807515626E-3</v>
      </c>
      <c r="AE317" s="3">
        <f t="shared" si="299"/>
        <v>1.8220521115563E-3</v>
      </c>
      <c r="AF317" s="3">
        <f t="shared" si="299"/>
        <v>7.3401104998940098E-4</v>
      </c>
      <c r="AG317" s="3"/>
      <c r="AH317" s="3"/>
    </row>
    <row r="318" spans="1:34" x14ac:dyDescent="0.25">
      <c r="B318" s="3">
        <f t="shared" ref="B318:AF318" si="300">$C48*EXP(-B$285/$A48/EXP(-$F$126))</f>
        <v>9.8070147356989854E-3</v>
      </c>
      <c r="C318" s="3">
        <f t="shared" si="300"/>
        <v>9.8070147356989854E-3</v>
      </c>
      <c r="D318" s="3">
        <f t="shared" si="300"/>
        <v>9.8070147356989854E-3</v>
      </c>
      <c r="E318" s="3">
        <f t="shared" si="300"/>
        <v>9.8070147356989854E-3</v>
      </c>
      <c r="F318" s="3">
        <f t="shared" si="300"/>
        <v>9.8070147356989854E-3</v>
      </c>
      <c r="G318" s="3">
        <f t="shared" si="300"/>
        <v>9.8070147356989854E-3</v>
      </c>
      <c r="H318" s="3">
        <f t="shared" si="300"/>
        <v>9.8070147356989854E-3</v>
      </c>
      <c r="I318" s="3">
        <f t="shared" si="300"/>
        <v>9.8070147356989854E-3</v>
      </c>
      <c r="J318" s="3">
        <f t="shared" si="300"/>
        <v>9.8070147356989854E-3</v>
      </c>
      <c r="K318" s="3">
        <f t="shared" si="300"/>
        <v>9.8070147356989854E-3</v>
      </c>
      <c r="L318" s="3">
        <f t="shared" si="300"/>
        <v>9.8070147356989854E-3</v>
      </c>
      <c r="M318" s="3">
        <f t="shared" si="300"/>
        <v>9.8070147356989854E-3</v>
      </c>
      <c r="N318" s="3">
        <f t="shared" si="300"/>
        <v>9.8070147356989854E-3</v>
      </c>
      <c r="O318" s="3">
        <f t="shared" si="300"/>
        <v>9.8070147356989854E-3</v>
      </c>
      <c r="P318" s="3">
        <f t="shared" si="300"/>
        <v>9.8070147356989854E-3</v>
      </c>
      <c r="Q318" s="3">
        <f t="shared" si="300"/>
        <v>9.8070147356989837E-3</v>
      </c>
      <c r="R318" s="3">
        <f t="shared" si="300"/>
        <v>9.807014735698975E-3</v>
      </c>
      <c r="S318" s="3">
        <f t="shared" si="300"/>
        <v>9.8070147356988865E-3</v>
      </c>
      <c r="T318" s="3">
        <f t="shared" si="300"/>
        <v>9.8070147356979949E-3</v>
      </c>
      <c r="U318" s="3">
        <f t="shared" si="300"/>
        <v>9.8070147356890784E-3</v>
      </c>
      <c r="V318" s="3">
        <f t="shared" si="300"/>
        <v>9.8070147355999136E-3</v>
      </c>
      <c r="W318" s="3">
        <f t="shared" si="300"/>
        <v>9.807014734708264E-3</v>
      </c>
      <c r="X318" s="3">
        <f t="shared" si="300"/>
        <v>9.8070147257917802E-3</v>
      </c>
      <c r="Y318" s="3">
        <f t="shared" si="300"/>
        <v>9.8070146366269328E-3</v>
      </c>
      <c r="Z318" s="3">
        <f t="shared" si="300"/>
        <v>9.8070137449785023E-3</v>
      </c>
      <c r="AA318" s="3">
        <f t="shared" si="300"/>
        <v>9.8070048284986579E-3</v>
      </c>
      <c r="AB318" s="3">
        <f t="shared" si="300"/>
        <v>9.8069156641460951E-3</v>
      </c>
      <c r="AC318" s="3">
        <f t="shared" si="300"/>
        <v>9.8060240652063022E-3</v>
      </c>
      <c r="AD318" s="3">
        <f t="shared" si="300"/>
        <v>9.7971125328930927E-3</v>
      </c>
      <c r="AE318" s="3">
        <f t="shared" si="300"/>
        <v>9.7084414225001563E-3</v>
      </c>
      <c r="AF318" s="3">
        <f t="shared" si="300"/>
        <v>8.8646929013789649E-3</v>
      </c>
      <c r="AG318" s="3"/>
      <c r="AH318" s="3"/>
    </row>
    <row r="319" spans="1:34" x14ac:dyDescent="0.25">
      <c r="A319" s="79">
        <f>AVERAGE(B319:AF319)</f>
        <v>1.2925462055643016E-3</v>
      </c>
      <c r="B319" s="80">
        <f>IF($A$64&lt;=B285,IF($B$64&gt;=B285,ABS((B287-B286)/B286),0),0)</f>
        <v>8.5225848672783305E-3</v>
      </c>
      <c r="C319" s="80">
        <f t="shared" ref="C319:AF319" si="301">IF($A$64&lt;=C285,IF($B$64&gt;=C285,ABS((C287-C286)/C286),0),0)</f>
        <v>1.1237076779062187E-2</v>
      </c>
      <c r="D319" s="80">
        <f t="shared" si="301"/>
        <v>3.2573878784853015E-3</v>
      </c>
      <c r="E319" s="80">
        <f t="shared" si="301"/>
        <v>3.9247896851023179E-4</v>
      </c>
      <c r="F319" s="80">
        <f t="shared" si="301"/>
        <v>2.4661037311881994E-4</v>
      </c>
      <c r="G319" s="80">
        <f t="shared" si="301"/>
        <v>1.4765219982964517E-4</v>
      </c>
      <c r="H319" s="80">
        <f t="shared" si="301"/>
        <v>2.0154633665165752E-4</v>
      </c>
      <c r="I319" s="80">
        <f t="shared" si="301"/>
        <v>1.8770424165596823E-4</v>
      </c>
      <c r="J319" s="80">
        <f t="shared" si="301"/>
        <v>4.0865510408820421E-4</v>
      </c>
      <c r="K319" s="80">
        <f t="shared" si="301"/>
        <v>7.7565599094414716E-6</v>
      </c>
      <c r="L319" s="80">
        <f t="shared" si="301"/>
        <v>7.1114236739605379E-4</v>
      </c>
      <c r="M319" s="80">
        <f t="shared" si="301"/>
        <v>5.1589595630132745E-4</v>
      </c>
      <c r="N319" s="80">
        <f t="shared" si="301"/>
        <v>1.2115264949562913E-3</v>
      </c>
      <c r="O319" s="80">
        <f t="shared" si="301"/>
        <v>8.4426096389634913E-4</v>
      </c>
      <c r="P319" s="80">
        <f t="shared" si="301"/>
        <v>1.2770595914109969E-3</v>
      </c>
      <c r="Q319" s="80">
        <f t="shared" si="301"/>
        <v>5.2303972679901961E-4</v>
      </c>
      <c r="R319" s="80">
        <f t="shared" si="301"/>
        <v>1.0046364082937787E-3</v>
      </c>
      <c r="S319" s="80">
        <f t="shared" si="301"/>
        <v>8.4070565869635207E-5</v>
      </c>
      <c r="T319" s="80">
        <f t="shared" si="301"/>
        <v>7.9071204952586838E-4</v>
      </c>
      <c r="U319" s="80">
        <f t="shared" si="301"/>
        <v>5.5546398744201321E-4</v>
      </c>
      <c r="V319" s="80">
        <f t="shared" si="301"/>
        <v>9.9332944845268605E-4</v>
      </c>
      <c r="W319" s="80">
        <f t="shared" si="301"/>
        <v>9.2508005185563394E-4</v>
      </c>
      <c r="X319" s="80">
        <f t="shared" si="301"/>
        <v>1.7690635047373086E-3</v>
      </c>
      <c r="Y319" s="80">
        <f t="shared" si="301"/>
        <v>1.4879164927070585E-3</v>
      </c>
      <c r="Z319" s="80">
        <f t="shared" si="301"/>
        <v>9.8573804222697658E-4</v>
      </c>
      <c r="AA319" s="80">
        <f t="shared" si="301"/>
        <v>6.740549379333576E-4</v>
      </c>
      <c r="AB319" s="80">
        <f t="shared" si="301"/>
        <v>2.264352959771384E-4</v>
      </c>
      <c r="AC319" s="80">
        <f t="shared" si="301"/>
        <v>3.5454794003779362E-4</v>
      </c>
      <c r="AD319" s="80">
        <f t="shared" si="301"/>
        <v>1.0499616683910692E-5</v>
      </c>
      <c r="AE319" s="80">
        <f t="shared" si="301"/>
        <v>1.7071359031560715E-4</v>
      </c>
      <c r="AF319" s="80">
        <f t="shared" si="301"/>
        <v>3.4429203108475381E-4</v>
      </c>
    </row>
    <row r="320" spans="1:34" x14ac:dyDescent="0.25">
      <c r="B320" s="21">
        <f>(B287-B286)^2</f>
        <v>6228.0995817072735</v>
      </c>
      <c r="C320" s="21">
        <f t="shared" ref="C320:AF320" si="302">(C287-C286)^2</f>
        <v>10172.271260216459</v>
      </c>
      <c r="D320" s="21">
        <f t="shared" si="302"/>
        <v>806.47440394148578</v>
      </c>
      <c r="E320" s="21">
        <f t="shared" si="302"/>
        <v>11.008890675541572</v>
      </c>
      <c r="F320" s="21">
        <f t="shared" si="302"/>
        <v>4.0469841021644868</v>
      </c>
      <c r="G320" s="21">
        <f t="shared" si="302"/>
        <v>1.3542393845981109</v>
      </c>
      <c r="H320" s="21">
        <f t="shared" si="302"/>
        <v>2.350463766180531</v>
      </c>
      <c r="I320" s="21">
        <f t="shared" si="302"/>
        <v>1.8667156176219235</v>
      </c>
      <c r="J320" s="21">
        <f t="shared" si="302"/>
        <v>7.9575365026888889</v>
      </c>
      <c r="K320" s="21">
        <f t="shared" si="302"/>
        <v>2.568466378702435E-3</v>
      </c>
      <c r="L320" s="21">
        <f t="shared" si="302"/>
        <v>19.666928393666076</v>
      </c>
      <c r="M320" s="21">
        <f t="shared" si="302"/>
        <v>9.42363332679645</v>
      </c>
      <c r="N320" s="21">
        <f t="shared" si="302"/>
        <v>47.280253495455703</v>
      </c>
      <c r="O320" s="21">
        <f t="shared" si="302"/>
        <v>20.700568124603414</v>
      </c>
      <c r="P320" s="21">
        <f t="shared" si="302"/>
        <v>42.811773473883456</v>
      </c>
      <c r="Q320" s="21">
        <f t="shared" si="302"/>
        <v>6.3011772140296403</v>
      </c>
      <c r="R320" s="21">
        <f t="shared" si="302"/>
        <v>19.813258031857679</v>
      </c>
      <c r="S320" s="21">
        <f t="shared" si="302"/>
        <v>0.11254377806963367</v>
      </c>
      <c r="T320" s="21">
        <f t="shared" si="302"/>
        <v>7.7143334747386616</v>
      </c>
      <c r="U320" s="21">
        <f t="shared" si="302"/>
        <v>2.7715460805571515</v>
      </c>
      <c r="V320" s="21">
        <f t="shared" si="302"/>
        <v>5.9251043134435539</v>
      </c>
      <c r="W320" s="21">
        <f t="shared" si="302"/>
        <v>2.9994526905204739</v>
      </c>
      <c r="X320" s="21">
        <f t="shared" si="302"/>
        <v>5.8520829734201705</v>
      </c>
      <c r="Y320" s="21">
        <f t="shared" si="302"/>
        <v>2.1427983599900911</v>
      </c>
      <c r="Z320" s="21">
        <f t="shared" si="302"/>
        <v>0.55424014992990578</v>
      </c>
      <c r="AA320" s="21">
        <f t="shared" si="302"/>
        <v>0.18221767667688024</v>
      </c>
      <c r="AB320" s="21">
        <f t="shared" si="302"/>
        <v>1.7084989022703823E-2</v>
      </c>
      <c r="AC320" s="21">
        <f t="shared" si="302"/>
        <v>3.7004398261594074E-2</v>
      </c>
      <c r="AD320" s="21">
        <f t="shared" si="302"/>
        <v>3.0159580111285489E-5</v>
      </c>
      <c r="AE320" s="21">
        <f t="shared" si="302"/>
        <v>7.6702817542628511E-3</v>
      </c>
      <c r="AF320" s="21">
        <f t="shared" si="302"/>
        <v>2.8310354854694648E-2</v>
      </c>
      <c r="AG320" s="3"/>
      <c r="AH320" s="3"/>
    </row>
    <row r="321" spans="1:34" x14ac:dyDescent="0.25">
      <c r="A321" s="71">
        <f>SUM(B321:AF321)</f>
        <v>17429.774656121503</v>
      </c>
      <c r="B321" s="60">
        <f>IF($A$64&lt;=B285,IF($B$64&gt;=B285,ABS(B320),0),0)</f>
        <v>6228.0995817072735</v>
      </c>
      <c r="C321" s="60">
        <f t="shared" ref="C321" si="303">IF($A$64&lt;=C285,IF($B$64&gt;=C285,ABS(C320),0),0)</f>
        <v>10172.271260216459</v>
      </c>
      <c r="D321" s="60">
        <f t="shared" ref="D321" si="304">IF($A$64&lt;=D285,IF($B$64&gt;=D285,ABS(D320),0),0)</f>
        <v>806.47440394148578</v>
      </c>
      <c r="E321" s="60">
        <f t="shared" ref="E321" si="305">IF($A$64&lt;=E285,IF($B$64&gt;=E285,ABS(E320),0),0)</f>
        <v>11.008890675541572</v>
      </c>
      <c r="F321" s="60">
        <f t="shared" ref="F321" si="306">IF($A$64&lt;=F285,IF($B$64&gt;=F285,ABS(F320),0),0)</f>
        <v>4.0469841021644868</v>
      </c>
      <c r="G321" s="60">
        <f t="shared" ref="G321" si="307">IF($A$64&lt;=G285,IF($B$64&gt;=G285,ABS(G320),0),0)</f>
        <v>1.3542393845981109</v>
      </c>
      <c r="H321" s="60">
        <f t="shared" ref="H321" si="308">IF($A$64&lt;=H285,IF($B$64&gt;=H285,ABS(H320),0),0)</f>
        <v>2.350463766180531</v>
      </c>
      <c r="I321" s="60">
        <f t="shared" ref="I321" si="309">IF($A$64&lt;=I285,IF($B$64&gt;=I285,ABS(I320),0),0)</f>
        <v>1.8667156176219235</v>
      </c>
      <c r="J321" s="60">
        <f t="shared" ref="J321" si="310">IF($A$64&lt;=J285,IF($B$64&gt;=J285,ABS(J320),0),0)</f>
        <v>7.9575365026888889</v>
      </c>
      <c r="K321" s="60">
        <f t="shared" ref="K321" si="311">IF($A$64&lt;=K285,IF($B$64&gt;=K285,ABS(K320),0),0)</f>
        <v>2.568466378702435E-3</v>
      </c>
      <c r="L321" s="60">
        <f t="shared" ref="L321" si="312">IF($A$64&lt;=L285,IF($B$64&gt;=L285,ABS(L320),0),0)</f>
        <v>19.666928393666076</v>
      </c>
      <c r="M321" s="60">
        <f t="shared" ref="M321" si="313">IF($A$64&lt;=M285,IF($B$64&gt;=M285,ABS(M320),0),0)</f>
        <v>9.42363332679645</v>
      </c>
      <c r="N321" s="60">
        <f t="shared" ref="N321" si="314">IF($A$64&lt;=N285,IF($B$64&gt;=N285,ABS(N320),0),0)</f>
        <v>47.280253495455703</v>
      </c>
      <c r="O321" s="60">
        <f t="shared" ref="O321" si="315">IF($A$64&lt;=O285,IF($B$64&gt;=O285,ABS(O320),0),0)</f>
        <v>20.700568124603414</v>
      </c>
      <c r="P321" s="60">
        <f t="shared" ref="P321" si="316">IF($A$64&lt;=P285,IF($B$64&gt;=P285,ABS(P320),0),0)</f>
        <v>42.811773473883456</v>
      </c>
      <c r="Q321" s="60">
        <f t="shared" ref="Q321" si="317">IF($A$64&lt;=Q285,IF($B$64&gt;=Q285,ABS(Q320),0),0)</f>
        <v>6.3011772140296403</v>
      </c>
      <c r="R321" s="60">
        <f t="shared" ref="R321" si="318">IF($A$64&lt;=R285,IF($B$64&gt;=R285,ABS(R320),0),0)</f>
        <v>19.813258031857679</v>
      </c>
      <c r="S321" s="60">
        <f t="shared" ref="S321" si="319">IF($A$64&lt;=S285,IF($B$64&gt;=S285,ABS(S320),0),0)</f>
        <v>0.11254377806963367</v>
      </c>
      <c r="T321" s="60">
        <f t="shared" ref="T321" si="320">IF($A$64&lt;=T285,IF($B$64&gt;=T285,ABS(T320),0),0)</f>
        <v>7.7143334747386616</v>
      </c>
      <c r="U321" s="60">
        <f t="shared" ref="U321" si="321">IF($A$64&lt;=U285,IF($B$64&gt;=U285,ABS(U320),0),0)</f>
        <v>2.7715460805571515</v>
      </c>
      <c r="V321" s="60">
        <f t="shared" ref="V321" si="322">IF($A$64&lt;=V285,IF($B$64&gt;=V285,ABS(V320),0),0)</f>
        <v>5.9251043134435539</v>
      </c>
      <c r="W321" s="60">
        <f t="shared" ref="W321" si="323">IF($A$64&lt;=W285,IF($B$64&gt;=W285,ABS(W320),0),0)</f>
        <v>2.9994526905204739</v>
      </c>
      <c r="X321" s="60">
        <f t="shared" ref="X321" si="324">IF($A$64&lt;=X285,IF($B$64&gt;=X285,ABS(X320),0),0)</f>
        <v>5.8520829734201705</v>
      </c>
      <c r="Y321" s="60">
        <f t="shared" ref="Y321" si="325">IF($A$64&lt;=Y285,IF($B$64&gt;=Y285,ABS(Y320),0),0)</f>
        <v>2.1427983599900911</v>
      </c>
      <c r="Z321" s="60">
        <f t="shared" ref="Z321" si="326">IF($A$64&lt;=Z285,IF($B$64&gt;=Z285,ABS(Z320),0),0)</f>
        <v>0.55424014992990578</v>
      </c>
      <c r="AA321" s="60">
        <f t="shared" ref="AA321" si="327">IF($A$64&lt;=AA285,IF($B$64&gt;=AA285,ABS(AA320),0),0)</f>
        <v>0.18221767667688024</v>
      </c>
      <c r="AB321" s="60">
        <f t="shared" ref="AB321" si="328">IF($A$64&lt;=AB285,IF($B$64&gt;=AB285,ABS(AB320),0),0)</f>
        <v>1.7084989022703823E-2</v>
      </c>
      <c r="AC321" s="60">
        <f t="shared" ref="AC321" si="329">IF($A$64&lt;=AC285,IF($B$64&gt;=AC285,ABS(AC320),0),0)</f>
        <v>3.7004398261594074E-2</v>
      </c>
      <c r="AD321" s="60">
        <f t="shared" ref="AD321" si="330">IF($A$64&lt;=AD285,IF($B$64&gt;=AD285,ABS(AD320),0),0)</f>
        <v>3.0159580111285489E-5</v>
      </c>
      <c r="AE321" s="60">
        <f t="shared" ref="AE321" si="331">IF($A$64&lt;=AE285,IF($B$64&gt;=AE285,ABS(AE320),0),0)</f>
        <v>7.6702817542628511E-3</v>
      </c>
      <c r="AF321" s="60">
        <f t="shared" ref="AF321" si="332">IF($A$64&lt;=AF285,IF($B$64&gt;=AF285,ABS(AF320),0),0)</f>
        <v>2.8310354854694648E-2</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8600.88026028485</v>
      </c>
      <c r="C325" s="26">
        <f>INDEX(Comparison!$AM$3:$AS$33,G$14,$G$122)</f>
        <v>8258.5143784911779</v>
      </c>
      <c r="D325" s="26">
        <f>INDEX(Comparison!$AM$3:$AS$33,H$14,$G$122)</f>
        <v>7962.1526037178537</v>
      </c>
      <c r="E325" s="26">
        <f>INDEX(Comparison!$AM$3:$AS$33,I$14,$G$122)</f>
        <v>7694.1164691736458</v>
      </c>
      <c r="F325" s="26">
        <f>INDEX(Comparison!$AM$3:$AS$33,J$14,$G$122)</f>
        <v>7392.1118529421537</v>
      </c>
      <c r="G325" s="26">
        <f>INDEX(Comparison!$AM$3:$AS$33,K$14,$G$122)</f>
        <v>7031.7099177768096</v>
      </c>
      <c r="H325" s="26">
        <f>INDEX(Comparison!$AM$3:$AS$33,L$14,$G$122)</f>
        <v>6653.2341038317008</v>
      </c>
      <c r="I325" s="26">
        <f>INDEX(Comparison!$AM$3:$AS$33,M$14,$G$122)</f>
        <v>6325.3637954371716</v>
      </c>
      <c r="J325" s="26">
        <f>INDEX(Comparison!$AM$3:$AS$33,N$14,$G$122)</f>
        <v>6045.8980186697399</v>
      </c>
      <c r="K325" s="26">
        <f>INDEX(Comparison!$AM$3:$AS$33,O$14,$G$122)</f>
        <v>5765.1058423358591</v>
      </c>
      <c r="L325" s="26">
        <f>INDEX(Comparison!$AM$3:$AS$33,P$14,$G$122)</f>
        <v>5486.9816625574504</v>
      </c>
      <c r="M325" s="26">
        <f>INDEX(Comparison!$AM$3:$AS$33,Q$14,$G$122)</f>
        <v>5211.1575946368548</v>
      </c>
      <c r="N325" s="26">
        <f>INDEX(Comparison!$AM$3:$AS$33,R$14,$G$122)</f>
        <v>4923.9623445747775</v>
      </c>
      <c r="O325" s="26">
        <f>INDEX(Comparison!$AM$3:$AS$33,S$14,$G$122)</f>
        <v>4584.0172032140918</v>
      </c>
      <c r="P325" s="26">
        <f>INDEX(Comparison!$AM$3:$AS$33,T$14,$G$122)</f>
        <v>4221.1859974432145</v>
      </c>
      <c r="Q325" s="26">
        <f>INDEX(Comparison!$AM$3:$AS$33,U$14,$G$122)</f>
        <v>3789.937412973562</v>
      </c>
      <c r="R325" s="26">
        <f>INDEX(Comparison!$AM$3:$AS$33,V$14,$G$122)</f>
        <v>3283.8683924627298</v>
      </c>
      <c r="S325" s="26">
        <f>INDEX(Comparison!$AM$3:$AS$33,W$14,$G$122)</f>
        <v>2714.7098539050189</v>
      </c>
      <c r="T325" s="26">
        <f>INDEX(Comparison!$AM$3:$AS$33,X$14,$G$122)</f>
        <v>2120.3389527808267</v>
      </c>
      <c r="U325" s="26">
        <f>INDEX(Comparison!$AM$3:$AS$33,Y$14,$G$122)</f>
        <v>1549.2251736201158</v>
      </c>
      <c r="V325" s="26">
        <f>INDEX(Comparison!$AM$3:$AS$33,Z$14,$G$122)</f>
        <v>1115.0562509241029</v>
      </c>
      <c r="W325" s="26">
        <f>INDEX(Comparison!$AM$3:$AS$33,AA$14,$G$122)</f>
        <v>819.57257707159806</v>
      </c>
      <c r="X325" s="26">
        <f>INDEX(Comparison!$AM$3:$AS$33,AB$14,$G$122)</f>
        <v>672.71182943032534</v>
      </c>
      <c r="Y325" s="26">
        <f>INDEX(Comparison!$AM$3:$AS$33,AC$14,$G$122)</f>
        <v>592.26686963031818</v>
      </c>
      <c r="Z325" s="26">
        <f>INDEX(Comparison!$AM$3:$AS$33,AD$14,$G$122)</f>
        <v>556.12366677692739</v>
      </c>
      <c r="AA325" s="26">
        <f>INDEX(Comparison!$AM$3:$AS$33,AE$14,$G$122)</f>
        <v>528.75323853804991</v>
      </c>
      <c r="AB325" s="26">
        <f>INDEX(Comparison!$AM$3:$AS$33,AF$14,$G$122)</f>
        <v>517.55067575260887</v>
      </c>
      <c r="AC325" s="26">
        <f>INDEX(Comparison!$AM$3:$AS$33,AG$14,$G$122)</f>
        <v>499.76142817308812</v>
      </c>
      <c r="AD325" s="26">
        <f>INDEX(Comparison!$AM$3:$AS$33,AH$14,$G$122)</f>
        <v>478.96737917397832</v>
      </c>
      <c r="AE325" s="26">
        <f>INDEX(Comparison!$AM$3:$AS$33,AI$14,$G$122)</f>
        <v>475.66972462501121</v>
      </c>
      <c r="AF325" s="26">
        <f>INDEX(Comparison!$AM$3:$AS$33,AJ$14,$G$122)</f>
        <v>475.44842733478526</v>
      </c>
      <c r="AG325" s="26"/>
      <c r="AH325" s="26"/>
    </row>
    <row r="326" spans="1:34" x14ac:dyDescent="0.25">
      <c r="A326" s="77" t="s">
        <v>22</v>
      </c>
      <c r="B326" s="27">
        <f>($C$17+SUM(B327:B357))*$B$51</f>
        <v>8562.8067509208577</v>
      </c>
      <c r="C326" s="27">
        <f t="shared" ref="C326:AF326" si="333">($C$17+SUM(C327:C357))*$B$51</f>
        <v>8304.5949015411643</v>
      </c>
      <c r="D326" s="27">
        <f t="shared" si="333"/>
        <v>8008.242445985622</v>
      </c>
      <c r="E326" s="27">
        <f t="shared" si="333"/>
        <v>7737.7246054979732</v>
      </c>
      <c r="F326" s="27">
        <f t="shared" si="333"/>
        <v>7438.3582123180267</v>
      </c>
      <c r="G326" s="27">
        <f t="shared" si="333"/>
        <v>7078.1229846494016</v>
      </c>
      <c r="H326" s="27">
        <f t="shared" si="333"/>
        <v>6692.1674902607811</v>
      </c>
      <c r="I326" s="27">
        <f t="shared" si="333"/>
        <v>6351.6949469984656</v>
      </c>
      <c r="J326" s="27">
        <f t="shared" si="333"/>
        <v>6072.6593293414071</v>
      </c>
      <c r="K326" s="27">
        <f t="shared" si="333"/>
        <v>5787.0739437277616</v>
      </c>
      <c r="L326" s="27">
        <f t="shared" si="333"/>
        <v>5501.053087569253</v>
      </c>
      <c r="M326" s="27">
        <f t="shared" si="333"/>
        <v>5231.1236011564115</v>
      </c>
      <c r="N326" s="27">
        <f t="shared" si="333"/>
        <v>4933.8087457995634</v>
      </c>
      <c r="O326" s="27">
        <f t="shared" si="333"/>
        <v>4583.6112014639493</v>
      </c>
      <c r="P326" s="27">
        <f t="shared" si="333"/>
        <v>4167.6749420528213</v>
      </c>
      <c r="Q326" s="27">
        <f t="shared" si="333"/>
        <v>3707.094049310977</v>
      </c>
      <c r="R326" s="27">
        <f t="shared" si="333"/>
        <v>3205.5190546199156</v>
      </c>
      <c r="S326" s="27">
        <f t="shared" si="333"/>
        <v>2686.4721906326431</v>
      </c>
      <c r="T326" s="27">
        <f t="shared" si="333"/>
        <v>2099.6663466000682</v>
      </c>
      <c r="U326" s="27">
        <f t="shared" si="333"/>
        <v>1613.7452982912951</v>
      </c>
      <c r="V326" s="27">
        <f t="shared" si="333"/>
        <v>1118.0225906212538</v>
      </c>
      <c r="W326" s="27">
        <f t="shared" si="333"/>
        <v>825.04311174650331</v>
      </c>
      <c r="X326" s="27">
        <f t="shared" si="333"/>
        <v>673.26056892352551</v>
      </c>
      <c r="Y326" s="27">
        <f t="shared" si="333"/>
        <v>590.48481884218882</v>
      </c>
      <c r="Z326" s="27">
        <f t="shared" si="333"/>
        <v>558.63036069581017</v>
      </c>
      <c r="AA326" s="27">
        <f t="shared" si="333"/>
        <v>525.55833376232181</v>
      </c>
      <c r="AB326" s="27">
        <f t="shared" si="333"/>
        <v>519.0528161424312</v>
      </c>
      <c r="AC326" s="27">
        <f t="shared" si="333"/>
        <v>501.51090301672423</v>
      </c>
      <c r="AD326" s="27">
        <f t="shared" si="333"/>
        <v>460.20683028596295</v>
      </c>
      <c r="AE326" s="27">
        <f t="shared" si="333"/>
        <v>393.20015591840604</v>
      </c>
      <c r="AF326" s="27">
        <f t="shared" si="333"/>
        <v>390.75009136896216</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3.6359345047535811E-6</v>
      </c>
      <c r="C328" s="3">
        <f t="shared" si="335"/>
        <v>2.7176223181843261E-43</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7.939966657258055E-3</v>
      </c>
      <c r="C329" s="3">
        <f t="shared" si="336"/>
        <v>3.553907382443284E-6</v>
      </c>
      <c r="D329" s="3">
        <f t="shared" si="336"/>
        <v>1.1470447844018104E-39</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3.1076169973551445E-2</v>
      </c>
      <c r="C330" s="3">
        <f t="shared" si="337"/>
        <v>1.5499213910237172E-2</v>
      </c>
      <c r="D330" s="3">
        <f t="shared" si="337"/>
        <v>1.4761534704575996E-5</v>
      </c>
      <c r="E330" s="3">
        <f t="shared" si="337"/>
        <v>9.0646263986922961E-36</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2.7241256409352502E-2</v>
      </c>
      <c r="C331" s="3">
        <f t="shared" si="338"/>
        <v>2.5584303223327148E-2</v>
      </c>
      <c r="D331" s="3">
        <f t="shared" si="338"/>
        <v>1.3659606539730423E-2</v>
      </c>
      <c r="E331" s="3">
        <f t="shared" si="338"/>
        <v>2.5708938860103842E-5</v>
      </c>
      <c r="F331" s="3">
        <f t="shared" si="338"/>
        <v>1.4339822239374167E-32</v>
      </c>
      <c r="G331" s="3">
        <f t="shared" si="338"/>
        <v>4.179650140336813E-305</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2.7090616006161392E-2</v>
      </c>
      <c r="C332" s="3">
        <f t="shared" si="339"/>
        <v>2.6937692087082462E-2</v>
      </c>
      <c r="D332" s="3">
        <f t="shared" si="339"/>
        <v>2.5455136115944316E-2</v>
      </c>
      <c r="E332" s="3">
        <f t="shared" si="339"/>
        <v>1.4451928912553463E-2</v>
      </c>
      <c r="F332" s="3">
        <f t="shared" si="339"/>
        <v>5.0283991745751744E-5</v>
      </c>
      <c r="G332" s="3">
        <f t="shared" si="339"/>
        <v>1.3075823331322466E-29</v>
      </c>
      <c r="H332" s="3">
        <f t="shared" si="339"/>
        <v>1.8486811859611555E-275</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3.4299619707766731E-2</v>
      </c>
      <c r="C333" s="3">
        <f t="shared" si="340"/>
        <v>3.428210873715079E-2</v>
      </c>
      <c r="D333" s="3">
        <f t="shared" si="340"/>
        <v>3.4107489971459549E-2</v>
      </c>
      <c r="E333" s="3">
        <f t="shared" si="340"/>
        <v>3.2409481292192122E-2</v>
      </c>
      <c r="F333" s="3">
        <f t="shared" si="340"/>
        <v>1.9448910689965345E-2</v>
      </c>
      <c r="G333" s="3">
        <f t="shared" si="340"/>
        <v>1.1779512015867628E-4</v>
      </c>
      <c r="H333" s="3">
        <f t="shared" si="340"/>
        <v>7.8243356810413185E-27</v>
      </c>
      <c r="I333" s="3">
        <f t="shared" si="340"/>
        <v>1.3081249309966645E-248</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4.0817546660427417E-2</v>
      </c>
      <c r="C334" s="3">
        <f t="shared" si="341"/>
        <v>4.0815666411784683E-2</v>
      </c>
      <c r="D334" s="3">
        <f t="shared" si="341"/>
        <v>4.0796868688420494E-2</v>
      </c>
      <c r="E334" s="3">
        <f t="shared" si="341"/>
        <v>4.0609366950265104E-2</v>
      </c>
      <c r="F334" s="3">
        <f t="shared" si="341"/>
        <v>3.8781098556239242E-2</v>
      </c>
      <c r="G334" s="3">
        <f t="shared" si="341"/>
        <v>2.4465775435386809E-2</v>
      </c>
      <c r="H334" s="3">
        <f t="shared" si="341"/>
        <v>2.4431366820504177E-4</v>
      </c>
      <c r="I334" s="3">
        <f t="shared" si="341"/>
        <v>2.4089931044698522E-24</v>
      </c>
      <c r="J334" s="3">
        <f t="shared" si="341"/>
        <v>2.0927313565379463E-224</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3.8228343963621222E-2</v>
      </c>
      <c r="C335" s="3">
        <f t="shared" si="342"/>
        <v>3.8228185105448578E-2</v>
      </c>
      <c r="D335" s="3">
        <f t="shared" si="342"/>
        <v>3.8226596560029191E-2</v>
      </c>
      <c r="E335" s="3">
        <f t="shared" si="342"/>
        <v>3.8210714735981775E-2</v>
      </c>
      <c r="F335" s="3">
        <f t="shared" si="342"/>
        <v>3.8052258952620169E-2</v>
      </c>
      <c r="G335" s="3">
        <f t="shared" si="342"/>
        <v>3.6503395677898037E-2</v>
      </c>
      <c r="H335" s="3">
        <f t="shared" si="342"/>
        <v>2.4091369596789754E-2</v>
      </c>
      <c r="I335" s="3">
        <f t="shared" si="342"/>
        <v>3.7769717319779354E-4</v>
      </c>
      <c r="J335" s="3">
        <f t="shared" si="342"/>
        <v>3.3881776634956885E-22</v>
      </c>
      <c r="K335" s="3">
        <f t="shared" si="342"/>
        <v>1.143379973239478E-202</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2.803543301997834E-2</v>
      </c>
      <c r="C336" s="3">
        <f t="shared" si="343"/>
        <v>2.8035422510558121E-2</v>
      </c>
      <c r="D336" s="3">
        <f t="shared" si="343"/>
        <v>2.8035317416572565E-2</v>
      </c>
      <c r="E336" s="3">
        <f t="shared" si="343"/>
        <v>2.8034266498384423E-2</v>
      </c>
      <c r="F336" s="3">
        <f t="shared" si="343"/>
        <v>2.8023759482940631E-2</v>
      </c>
      <c r="G336" s="3">
        <f t="shared" si="343"/>
        <v>2.791890567208398E-2</v>
      </c>
      <c r="H336" s="3">
        <f t="shared" si="343"/>
        <v>2.6891704840293577E-2</v>
      </c>
      <c r="I336" s="3">
        <f t="shared" si="343"/>
        <v>1.848492873009449E-2</v>
      </c>
      <c r="J336" s="3">
        <f t="shared" si="343"/>
        <v>4.3532361457844162E-4</v>
      </c>
      <c r="K336" s="3">
        <f t="shared" si="343"/>
        <v>2.2843186600867879E-20</v>
      </c>
      <c r="L336" s="3">
        <f t="shared" si="343"/>
        <v>3.6157741556697214E-183</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2.8888697919394007E-2</v>
      </c>
      <c r="C337" s="3">
        <f t="shared" si="344"/>
        <v>2.8888696942502977E-2</v>
      </c>
      <c r="D337" s="3">
        <f t="shared" si="344"/>
        <v>2.8888687173594493E-2</v>
      </c>
      <c r="E337" s="3">
        <f t="shared" si="344"/>
        <v>2.88885894846913E-2</v>
      </c>
      <c r="F337" s="3">
        <f t="shared" si="344"/>
        <v>2.8887612613827982E-2</v>
      </c>
      <c r="G337" s="3">
        <f t="shared" si="344"/>
        <v>2.8877845721825311E-2</v>
      </c>
      <c r="H337" s="3">
        <f t="shared" si="344"/>
        <v>2.8780358237763669E-2</v>
      </c>
      <c r="I337" s="3">
        <f t="shared" si="344"/>
        <v>2.7823402023270057E-2</v>
      </c>
      <c r="J337" s="3">
        <f t="shared" si="344"/>
        <v>1.9840407429635422E-2</v>
      </c>
      <c r="K337" s="3">
        <f t="shared" si="344"/>
        <v>6.7445680308609592E-4</v>
      </c>
      <c r="L337" s="3">
        <f t="shared" si="344"/>
        <v>1.389919580894393E-18</v>
      </c>
      <c r="M337" s="3">
        <f t="shared" si="344"/>
        <v>1.9201935601005662E-165</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3.0018666269613872E-2</v>
      </c>
      <c r="C338" s="3">
        <f t="shared" si="345"/>
        <v>3.0018666178043257E-2</v>
      </c>
      <c r="D338" s="3">
        <f t="shared" si="345"/>
        <v>3.0018665262337093E-2</v>
      </c>
      <c r="E338" s="3">
        <f t="shared" si="345"/>
        <v>3.0018656105276993E-2</v>
      </c>
      <c r="F338" s="3">
        <f t="shared" si="345"/>
        <v>3.001856453482964E-2</v>
      </c>
      <c r="G338" s="3">
        <f t="shared" si="345"/>
        <v>3.0017648845719194E-2</v>
      </c>
      <c r="H338" s="3">
        <f t="shared" si="345"/>
        <v>3.0008493490748786E-2</v>
      </c>
      <c r="I338" s="3">
        <f t="shared" si="345"/>
        <v>2.9917093381215721E-2</v>
      </c>
      <c r="J338" s="3">
        <f t="shared" si="345"/>
        <v>2.9018264523881905E-2</v>
      </c>
      <c r="K338" s="3">
        <f t="shared" si="345"/>
        <v>2.1389065887171006E-2</v>
      </c>
      <c r="L338" s="3">
        <f t="shared" si="345"/>
        <v>1.0125014362835025E-3</v>
      </c>
      <c r="M338" s="3">
        <f t="shared" si="345"/>
        <v>5.7204994038160225E-17</v>
      </c>
      <c r="N338" s="3">
        <f t="shared" si="345"/>
        <v>1.8959064841221281E-149</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2.6688629031557477E-2</v>
      </c>
      <c r="C339" s="3">
        <f t="shared" si="346"/>
        <v>2.6688629024213397E-2</v>
      </c>
      <c r="D339" s="3">
        <f t="shared" si="346"/>
        <v>2.668862895077256E-2</v>
      </c>
      <c r="E339" s="3">
        <f t="shared" si="346"/>
        <v>2.6688628216364217E-2</v>
      </c>
      <c r="F339" s="3">
        <f t="shared" si="346"/>
        <v>2.6688620872281906E-2</v>
      </c>
      <c r="G339" s="3">
        <f t="shared" si="346"/>
        <v>2.6688547431569946E-2</v>
      </c>
      <c r="H339" s="3">
        <f t="shared" si="346"/>
        <v>2.6687813035565309E-2</v>
      </c>
      <c r="I339" s="3">
        <f t="shared" si="346"/>
        <v>2.668047018689872E-2</v>
      </c>
      <c r="J339" s="3">
        <f t="shared" si="346"/>
        <v>2.6607152725143957E-2</v>
      </c>
      <c r="K339" s="3">
        <f t="shared" si="346"/>
        <v>2.5884968385574473E-2</v>
      </c>
      <c r="L339" s="3">
        <f t="shared" si="346"/>
        <v>1.9658030433776903E-2</v>
      </c>
      <c r="M339" s="3">
        <f t="shared" si="346"/>
        <v>1.2544797204463913E-3</v>
      </c>
      <c r="N339" s="3">
        <f t="shared" si="346"/>
        <v>1.4050768047334681E-15</v>
      </c>
      <c r="O339" s="3">
        <f t="shared" si="346"/>
        <v>4.3658042408685931E-135</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2.9107380567550471E-2</v>
      </c>
      <c r="C340" s="3">
        <f t="shared" si="347"/>
        <v>2.910738056682793E-2</v>
      </c>
      <c r="D340" s="3">
        <f t="shared" si="347"/>
        <v>2.9107380559602547E-2</v>
      </c>
      <c r="E340" s="3">
        <f t="shared" si="347"/>
        <v>2.9107380487348688E-2</v>
      </c>
      <c r="F340" s="3">
        <f t="shared" si="347"/>
        <v>2.9107379764810086E-2</v>
      </c>
      <c r="G340" s="3">
        <f t="shared" si="347"/>
        <v>2.9107372539425091E-2</v>
      </c>
      <c r="H340" s="3">
        <f t="shared" si="347"/>
        <v>2.9107300285673793E-2</v>
      </c>
      <c r="I340" s="3">
        <f t="shared" si="347"/>
        <v>2.9106577758025335E-2</v>
      </c>
      <c r="J340" s="3">
        <f t="shared" si="347"/>
        <v>2.9099353467905126E-2</v>
      </c>
      <c r="K340" s="3">
        <f t="shared" si="347"/>
        <v>2.9027209112603758E-2</v>
      </c>
      <c r="L340" s="3">
        <f t="shared" si="347"/>
        <v>2.8315530237156321E-2</v>
      </c>
      <c r="M340" s="3">
        <f t="shared" si="347"/>
        <v>2.2091177698148709E-2</v>
      </c>
      <c r="N340" s="3">
        <f t="shared" si="347"/>
        <v>1.8456977097627515E-3</v>
      </c>
      <c r="O340" s="3">
        <f t="shared" si="347"/>
        <v>3.0589868910199069E-14</v>
      </c>
      <c r="P340" s="3">
        <f t="shared" si="347"/>
        <v>4.7835249251634105E-122</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3.446287323549093E-2</v>
      </c>
      <c r="C341" s="3">
        <f t="shared" si="348"/>
        <v>3.4462873235413756E-2</v>
      </c>
      <c r="D341" s="3">
        <f t="shared" si="348"/>
        <v>3.4462873234642047E-2</v>
      </c>
      <c r="E341" s="3">
        <f t="shared" si="348"/>
        <v>3.4462873226924914E-2</v>
      </c>
      <c r="F341" s="3">
        <f t="shared" si="348"/>
        <v>3.4462873149753583E-2</v>
      </c>
      <c r="G341" s="3">
        <f t="shared" si="348"/>
        <v>3.446287237804025E-2</v>
      </c>
      <c r="H341" s="3">
        <f t="shared" si="348"/>
        <v>3.4462864660907901E-2</v>
      </c>
      <c r="I341" s="3">
        <f t="shared" si="348"/>
        <v>3.4462787489679424E-2</v>
      </c>
      <c r="J341" s="3">
        <f t="shared" si="348"/>
        <v>3.4462015786898954E-2</v>
      </c>
      <c r="K341" s="3">
        <f t="shared" si="348"/>
        <v>3.4454299709443525E-2</v>
      </c>
      <c r="L341" s="3">
        <f t="shared" si="348"/>
        <v>3.4377233891123959E-2</v>
      </c>
      <c r="M341" s="3">
        <f t="shared" si="348"/>
        <v>3.3615993126685069E-2</v>
      </c>
      <c r="N341" s="3">
        <f t="shared" si="348"/>
        <v>2.6871760456240318E-2</v>
      </c>
      <c r="O341" s="3">
        <f t="shared" si="348"/>
        <v>2.8628451036442561E-3</v>
      </c>
      <c r="P341" s="3">
        <f t="shared" si="348"/>
        <v>5.3928105667607587E-13</v>
      </c>
      <c r="Q341" s="3">
        <f t="shared" si="348"/>
        <v>3.0338095054693265E-110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4.2396011613292664E-2</v>
      </c>
      <c r="C342" s="3">
        <f t="shared" si="349"/>
        <v>4.2396011613284094E-2</v>
      </c>
      <c r="D342" s="3">
        <f t="shared" si="349"/>
        <v>4.2396011613198462E-2</v>
      </c>
      <c r="E342" s="3">
        <f t="shared" si="349"/>
        <v>4.2396011612342063E-2</v>
      </c>
      <c r="F342" s="3">
        <f t="shared" si="349"/>
        <v>4.2396011603778067E-2</v>
      </c>
      <c r="G342" s="3">
        <f t="shared" si="349"/>
        <v>4.2396011518138176E-2</v>
      </c>
      <c r="H342" s="3">
        <f t="shared" si="349"/>
        <v>4.2396010661739252E-2</v>
      </c>
      <c r="I342" s="3">
        <f t="shared" si="349"/>
        <v>4.2396002097750955E-2</v>
      </c>
      <c r="J342" s="3">
        <f t="shared" si="349"/>
        <v>4.2395916457963111E-2</v>
      </c>
      <c r="K342" s="3">
        <f t="shared" si="349"/>
        <v>4.2395060069599165E-2</v>
      </c>
      <c r="L342" s="3">
        <f t="shared" si="349"/>
        <v>4.2386497137339427E-2</v>
      </c>
      <c r="M342" s="3">
        <f t="shared" si="349"/>
        <v>4.2300962881639786E-2</v>
      </c>
      <c r="N342" s="3">
        <f t="shared" si="349"/>
        <v>4.1455056343745744E-2</v>
      </c>
      <c r="O342" s="3">
        <f t="shared" si="349"/>
        <v>3.3872720262572771E-2</v>
      </c>
      <c r="P342" s="3">
        <f t="shared" si="349"/>
        <v>4.4934067483250453E-3</v>
      </c>
      <c r="Q342" s="3">
        <f t="shared" si="349"/>
        <v>7.5828472930379829E-12</v>
      </c>
      <c r="R342" s="3">
        <f t="shared" si="349"/>
        <v>1.420358839626677E-99</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4.6864772655648271E-2</v>
      </c>
      <c r="C343" s="3">
        <f t="shared" si="350"/>
        <v>4.6864772655647417E-2</v>
      </c>
      <c r="D343" s="3">
        <f t="shared" si="350"/>
        <v>4.6864772655638869E-2</v>
      </c>
      <c r="E343" s="3">
        <f t="shared" si="350"/>
        <v>4.6864772655553472E-2</v>
      </c>
      <c r="F343" s="3">
        <f t="shared" si="350"/>
        <v>4.6864772654699502E-2</v>
      </c>
      <c r="G343" s="3">
        <f t="shared" si="350"/>
        <v>4.6864772646159771E-2</v>
      </c>
      <c r="H343" s="3">
        <f t="shared" si="350"/>
        <v>4.6864772560762456E-2</v>
      </c>
      <c r="I343" s="3">
        <f t="shared" si="350"/>
        <v>4.68647717067893E-2</v>
      </c>
      <c r="J343" s="3">
        <f t="shared" si="350"/>
        <v>4.6864763167058641E-2</v>
      </c>
      <c r="K343" s="3">
        <f t="shared" si="350"/>
        <v>4.6864677769837597E-2</v>
      </c>
      <c r="L343" s="3">
        <f t="shared" si="350"/>
        <v>4.6863823806185763E-2</v>
      </c>
      <c r="M343" s="3">
        <f t="shared" si="350"/>
        <v>4.6855285025467021E-2</v>
      </c>
      <c r="N343" s="3">
        <f t="shared" si="350"/>
        <v>4.6769982740569434E-2</v>
      </c>
      <c r="O343" s="3">
        <f t="shared" si="350"/>
        <v>4.5925454739999948E-2</v>
      </c>
      <c r="P343" s="3">
        <f t="shared" si="350"/>
        <v>3.8275072442830453E-2</v>
      </c>
      <c r="Q343" s="3">
        <f t="shared" si="350"/>
        <v>6.1878757176793047E-3</v>
      </c>
      <c r="R343" s="3">
        <f t="shared" si="350"/>
        <v>7.5473969630461497E-11</v>
      </c>
      <c r="S343" s="3">
        <f t="shared" si="350"/>
        <v>5.4998810447279457E-90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5.2270083724911286E-2</v>
      </c>
      <c r="C344" s="3">
        <f t="shared" si="351"/>
        <v>5.2270083724911209E-2</v>
      </c>
      <c r="D344" s="3">
        <f t="shared" si="351"/>
        <v>5.2270083724910342E-2</v>
      </c>
      <c r="E344" s="3">
        <f t="shared" si="351"/>
        <v>5.2270083724901752E-2</v>
      </c>
      <c r="F344" s="3">
        <f t="shared" si="351"/>
        <v>5.2270083724815834E-2</v>
      </c>
      <c r="G344" s="3">
        <f t="shared" si="351"/>
        <v>5.2270083723956626E-2</v>
      </c>
      <c r="H344" s="3">
        <f t="shared" si="351"/>
        <v>5.2270083715364561E-2</v>
      </c>
      <c r="I344" s="3">
        <f t="shared" si="351"/>
        <v>5.2270083629443923E-2</v>
      </c>
      <c r="J344" s="3">
        <f t="shared" si="351"/>
        <v>5.227008277023755E-2</v>
      </c>
      <c r="K344" s="3">
        <f t="shared" si="351"/>
        <v>5.22700741781746E-2</v>
      </c>
      <c r="L344" s="3">
        <f t="shared" si="351"/>
        <v>5.2269988257622746E-2</v>
      </c>
      <c r="M344" s="3">
        <f t="shared" si="351"/>
        <v>5.2269129059872119E-2</v>
      </c>
      <c r="N344" s="3">
        <f t="shared" si="351"/>
        <v>5.2260537859104832E-2</v>
      </c>
      <c r="O344" s="3">
        <f t="shared" si="351"/>
        <v>5.2174703478115432E-2</v>
      </c>
      <c r="P344" s="3">
        <f t="shared" si="351"/>
        <v>5.1324075330933583E-2</v>
      </c>
      <c r="Q344" s="3">
        <f t="shared" si="351"/>
        <v>4.3544426567875105E-2</v>
      </c>
      <c r="R344" s="3">
        <f t="shared" si="351"/>
        <v>8.4148619545611671E-3</v>
      </c>
      <c r="S344" s="3">
        <f t="shared" si="351"/>
        <v>6.1121104863956078E-10</v>
      </c>
      <c r="T344" s="3">
        <f t="shared" si="351"/>
        <v>2.4982344942037547E-81</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5.1448795530600389E-2</v>
      </c>
      <c r="C345" s="3">
        <f t="shared" si="352"/>
        <v>5.1448795530600382E-2</v>
      </c>
      <c r="D345" s="3">
        <f t="shared" si="352"/>
        <v>5.1448795530600305E-2</v>
      </c>
      <c r="E345" s="3">
        <f t="shared" si="352"/>
        <v>5.1448795530599542E-2</v>
      </c>
      <c r="F345" s="3">
        <f t="shared" si="352"/>
        <v>5.1448795530591909E-2</v>
      </c>
      <c r="G345" s="3">
        <f t="shared" si="352"/>
        <v>5.1448795530515623E-2</v>
      </c>
      <c r="H345" s="3">
        <f t="shared" si="352"/>
        <v>5.1448795529752726E-2</v>
      </c>
      <c r="I345" s="3">
        <f t="shared" si="352"/>
        <v>5.1448795522123746E-2</v>
      </c>
      <c r="J345" s="3">
        <f t="shared" si="352"/>
        <v>5.1448795445834021E-2</v>
      </c>
      <c r="K345" s="3">
        <f t="shared" si="352"/>
        <v>5.1448794682936679E-2</v>
      </c>
      <c r="L345" s="3">
        <f t="shared" si="352"/>
        <v>5.1448787053963968E-2</v>
      </c>
      <c r="M345" s="3">
        <f t="shared" si="352"/>
        <v>5.1448710764299008E-2</v>
      </c>
      <c r="N345" s="3">
        <f t="shared" si="352"/>
        <v>5.1447947873871275E-2</v>
      </c>
      <c r="O345" s="3">
        <f t="shared" si="352"/>
        <v>5.144031959174121E-2</v>
      </c>
      <c r="P345" s="3">
        <f t="shared" si="352"/>
        <v>5.1364098951047932E-2</v>
      </c>
      <c r="Q345" s="3">
        <f t="shared" si="352"/>
        <v>5.0608076624577496E-2</v>
      </c>
      <c r="R345" s="3">
        <f t="shared" si="352"/>
        <v>4.3633636955997708E-2</v>
      </c>
      <c r="S345" s="3">
        <f t="shared" si="352"/>
        <v>9.9046066150118156E-3</v>
      </c>
      <c r="T345" s="3">
        <f t="shared" si="352"/>
        <v>3.5974552837679671E-9</v>
      </c>
      <c r="U345" s="3">
        <f t="shared" si="352"/>
        <v>1.4373983313767988E-73</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6.7081242502453009E-2</v>
      </c>
      <c r="C346" s="3">
        <f t="shared" si="353"/>
        <v>6.7081242502453009E-2</v>
      </c>
      <c r="D346" s="3">
        <f t="shared" si="353"/>
        <v>6.7081242502452995E-2</v>
      </c>
      <c r="E346" s="3">
        <f t="shared" si="353"/>
        <v>6.7081242502452912E-2</v>
      </c>
      <c r="F346" s="3">
        <f t="shared" si="353"/>
        <v>6.708124250245201E-2</v>
      </c>
      <c r="G346" s="3">
        <f t="shared" si="353"/>
        <v>6.7081242502443031E-2</v>
      </c>
      <c r="H346" s="3">
        <f t="shared" si="353"/>
        <v>6.7081242502353311E-2</v>
      </c>
      <c r="I346" s="3">
        <f t="shared" si="353"/>
        <v>6.7081242501456015E-2</v>
      </c>
      <c r="J346" s="3">
        <f t="shared" si="353"/>
        <v>6.7081242492482984E-2</v>
      </c>
      <c r="K346" s="3">
        <f t="shared" si="353"/>
        <v>6.7081242402752803E-2</v>
      </c>
      <c r="L346" s="3">
        <f t="shared" si="353"/>
        <v>6.7081241505450931E-2</v>
      </c>
      <c r="M346" s="3">
        <f t="shared" si="353"/>
        <v>6.7081232532432852E-2</v>
      </c>
      <c r="N346" s="3">
        <f t="shared" si="353"/>
        <v>6.7081142802318069E-2</v>
      </c>
      <c r="O346" s="3">
        <f t="shared" si="353"/>
        <v>6.7080245507771696E-2</v>
      </c>
      <c r="P346" s="3">
        <f t="shared" si="353"/>
        <v>6.7071273222415712E-2</v>
      </c>
      <c r="Q346" s="3">
        <f t="shared" si="353"/>
        <v>6.6981616346977496E-2</v>
      </c>
      <c r="R346" s="3">
        <f t="shared" si="353"/>
        <v>6.6091612867044736E-2</v>
      </c>
      <c r="S346" s="3">
        <f t="shared" si="353"/>
        <v>5.781674256807641E-2</v>
      </c>
      <c r="T346" s="3">
        <f t="shared" si="353"/>
        <v>1.5174916585572214E-2</v>
      </c>
      <c r="U346" s="3">
        <f t="shared" si="353"/>
        <v>2.3542535907740389E-8</v>
      </c>
      <c r="V346" s="3">
        <f t="shared" si="353"/>
        <v>1.9016147239882512E-66</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3.0532939065729049E-2</v>
      </c>
      <c r="C347" s="3">
        <f t="shared" si="354"/>
        <v>3.0532939065729049E-2</v>
      </c>
      <c r="D347" s="3">
        <f t="shared" si="354"/>
        <v>3.0532939065729049E-2</v>
      </c>
      <c r="E347" s="3">
        <f t="shared" si="354"/>
        <v>3.0532939065729046E-2</v>
      </c>
      <c r="F347" s="3">
        <f t="shared" si="354"/>
        <v>3.0532939065729008E-2</v>
      </c>
      <c r="G347" s="3">
        <f t="shared" si="354"/>
        <v>3.053293906572864E-2</v>
      </c>
      <c r="H347" s="3">
        <f t="shared" si="354"/>
        <v>3.0532939065724955E-2</v>
      </c>
      <c r="I347" s="3">
        <f t="shared" si="354"/>
        <v>3.0532939065688113E-2</v>
      </c>
      <c r="J347" s="3">
        <f t="shared" si="354"/>
        <v>3.0532939065319686E-2</v>
      </c>
      <c r="K347" s="3">
        <f t="shared" si="354"/>
        <v>3.0532939061635404E-2</v>
      </c>
      <c r="L347" s="3">
        <f t="shared" si="354"/>
        <v>3.0532939024792601E-2</v>
      </c>
      <c r="M347" s="3">
        <f t="shared" si="354"/>
        <v>3.0532938656364556E-2</v>
      </c>
      <c r="N347" s="3">
        <f t="shared" si="354"/>
        <v>3.0532934972084372E-2</v>
      </c>
      <c r="O347" s="3">
        <f t="shared" si="354"/>
        <v>3.0532898129307005E-2</v>
      </c>
      <c r="P347" s="3">
        <f t="shared" si="354"/>
        <v>3.0532529703978385E-2</v>
      </c>
      <c r="Q347" s="3">
        <f t="shared" si="354"/>
        <v>3.0528845695191674E-2</v>
      </c>
      <c r="R347" s="3">
        <f t="shared" si="354"/>
        <v>3.0492030046357754E-2</v>
      </c>
      <c r="S347" s="3">
        <f t="shared" si="354"/>
        <v>3.0126306585335518E-2</v>
      </c>
      <c r="T347" s="3">
        <f t="shared" si="354"/>
        <v>2.6701853911108145E-2</v>
      </c>
      <c r="U347" s="3">
        <f t="shared" si="354"/>
        <v>7.9890779017547948E-3</v>
      </c>
      <c r="V347" s="3">
        <f t="shared" si="354"/>
        <v>4.5924989003302776E-8</v>
      </c>
      <c r="W347" s="3">
        <f t="shared" si="354"/>
        <v>1.8095605132434361E-60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4.6215233336182188E-2</v>
      </c>
      <c r="C348" s="3">
        <f t="shared" si="355"/>
        <v>4.6215233336182188E-2</v>
      </c>
      <c r="D348" s="3">
        <f t="shared" si="355"/>
        <v>4.6215233336182188E-2</v>
      </c>
      <c r="E348" s="3">
        <f t="shared" si="355"/>
        <v>4.6215233336182188E-2</v>
      </c>
      <c r="F348" s="3">
        <f t="shared" si="355"/>
        <v>4.6215233336182174E-2</v>
      </c>
      <c r="G348" s="3">
        <f t="shared" si="355"/>
        <v>4.6215233336182021E-2</v>
      </c>
      <c r="H348" s="3">
        <f t="shared" si="355"/>
        <v>4.6215233336180474E-2</v>
      </c>
      <c r="I348" s="3">
        <f t="shared" si="355"/>
        <v>4.6215233336165049E-2</v>
      </c>
      <c r="J348" s="3">
        <f t="shared" si="355"/>
        <v>4.6215233336010818E-2</v>
      </c>
      <c r="K348" s="3">
        <f t="shared" si="355"/>
        <v>4.6215233334468468E-2</v>
      </c>
      <c r="L348" s="3">
        <f t="shared" si="355"/>
        <v>4.6215233319045E-2</v>
      </c>
      <c r="M348" s="3">
        <f t="shared" si="355"/>
        <v>4.6215233164810306E-2</v>
      </c>
      <c r="N348" s="3">
        <f t="shared" si="355"/>
        <v>4.6215231622463368E-2</v>
      </c>
      <c r="O348" s="3">
        <f t="shared" si="355"/>
        <v>4.6215216198996878E-2</v>
      </c>
      <c r="P348" s="3">
        <f t="shared" si="355"/>
        <v>4.6215061964615035E-2</v>
      </c>
      <c r="Q348" s="3">
        <f t="shared" si="355"/>
        <v>4.6213519649106374E-2</v>
      </c>
      <c r="R348" s="3">
        <f t="shared" si="355"/>
        <v>4.6198099324643312E-2</v>
      </c>
      <c r="S348" s="3">
        <f t="shared" si="355"/>
        <v>4.6044178793156171E-2</v>
      </c>
      <c r="T348" s="3">
        <f t="shared" si="355"/>
        <v>4.4532898791215227E-2</v>
      </c>
      <c r="U348" s="3">
        <f t="shared" si="355"/>
        <v>3.189652023703831E-2</v>
      </c>
      <c r="V348" s="3">
        <f t="shared" si="355"/>
        <v>1.1333569454305284E-3</v>
      </c>
      <c r="W348" s="3">
        <f t="shared" si="355"/>
        <v>3.6358064292987491E-18</v>
      </c>
      <c r="X348" s="3">
        <f t="shared" si="355"/>
        <v>4.197021384697331E-163</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3.4109179879759796E-2</v>
      </c>
      <c r="C349" s="3">
        <f t="shared" si="356"/>
        <v>3.4109179879759796E-2</v>
      </c>
      <c r="D349" s="3">
        <f t="shared" si="356"/>
        <v>3.4109179879759796E-2</v>
      </c>
      <c r="E349" s="3">
        <f t="shared" si="356"/>
        <v>3.4109179879759796E-2</v>
      </c>
      <c r="F349" s="3">
        <f t="shared" si="356"/>
        <v>3.4109179879759796E-2</v>
      </c>
      <c r="G349" s="3">
        <f t="shared" si="356"/>
        <v>3.4109179879759782E-2</v>
      </c>
      <c r="H349" s="3">
        <f t="shared" si="356"/>
        <v>3.4109179879759671E-2</v>
      </c>
      <c r="I349" s="3">
        <f t="shared" si="356"/>
        <v>3.4109179879758533E-2</v>
      </c>
      <c r="J349" s="3">
        <f t="shared" si="356"/>
        <v>3.4109179879747147E-2</v>
      </c>
      <c r="K349" s="3">
        <f t="shared" si="356"/>
        <v>3.4109179879633314E-2</v>
      </c>
      <c r="L349" s="3">
        <f t="shared" si="356"/>
        <v>3.4109179878494988E-2</v>
      </c>
      <c r="M349" s="3">
        <f t="shared" si="356"/>
        <v>3.4109179867111684E-2</v>
      </c>
      <c r="N349" s="3">
        <f t="shared" si="356"/>
        <v>3.4109179753278679E-2</v>
      </c>
      <c r="O349" s="3">
        <f t="shared" si="356"/>
        <v>3.4109178614948624E-2</v>
      </c>
      <c r="P349" s="3">
        <f t="shared" si="356"/>
        <v>3.4109167231650195E-2</v>
      </c>
      <c r="Q349" s="3">
        <f t="shared" si="356"/>
        <v>3.410905339887485E-2</v>
      </c>
      <c r="R349" s="3">
        <f t="shared" si="356"/>
        <v>3.4107915092015433E-2</v>
      </c>
      <c r="S349" s="3">
        <f t="shared" si="356"/>
        <v>3.4096534112564587E-2</v>
      </c>
      <c r="T349" s="3">
        <f t="shared" si="356"/>
        <v>3.3982932974656398E-2</v>
      </c>
      <c r="U349" s="3">
        <f t="shared" si="356"/>
        <v>3.2867531889046606E-2</v>
      </c>
      <c r="V349" s="3">
        <f t="shared" si="356"/>
        <v>2.3541245337644214E-2</v>
      </c>
      <c r="W349" s="3">
        <f t="shared" si="356"/>
        <v>8.3647475364793879E-4</v>
      </c>
      <c r="X349" s="3">
        <f t="shared" si="356"/>
        <v>2.6834090526563797E-18</v>
      </c>
      <c r="Y349" s="3">
        <f t="shared" si="356"/>
        <v>3.0976140773427915E-163</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1.6721828719437171E-2</v>
      </c>
      <c r="C350" s="3">
        <f t="shared" si="357"/>
        <v>1.6721828719437171E-2</v>
      </c>
      <c r="D350" s="3">
        <f t="shared" si="357"/>
        <v>1.6721828719437171E-2</v>
      </c>
      <c r="E350" s="3">
        <f t="shared" si="357"/>
        <v>1.6721828719437171E-2</v>
      </c>
      <c r="F350" s="3">
        <f t="shared" si="357"/>
        <v>1.6721828719437171E-2</v>
      </c>
      <c r="G350" s="3">
        <f t="shared" si="357"/>
        <v>1.6721828719437171E-2</v>
      </c>
      <c r="H350" s="3">
        <f t="shared" si="357"/>
        <v>1.6721828719437164E-2</v>
      </c>
      <c r="I350" s="3">
        <f t="shared" si="357"/>
        <v>1.6721828719437108E-2</v>
      </c>
      <c r="J350" s="3">
        <f t="shared" si="357"/>
        <v>1.672182871943655E-2</v>
      </c>
      <c r="K350" s="3">
        <f t="shared" si="357"/>
        <v>1.6721828719430971E-2</v>
      </c>
      <c r="L350" s="3">
        <f t="shared" si="357"/>
        <v>1.6721828719375165E-2</v>
      </c>
      <c r="M350" s="3">
        <f t="shared" si="357"/>
        <v>1.6721828718817104E-2</v>
      </c>
      <c r="N350" s="3">
        <f t="shared" si="357"/>
        <v>1.6721828713236506E-2</v>
      </c>
      <c r="O350" s="3">
        <f t="shared" si="357"/>
        <v>1.6721828657430531E-2</v>
      </c>
      <c r="P350" s="3">
        <f t="shared" si="357"/>
        <v>1.6721828099370787E-2</v>
      </c>
      <c r="Q350" s="3">
        <f t="shared" si="357"/>
        <v>1.6721822518774385E-2</v>
      </c>
      <c r="R350" s="3">
        <f t="shared" si="357"/>
        <v>1.6721766712912776E-2</v>
      </c>
      <c r="S350" s="3">
        <f t="shared" si="357"/>
        <v>1.6721208664539858E-2</v>
      </c>
      <c r="T350" s="3">
        <f t="shared" si="357"/>
        <v>1.6715629205001189E-2</v>
      </c>
      <c r="U350" s="3">
        <f t="shared" si="357"/>
        <v>1.6659936902309349E-2</v>
      </c>
      <c r="V350" s="3">
        <f t="shared" si="357"/>
        <v>1.6113117952900692E-2</v>
      </c>
      <c r="W350" s="3">
        <f t="shared" si="357"/>
        <v>1.1540959758224114E-2</v>
      </c>
      <c r="X350" s="3">
        <f t="shared" si="357"/>
        <v>4.1007692380590704E-4</v>
      </c>
      <c r="Y350" s="3">
        <f t="shared" si="357"/>
        <v>1.3155258121387332E-18</v>
      </c>
      <c r="Z350" s="3">
        <f t="shared" si="357"/>
        <v>1.5185874366618848E-163</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1.0380166217025045E-2</v>
      </c>
      <c r="C351" s="3">
        <f t="shared" si="358"/>
        <v>1.0380166217025045E-2</v>
      </c>
      <c r="D351" s="3">
        <f t="shared" si="358"/>
        <v>1.0380166217025045E-2</v>
      </c>
      <c r="E351" s="3">
        <f t="shared" si="358"/>
        <v>1.0380166217025045E-2</v>
      </c>
      <c r="F351" s="3">
        <f t="shared" si="358"/>
        <v>1.0380166217025045E-2</v>
      </c>
      <c r="G351" s="3">
        <f t="shared" si="358"/>
        <v>1.0380166217025045E-2</v>
      </c>
      <c r="H351" s="3">
        <f t="shared" si="358"/>
        <v>1.0380166217025045E-2</v>
      </c>
      <c r="I351" s="3">
        <f t="shared" si="358"/>
        <v>1.0380166217025042E-2</v>
      </c>
      <c r="J351" s="3">
        <f t="shared" si="358"/>
        <v>1.0380166217025007E-2</v>
      </c>
      <c r="K351" s="3">
        <f t="shared" si="358"/>
        <v>1.038016621702466E-2</v>
      </c>
      <c r="L351" s="3">
        <f t="shared" si="358"/>
        <v>1.0380166217021196E-2</v>
      </c>
      <c r="M351" s="3">
        <f t="shared" si="358"/>
        <v>1.0380166216986553E-2</v>
      </c>
      <c r="N351" s="3">
        <f t="shared" si="358"/>
        <v>1.0380166216640136E-2</v>
      </c>
      <c r="O351" s="3">
        <f t="shared" si="358"/>
        <v>1.0380166213175949E-2</v>
      </c>
      <c r="P351" s="3">
        <f t="shared" si="358"/>
        <v>1.0380166178534087E-2</v>
      </c>
      <c r="Q351" s="3">
        <f t="shared" si="358"/>
        <v>1.0380165832115462E-2</v>
      </c>
      <c r="R351" s="3">
        <f t="shared" si="358"/>
        <v>1.0380162367929862E-2</v>
      </c>
      <c r="S351" s="3">
        <f t="shared" si="358"/>
        <v>1.0380127726137441E-2</v>
      </c>
      <c r="T351" s="3">
        <f t="shared" si="358"/>
        <v>1.0379781314571745E-2</v>
      </c>
      <c r="U351" s="3">
        <f t="shared" si="358"/>
        <v>1.0376317834686602E-2</v>
      </c>
      <c r="V351" s="3">
        <f t="shared" si="358"/>
        <v>1.0341746534582433E-2</v>
      </c>
      <c r="W351" s="3">
        <f t="shared" si="358"/>
        <v>1.0002305694665021E-2</v>
      </c>
      <c r="X351" s="3">
        <f t="shared" si="358"/>
        <v>7.1641136029047692E-3</v>
      </c>
      <c r="Y351" s="3">
        <f t="shared" si="358"/>
        <v>2.5455748305349839E-4</v>
      </c>
      <c r="Z351" s="3">
        <f t="shared" si="358"/>
        <v>8.1661981006384404E-19</v>
      </c>
      <c r="AA351" s="3">
        <f t="shared" si="358"/>
        <v>9.4267141902449293E-164</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2.3857851620006894E-3</v>
      </c>
      <c r="C352" s="3">
        <f t="shared" si="359"/>
        <v>2.3857851620006894E-3</v>
      </c>
      <c r="D352" s="3">
        <f t="shared" si="359"/>
        <v>2.3857851620006894E-3</v>
      </c>
      <c r="E352" s="3">
        <f t="shared" si="359"/>
        <v>2.3857851620006894E-3</v>
      </c>
      <c r="F352" s="3">
        <f t="shared" si="359"/>
        <v>2.3857851620006894E-3</v>
      </c>
      <c r="G352" s="3">
        <f t="shared" si="359"/>
        <v>2.3857851620006894E-3</v>
      </c>
      <c r="H352" s="3">
        <f t="shared" si="359"/>
        <v>2.3857851620006894E-3</v>
      </c>
      <c r="I352" s="3">
        <f t="shared" si="359"/>
        <v>2.3857851620006894E-3</v>
      </c>
      <c r="J352" s="3">
        <f t="shared" si="359"/>
        <v>2.3857851620006885E-3</v>
      </c>
      <c r="K352" s="3">
        <f t="shared" si="359"/>
        <v>2.3857851620006807E-3</v>
      </c>
      <c r="L352" s="3">
        <f t="shared" si="359"/>
        <v>2.3857851620006009E-3</v>
      </c>
      <c r="M352" s="3">
        <f t="shared" si="359"/>
        <v>2.3857851619998047E-3</v>
      </c>
      <c r="N352" s="3">
        <f t="shared" si="359"/>
        <v>2.3857851619918428E-3</v>
      </c>
      <c r="O352" s="3">
        <f t="shared" si="359"/>
        <v>2.3857851619122216E-3</v>
      </c>
      <c r="P352" s="3">
        <f t="shared" si="359"/>
        <v>2.3857851611160104E-3</v>
      </c>
      <c r="Q352" s="3">
        <f t="shared" si="359"/>
        <v>2.3857851531538985E-3</v>
      </c>
      <c r="R352" s="3">
        <f t="shared" si="359"/>
        <v>2.3857850735327832E-3</v>
      </c>
      <c r="S352" s="3">
        <f t="shared" si="359"/>
        <v>2.3857842773217755E-3</v>
      </c>
      <c r="T352" s="3">
        <f t="shared" si="359"/>
        <v>2.3857763152263125E-3</v>
      </c>
      <c r="U352" s="3">
        <f t="shared" si="359"/>
        <v>2.3856966957331266E-3</v>
      </c>
      <c r="V352" s="3">
        <f t="shared" si="359"/>
        <v>2.384900646927539E-3</v>
      </c>
      <c r="W352" s="3">
        <f t="shared" si="359"/>
        <v>2.3769547534711975E-3</v>
      </c>
      <c r="X352" s="3">
        <f t="shared" si="359"/>
        <v>2.2989374171087252E-3</v>
      </c>
      <c r="Y352" s="3">
        <f t="shared" si="359"/>
        <v>1.6466052253251947E-3</v>
      </c>
      <c r="Z352" s="3">
        <f t="shared" si="359"/>
        <v>5.8507682174605488E-5</v>
      </c>
      <c r="AA352" s="3">
        <f t="shared" si="359"/>
        <v>1.8769250752947163E-19</v>
      </c>
      <c r="AB352" s="3">
        <f t="shared" si="359"/>
        <v>2.1666430355055876E-164</v>
      </c>
      <c r="AC352" s="3">
        <f t="shared" si="359"/>
        <v>0</v>
      </c>
      <c r="AD352" s="3">
        <f t="shared" si="359"/>
        <v>0</v>
      </c>
      <c r="AE352" s="3">
        <f t="shared" si="359"/>
        <v>0</v>
      </c>
      <c r="AF352" s="3">
        <f t="shared" si="359"/>
        <v>0</v>
      </c>
      <c r="AG352" s="3"/>
      <c r="AH352" s="3"/>
    </row>
    <row r="353" spans="1:34" x14ac:dyDescent="0.25">
      <c r="B353" s="3">
        <f t="shared" ref="B353:AF353" si="360">$C44*EXP(-B$363/$A44/EXP(-$G$126))</f>
        <v>4.6637051545343495E-3</v>
      </c>
      <c r="C353" s="3">
        <f t="shared" si="360"/>
        <v>4.6637051545343495E-3</v>
      </c>
      <c r="D353" s="3">
        <f t="shared" si="360"/>
        <v>4.6637051545343495E-3</v>
      </c>
      <c r="E353" s="3">
        <f t="shared" si="360"/>
        <v>4.6637051545343495E-3</v>
      </c>
      <c r="F353" s="3">
        <f t="shared" si="360"/>
        <v>4.6637051545343495E-3</v>
      </c>
      <c r="G353" s="3">
        <f t="shared" si="360"/>
        <v>4.6637051545343495E-3</v>
      </c>
      <c r="H353" s="3">
        <f t="shared" si="360"/>
        <v>4.6637051545343495E-3</v>
      </c>
      <c r="I353" s="3">
        <f t="shared" si="360"/>
        <v>4.6637051545343495E-3</v>
      </c>
      <c r="J353" s="3">
        <f t="shared" si="360"/>
        <v>4.6637051545343495E-3</v>
      </c>
      <c r="K353" s="3">
        <f t="shared" si="360"/>
        <v>4.6637051545343478E-3</v>
      </c>
      <c r="L353" s="3">
        <f t="shared" si="360"/>
        <v>4.6637051545343321E-3</v>
      </c>
      <c r="M353" s="3">
        <f t="shared" si="360"/>
        <v>4.6637051545341769E-3</v>
      </c>
      <c r="N353" s="3">
        <f t="shared" si="360"/>
        <v>4.66370515453262E-3</v>
      </c>
      <c r="O353" s="3">
        <f t="shared" si="360"/>
        <v>4.663705154517056E-3</v>
      </c>
      <c r="P353" s="3">
        <f t="shared" si="360"/>
        <v>4.6637051543614132E-3</v>
      </c>
      <c r="Q353" s="3">
        <f t="shared" si="360"/>
        <v>4.6637051528049889E-3</v>
      </c>
      <c r="R353" s="3">
        <f t="shared" si="360"/>
        <v>4.6637051372407454E-3</v>
      </c>
      <c r="S353" s="3">
        <f t="shared" si="360"/>
        <v>4.6637049815983125E-3</v>
      </c>
      <c r="T353" s="3">
        <f t="shared" si="360"/>
        <v>4.6637034251742725E-3</v>
      </c>
      <c r="U353" s="3">
        <f t="shared" si="360"/>
        <v>4.6636878609624391E-3</v>
      </c>
      <c r="V353" s="3">
        <f t="shared" si="360"/>
        <v>4.6635322217009135E-3</v>
      </c>
      <c r="W353" s="3">
        <f t="shared" si="360"/>
        <v>4.6619761147315975E-3</v>
      </c>
      <c r="X353" s="3">
        <f t="shared" si="360"/>
        <v>4.6464435743922795E-3</v>
      </c>
      <c r="Y353" s="3">
        <f t="shared" si="360"/>
        <v>4.4939361904367259E-3</v>
      </c>
      <c r="Z353" s="3">
        <f t="shared" si="360"/>
        <v>3.2187647903688678E-3</v>
      </c>
      <c r="AA353" s="3">
        <f t="shared" si="360"/>
        <v>1.1437013830228787E-4</v>
      </c>
      <c r="AB353" s="3">
        <f t="shared" si="360"/>
        <v>3.6689913608927923E-19</v>
      </c>
      <c r="AC353" s="3">
        <f t="shared" si="360"/>
        <v>4.2353286681730311E-164</v>
      </c>
      <c r="AD353" s="3">
        <f t="shared" si="360"/>
        <v>0</v>
      </c>
      <c r="AE353" s="3">
        <f t="shared" si="360"/>
        <v>0</v>
      </c>
      <c r="AF353" s="3">
        <f t="shared" si="360"/>
        <v>0</v>
      </c>
      <c r="AG353" s="3"/>
      <c r="AH353" s="3"/>
    </row>
    <row r="354" spans="1:34" x14ac:dyDescent="0.25">
      <c r="B354" s="3">
        <f t="shared" ref="B354:AF354" si="361">$C45*EXP(-B$363/$A45/EXP(-$G$126))</f>
        <v>1.1662493677485003E-4</v>
      </c>
      <c r="C354" s="3">
        <f t="shared" si="361"/>
        <v>1.1662493677485003E-4</v>
      </c>
      <c r="D354" s="3">
        <f t="shared" si="361"/>
        <v>1.1662493677485003E-4</v>
      </c>
      <c r="E354" s="3">
        <f t="shared" si="361"/>
        <v>1.1662493677485003E-4</v>
      </c>
      <c r="F354" s="3">
        <f t="shared" si="361"/>
        <v>1.1662493677485003E-4</v>
      </c>
      <c r="G354" s="3">
        <f t="shared" si="361"/>
        <v>1.1662493677485003E-4</v>
      </c>
      <c r="H354" s="3">
        <f t="shared" si="361"/>
        <v>1.1662493677485003E-4</v>
      </c>
      <c r="I354" s="3">
        <f t="shared" si="361"/>
        <v>1.1662493677485003E-4</v>
      </c>
      <c r="J354" s="3">
        <f t="shared" si="361"/>
        <v>1.1662493677485003E-4</v>
      </c>
      <c r="K354" s="3">
        <f t="shared" si="361"/>
        <v>1.1662493677485003E-4</v>
      </c>
      <c r="L354" s="3">
        <f t="shared" si="361"/>
        <v>1.1662493677484999E-4</v>
      </c>
      <c r="M354" s="3">
        <f t="shared" si="361"/>
        <v>1.166249367748496E-4</v>
      </c>
      <c r="N354" s="3">
        <f t="shared" si="361"/>
        <v>1.1662493677484571E-4</v>
      </c>
      <c r="O354" s="3">
        <f t="shared" si="361"/>
        <v>1.1662493677480679E-4</v>
      </c>
      <c r="P354" s="3">
        <f t="shared" si="361"/>
        <v>1.1662493677441757E-4</v>
      </c>
      <c r="Q354" s="3">
        <f t="shared" si="361"/>
        <v>1.1662493677052544E-4</v>
      </c>
      <c r="R354" s="3">
        <f t="shared" si="361"/>
        <v>1.1662493673160404E-4</v>
      </c>
      <c r="S354" s="3">
        <f t="shared" si="361"/>
        <v>1.1662493634239014E-4</v>
      </c>
      <c r="T354" s="3">
        <f t="shared" si="361"/>
        <v>1.166249324502511E-4</v>
      </c>
      <c r="U354" s="3">
        <f t="shared" si="361"/>
        <v>1.1662489352886793E-4</v>
      </c>
      <c r="V354" s="3">
        <f t="shared" si="361"/>
        <v>1.166245043157507E-4</v>
      </c>
      <c r="W354" s="3">
        <f t="shared" si="361"/>
        <v>1.1662061225601843E-4</v>
      </c>
      <c r="X354" s="3">
        <f t="shared" si="361"/>
        <v>1.1658169880182314E-4</v>
      </c>
      <c r="Y354" s="3">
        <f t="shared" si="361"/>
        <v>1.1619327769135382E-4</v>
      </c>
      <c r="Z354" s="3">
        <f t="shared" si="361"/>
        <v>1.1237953659448765E-4</v>
      </c>
      <c r="AA354" s="3">
        <f t="shared" si="361"/>
        <v>8.049141781720622E-5</v>
      </c>
      <c r="AB354" s="3">
        <f t="shared" si="361"/>
        <v>2.8600457589963055E-6</v>
      </c>
      <c r="AC354" s="3">
        <f t="shared" si="361"/>
        <v>9.1750201033949462E-21</v>
      </c>
      <c r="AD354" s="3">
        <f t="shared" si="361"/>
        <v>1.0591255702907054E-165</v>
      </c>
      <c r="AE354" s="3">
        <f t="shared" si="361"/>
        <v>0</v>
      </c>
      <c r="AF354" s="3">
        <f t="shared" si="361"/>
        <v>0</v>
      </c>
      <c r="AG354" s="3"/>
      <c r="AH354" s="3"/>
    </row>
    <row r="355" spans="1:34" x14ac:dyDescent="0.25">
      <c r="B355" s="3">
        <f t="shared" ref="B355:AF355" si="362">$C46*EXP(-B$363/$A46/EXP(-$G$126))</f>
        <v>1.2727846034903288E-3</v>
      </c>
      <c r="C355" s="3">
        <f t="shared" si="362"/>
        <v>1.2727846034903288E-3</v>
      </c>
      <c r="D355" s="3">
        <f t="shared" si="362"/>
        <v>1.2727846034903288E-3</v>
      </c>
      <c r="E355" s="3">
        <f t="shared" si="362"/>
        <v>1.2727846034903288E-3</v>
      </c>
      <c r="F355" s="3">
        <f t="shared" si="362"/>
        <v>1.2727846034903288E-3</v>
      </c>
      <c r="G355" s="3">
        <f t="shared" si="362"/>
        <v>1.2727846034903288E-3</v>
      </c>
      <c r="H355" s="3">
        <f t="shared" si="362"/>
        <v>1.2727846034903288E-3</v>
      </c>
      <c r="I355" s="3">
        <f t="shared" si="362"/>
        <v>1.2727846034903288E-3</v>
      </c>
      <c r="J355" s="3">
        <f t="shared" si="362"/>
        <v>1.2727846034903288E-3</v>
      </c>
      <c r="K355" s="3">
        <f t="shared" si="362"/>
        <v>1.2727846034903288E-3</v>
      </c>
      <c r="L355" s="3">
        <f t="shared" si="362"/>
        <v>1.2727846034903288E-3</v>
      </c>
      <c r="M355" s="3">
        <f t="shared" si="362"/>
        <v>1.2727846034903284E-3</v>
      </c>
      <c r="N355" s="3">
        <f t="shared" si="362"/>
        <v>1.272784603490324E-3</v>
      </c>
      <c r="O355" s="3">
        <f t="shared" si="362"/>
        <v>1.2727846034902815E-3</v>
      </c>
      <c r="P355" s="3">
        <f t="shared" si="362"/>
        <v>1.2727846034898567E-3</v>
      </c>
      <c r="Q355" s="3">
        <f t="shared" si="362"/>
        <v>1.272784603485609E-3</v>
      </c>
      <c r="R355" s="3">
        <f t="shared" si="362"/>
        <v>1.2727846034431324E-3</v>
      </c>
      <c r="S355" s="3">
        <f t="shared" si="362"/>
        <v>1.2727846030183643E-3</v>
      </c>
      <c r="T355" s="3">
        <f t="shared" si="362"/>
        <v>1.2727845987706838E-3</v>
      </c>
      <c r="U355" s="3">
        <f t="shared" si="362"/>
        <v>1.2727845562938793E-3</v>
      </c>
      <c r="V355" s="3">
        <f t="shared" si="362"/>
        <v>1.2727841315259129E-3</v>
      </c>
      <c r="W355" s="3">
        <f t="shared" si="362"/>
        <v>1.2727798838540443E-3</v>
      </c>
      <c r="X355" s="3">
        <f t="shared" si="362"/>
        <v>1.2727374079150207E-3</v>
      </c>
      <c r="Y355" s="3">
        <f t="shared" si="362"/>
        <v>1.2723127264812034E-3</v>
      </c>
      <c r="Z355" s="3">
        <f t="shared" si="362"/>
        <v>1.2680736981674698E-3</v>
      </c>
      <c r="AA355" s="3">
        <f t="shared" si="362"/>
        <v>1.2264524884671756E-3</v>
      </c>
      <c r="AB355" s="3">
        <f t="shared" si="362"/>
        <v>8.7844195370179179E-4</v>
      </c>
      <c r="AC355" s="3">
        <f t="shared" si="362"/>
        <v>3.1213069074206066E-5</v>
      </c>
      <c r="AD355" s="3">
        <f t="shared" si="362"/>
        <v>1.0013145256284189E-19</v>
      </c>
      <c r="AE355" s="3">
        <f t="shared" si="362"/>
        <v>1.1558751981416945E-164</v>
      </c>
      <c r="AF355" s="3">
        <f t="shared" si="362"/>
        <v>0</v>
      </c>
      <c r="AG355" s="3"/>
      <c r="AH355" s="3"/>
    </row>
    <row r="356" spans="1:34" x14ac:dyDescent="0.25">
      <c r="B356" s="3">
        <f t="shared" ref="B356:AF356" si="363">$C47*EXP(-B$363/$A47/EXP(-$G$126))</f>
        <v>2.0157372743803063E-3</v>
      </c>
      <c r="C356" s="3">
        <f t="shared" si="363"/>
        <v>2.0157372743803063E-3</v>
      </c>
      <c r="D356" s="3">
        <f t="shared" si="363"/>
        <v>2.0157372743803063E-3</v>
      </c>
      <c r="E356" s="3">
        <f t="shared" si="363"/>
        <v>2.0157372743803063E-3</v>
      </c>
      <c r="F356" s="3">
        <f t="shared" si="363"/>
        <v>2.0157372743803063E-3</v>
      </c>
      <c r="G356" s="3">
        <f t="shared" si="363"/>
        <v>2.0157372743803063E-3</v>
      </c>
      <c r="H356" s="3">
        <f t="shared" si="363"/>
        <v>2.0157372743803063E-3</v>
      </c>
      <c r="I356" s="3">
        <f t="shared" si="363"/>
        <v>2.0157372743803063E-3</v>
      </c>
      <c r="J356" s="3">
        <f t="shared" si="363"/>
        <v>2.0157372743803063E-3</v>
      </c>
      <c r="K356" s="3">
        <f t="shared" si="363"/>
        <v>2.0157372743803063E-3</v>
      </c>
      <c r="L356" s="3">
        <f t="shared" si="363"/>
        <v>2.0157372743803063E-3</v>
      </c>
      <c r="M356" s="3">
        <f t="shared" si="363"/>
        <v>2.0157372743803063E-3</v>
      </c>
      <c r="N356" s="3">
        <f t="shared" si="363"/>
        <v>2.0157372743803055E-3</v>
      </c>
      <c r="O356" s="3">
        <f t="shared" si="363"/>
        <v>2.0157372743802989E-3</v>
      </c>
      <c r="P356" s="3">
        <f t="shared" si="363"/>
        <v>2.0157372743802317E-3</v>
      </c>
      <c r="Q356" s="3">
        <f t="shared" si="363"/>
        <v>2.0157372743795587E-3</v>
      </c>
      <c r="R356" s="3">
        <f t="shared" si="363"/>
        <v>2.0157372743728318E-3</v>
      </c>
      <c r="S356" s="3">
        <f t="shared" si="363"/>
        <v>2.0157372743055601E-3</v>
      </c>
      <c r="T356" s="3">
        <f t="shared" si="363"/>
        <v>2.0157372736328456E-3</v>
      </c>
      <c r="U356" s="3">
        <f t="shared" si="363"/>
        <v>2.0157372669056994E-3</v>
      </c>
      <c r="V356" s="3">
        <f t="shared" si="363"/>
        <v>2.0157371996342398E-3</v>
      </c>
      <c r="W356" s="3">
        <f t="shared" si="363"/>
        <v>2.0157365269197675E-3</v>
      </c>
      <c r="X356" s="3">
        <f t="shared" si="363"/>
        <v>2.0157297997873908E-3</v>
      </c>
      <c r="Y356" s="3">
        <f t="shared" si="363"/>
        <v>2.0156625296983911E-3</v>
      </c>
      <c r="Z356" s="3">
        <f t="shared" si="363"/>
        <v>2.014989952269708E-3</v>
      </c>
      <c r="AA356" s="3">
        <f t="shared" si="363"/>
        <v>2.0082765088828901E-3</v>
      </c>
      <c r="AB356" s="3">
        <f t="shared" si="363"/>
        <v>1.9423600737157674E-3</v>
      </c>
      <c r="AC356" s="3">
        <f t="shared" si="363"/>
        <v>1.391208052486169E-3</v>
      </c>
      <c r="AD356" s="3">
        <f t="shared" si="363"/>
        <v>4.943283145329346E-5</v>
      </c>
      <c r="AE356" s="3">
        <f t="shared" si="363"/>
        <v>1.5858040764734747E-19</v>
      </c>
      <c r="AF356" s="3">
        <f t="shared" si="363"/>
        <v>1.8305852498817094E-164</v>
      </c>
      <c r="AG356" s="3"/>
      <c r="AH356" s="3"/>
    </row>
    <row r="357" spans="1:34" x14ac:dyDescent="0.25">
      <c r="B357" s="3">
        <f t="shared" ref="B357:AF357" si="364">$C48*EXP(-B$363/$A48/EXP(-$G$126))</f>
        <v>9.8070147356989854E-3</v>
      </c>
      <c r="C357" s="3">
        <f t="shared" si="364"/>
        <v>9.8070147356989854E-3</v>
      </c>
      <c r="D357" s="3">
        <f t="shared" si="364"/>
        <v>9.8070147356989854E-3</v>
      </c>
      <c r="E357" s="3">
        <f t="shared" si="364"/>
        <v>9.8070147356989854E-3</v>
      </c>
      <c r="F357" s="3">
        <f t="shared" si="364"/>
        <v>9.8070147356989854E-3</v>
      </c>
      <c r="G357" s="3">
        <f t="shared" si="364"/>
        <v>9.8070147356989854E-3</v>
      </c>
      <c r="H357" s="3">
        <f t="shared" si="364"/>
        <v>9.8070147356989854E-3</v>
      </c>
      <c r="I357" s="3">
        <f t="shared" si="364"/>
        <v>9.8070147356989854E-3</v>
      </c>
      <c r="J357" s="3">
        <f t="shared" si="364"/>
        <v>9.8070147356989854E-3</v>
      </c>
      <c r="K357" s="3">
        <f t="shared" si="364"/>
        <v>9.8070147356989854E-3</v>
      </c>
      <c r="L357" s="3">
        <f t="shared" si="364"/>
        <v>9.8070147356989854E-3</v>
      </c>
      <c r="M357" s="3">
        <f t="shared" si="364"/>
        <v>9.8070147356989854E-3</v>
      </c>
      <c r="N357" s="3">
        <f t="shared" si="364"/>
        <v>9.8070147356989854E-3</v>
      </c>
      <c r="O357" s="3">
        <f t="shared" si="364"/>
        <v>9.807014735698982E-3</v>
      </c>
      <c r="P357" s="3">
        <f t="shared" si="364"/>
        <v>9.807014735698949E-3</v>
      </c>
      <c r="Q357" s="3">
        <f t="shared" si="364"/>
        <v>9.8070147356986211E-3</v>
      </c>
      <c r="R357" s="3">
        <f t="shared" si="364"/>
        <v>9.8070147356953494E-3</v>
      </c>
      <c r="S357" s="3">
        <f t="shared" si="364"/>
        <v>9.8070147356626204E-3</v>
      </c>
      <c r="T357" s="3">
        <f t="shared" si="364"/>
        <v>9.8070147353353301E-3</v>
      </c>
      <c r="U357" s="3">
        <f t="shared" si="364"/>
        <v>9.8070147320624204E-3</v>
      </c>
      <c r="V357" s="3">
        <f t="shared" si="364"/>
        <v>9.807014699333344E-3</v>
      </c>
      <c r="W357" s="3">
        <f t="shared" si="364"/>
        <v>9.8070143720425784E-3</v>
      </c>
      <c r="X357" s="3">
        <f t="shared" si="364"/>
        <v>9.8070110991355253E-3</v>
      </c>
      <c r="Y357" s="3">
        <f t="shared" si="364"/>
        <v>9.80697837012506E-3</v>
      </c>
      <c r="Z357" s="3">
        <f t="shared" si="364"/>
        <v>9.8066510860278337E-3</v>
      </c>
      <c r="AA357" s="3">
        <f t="shared" si="364"/>
        <v>9.8033788457225976E-3</v>
      </c>
      <c r="AB357" s="3">
        <f t="shared" si="364"/>
        <v>9.7707164352693072E-3</v>
      </c>
      <c r="AC357" s="3">
        <f t="shared" si="364"/>
        <v>9.450018168076996E-3</v>
      </c>
      <c r="AD357" s="3">
        <f t="shared" si="364"/>
        <v>6.7685397519621536E-3</v>
      </c>
      <c r="AE357" s="3">
        <f t="shared" si="364"/>
        <v>2.4050183158854901E-4</v>
      </c>
      <c r="AF357" s="3">
        <f t="shared" si="364"/>
        <v>7.7152931304939062E-19</v>
      </c>
      <c r="AG357" s="3"/>
      <c r="AH357" s="3"/>
    </row>
    <row r="358" spans="1:34" x14ac:dyDescent="0.25">
      <c r="A358" s="79">
        <f>AVERAGE(B358:AF358)</f>
        <v>1.9420925825653811E-2</v>
      </c>
      <c r="B358" s="80">
        <f>IF($A$64&lt;=B324,IF($B$64&gt;=B324,ABS((B326-B325)/B325),0),0)</f>
        <v>4.4266991530854541E-3</v>
      </c>
      <c r="C358" s="80">
        <f t="shared" ref="C358:AF358" si="365">IF($A$64&lt;=C324,IF($B$64&gt;=C324,ABS((C326-C325)/C325),0),0)</f>
        <v>5.5797593777883849E-3</v>
      </c>
      <c r="D358" s="80">
        <f t="shared" si="365"/>
        <v>5.7886157879273835E-3</v>
      </c>
      <c r="E358" s="80">
        <f t="shared" si="365"/>
        <v>5.6677250076786279E-3</v>
      </c>
      <c r="F358" s="80">
        <f t="shared" si="365"/>
        <v>6.2561768944914388E-3</v>
      </c>
      <c r="G358" s="80">
        <f t="shared" si="365"/>
        <v>6.6005377661065802E-3</v>
      </c>
      <c r="H358" s="80">
        <f t="shared" si="365"/>
        <v>5.8517986623464607E-3</v>
      </c>
      <c r="I358" s="80">
        <f t="shared" si="365"/>
        <v>4.1627884834526284E-3</v>
      </c>
      <c r="J358" s="80">
        <f t="shared" si="365"/>
        <v>4.4263582662208666E-3</v>
      </c>
      <c r="K358" s="80">
        <f t="shared" si="365"/>
        <v>3.8105287210133346E-3</v>
      </c>
      <c r="L358" s="80">
        <f t="shared" si="365"/>
        <v>2.5645110330556478E-3</v>
      </c>
      <c r="M358" s="80">
        <f t="shared" si="365"/>
        <v>3.8313956461621919E-3</v>
      </c>
      <c r="N358" s="80">
        <f t="shared" si="365"/>
        <v>1.9996906019467669E-3</v>
      </c>
      <c r="O358" s="80">
        <f t="shared" si="365"/>
        <v>8.8568984832289419E-5</v>
      </c>
      <c r="P358" s="80">
        <f t="shared" si="365"/>
        <v>1.2676782170414921E-2</v>
      </c>
      <c r="Q358" s="80">
        <f t="shared" si="365"/>
        <v>2.1858768268573234E-2</v>
      </c>
      <c r="R358" s="80">
        <f t="shared" si="365"/>
        <v>2.3858854399477436E-2</v>
      </c>
      <c r="S358" s="80">
        <f t="shared" si="365"/>
        <v>1.0401724232796696E-2</v>
      </c>
      <c r="T358" s="80">
        <f t="shared" si="365"/>
        <v>9.7496705201997897E-3</v>
      </c>
      <c r="U358" s="80">
        <f t="shared" si="365"/>
        <v>4.1646705572446485E-2</v>
      </c>
      <c r="V358" s="80">
        <f t="shared" si="365"/>
        <v>2.660260139067055E-3</v>
      </c>
      <c r="W358" s="80">
        <f t="shared" si="365"/>
        <v>6.6748630053630326E-3</v>
      </c>
      <c r="X358" s="80">
        <f t="shared" si="365"/>
        <v>8.1571256694692616E-4</v>
      </c>
      <c r="Y358" s="80">
        <f t="shared" si="365"/>
        <v>3.0088645499311661E-3</v>
      </c>
      <c r="Z358" s="80">
        <f t="shared" si="365"/>
        <v>4.5074397452109531E-3</v>
      </c>
      <c r="AA358" s="80">
        <f t="shared" si="365"/>
        <v>6.0423360896317132E-3</v>
      </c>
      <c r="AB358" s="80">
        <f t="shared" si="365"/>
        <v>2.9024025282895359E-3</v>
      </c>
      <c r="AC358" s="80">
        <f t="shared" si="365"/>
        <v>3.5006199858829282E-3</v>
      </c>
      <c r="AD358" s="80">
        <f t="shared" si="365"/>
        <v>3.9168740302042267E-2</v>
      </c>
      <c r="AE358" s="80">
        <f t="shared" si="365"/>
        <v>0.17337569417860074</v>
      </c>
      <c r="AF358" s="80">
        <f t="shared" si="365"/>
        <v>0.1781441079542852</v>
      </c>
    </row>
    <row r="359" spans="1:34" x14ac:dyDescent="0.25">
      <c r="B359" s="21">
        <f>(B326-B325)^2</f>
        <v>1449.5921152900128</v>
      </c>
      <c r="C359" s="21">
        <f t="shared" ref="C359:AF359" si="366">(C326-C325)^2</f>
        <v>2123.4146045603252</v>
      </c>
      <c r="D359" s="21">
        <f t="shared" si="366"/>
        <v>2124.2735602677603</v>
      </c>
      <c r="E359" s="21">
        <f t="shared" si="366"/>
        <v>1901.6695536811283</v>
      </c>
      <c r="F359" s="21">
        <f t="shared" si="366"/>
        <v>2138.7257555223964</v>
      </c>
      <c r="G359" s="21">
        <f t="shared" si="366"/>
        <v>2154.1727765196993</v>
      </c>
      <c r="H359" s="21">
        <f t="shared" si="366"/>
        <v>1515.8085788360863</v>
      </c>
      <c r="I359" s="21">
        <f t="shared" si="366"/>
        <v>693.32954254383878</v>
      </c>
      <c r="J359" s="21">
        <f t="shared" si="366"/>
        <v>716.16774886548671</v>
      </c>
      <c r="K359" s="21">
        <f t="shared" si="366"/>
        <v>482.59747876491139</v>
      </c>
      <c r="L359" s="21">
        <f t="shared" si="366"/>
        <v>198.00500186278387</v>
      </c>
      <c r="M359" s="21">
        <f t="shared" si="366"/>
        <v>398.64141633898009</v>
      </c>
      <c r="N359" s="21">
        <f t="shared" si="366"/>
        <v>96.95161707946626</v>
      </c>
      <c r="O359" s="21">
        <f t="shared" si="366"/>
        <v>0.16483742111871022</v>
      </c>
      <c r="P359" s="21">
        <f t="shared" si="366"/>
        <v>2863.4330489937365</v>
      </c>
      <c r="Q359" s="21">
        <f t="shared" si="366"/>
        <v>6863.0229029313141</v>
      </c>
      <c r="R359" s="21">
        <f t="shared" si="366"/>
        <v>6138.6187404074517</v>
      </c>
      <c r="S359" s="21">
        <f t="shared" si="366"/>
        <v>797.36562708408189</v>
      </c>
      <c r="T359" s="21">
        <f t="shared" si="366"/>
        <v>427.35664630473542</v>
      </c>
      <c r="U359" s="21">
        <f t="shared" si="366"/>
        <v>4162.8464875845129</v>
      </c>
      <c r="V359" s="21">
        <f t="shared" si="366"/>
        <v>8.7991711988935464</v>
      </c>
      <c r="W359" s="21">
        <f t="shared" si="366"/>
        <v>29.926749629340716</v>
      </c>
      <c r="X359" s="21">
        <f t="shared" si="366"/>
        <v>0.30111503139758322</v>
      </c>
      <c r="Y359" s="21">
        <f t="shared" si="366"/>
        <v>3.1757050114725014</v>
      </c>
      <c r="Z359" s="21">
        <f t="shared" si="366"/>
        <v>6.2835144029638821</v>
      </c>
      <c r="AA359" s="21">
        <f t="shared" si="366"/>
        <v>10.207416525970253</v>
      </c>
      <c r="AB359" s="21">
        <f t="shared" si="366"/>
        <v>2.2564257507355809</v>
      </c>
      <c r="AC359" s="21">
        <f t="shared" si="366"/>
        <v>3.060662228515584</v>
      </c>
      <c r="AD359" s="21">
        <f t="shared" si="366"/>
        <v>351.95819457961454</v>
      </c>
      <c r="AE359" s="21">
        <f t="shared" si="366"/>
        <v>6801.229762653471</v>
      </c>
      <c r="AF359" s="21">
        <f t="shared" si="366"/>
        <v>7173.8081153794437</v>
      </c>
      <c r="AG359" s="3"/>
      <c r="AH359" s="3"/>
    </row>
    <row r="360" spans="1:34" x14ac:dyDescent="0.25">
      <c r="A360" s="71">
        <f>SUM(B360:AF360)</f>
        <v>51637.164873251641</v>
      </c>
      <c r="B360" s="60">
        <f>IF($A$64&lt;=B324,IF($B$64&gt;=B324,ABS(B359),0),0)</f>
        <v>1449.5921152900128</v>
      </c>
      <c r="C360" s="60">
        <f t="shared" ref="C360:AF360" si="367">IF($A$64&lt;=C324,IF($B$64&gt;=C324,ABS(C359),0),0)</f>
        <v>2123.4146045603252</v>
      </c>
      <c r="D360" s="60">
        <f t="shared" si="367"/>
        <v>2124.2735602677603</v>
      </c>
      <c r="E360" s="60">
        <f t="shared" si="367"/>
        <v>1901.6695536811283</v>
      </c>
      <c r="F360" s="60">
        <f t="shared" si="367"/>
        <v>2138.7257555223964</v>
      </c>
      <c r="G360" s="60">
        <f t="shared" si="367"/>
        <v>2154.1727765196993</v>
      </c>
      <c r="H360" s="60">
        <f t="shared" si="367"/>
        <v>1515.8085788360863</v>
      </c>
      <c r="I360" s="60">
        <f t="shared" si="367"/>
        <v>693.32954254383878</v>
      </c>
      <c r="J360" s="60">
        <f t="shared" si="367"/>
        <v>716.16774886548671</v>
      </c>
      <c r="K360" s="60">
        <f t="shared" si="367"/>
        <v>482.59747876491139</v>
      </c>
      <c r="L360" s="60">
        <f t="shared" si="367"/>
        <v>198.00500186278387</v>
      </c>
      <c r="M360" s="60">
        <f t="shared" si="367"/>
        <v>398.64141633898009</v>
      </c>
      <c r="N360" s="60">
        <f t="shared" si="367"/>
        <v>96.95161707946626</v>
      </c>
      <c r="O360" s="60">
        <f t="shared" si="367"/>
        <v>0.16483742111871022</v>
      </c>
      <c r="P360" s="60">
        <f t="shared" si="367"/>
        <v>2863.4330489937365</v>
      </c>
      <c r="Q360" s="60">
        <f t="shared" si="367"/>
        <v>6863.0229029313141</v>
      </c>
      <c r="R360" s="60">
        <f t="shared" si="367"/>
        <v>6138.6187404074517</v>
      </c>
      <c r="S360" s="60">
        <f t="shared" si="367"/>
        <v>797.36562708408189</v>
      </c>
      <c r="T360" s="60">
        <f t="shared" si="367"/>
        <v>427.35664630473542</v>
      </c>
      <c r="U360" s="60">
        <f t="shared" si="367"/>
        <v>4162.8464875845129</v>
      </c>
      <c r="V360" s="60">
        <f t="shared" si="367"/>
        <v>8.7991711988935464</v>
      </c>
      <c r="W360" s="60">
        <f t="shared" si="367"/>
        <v>29.926749629340716</v>
      </c>
      <c r="X360" s="60">
        <f t="shared" si="367"/>
        <v>0.30111503139758322</v>
      </c>
      <c r="Y360" s="60">
        <f t="shared" si="367"/>
        <v>3.1757050114725014</v>
      </c>
      <c r="Z360" s="60">
        <f t="shared" si="367"/>
        <v>6.2835144029638821</v>
      </c>
      <c r="AA360" s="60">
        <f t="shared" si="367"/>
        <v>10.207416525970253</v>
      </c>
      <c r="AB360" s="60">
        <f t="shared" si="367"/>
        <v>2.2564257507355809</v>
      </c>
      <c r="AC360" s="60">
        <f t="shared" si="367"/>
        <v>3.060662228515584</v>
      </c>
      <c r="AD360" s="60">
        <f t="shared" si="367"/>
        <v>351.95819457961454</v>
      </c>
      <c r="AE360" s="60">
        <f t="shared" si="367"/>
        <v>6801.229762653471</v>
      </c>
      <c r="AF360" s="60">
        <f t="shared" si="367"/>
        <v>7173.8081153794437</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7885.0238799750496</v>
      </c>
      <c r="C364" s="26">
        <f>INDEX(Comparison!$AM$3:$AS$33,G$14,$H$122)</f>
        <v>7533.2051738552464</v>
      </c>
      <c r="D364" s="26">
        <f>INDEX(Comparison!$AM$3:$AS$33,H$14,$H$122)</f>
        <v>7191.2405725815324</v>
      </c>
      <c r="E364" s="26">
        <f>INDEX(Comparison!$AM$3:$AS$33,I$14,$H$122)</f>
        <v>6812.4631092957497</v>
      </c>
      <c r="F364" s="26">
        <f>INDEX(Comparison!$AM$3:$AS$33,J$14,$H$122)</f>
        <v>6451.9725248759578</v>
      </c>
      <c r="G364" s="26">
        <f>INDEX(Comparison!$AM$3:$AS$33,K$14,$H$122)</f>
        <v>6166.1047060884439</v>
      </c>
      <c r="H364" s="26">
        <f>INDEX(Comparison!$AM$3:$AS$33,L$14,$H$122)</f>
        <v>5881.0552739751101</v>
      </c>
      <c r="I364" s="26">
        <f>INDEX(Comparison!$AM$3:$AS$33,M$14,$H$122)</f>
        <v>5609.3504910949478</v>
      </c>
      <c r="J364" s="26">
        <f>INDEX(Comparison!$AM$3:$AS$33,N$14,$H$122)</f>
        <v>5323.5276590267758</v>
      </c>
      <c r="K364" s="26">
        <f>INDEX(Comparison!$AM$3:$AS$33,O$14,$H$122)</f>
        <v>5061.2818561056738</v>
      </c>
      <c r="L364" s="26">
        <f>INDEX(Comparison!$AM$3:$AS$33,P$14,$H$122)</f>
        <v>4733.4087396901623</v>
      </c>
      <c r="M364" s="26">
        <f>INDEX(Comparison!$AM$3:$AS$33,Q$14,$H$122)</f>
        <v>4393.7824312927287</v>
      </c>
      <c r="N364" s="26">
        <f>INDEX(Comparison!$AM$3:$AS$33,R$14,$H$122)</f>
        <v>4006.1265808261332</v>
      </c>
      <c r="O364" s="26">
        <f>INDEX(Comparison!$AM$3:$AS$33,S$14,$H$122)</f>
        <v>3576.233277328839</v>
      </c>
      <c r="P364" s="26">
        <f>INDEX(Comparison!$AM$3:$AS$33,T$14,$H$122)</f>
        <v>3059.5283871610445</v>
      </c>
      <c r="Q364" s="26">
        <f>INDEX(Comparison!$AM$3:$AS$33,U$14,$H$122)</f>
        <v>2469.5512794279489</v>
      </c>
      <c r="R364" s="26">
        <f>INDEX(Comparison!$AM$3:$AS$33,V$14,$H$122)</f>
        <v>1842.799668868907</v>
      </c>
      <c r="S364" s="26">
        <f>INDEX(Comparison!$AM$3:$AS$33,W$14,$H$122)</f>
        <v>1328.7737512423464</v>
      </c>
      <c r="T364" s="26">
        <f>INDEX(Comparison!$AM$3:$AS$33,X$14,$H$122)</f>
        <v>948.83583319405307</v>
      </c>
      <c r="U364" s="26">
        <f>INDEX(Comparison!$AM$3:$AS$33,Y$14,$H$122)</f>
        <v>739.39486681916139</v>
      </c>
      <c r="V364" s="26">
        <f>INDEX(Comparison!$AM$3:$AS$33,Z$14,$H$122)</f>
        <v>624.14790659062351</v>
      </c>
      <c r="W364" s="26">
        <f>INDEX(Comparison!$AM$3:$AS$33,AA$14,$H$122)</f>
        <v>574.84813415628378</v>
      </c>
      <c r="X364" s="26">
        <f>INDEX(Comparison!$AM$3:$AS$33,AB$14,$H$122)</f>
        <v>540.01941971549797</v>
      </c>
      <c r="Y364" s="26">
        <f>INDEX(Comparison!$AM$3:$AS$33,AC$14,$H$122)</f>
        <v>522.91431442377564</v>
      </c>
      <c r="Z364" s="26">
        <f>INDEX(Comparison!$AM$3:$AS$33,AD$14,$H$122)</f>
        <v>512.28225991416207</v>
      </c>
      <c r="AA364" s="26">
        <f>INDEX(Comparison!$AM$3:$AS$33,AE$14,$H$122)</f>
        <v>486.30628203230003</v>
      </c>
      <c r="AB364" s="26">
        <f>INDEX(Comparison!$AM$3:$AS$33,AF$14,$H$122)</f>
        <v>477.16338311456207</v>
      </c>
      <c r="AC364" s="26">
        <f>INDEX(Comparison!$AM$3:$AS$33,AG$14,$H$122)</f>
        <v>476.22593072507385</v>
      </c>
      <c r="AD364" s="26">
        <f>INDEX(Comparison!$AM$3:$AS$33,AH$14,$H$122)</f>
        <v>475.98047490013522</v>
      </c>
      <c r="AE364" s="26">
        <f>INDEX(Comparison!$AM$3:$AS$33,AI$14,$H$122)</f>
        <v>475.76724400704541</v>
      </c>
      <c r="AF364" s="26">
        <f>INDEX(Comparison!$AM$3:$AS$33,AJ$14,$H$122)</f>
        <v>475.55412653805064</v>
      </c>
      <c r="AG364" s="26"/>
      <c r="AH364" s="26"/>
    </row>
    <row r="365" spans="1:34" x14ac:dyDescent="0.25">
      <c r="A365" s="70" t="s">
        <v>22</v>
      </c>
      <c r="B365" s="27">
        <f>($C$17+SUM(B366:B396))*$B$51</f>
        <v>7859.2916711191838</v>
      </c>
      <c r="C365" s="27">
        <f t="shared" ref="C365:AF365" si="368">($C$17+SUM(C366:C396))*$B$51</f>
        <v>7581.8393603268278</v>
      </c>
      <c r="D365" s="27">
        <f t="shared" si="368"/>
        <v>7248.43944885377</v>
      </c>
      <c r="E365" s="27">
        <f t="shared" si="368"/>
        <v>6867.6637096941149</v>
      </c>
      <c r="F365" s="27">
        <f t="shared" si="368"/>
        <v>6504.6032970601027</v>
      </c>
      <c r="G365" s="27">
        <f t="shared" si="368"/>
        <v>6208.3972518856981</v>
      </c>
      <c r="H365" s="27">
        <f t="shared" si="368"/>
        <v>5929.7316842453201</v>
      </c>
      <c r="I365" s="27">
        <f t="shared" si="368"/>
        <v>5644.9738128263953</v>
      </c>
      <c r="J365" s="27">
        <f t="shared" si="368"/>
        <v>5372.138872130492</v>
      </c>
      <c r="K365" s="27">
        <f t="shared" si="368"/>
        <v>5093.8496773214965</v>
      </c>
      <c r="L365" s="27">
        <f t="shared" si="368"/>
        <v>4775.1857102111026</v>
      </c>
      <c r="M365" s="27">
        <f t="shared" si="368"/>
        <v>4395.3145874846987</v>
      </c>
      <c r="N365" s="27">
        <f t="shared" si="368"/>
        <v>3957.1562304176714</v>
      </c>
      <c r="O365" s="27">
        <f t="shared" si="368"/>
        <v>3474.9737337634983</v>
      </c>
      <c r="P365" s="27">
        <f t="shared" si="368"/>
        <v>2960.9128789705483</v>
      </c>
      <c r="Q365" s="27">
        <f t="shared" si="368"/>
        <v>2408.3426257166539</v>
      </c>
      <c r="R365" s="27">
        <f t="shared" si="368"/>
        <v>1841.0891484344063</v>
      </c>
      <c r="S365" s="27">
        <f t="shared" si="368"/>
        <v>1325.1712501810052</v>
      </c>
      <c r="T365" s="27">
        <f t="shared" si="368"/>
        <v>957.3754451564073</v>
      </c>
      <c r="U365" s="27">
        <f t="shared" si="368"/>
        <v>741.92082670825243</v>
      </c>
      <c r="V365" s="27">
        <f t="shared" si="368"/>
        <v>625.69858123827964</v>
      </c>
      <c r="W365" s="27">
        <f t="shared" si="368"/>
        <v>574.7735917911624</v>
      </c>
      <c r="X365" s="27">
        <f t="shared" si="368"/>
        <v>539.33259633662283</v>
      </c>
      <c r="Y365" s="27">
        <f t="shared" si="368"/>
        <v>522.68564888111064</v>
      </c>
      <c r="Z365" s="27">
        <f t="shared" si="368"/>
        <v>511.58442272358354</v>
      </c>
      <c r="AA365" s="27">
        <f t="shared" si="368"/>
        <v>485.54660939881461</v>
      </c>
      <c r="AB365" s="27">
        <f t="shared" si="368"/>
        <v>420.84536852907866</v>
      </c>
      <c r="AC365" s="27">
        <f t="shared" si="368"/>
        <v>390.75070598168725</v>
      </c>
      <c r="AD365" s="27">
        <f t="shared" si="368"/>
        <v>390.75009136896216</v>
      </c>
      <c r="AE365" s="27">
        <f t="shared" si="368"/>
        <v>390.75009136896216</v>
      </c>
      <c r="AF365" s="27">
        <f t="shared" si="368"/>
        <v>390.75009136896216</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7.2464517663538443E-123</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4.6115669806969249E-13</v>
      </c>
      <c r="C369" s="3">
        <f t="shared" si="372"/>
        <v>8.0263852206160219E-111</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2.8734207663018824E-3</v>
      </c>
      <c r="C370" s="3">
        <f t="shared" si="373"/>
        <v>4.3620889189078364E-12</v>
      </c>
      <c r="D370" s="3">
        <f t="shared" si="373"/>
        <v>2.835615849961867E-100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2.2115709504121155E-2</v>
      </c>
      <c r="C371" s="3">
        <f t="shared" si="374"/>
        <v>3.5414437420225905E-3</v>
      </c>
      <c r="D371" s="3">
        <f t="shared" si="374"/>
        <v>3.926223801192898E-11</v>
      </c>
      <c r="E371" s="3">
        <f t="shared" si="374"/>
        <v>1.1013417288198759E-90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3.3677537460247181E-2</v>
      </c>
      <c r="C372" s="3">
        <f t="shared" si="375"/>
        <v>2.8548136066038378E-2</v>
      </c>
      <c r="D372" s="3">
        <f t="shared" si="375"/>
        <v>5.4695558262896921E-3</v>
      </c>
      <c r="E372" s="3">
        <f t="shared" si="375"/>
        <v>3.6449793595345525E-10</v>
      </c>
      <c r="F372" s="3">
        <f t="shared" si="375"/>
        <v>6.2968770414757105E-82</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4.075020839337147E-2</v>
      </c>
      <c r="C373" s="3">
        <f t="shared" si="376"/>
        <v>4.0147291675169096E-2</v>
      </c>
      <c r="D373" s="3">
        <f t="shared" si="376"/>
        <v>3.4587601381700715E-2</v>
      </c>
      <c r="E373" s="3">
        <f t="shared" si="376"/>
        <v>7.7904467662097271E-3</v>
      </c>
      <c r="F373" s="3">
        <f t="shared" si="376"/>
        <v>2.6180718181189988E-9</v>
      </c>
      <c r="G373" s="3">
        <f t="shared" si="376"/>
        <v>4.8103144930603491E-74</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3.822265054320842E-2</v>
      </c>
      <c r="C374" s="3">
        <f t="shared" si="377"/>
        <v>3.8171289279542192E-2</v>
      </c>
      <c r="D374" s="3">
        <f t="shared" si="377"/>
        <v>3.7661457269013321E-2</v>
      </c>
      <c r="E374" s="3">
        <f t="shared" si="377"/>
        <v>3.2923048074875894E-2</v>
      </c>
      <c r="F374" s="3">
        <f t="shared" si="377"/>
        <v>8.5808279105378579E-3</v>
      </c>
      <c r="G374" s="3">
        <f t="shared" si="377"/>
        <v>1.2411399441809991E-8</v>
      </c>
      <c r="H374" s="3">
        <f t="shared" si="377"/>
        <v>4.9743502361152776E-67</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2.8035056341286908E-2</v>
      </c>
      <c r="C375" s="3">
        <f t="shared" si="378"/>
        <v>2.8031655952791744E-2</v>
      </c>
      <c r="D375" s="3">
        <f t="shared" si="378"/>
        <v>2.7997674743519888E-2</v>
      </c>
      <c r="E375" s="3">
        <f t="shared" si="378"/>
        <v>2.7660120074811664E-2</v>
      </c>
      <c r="F375" s="3">
        <f t="shared" si="378"/>
        <v>2.4500504815885026E-2</v>
      </c>
      <c r="G375" s="3">
        <f t="shared" si="378"/>
        <v>7.2842484441439743E-3</v>
      </c>
      <c r="H375" s="3">
        <f t="shared" si="378"/>
        <v>3.9308088094182042E-8</v>
      </c>
      <c r="I375" s="3">
        <f t="shared" si="378"/>
        <v>8.2310194668327134E-61</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2.8888662905452847E-2</v>
      </c>
      <c r="C376" s="3">
        <f t="shared" si="379"/>
        <v>2.8888346805012909E-2</v>
      </c>
      <c r="D376" s="3">
        <f t="shared" si="379"/>
        <v>2.8885185990840095E-2</v>
      </c>
      <c r="E376" s="3">
        <f t="shared" si="379"/>
        <v>2.8853596864070408E-2</v>
      </c>
      <c r="F376" s="3">
        <f t="shared" si="379"/>
        <v>2.8539599416360806E-2</v>
      </c>
      <c r="G376" s="3">
        <f t="shared" si="379"/>
        <v>2.5581558951350808E-2</v>
      </c>
      <c r="H376" s="3">
        <f t="shared" si="379"/>
        <v>8.5648221090935898E-3</v>
      </c>
      <c r="I376" s="3">
        <f t="shared" si="379"/>
        <v>1.5157645574209029E-7</v>
      </c>
      <c r="J376" s="3">
        <f t="shared" si="379"/>
        <v>4.5684171754878247E-55</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3.0018662987518076E-2</v>
      </c>
      <c r="C377" s="3">
        <f t="shared" si="380"/>
        <v>3.0018633357101535E-2</v>
      </c>
      <c r="D377" s="3">
        <f t="shared" si="380"/>
        <v>3.0018337054544708E-2</v>
      </c>
      <c r="E377" s="3">
        <f t="shared" si="380"/>
        <v>3.0015374189829656E-2</v>
      </c>
      <c r="F377" s="3">
        <f t="shared" si="380"/>
        <v>2.9985761622126308E-2</v>
      </c>
      <c r="G377" s="3">
        <f t="shared" si="380"/>
        <v>2.9691238032831E-2</v>
      </c>
      <c r="H377" s="3">
        <f t="shared" si="380"/>
        <v>2.6900511144064276E-2</v>
      </c>
      <c r="I377" s="3">
        <f t="shared" si="380"/>
        <v>1.0024963208242919E-2</v>
      </c>
      <c r="J377" s="3">
        <f t="shared" si="380"/>
        <v>5.1797087372472739E-7</v>
      </c>
      <c r="K377" s="3">
        <f t="shared" si="380"/>
        <v>7.0231324544109189E-50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2.6688628768329083E-2</v>
      </c>
      <c r="C378" s="3">
        <f t="shared" si="381"/>
        <v>2.6688626391929548E-2</v>
      </c>
      <c r="D378" s="3">
        <f t="shared" si="381"/>
        <v>2.6688602627945854E-2</v>
      </c>
      <c r="E378" s="3">
        <f t="shared" si="381"/>
        <v>2.6688364989272705E-2</v>
      </c>
      <c r="F378" s="3">
        <f t="shared" si="381"/>
        <v>2.6685988718916136E-2</v>
      </c>
      <c r="G378" s="3">
        <f t="shared" si="381"/>
        <v>2.6662237649011905E-2</v>
      </c>
      <c r="H378" s="3">
        <f t="shared" si="381"/>
        <v>2.6425886492468378E-2</v>
      </c>
      <c r="I378" s="3">
        <f t="shared" si="381"/>
        <v>2.4174598304368772E-2</v>
      </c>
      <c r="J378" s="3">
        <f t="shared" si="381"/>
        <v>9.9233035857897705E-3</v>
      </c>
      <c r="K378" s="3">
        <f t="shared" si="381"/>
        <v>1.347802924490199E-6</v>
      </c>
      <c r="L378" s="3">
        <f t="shared" si="381"/>
        <v>2.8795694534574579E-45</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2.9107380541653072E-2</v>
      </c>
      <c r="C379" s="3">
        <f t="shared" si="382"/>
        <v>2.9107380307853918E-2</v>
      </c>
      <c r="D379" s="3">
        <f t="shared" si="382"/>
        <v>2.910737796986251E-2</v>
      </c>
      <c r="E379" s="3">
        <f t="shared" si="382"/>
        <v>2.9107354589958768E-2</v>
      </c>
      <c r="F379" s="3">
        <f t="shared" si="382"/>
        <v>2.9107120791954186E-2</v>
      </c>
      <c r="G379" s="3">
        <f t="shared" si="382"/>
        <v>2.9104782915191932E-2</v>
      </c>
      <c r="H379" s="3">
        <f t="shared" si="382"/>
        <v>2.9081414472853874E-2</v>
      </c>
      <c r="I379" s="3">
        <f t="shared" si="382"/>
        <v>2.8848759515881707E-2</v>
      </c>
      <c r="J379" s="3">
        <f t="shared" si="382"/>
        <v>2.6622161690563743E-2</v>
      </c>
      <c r="K379" s="3">
        <f t="shared" si="382"/>
        <v>1.1923535545215393E-2</v>
      </c>
      <c r="L379" s="3">
        <f t="shared" si="382"/>
        <v>3.8727761025240105E-6</v>
      </c>
      <c r="M379" s="3">
        <f t="shared" si="382"/>
        <v>5.0605273958643332E-41</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3.4462873232724935E-2</v>
      </c>
      <c r="C380" s="3">
        <f t="shared" si="383"/>
        <v>3.4462873207753826E-2</v>
      </c>
      <c r="D380" s="3">
        <f t="shared" si="383"/>
        <v>3.4462872958042706E-2</v>
      </c>
      <c r="E380" s="3">
        <f t="shared" si="383"/>
        <v>3.4462870460931626E-2</v>
      </c>
      <c r="F380" s="3">
        <f t="shared" si="383"/>
        <v>3.4462845489830751E-2</v>
      </c>
      <c r="G380" s="3">
        <f t="shared" si="383"/>
        <v>3.4462595779817147E-2</v>
      </c>
      <c r="H380" s="3">
        <f t="shared" si="383"/>
        <v>3.4460098779192774E-2</v>
      </c>
      <c r="I380" s="3">
        <f t="shared" si="383"/>
        <v>3.4435138721449113E-2</v>
      </c>
      <c r="J380" s="3">
        <f t="shared" si="383"/>
        <v>3.418653033204256E-2</v>
      </c>
      <c r="K380" s="3">
        <f t="shared" si="383"/>
        <v>3.1797056008098845E-2</v>
      </c>
      <c r="L380" s="3">
        <f t="shared" si="383"/>
        <v>1.5406563393948041E-2</v>
      </c>
      <c r="M380" s="3">
        <f t="shared" si="383"/>
        <v>1.0987386697340581E-5</v>
      </c>
      <c r="N380" s="3">
        <f t="shared" si="383"/>
        <v>3.7392177193799756E-37</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4.2396011612985715E-2</v>
      </c>
      <c r="C381" s="3">
        <f t="shared" si="384"/>
        <v>4.2396011610214578E-2</v>
      </c>
      <c r="D381" s="3">
        <f t="shared" si="384"/>
        <v>4.2396011582503203E-2</v>
      </c>
      <c r="E381" s="3">
        <f t="shared" si="384"/>
        <v>4.239601130538951E-2</v>
      </c>
      <c r="F381" s="3">
        <f t="shared" si="384"/>
        <v>4.2396008534252655E-2</v>
      </c>
      <c r="G381" s="3">
        <f t="shared" si="384"/>
        <v>4.239598082289403E-2</v>
      </c>
      <c r="H381" s="3">
        <f t="shared" si="384"/>
        <v>4.2395703710304052E-2</v>
      </c>
      <c r="I381" s="3">
        <f t="shared" si="384"/>
        <v>4.2392932684023242E-2</v>
      </c>
      <c r="J381" s="3">
        <f t="shared" si="384"/>
        <v>4.2365232380702292E-2</v>
      </c>
      <c r="K381" s="3">
        <f t="shared" si="384"/>
        <v>4.2089222891774351E-2</v>
      </c>
      <c r="L381" s="3">
        <f t="shared" si="384"/>
        <v>3.9426121039635352E-2</v>
      </c>
      <c r="M381" s="3">
        <f t="shared" si="384"/>
        <v>2.050763063633251E-2</v>
      </c>
      <c r="N381" s="3">
        <f t="shared" si="384"/>
        <v>2.9732391685864392E-5</v>
      </c>
      <c r="O381" s="3">
        <f t="shared" si="384"/>
        <v>1.2200382098221909E-33</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4.6864772655617656E-2</v>
      </c>
      <c r="C382" s="3">
        <f t="shared" si="385"/>
        <v>4.6864772655341329E-2</v>
      </c>
      <c r="D382" s="3">
        <f t="shared" si="385"/>
        <v>4.6864772652578039E-2</v>
      </c>
      <c r="E382" s="3">
        <f t="shared" si="385"/>
        <v>4.6864772624945164E-2</v>
      </c>
      <c r="F382" s="3">
        <f t="shared" si="385"/>
        <v>4.6864772348616406E-2</v>
      </c>
      <c r="G382" s="3">
        <f t="shared" si="385"/>
        <v>4.6864769585328855E-2</v>
      </c>
      <c r="H382" s="3">
        <f t="shared" si="385"/>
        <v>4.686474195246236E-2</v>
      </c>
      <c r="I382" s="3">
        <f t="shared" si="385"/>
        <v>4.6864465624693576E-2</v>
      </c>
      <c r="J382" s="3">
        <f t="shared" si="385"/>
        <v>4.6861702436615957E-2</v>
      </c>
      <c r="K382" s="3">
        <f t="shared" si="385"/>
        <v>4.6834079514913196E-2</v>
      </c>
      <c r="L382" s="3">
        <f t="shared" si="385"/>
        <v>4.6558744253766937E-2</v>
      </c>
      <c r="M382" s="3">
        <f t="shared" si="385"/>
        <v>4.3892867326278034E-2</v>
      </c>
      <c r="N382" s="3">
        <f t="shared" si="385"/>
        <v>2.4340017820814616E-2</v>
      </c>
      <c r="O382" s="3">
        <f t="shared" si="385"/>
        <v>6.6925293970900384E-5</v>
      </c>
      <c r="P382" s="3">
        <f t="shared" si="385"/>
        <v>1.6530433543286369E-30</v>
      </c>
      <c r="Q382" s="3">
        <f t="shared" si="385"/>
        <v>1.397088147874599E-286</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5.2270083724908212E-2</v>
      </c>
      <c r="C383" s="3">
        <f t="shared" si="386"/>
        <v>5.2270083724880408E-2</v>
      </c>
      <c r="D383" s="3">
        <f t="shared" si="386"/>
        <v>5.2270083724602387E-2</v>
      </c>
      <c r="E383" s="3">
        <f t="shared" si="386"/>
        <v>5.2270083721822166E-2</v>
      </c>
      <c r="F383" s="3">
        <f t="shared" si="386"/>
        <v>5.2270083694019955E-2</v>
      </c>
      <c r="G383" s="3">
        <f t="shared" si="386"/>
        <v>5.2270083415997821E-2</v>
      </c>
      <c r="H383" s="3">
        <f t="shared" si="386"/>
        <v>5.2270080635776602E-2</v>
      </c>
      <c r="I383" s="3">
        <f t="shared" si="386"/>
        <v>5.2270052833572576E-2</v>
      </c>
      <c r="J383" s="3">
        <f t="shared" si="386"/>
        <v>5.2269774812345599E-2</v>
      </c>
      <c r="K383" s="3">
        <f t="shared" si="386"/>
        <v>5.2266994681407372E-2</v>
      </c>
      <c r="L383" s="3">
        <f t="shared" si="386"/>
        <v>5.2239201503573723E-2</v>
      </c>
      <c r="M383" s="3">
        <f t="shared" si="386"/>
        <v>5.1962081282079665E-2</v>
      </c>
      <c r="N383" s="3">
        <f t="shared" si="386"/>
        <v>4.9270460066154424E-2</v>
      </c>
      <c r="O383" s="3">
        <f t="shared" si="386"/>
        <v>2.8945923754190934E-2</v>
      </c>
      <c r="P383" s="3">
        <f t="shared" si="386"/>
        <v>1.4177360295394988E-4</v>
      </c>
      <c r="Q383" s="3">
        <f t="shared" si="386"/>
        <v>1.1263542510198043E-27</v>
      </c>
      <c r="R383" s="3">
        <f t="shared" si="386"/>
        <v>1.1284212683464252E-258</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5.1448795530600111E-2</v>
      </c>
      <c r="C384" s="3">
        <f t="shared" si="387"/>
        <v>5.1448795530597648E-2</v>
      </c>
      <c r="D384" s="3">
        <f t="shared" si="387"/>
        <v>5.1448795530572959E-2</v>
      </c>
      <c r="E384" s="3">
        <f t="shared" si="387"/>
        <v>5.1448795530326101E-2</v>
      </c>
      <c r="F384" s="3">
        <f t="shared" si="387"/>
        <v>5.1448795527857513E-2</v>
      </c>
      <c r="G384" s="3">
        <f t="shared" si="387"/>
        <v>5.1448795503171676E-2</v>
      </c>
      <c r="H384" s="3">
        <f t="shared" si="387"/>
        <v>5.144879525631324E-2</v>
      </c>
      <c r="I384" s="3">
        <f t="shared" si="387"/>
        <v>5.1448792787728945E-2</v>
      </c>
      <c r="J384" s="3">
        <f t="shared" si="387"/>
        <v>5.1448768101892507E-2</v>
      </c>
      <c r="K384" s="3">
        <f t="shared" si="387"/>
        <v>5.1448521244179611E-2</v>
      </c>
      <c r="L384" s="3">
        <f t="shared" si="387"/>
        <v>5.14460527321947E-2</v>
      </c>
      <c r="M384" s="3">
        <f t="shared" si="387"/>
        <v>5.142137412559579E-2</v>
      </c>
      <c r="N384" s="3">
        <f t="shared" si="387"/>
        <v>5.1175238229805443E-2</v>
      </c>
      <c r="O384" s="3">
        <f t="shared" si="387"/>
        <v>4.8777756701729985E-2</v>
      </c>
      <c r="P384" s="3">
        <f t="shared" si="387"/>
        <v>3.0188485379772634E-2</v>
      </c>
      <c r="Q384" s="3">
        <f t="shared" si="387"/>
        <v>2.4890655474608101E-4</v>
      </c>
      <c r="R384" s="3">
        <f t="shared" si="387"/>
        <v>3.6139856850604964E-25</v>
      </c>
      <c r="S384" s="3">
        <f t="shared" si="387"/>
        <v>1.5048297639982591E-233</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6.7081242502452981E-2</v>
      </c>
      <c r="C385" s="3">
        <f t="shared" si="388"/>
        <v>6.708124250245269E-2</v>
      </c>
      <c r="D385" s="3">
        <f t="shared" si="388"/>
        <v>6.7081242502449789E-2</v>
      </c>
      <c r="E385" s="3">
        <f t="shared" si="388"/>
        <v>6.7081242502420743E-2</v>
      </c>
      <c r="F385" s="3">
        <f t="shared" si="388"/>
        <v>6.7081242502130392E-2</v>
      </c>
      <c r="G385" s="3">
        <f t="shared" si="388"/>
        <v>6.7081242499226909E-2</v>
      </c>
      <c r="H385" s="3">
        <f t="shared" si="388"/>
        <v>6.7081242470191996E-2</v>
      </c>
      <c r="I385" s="3">
        <f t="shared" si="388"/>
        <v>6.7081242179842918E-2</v>
      </c>
      <c r="J385" s="3">
        <f t="shared" si="388"/>
        <v>6.708123927635222E-2</v>
      </c>
      <c r="K385" s="3">
        <f t="shared" si="388"/>
        <v>6.7081210241452083E-2</v>
      </c>
      <c r="L385" s="3">
        <f t="shared" si="388"/>
        <v>6.7080919893141855E-2</v>
      </c>
      <c r="M385" s="3">
        <f t="shared" si="388"/>
        <v>6.7078016479158301E-2</v>
      </c>
      <c r="N385" s="3">
        <f t="shared" si="388"/>
        <v>6.7048989250073174E-2</v>
      </c>
      <c r="O385" s="3">
        <f t="shared" si="388"/>
        <v>6.675940692881667E-2</v>
      </c>
      <c r="P385" s="3">
        <f t="shared" si="388"/>
        <v>6.3931488380640278E-2</v>
      </c>
      <c r="Q385" s="3">
        <f t="shared" si="388"/>
        <v>4.1470404318611535E-2</v>
      </c>
      <c r="R385" s="3">
        <f t="shared" si="388"/>
        <v>5.4698171956702086E-4</v>
      </c>
      <c r="S385" s="3">
        <f t="shared" si="388"/>
        <v>8.7160204121069029E-23</v>
      </c>
      <c r="T385" s="3">
        <f t="shared" si="388"/>
        <v>9.1996753791277869E-211</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3.0532939065729049E-2</v>
      </c>
      <c r="C386" s="3">
        <f t="shared" si="389"/>
        <v>3.0532939065729035E-2</v>
      </c>
      <c r="D386" s="3">
        <f t="shared" si="389"/>
        <v>3.0532939065728917E-2</v>
      </c>
      <c r="E386" s="3">
        <f t="shared" si="389"/>
        <v>3.0532939065727724E-2</v>
      </c>
      <c r="F386" s="3">
        <f t="shared" si="389"/>
        <v>3.0532939065715803E-2</v>
      </c>
      <c r="G386" s="3">
        <f t="shared" si="389"/>
        <v>3.0532939065596589E-2</v>
      </c>
      <c r="H386" s="3">
        <f t="shared" si="389"/>
        <v>3.0532939064404425E-2</v>
      </c>
      <c r="I386" s="3">
        <f t="shared" si="389"/>
        <v>3.0532939052482826E-2</v>
      </c>
      <c r="J386" s="3">
        <f t="shared" si="389"/>
        <v>3.0532938933266824E-2</v>
      </c>
      <c r="K386" s="3">
        <f t="shared" si="389"/>
        <v>3.0532937741106825E-2</v>
      </c>
      <c r="L386" s="3">
        <f t="shared" si="389"/>
        <v>3.0532925819509414E-2</v>
      </c>
      <c r="M386" s="3">
        <f t="shared" si="389"/>
        <v>3.0532806603791322E-2</v>
      </c>
      <c r="N386" s="3">
        <f t="shared" si="389"/>
        <v>3.0531614472211345E-2</v>
      </c>
      <c r="O386" s="3">
        <f t="shared" si="389"/>
        <v>3.0519695716137541E-2</v>
      </c>
      <c r="P386" s="3">
        <f t="shared" si="389"/>
        <v>3.0400763758589862E-2</v>
      </c>
      <c r="Q386" s="3">
        <f t="shared" si="389"/>
        <v>2.9236639065559341E-2</v>
      </c>
      <c r="R386" s="3">
        <f t="shared" si="389"/>
        <v>1.9785952580130557E-2</v>
      </c>
      <c r="S386" s="3">
        <f t="shared" si="389"/>
        <v>3.9870542040090545E-4</v>
      </c>
      <c r="T386" s="3">
        <f t="shared" si="389"/>
        <v>4.4015323725375701E-21</v>
      </c>
      <c r="U386" s="3">
        <f t="shared" si="389"/>
        <v>1.183372587310805E-190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4.6215233336182188E-2</v>
      </c>
      <c r="C387" s="3">
        <f t="shared" si="390"/>
        <v>4.6215233336182181E-2</v>
      </c>
      <c r="D387" s="3">
        <f t="shared" si="390"/>
        <v>4.6215233336182132E-2</v>
      </c>
      <c r="E387" s="3">
        <f t="shared" si="390"/>
        <v>4.6215233336181633E-2</v>
      </c>
      <c r="F387" s="3">
        <f t="shared" si="390"/>
        <v>4.6215233336176643E-2</v>
      </c>
      <c r="G387" s="3">
        <f t="shared" si="390"/>
        <v>4.6215233336126732E-2</v>
      </c>
      <c r="H387" s="3">
        <f t="shared" si="390"/>
        <v>4.6215233335627666E-2</v>
      </c>
      <c r="I387" s="3">
        <f t="shared" si="390"/>
        <v>4.6215233330636936E-2</v>
      </c>
      <c r="J387" s="3">
        <f t="shared" si="390"/>
        <v>4.6215233280729649E-2</v>
      </c>
      <c r="K387" s="3">
        <f t="shared" si="390"/>
        <v>4.621523278165679E-2</v>
      </c>
      <c r="L387" s="3">
        <f t="shared" si="390"/>
        <v>4.6215227790928487E-2</v>
      </c>
      <c r="M387" s="3">
        <f t="shared" si="390"/>
        <v>4.6215177883675074E-2</v>
      </c>
      <c r="N387" s="3">
        <f t="shared" si="390"/>
        <v>4.6214678814105146E-2</v>
      </c>
      <c r="O387" s="3">
        <f t="shared" si="390"/>
        <v>4.6209688414811351E-2</v>
      </c>
      <c r="P387" s="3">
        <f t="shared" si="390"/>
        <v>4.6159814050577772E-2</v>
      </c>
      <c r="Q387" s="3">
        <f t="shared" si="390"/>
        <v>4.5664021474392684E-2</v>
      </c>
      <c r="R387" s="3">
        <f t="shared" si="390"/>
        <v>4.0989743995305278E-2</v>
      </c>
      <c r="S387" s="3">
        <f t="shared" si="390"/>
        <v>1.3921489630720955E-2</v>
      </c>
      <c r="T387" s="3">
        <f t="shared" si="390"/>
        <v>2.843090810974569E-7</v>
      </c>
      <c r="U387" s="3">
        <f t="shared" si="390"/>
        <v>3.5879052535805488E-54</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3.4109179879759796E-2</v>
      </c>
      <c r="C388" s="3">
        <f t="shared" si="391"/>
        <v>3.4109179879759796E-2</v>
      </c>
      <c r="D388" s="3">
        <f t="shared" si="391"/>
        <v>3.4109179879759789E-2</v>
      </c>
      <c r="E388" s="3">
        <f t="shared" si="391"/>
        <v>3.4109179879759755E-2</v>
      </c>
      <c r="F388" s="3">
        <f t="shared" si="391"/>
        <v>3.4109179879759387E-2</v>
      </c>
      <c r="G388" s="3">
        <f t="shared" si="391"/>
        <v>3.4109179879755702E-2</v>
      </c>
      <c r="H388" s="3">
        <f t="shared" si="391"/>
        <v>3.4109179879718871E-2</v>
      </c>
      <c r="I388" s="3">
        <f t="shared" si="391"/>
        <v>3.4109179879350526E-2</v>
      </c>
      <c r="J388" s="3">
        <f t="shared" si="391"/>
        <v>3.4109179875667119E-2</v>
      </c>
      <c r="K388" s="3">
        <f t="shared" si="391"/>
        <v>3.410917983883302E-2</v>
      </c>
      <c r="L388" s="3">
        <f t="shared" si="391"/>
        <v>3.4109179470492003E-2</v>
      </c>
      <c r="M388" s="3">
        <f t="shared" si="391"/>
        <v>3.4109175787082072E-2</v>
      </c>
      <c r="N388" s="3">
        <f t="shared" si="391"/>
        <v>3.4109138953004624E-2</v>
      </c>
      <c r="O388" s="3">
        <f t="shared" si="391"/>
        <v>3.4108770614417881E-2</v>
      </c>
      <c r="P388" s="3">
        <f t="shared" si="391"/>
        <v>3.4105087447312658E-2</v>
      </c>
      <c r="Q388" s="3">
        <f t="shared" si="391"/>
        <v>3.4068277643742977E-2</v>
      </c>
      <c r="R388" s="3">
        <f t="shared" si="391"/>
        <v>3.3702357644137419E-2</v>
      </c>
      <c r="S388" s="3">
        <f t="shared" si="391"/>
        <v>3.0252504428373617E-2</v>
      </c>
      <c r="T388" s="3">
        <f t="shared" si="391"/>
        <v>1.0274763529901048E-2</v>
      </c>
      <c r="U388" s="3">
        <f t="shared" si="391"/>
        <v>2.0983448288705496E-7</v>
      </c>
      <c r="V388" s="3">
        <f t="shared" si="391"/>
        <v>2.6480555620196702E-54</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1.6721828719437171E-2</v>
      </c>
      <c r="C389" s="3">
        <f t="shared" si="392"/>
        <v>1.6721828719437171E-2</v>
      </c>
      <c r="D389" s="3">
        <f t="shared" si="392"/>
        <v>1.6721828719437171E-2</v>
      </c>
      <c r="E389" s="3">
        <f t="shared" si="392"/>
        <v>1.6721828719437167E-2</v>
      </c>
      <c r="F389" s="3">
        <f t="shared" si="392"/>
        <v>1.672182871943715E-2</v>
      </c>
      <c r="G389" s="3">
        <f t="shared" si="392"/>
        <v>1.6721828719436969E-2</v>
      </c>
      <c r="H389" s="3">
        <f t="shared" si="392"/>
        <v>1.6721828719435165E-2</v>
      </c>
      <c r="I389" s="3">
        <f t="shared" si="392"/>
        <v>1.6721828719417107E-2</v>
      </c>
      <c r="J389" s="3">
        <f t="shared" si="392"/>
        <v>1.6721828719236529E-2</v>
      </c>
      <c r="K389" s="3">
        <f t="shared" si="392"/>
        <v>1.6721828717430758E-2</v>
      </c>
      <c r="L389" s="3">
        <f t="shared" si="392"/>
        <v>1.6721828699373054E-2</v>
      </c>
      <c r="M389" s="3">
        <f t="shared" si="392"/>
        <v>1.6721828518795993E-2</v>
      </c>
      <c r="N389" s="3">
        <f t="shared" si="392"/>
        <v>1.6721826713025519E-2</v>
      </c>
      <c r="O389" s="3">
        <f t="shared" si="392"/>
        <v>1.6721808655331485E-2</v>
      </c>
      <c r="P389" s="3">
        <f t="shared" si="392"/>
        <v>1.6721628079463636E-2</v>
      </c>
      <c r="Q389" s="3">
        <f t="shared" si="392"/>
        <v>1.6719822428032098E-2</v>
      </c>
      <c r="R389" s="3">
        <f t="shared" si="392"/>
        <v>1.6701776634123883E-2</v>
      </c>
      <c r="S389" s="3">
        <f t="shared" si="392"/>
        <v>1.6522386464674174E-2</v>
      </c>
      <c r="T389" s="3">
        <f t="shared" si="392"/>
        <v>1.483111582185718E-2</v>
      </c>
      <c r="U389" s="3">
        <f t="shared" si="392"/>
        <v>5.0371435632692472E-3</v>
      </c>
      <c r="V389" s="3">
        <f t="shared" si="392"/>
        <v>1.0287014506470488E-7</v>
      </c>
      <c r="W389" s="3">
        <f t="shared" si="392"/>
        <v>1.2981939672469688E-54</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1.0380166217025045E-2</v>
      </c>
      <c r="C390" s="3">
        <f t="shared" si="393"/>
        <v>1.0380166217025045E-2</v>
      </c>
      <c r="D390" s="3">
        <f t="shared" si="393"/>
        <v>1.0380166217025045E-2</v>
      </c>
      <c r="E390" s="3">
        <f t="shared" si="393"/>
        <v>1.0380166217025045E-2</v>
      </c>
      <c r="F390" s="3">
        <f t="shared" si="393"/>
        <v>1.0380166217025043E-2</v>
      </c>
      <c r="G390" s="3">
        <f t="shared" si="393"/>
        <v>1.0380166217025033E-2</v>
      </c>
      <c r="H390" s="3">
        <f t="shared" si="393"/>
        <v>1.038016621702492E-2</v>
      </c>
      <c r="I390" s="3">
        <f t="shared" si="393"/>
        <v>1.03801662170238E-2</v>
      </c>
      <c r="J390" s="3">
        <f t="shared" si="393"/>
        <v>1.038016621701259E-2</v>
      </c>
      <c r="K390" s="3">
        <f t="shared" si="393"/>
        <v>1.0380166216900496E-2</v>
      </c>
      <c r="L390" s="3">
        <f t="shared" si="393"/>
        <v>1.0380166215779554E-2</v>
      </c>
      <c r="M390" s="3">
        <f t="shared" si="393"/>
        <v>1.0380166204570135E-2</v>
      </c>
      <c r="N390" s="3">
        <f t="shared" si="393"/>
        <v>1.0380166092475943E-2</v>
      </c>
      <c r="O390" s="3">
        <f t="shared" si="393"/>
        <v>1.0380164971534088E-2</v>
      </c>
      <c r="P390" s="3">
        <f t="shared" si="393"/>
        <v>1.0380153762122203E-2</v>
      </c>
      <c r="Q390" s="3">
        <f t="shared" si="393"/>
        <v>1.0380041668669121E-2</v>
      </c>
      <c r="R390" s="3">
        <f t="shared" si="393"/>
        <v>1.0378920800712401E-2</v>
      </c>
      <c r="S390" s="3">
        <f t="shared" si="393"/>
        <v>1.0367718775896316E-2</v>
      </c>
      <c r="T390" s="3">
        <f t="shared" si="393"/>
        <v>1.0256361351548117E-2</v>
      </c>
      <c r="U390" s="3">
        <f t="shared" si="393"/>
        <v>9.2064958921555824E-3</v>
      </c>
      <c r="V390" s="3">
        <f t="shared" si="393"/>
        <v>3.1268342908557477E-3</v>
      </c>
      <c r="W390" s="3">
        <f t="shared" si="393"/>
        <v>6.3857202609659076E-8</v>
      </c>
      <c r="X390" s="3">
        <f t="shared" si="393"/>
        <v>8.0586097298670725E-55</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2.3857851620006894E-3</v>
      </c>
      <c r="C391" s="3">
        <f t="shared" si="394"/>
        <v>2.3857851620006894E-3</v>
      </c>
      <c r="D391" s="3">
        <f t="shared" si="394"/>
        <v>2.3857851620006894E-3</v>
      </c>
      <c r="E391" s="3">
        <f t="shared" si="394"/>
        <v>2.3857851620006894E-3</v>
      </c>
      <c r="F391" s="3">
        <f t="shared" si="394"/>
        <v>2.3857851620006894E-3</v>
      </c>
      <c r="G391" s="3">
        <f t="shared" si="394"/>
        <v>2.385785162000689E-3</v>
      </c>
      <c r="H391" s="3">
        <f t="shared" si="394"/>
        <v>2.3857851620006864E-3</v>
      </c>
      <c r="I391" s="3">
        <f t="shared" si="394"/>
        <v>2.3857851620006608E-3</v>
      </c>
      <c r="J391" s="3">
        <f t="shared" si="394"/>
        <v>2.3857851620004032E-3</v>
      </c>
      <c r="K391" s="3">
        <f t="shared" si="394"/>
        <v>2.3857851619978267E-3</v>
      </c>
      <c r="L391" s="3">
        <f t="shared" si="394"/>
        <v>2.385785161972063E-3</v>
      </c>
      <c r="M391" s="3">
        <f t="shared" si="394"/>
        <v>2.3857851617144249E-3</v>
      </c>
      <c r="N391" s="3">
        <f t="shared" si="394"/>
        <v>2.3857851591380435E-3</v>
      </c>
      <c r="O391" s="3">
        <f t="shared" si="394"/>
        <v>2.3857851333742306E-3</v>
      </c>
      <c r="P391" s="3">
        <f t="shared" si="394"/>
        <v>2.385784875736117E-3</v>
      </c>
      <c r="Q391" s="3">
        <f t="shared" si="394"/>
        <v>2.3857822993565109E-3</v>
      </c>
      <c r="R391" s="3">
        <f t="shared" si="394"/>
        <v>2.3857565357134698E-3</v>
      </c>
      <c r="S391" s="3">
        <f t="shared" si="394"/>
        <v>2.3854989145845017E-3</v>
      </c>
      <c r="T391" s="3">
        <f t="shared" si="394"/>
        <v>2.3829242328277929E-3</v>
      </c>
      <c r="U391" s="3">
        <f t="shared" si="394"/>
        <v>2.3573297591812344E-3</v>
      </c>
      <c r="V391" s="3">
        <f t="shared" si="394"/>
        <v>2.1160278972700472E-3</v>
      </c>
      <c r="W391" s="3">
        <f t="shared" si="394"/>
        <v>7.1867393056993E-4</v>
      </c>
      <c r="X391" s="3">
        <f t="shared" si="394"/>
        <v>1.4676987178020323E-8</v>
      </c>
      <c r="Y391" s="3">
        <f t="shared" si="394"/>
        <v>1.8521968837394445E-55</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4.6637051545343495E-3</v>
      </c>
      <c r="C392" s="3">
        <f t="shared" si="395"/>
        <v>4.6637051545343495E-3</v>
      </c>
      <c r="D392" s="3">
        <f t="shared" si="395"/>
        <v>4.6637051545343495E-3</v>
      </c>
      <c r="E392" s="3">
        <f t="shared" si="395"/>
        <v>4.6637051545343495E-3</v>
      </c>
      <c r="F392" s="3">
        <f t="shared" si="395"/>
        <v>4.6637051545343495E-3</v>
      </c>
      <c r="G392" s="3">
        <f t="shared" si="395"/>
        <v>4.6637051545343495E-3</v>
      </c>
      <c r="H392" s="3">
        <f t="shared" si="395"/>
        <v>4.6637051545343486E-3</v>
      </c>
      <c r="I392" s="3">
        <f t="shared" si="395"/>
        <v>4.6637051545343434E-3</v>
      </c>
      <c r="J392" s="3">
        <f t="shared" si="395"/>
        <v>4.663705154534294E-3</v>
      </c>
      <c r="K392" s="3">
        <f t="shared" si="395"/>
        <v>4.66370515453379E-3</v>
      </c>
      <c r="L392" s="3">
        <f t="shared" si="395"/>
        <v>4.6637051545287533E-3</v>
      </c>
      <c r="M392" s="3">
        <f t="shared" si="395"/>
        <v>4.6637051544783908E-3</v>
      </c>
      <c r="N392" s="3">
        <f t="shared" si="395"/>
        <v>4.6637051539747624E-3</v>
      </c>
      <c r="O392" s="3">
        <f t="shared" si="395"/>
        <v>4.6637051489384828E-3</v>
      </c>
      <c r="P392" s="3">
        <f t="shared" si="395"/>
        <v>4.6637050985756804E-3</v>
      </c>
      <c r="Q392" s="3">
        <f t="shared" si="395"/>
        <v>4.6637045949476852E-3</v>
      </c>
      <c r="R392" s="3">
        <f t="shared" si="395"/>
        <v>4.663699558670722E-3</v>
      </c>
      <c r="S392" s="3">
        <f t="shared" si="395"/>
        <v>4.6636491962002181E-3</v>
      </c>
      <c r="T392" s="3">
        <f t="shared" si="395"/>
        <v>4.6631456014062603E-3</v>
      </c>
      <c r="U392" s="3">
        <f t="shared" si="395"/>
        <v>4.6581126433799898E-3</v>
      </c>
      <c r="V392" s="3">
        <f t="shared" si="395"/>
        <v>4.6080808632456248E-3</v>
      </c>
      <c r="W392" s="3">
        <f t="shared" si="395"/>
        <v>4.1363867831926554E-3</v>
      </c>
      <c r="X392" s="3">
        <f t="shared" si="395"/>
        <v>1.4048554613432856E-3</v>
      </c>
      <c r="Y392" s="3">
        <f t="shared" si="395"/>
        <v>2.8690404251557735E-8</v>
      </c>
      <c r="Z392" s="3">
        <f t="shared" si="395"/>
        <v>3.6206529789397737E-55</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1.1662493677485003E-4</v>
      </c>
      <c r="C393" s="3">
        <f t="shared" si="396"/>
        <v>1.1662493677485003E-4</v>
      </c>
      <c r="D393" s="3">
        <f t="shared" si="396"/>
        <v>1.1662493677485003E-4</v>
      </c>
      <c r="E393" s="3">
        <f t="shared" si="396"/>
        <v>1.1662493677485003E-4</v>
      </c>
      <c r="F393" s="3">
        <f t="shared" si="396"/>
        <v>1.1662493677485003E-4</v>
      </c>
      <c r="G393" s="3">
        <f t="shared" si="396"/>
        <v>1.1662493677485003E-4</v>
      </c>
      <c r="H393" s="3">
        <f t="shared" si="396"/>
        <v>1.1662493677485003E-4</v>
      </c>
      <c r="I393" s="3">
        <f t="shared" si="396"/>
        <v>1.1662493677485002E-4</v>
      </c>
      <c r="J393" s="3">
        <f t="shared" si="396"/>
        <v>1.1662493677484988E-4</v>
      </c>
      <c r="K393" s="3">
        <f t="shared" si="396"/>
        <v>1.1662493677484864E-4</v>
      </c>
      <c r="L393" s="3">
        <f t="shared" si="396"/>
        <v>1.1662493677483603E-4</v>
      </c>
      <c r="M393" s="3">
        <f t="shared" si="396"/>
        <v>1.1662493677471009E-4</v>
      </c>
      <c r="N393" s="3">
        <f t="shared" si="396"/>
        <v>1.1662493677345068E-4</v>
      </c>
      <c r="O393" s="3">
        <f t="shared" si="396"/>
        <v>1.1662493676085649E-4</v>
      </c>
      <c r="P393" s="3">
        <f t="shared" si="396"/>
        <v>1.1662493663491459E-4</v>
      </c>
      <c r="Q393" s="3">
        <f t="shared" si="396"/>
        <v>1.1662493537549565E-4</v>
      </c>
      <c r="R393" s="3">
        <f t="shared" si="396"/>
        <v>1.1662492278130687E-4</v>
      </c>
      <c r="S393" s="3">
        <f t="shared" si="396"/>
        <v>1.166247968394939E-4</v>
      </c>
      <c r="T393" s="3">
        <f t="shared" si="396"/>
        <v>1.1662353742884425E-4</v>
      </c>
      <c r="U393" s="3">
        <f t="shared" si="396"/>
        <v>1.1661094407033221E-4</v>
      </c>
      <c r="V393" s="3">
        <f t="shared" si="396"/>
        <v>1.1648508525375727E-4</v>
      </c>
      <c r="W393" s="3">
        <f t="shared" si="396"/>
        <v>1.1523394415423247E-4</v>
      </c>
      <c r="X393" s="3">
        <f t="shared" si="396"/>
        <v>1.0343832448265801E-4</v>
      </c>
      <c r="Y393" s="3">
        <f t="shared" si="396"/>
        <v>3.5131118698116385E-5</v>
      </c>
      <c r="Z393" s="3">
        <f t="shared" si="396"/>
        <v>7.1745885964287429E-10</v>
      </c>
      <c r="AA393" s="3">
        <f t="shared" si="396"/>
        <v>9.0541406620008379E-57</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1.2727846034903288E-3</v>
      </c>
      <c r="C394" s="3">
        <f t="shared" si="397"/>
        <v>1.2727846034903288E-3</v>
      </c>
      <c r="D394" s="3">
        <f t="shared" si="397"/>
        <v>1.2727846034903288E-3</v>
      </c>
      <c r="E394" s="3">
        <f t="shared" si="397"/>
        <v>1.2727846034903288E-3</v>
      </c>
      <c r="F394" s="3">
        <f t="shared" si="397"/>
        <v>1.2727846034903288E-3</v>
      </c>
      <c r="G394" s="3">
        <f t="shared" si="397"/>
        <v>1.2727846034903288E-3</v>
      </c>
      <c r="H394" s="3">
        <f t="shared" si="397"/>
        <v>1.2727846034903288E-3</v>
      </c>
      <c r="I394" s="3">
        <f t="shared" si="397"/>
        <v>1.2727846034903288E-3</v>
      </c>
      <c r="J394" s="3">
        <f t="shared" si="397"/>
        <v>1.2727846034903286E-3</v>
      </c>
      <c r="K394" s="3">
        <f t="shared" si="397"/>
        <v>1.2727846034903273E-3</v>
      </c>
      <c r="L394" s="3">
        <f t="shared" si="397"/>
        <v>1.2727846034903136E-3</v>
      </c>
      <c r="M394" s="3">
        <f t="shared" si="397"/>
        <v>1.2727846034901761E-3</v>
      </c>
      <c r="N394" s="3">
        <f t="shared" si="397"/>
        <v>1.2727846034888016E-3</v>
      </c>
      <c r="O394" s="3">
        <f t="shared" si="397"/>
        <v>1.2727846034750569E-3</v>
      </c>
      <c r="P394" s="3">
        <f t="shared" si="397"/>
        <v>1.2727846033376105E-3</v>
      </c>
      <c r="Q394" s="3">
        <f t="shared" si="397"/>
        <v>1.2727846019631455E-3</v>
      </c>
      <c r="R394" s="3">
        <f t="shared" si="397"/>
        <v>1.2727845882184944E-3</v>
      </c>
      <c r="S394" s="3">
        <f t="shared" si="397"/>
        <v>1.2727844507719928E-3</v>
      </c>
      <c r="T394" s="3">
        <f t="shared" si="397"/>
        <v>1.2727830763077921E-3</v>
      </c>
      <c r="U394" s="3">
        <f t="shared" si="397"/>
        <v>1.2727693317474205E-3</v>
      </c>
      <c r="V394" s="3">
        <f t="shared" si="397"/>
        <v>1.2726318943068217E-3</v>
      </c>
      <c r="W394" s="3">
        <f t="shared" si="397"/>
        <v>1.2712583358862981E-3</v>
      </c>
      <c r="X394" s="3">
        <f t="shared" si="397"/>
        <v>1.2576040251333295E-3</v>
      </c>
      <c r="Y394" s="3">
        <f t="shared" si="397"/>
        <v>1.1288726961244102E-3</v>
      </c>
      <c r="Z394" s="3">
        <f t="shared" si="397"/>
        <v>3.8340296868650744E-4</v>
      </c>
      <c r="AA394" s="3">
        <f t="shared" si="397"/>
        <v>7.8299771510624554E-9</v>
      </c>
      <c r="AB394" s="3">
        <f t="shared" si="397"/>
        <v>9.8812236483162855E-56</v>
      </c>
      <c r="AC394" s="3">
        <f t="shared" si="397"/>
        <v>0</v>
      </c>
      <c r="AD394" s="3">
        <f t="shared" si="397"/>
        <v>0</v>
      </c>
      <c r="AE394" s="3">
        <f t="shared" si="397"/>
        <v>0</v>
      </c>
      <c r="AF394" s="3">
        <f t="shared" si="397"/>
        <v>0</v>
      </c>
      <c r="AG394" s="3"/>
      <c r="AH394" s="3"/>
    </row>
    <row r="395" spans="1:34" x14ac:dyDescent="0.25">
      <c r="B395" s="3">
        <f t="shared" ref="B395:AF395" si="398">$C47*EXP(-B$363/$A47/EXP(-$H$126))</f>
        <v>2.0157372743803063E-3</v>
      </c>
      <c r="C395" s="3">
        <f t="shared" si="398"/>
        <v>2.0157372743803063E-3</v>
      </c>
      <c r="D395" s="3">
        <f t="shared" si="398"/>
        <v>2.0157372743803063E-3</v>
      </c>
      <c r="E395" s="3">
        <f t="shared" si="398"/>
        <v>2.0157372743803063E-3</v>
      </c>
      <c r="F395" s="3">
        <f t="shared" si="398"/>
        <v>2.0157372743803063E-3</v>
      </c>
      <c r="G395" s="3">
        <f t="shared" si="398"/>
        <v>2.0157372743803063E-3</v>
      </c>
      <c r="H395" s="3">
        <f t="shared" si="398"/>
        <v>2.0157372743803063E-3</v>
      </c>
      <c r="I395" s="3">
        <f t="shared" si="398"/>
        <v>2.0157372743803063E-3</v>
      </c>
      <c r="J395" s="3">
        <f t="shared" si="398"/>
        <v>2.0157372743803063E-3</v>
      </c>
      <c r="K395" s="3">
        <f t="shared" si="398"/>
        <v>2.0157372743803059E-3</v>
      </c>
      <c r="L395" s="3">
        <f t="shared" si="398"/>
        <v>2.0157372743803037E-3</v>
      </c>
      <c r="M395" s="3">
        <f t="shared" si="398"/>
        <v>2.015737274380282E-3</v>
      </c>
      <c r="N395" s="3">
        <f t="shared" si="398"/>
        <v>2.0157372743800643E-3</v>
      </c>
      <c r="O395" s="3">
        <f t="shared" si="398"/>
        <v>2.0157372743778877E-3</v>
      </c>
      <c r="P395" s="3">
        <f t="shared" si="398"/>
        <v>2.0157372743561199E-3</v>
      </c>
      <c r="Q395" s="3">
        <f t="shared" si="398"/>
        <v>2.0157372741384429E-3</v>
      </c>
      <c r="R395" s="3">
        <f t="shared" si="398"/>
        <v>2.015737271961672E-3</v>
      </c>
      <c r="S395" s="3">
        <f t="shared" si="398"/>
        <v>2.0157372501939624E-3</v>
      </c>
      <c r="T395" s="3">
        <f t="shared" si="398"/>
        <v>2.0157370325168821E-3</v>
      </c>
      <c r="U395" s="3">
        <f t="shared" si="398"/>
        <v>2.0157348557473692E-3</v>
      </c>
      <c r="V395" s="3">
        <f t="shared" si="398"/>
        <v>2.015713088181526E-3</v>
      </c>
      <c r="W395" s="3">
        <f t="shared" si="398"/>
        <v>2.0154954254512011E-3</v>
      </c>
      <c r="X395" s="3">
        <f t="shared" si="398"/>
        <v>2.0133200904422803E-3</v>
      </c>
      <c r="Y395" s="3">
        <f t="shared" si="398"/>
        <v>1.9916954549263777E-3</v>
      </c>
      <c r="Z395" s="3">
        <f t="shared" si="398"/>
        <v>1.7878207870900419E-3</v>
      </c>
      <c r="AA395" s="3">
        <f t="shared" si="398"/>
        <v>6.0720380571081518E-4</v>
      </c>
      <c r="AB395" s="3">
        <f t="shared" si="398"/>
        <v>1.240050889809702E-8</v>
      </c>
      <c r="AC395" s="3">
        <f t="shared" si="398"/>
        <v>1.5649113581181565E-55</v>
      </c>
      <c r="AD395" s="3">
        <f t="shared" si="398"/>
        <v>0</v>
      </c>
      <c r="AE395" s="3">
        <f t="shared" si="398"/>
        <v>0</v>
      </c>
      <c r="AF395" s="3">
        <f t="shared" si="398"/>
        <v>0</v>
      </c>
      <c r="AG395" s="3"/>
      <c r="AH395" s="3"/>
    </row>
    <row r="396" spans="1:34" x14ac:dyDescent="0.25">
      <c r="B396" s="3">
        <f t="shared" ref="B396:AF396" si="399">$C48*EXP(-B$363/$A48/EXP(-$H$126))</f>
        <v>9.8070147356989854E-3</v>
      </c>
      <c r="C396" s="3">
        <f t="shared" si="399"/>
        <v>9.8070147356989854E-3</v>
      </c>
      <c r="D396" s="3">
        <f t="shared" si="399"/>
        <v>9.8070147356989854E-3</v>
      </c>
      <c r="E396" s="3">
        <f t="shared" si="399"/>
        <v>9.8070147356989854E-3</v>
      </c>
      <c r="F396" s="3">
        <f t="shared" si="399"/>
        <v>9.8070147356989854E-3</v>
      </c>
      <c r="G396" s="3">
        <f t="shared" si="399"/>
        <v>9.8070147356989854E-3</v>
      </c>
      <c r="H396" s="3">
        <f t="shared" si="399"/>
        <v>9.8070147356989854E-3</v>
      </c>
      <c r="I396" s="3">
        <f t="shared" si="399"/>
        <v>9.8070147356989854E-3</v>
      </c>
      <c r="J396" s="3">
        <f t="shared" si="399"/>
        <v>9.8070147356989854E-3</v>
      </c>
      <c r="K396" s="3">
        <f t="shared" si="399"/>
        <v>9.8070147356989854E-3</v>
      </c>
      <c r="L396" s="3">
        <f t="shared" si="399"/>
        <v>9.8070147356989837E-3</v>
      </c>
      <c r="M396" s="3">
        <f t="shared" si="399"/>
        <v>9.8070147356989733E-3</v>
      </c>
      <c r="N396" s="3">
        <f t="shared" si="399"/>
        <v>9.8070147356988675E-3</v>
      </c>
      <c r="O396" s="3">
        <f t="shared" si="399"/>
        <v>9.8070147356978093E-3</v>
      </c>
      <c r="P396" s="3">
        <f t="shared" si="399"/>
        <v>9.8070147356872171E-3</v>
      </c>
      <c r="Q396" s="3">
        <f t="shared" si="399"/>
        <v>9.8070147355813139E-3</v>
      </c>
      <c r="R396" s="3">
        <f t="shared" si="399"/>
        <v>9.8070147345222652E-3</v>
      </c>
      <c r="S396" s="3">
        <f t="shared" si="399"/>
        <v>9.8070147239317854E-3</v>
      </c>
      <c r="T396" s="3">
        <f t="shared" si="399"/>
        <v>9.8070146180269883E-3</v>
      </c>
      <c r="U396" s="3">
        <f t="shared" si="399"/>
        <v>9.8070135589790851E-3</v>
      </c>
      <c r="V396" s="3">
        <f t="shared" si="399"/>
        <v>9.8070029685063276E-3</v>
      </c>
      <c r="W396" s="3">
        <f t="shared" si="399"/>
        <v>9.806897064407764E-3</v>
      </c>
      <c r="X396" s="3">
        <f t="shared" si="399"/>
        <v>9.8058380863202729E-3</v>
      </c>
      <c r="Y396" s="3">
        <f t="shared" si="399"/>
        <v>9.7952545927476146E-3</v>
      </c>
      <c r="Z396" s="3">
        <f t="shared" si="399"/>
        <v>9.690045882339772E-3</v>
      </c>
      <c r="AA396" s="3">
        <f t="shared" si="399"/>
        <v>8.6981498167568432E-3</v>
      </c>
      <c r="AB396" s="3">
        <f t="shared" si="399"/>
        <v>2.9541829413305644E-3</v>
      </c>
      <c r="AC396" s="3">
        <f t="shared" si="399"/>
        <v>6.0331261935507332E-8</v>
      </c>
      <c r="AD396" s="3">
        <f t="shared" si="399"/>
        <v>7.6136453615194478E-55</v>
      </c>
      <c r="AE396" s="3">
        <f t="shared" si="399"/>
        <v>0</v>
      </c>
      <c r="AF396" s="3">
        <f t="shared" si="399"/>
        <v>0</v>
      </c>
      <c r="AG396" s="3"/>
      <c r="AH396" s="3"/>
    </row>
    <row r="397" spans="1:34" x14ac:dyDescent="0.25">
      <c r="A397" s="79">
        <f>AVERAGE(B397:AF397)</f>
        <v>3.3374703323646435E-2</v>
      </c>
      <c r="B397" s="80">
        <f>IF($A$64&lt;=B363,IF($B$64&gt;=B363,ABS((B365-B364)/B364),0),0)</f>
        <v>3.2634281452483334E-3</v>
      </c>
      <c r="C397" s="80">
        <f t="shared" ref="C397:AF397" si="400">IF($A$64&lt;=C363,IF($B$64&gt;=C363,ABS((C365-C364)/C364),0),0)</f>
        <v>6.4559752919476163E-3</v>
      </c>
      <c r="D397" s="80">
        <f t="shared" si="400"/>
        <v>7.9539650627630434E-3</v>
      </c>
      <c r="E397" s="80">
        <f t="shared" si="400"/>
        <v>8.1028843037759396E-3</v>
      </c>
      <c r="F397" s="80">
        <f t="shared" si="400"/>
        <v>8.1573149887455183E-3</v>
      </c>
      <c r="G397" s="80">
        <f t="shared" si="400"/>
        <v>6.8588757105428853E-3</v>
      </c>
      <c r="H397" s="80">
        <f t="shared" si="400"/>
        <v>8.2768156398075731E-3</v>
      </c>
      <c r="I397" s="80">
        <f t="shared" si="400"/>
        <v>6.3507034883986749E-3</v>
      </c>
      <c r="J397" s="80">
        <f t="shared" si="400"/>
        <v>9.1313911032826437E-3</v>
      </c>
      <c r="K397" s="80">
        <f t="shared" si="400"/>
        <v>6.4346981934101464E-3</v>
      </c>
      <c r="L397" s="80">
        <f t="shared" si="400"/>
        <v>8.8259799266088498E-3</v>
      </c>
      <c r="M397" s="80">
        <f t="shared" si="400"/>
        <v>3.4871007291073383E-4</v>
      </c>
      <c r="N397" s="80">
        <f t="shared" si="400"/>
        <v>1.2223864977916728E-2</v>
      </c>
      <c r="O397" s="80">
        <f t="shared" si="400"/>
        <v>2.8314580093883993E-2</v>
      </c>
      <c r="P397" s="80">
        <f t="shared" si="400"/>
        <v>3.2232257953325349E-2</v>
      </c>
      <c r="Q397" s="80">
        <f t="shared" si="400"/>
        <v>2.478533417029247E-2</v>
      </c>
      <c r="R397" s="80">
        <f t="shared" si="400"/>
        <v>9.2821833181173919E-4</v>
      </c>
      <c r="S397" s="80">
        <f t="shared" si="400"/>
        <v>2.711147069223025E-3</v>
      </c>
      <c r="T397" s="80">
        <f t="shared" si="400"/>
        <v>9.0000942877625622E-3</v>
      </c>
      <c r="U397" s="80">
        <f t="shared" si="400"/>
        <v>3.4162529420275669E-3</v>
      </c>
      <c r="V397" s="80">
        <f t="shared" si="400"/>
        <v>2.4844666324791822E-3</v>
      </c>
      <c r="W397" s="80">
        <f t="shared" si="400"/>
        <v>1.2967314442236379E-4</v>
      </c>
      <c r="X397" s="80">
        <f t="shared" si="400"/>
        <v>1.2718494072620399E-3</v>
      </c>
      <c r="Y397" s="80">
        <f t="shared" si="400"/>
        <v>4.3729065423840261E-4</v>
      </c>
      <c r="Z397" s="80">
        <f t="shared" si="400"/>
        <v>1.3622122903405921E-3</v>
      </c>
      <c r="AA397" s="80">
        <f t="shared" si="400"/>
        <v>1.5621279460152351E-3</v>
      </c>
      <c r="AB397" s="80">
        <f t="shared" si="400"/>
        <v>0.11802668976374918</v>
      </c>
      <c r="AC397" s="80">
        <f t="shared" si="400"/>
        <v>0.17948460852026055</v>
      </c>
      <c r="AD397" s="80">
        <f t="shared" si="400"/>
        <v>0.17906277258338196</v>
      </c>
      <c r="AE397" s="80">
        <f t="shared" si="400"/>
        <v>0.1786948422973488</v>
      </c>
      <c r="AF397" s="80">
        <f t="shared" si="400"/>
        <v>0.17832677803985586</v>
      </c>
    </row>
    <row r="398" spans="1:34" x14ac:dyDescent="0.25">
      <c r="B398" s="21">
        <f>(B365-B364)^2</f>
        <v>662.1465726018979</v>
      </c>
      <c r="C398" s="21">
        <f t="shared" ref="C398:AF398" si="401">(C365-C364)^2</f>
        <v>2365.284093752553</v>
      </c>
      <c r="D398" s="21">
        <f t="shared" si="401"/>
        <v>3271.7114468067471</v>
      </c>
      <c r="E398" s="21">
        <f t="shared" si="401"/>
        <v>3047.1062843399927</v>
      </c>
      <c r="F398" s="21">
        <f t="shared" si="401"/>
        <v>2769.9981806993624</v>
      </c>
      <c r="G398" s="21">
        <f t="shared" si="401"/>
        <v>1788.6594300128445</v>
      </c>
      <c r="H398" s="21">
        <f t="shared" si="401"/>
        <v>2369.3929167938054</v>
      </c>
      <c r="I398" s="21">
        <f t="shared" si="401"/>
        <v>1269.0210511822199</v>
      </c>
      <c r="J398" s="21">
        <f t="shared" si="401"/>
        <v>2363.0500394149076</v>
      </c>
      <c r="K398" s="21">
        <f t="shared" si="401"/>
        <v>1060.6629787457932</v>
      </c>
      <c r="L398" s="21">
        <f t="shared" si="401"/>
        <v>1745.3152659075122</v>
      </c>
      <c r="M398" s="21">
        <f t="shared" si="401"/>
        <v>2.3475025965919776</v>
      </c>
      <c r="N398" s="21">
        <f t="shared" si="401"/>
        <v>2398.0952191275401</v>
      </c>
      <c r="O398" s="21">
        <f t="shared" si="401"/>
        <v>10253.495163061123</v>
      </c>
      <c r="P398" s="21">
        <f t="shared" si="401"/>
        <v>9725.018455669835</v>
      </c>
      <c r="Q398" s="21">
        <f t="shared" si="401"/>
        <v>3746.4992891492307</v>
      </c>
      <c r="R398" s="21">
        <f t="shared" si="401"/>
        <v>2.9258801568445398</v>
      </c>
      <c r="S398" s="21">
        <f t="shared" si="401"/>
        <v>12.978013896964272</v>
      </c>
      <c r="T398" s="21">
        <f t="shared" si="401"/>
        <v>72.924972467583444</v>
      </c>
      <c r="U398" s="21">
        <f t="shared" si="401"/>
        <v>6.3804733612968247</v>
      </c>
      <c r="V398" s="21">
        <f t="shared" si="401"/>
        <v>2.4045918628834864</v>
      </c>
      <c r="W398" s="21">
        <f t="shared" si="401"/>
        <v>5.5565641978882543E-3</v>
      </c>
      <c r="X398" s="21">
        <f t="shared" si="401"/>
        <v>0.47172635376947342</v>
      </c>
      <c r="Y398" s="21">
        <f t="shared" si="401"/>
        <v>5.2287930402278297E-2</v>
      </c>
      <c r="Z398" s="21">
        <f t="shared" si="401"/>
        <v>0.48697674455452894</v>
      </c>
      <c r="AA398" s="21">
        <f t="shared" si="401"/>
        <v>0.57710251006667701</v>
      </c>
      <c r="AB398" s="21">
        <f t="shared" si="401"/>
        <v>3171.7187668507222</v>
      </c>
      <c r="AC398" s="21">
        <f t="shared" si="401"/>
        <v>7306.0140449324499</v>
      </c>
      <c r="AD398" s="21">
        <f t="shared" si="401"/>
        <v>7264.2182768708562</v>
      </c>
      <c r="AE398" s="21">
        <f t="shared" si="401"/>
        <v>7227.9162426871453</v>
      </c>
      <c r="AF398" s="21">
        <f t="shared" si="401"/>
        <v>7191.7243809599959</v>
      </c>
      <c r="AG398" s="3"/>
      <c r="AH398" s="3"/>
    </row>
    <row r="399" spans="1:34" x14ac:dyDescent="0.25">
      <c r="A399" s="71">
        <f>SUM(B399:AF399)</f>
        <v>81098.603184011707</v>
      </c>
      <c r="B399" s="60">
        <f>IF($A$64&lt;=B363,IF($B$64&gt;=B363,ABS(B398),0),0)</f>
        <v>662.1465726018979</v>
      </c>
      <c r="C399" s="60">
        <f t="shared" ref="C399" si="402">IF($A$64&lt;=C363,IF($B$64&gt;=C363,ABS(C398),0),0)</f>
        <v>2365.284093752553</v>
      </c>
      <c r="D399" s="60">
        <f t="shared" ref="D399" si="403">IF($A$64&lt;=D363,IF($B$64&gt;=D363,ABS(D398),0),0)</f>
        <v>3271.7114468067471</v>
      </c>
      <c r="E399" s="60">
        <f t="shared" ref="E399" si="404">IF($A$64&lt;=E363,IF($B$64&gt;=E363,ABS(E398),0),0)</f>
        <v>3047.1062843399927</v>
      </c>
      <c r="F399" s="60">
        <f t="shared" ref="F399" si="405">IF($A$64&lt;=F363,IF($B$64&gt;=F363,ABS(F398),0),0)</f>
        <v>2769.9981806993624</v>
      </c>
      <c r="G399" s="60">
        <f t="shared" ref="G399" si="406">IF($A$64&lt;=G363,IF($B$64&gt;=G363,ABS(G398),0),0)</f>
        <v>1788.6594300128445</v>
      </c>
      <c r="H399" s="60">
        <f t="shared" ref="H399" si="407">IF($A$64&lt;=H363,IF($B$64&gt;=H363,ABS(H398),0),0)</f>
        <v>2369.3929167938054</v>
      </c>
      <c r="I399" s="60">
        <f t="shared" ref="I399" si="408">IF($A$64&lt;=I363,IF($B$64&gt;=I363,ABS(I398),0),0)</f>
        <v>1269.0210511822199</v>
      </c>
      <c r="J399" s="60">
        <f t="shared" ref="J399" si="409">IF($A$64&lt;=J363,IF($B$64&gt;=J363,ABS(J398),0),0)</f>
        <v>2363.0500394149076</v>
      </c>
      <c r="K399" s="60">
        <f t="shared" ref="K399" si="410">IF($A$64&lt;=K363,IF($B$64&gt;=K363,ABS(K398),0),0)</f>
        <v>1060.6629787457932</v>
      </c>
      <c r="L399" s="60">
        <f t="shared" ref="L399" si="411">IF($A$64&lt;=L363,IF($B$64&gt;=L363,ABS(L398),0),0)</f>
        <v>1745.3152659075122</v>
      </c>
      <c r="M399" s="60">
        <f t="shared" ref="M399" si="412">IF($A$64&lt;=M363,IF($B$64&gt;=M363,ABS(M398),0),0)</f>
        <v>2.3475025965919776</v>
      </c>
      <c r="N399" s="60">
        <f t="shared" ref="N399" si="413">IF($A$64&lt;=N363,IF($B$64&gt;=N363,ABS(N398),0),0)</f>
        <v>2398.0952191275401</v>
      </c>
      <c r="O399" s="60">
        <f t="shared" ref="O399" si="414">IF($A$64&lt;=O363,IF($B$64&gt;=O363,ABS(O398),0),0)</f>
        <v>10253.495163061123</v>
      </c>
      <c r="P399" s="60">
        <f t="shared" ref="P399" si="415">IF($A$64&lt;=P363,IF($B$64&gt;=P363,ABS(P398),0),0)</f>
        <v>9725.018455669835</v>
      </c>
      <c r="Q399" s="60">
        <f t="shared" ref="Q399" si="416">IF($A$64&lt;=Q363,IF($B$64&gt;=Q363,ABS(Q398),0),0)</f>
        <v>3746.4992891492307</v>
      </c>
      <c r="R399" s="60">
        <f t="shared" ref="R399" si="417">IF($A$64&lt;=R363,IF($B$64&gt;=R363,ABS(R398),0),0)</f>
        <v>2.9258801568445398</v>
      </c>
      <c r="S399" s="60">
        <f t="shared" ref="S399" si="418">IF($A$64&lt;=S363,IF($B$64&gt;=S363,ABS(S398),0),0)</f>
        <v>12.978013896964272</v>
      </c>
      <c r="T399" s="60">
        <f t="shared" ref="T399" si="419">IF($A$64&lt;=T363,IF($B$64&gt;=T363,ABS(T398),0),0)</f>
        <v>72.924972467583444</v>
      </c>
      <c r="U399" s="60">
        <f t="shared" ref="U399" si="420">IF($A$64&lt;=U363,IF($B$64&gt;=U363,ABS(U398),0),0)</f>
        <v>6.3804733612968247</v>
      </c>
      <c r="V399" s="60">
        <f t="shared" ref="V399" si="421">IF($A$64&lt;=V363,IF($B$64&gt;=V363,ABS(V398),0),0)</f>
        <v>2.4045918628834864</v>
      </c>
      <c r="W399" s="60">
        <f t="shared" ref="W399" si="422">IF($A$64&lt;=W363,IF($B$64&gt;=W363,ABS(W398),0),0)</f>
        <v>5.5565641978882543E-3</v>
      </c>
      <c r="X399" s="60">
        <f t="shared" ref="X399" si="423">IF($A$64&lt;=X363,IF($B$64&gt;=X363,ABS(X398),0),0)</f>
        <v>0.47172635376947342</v>
      </c>
      <c r="Y399" s="60">
        <f t="shared" ref="Y399" si="424">IF($A$64&lt;=Y363,IF($B$64&gt;=Y363,ABS(Y398),0),0)</f>
        <v>5.2287930402278297E-2</v>
      </c>
      <c r="Z399" s="60">
        <f t="shared" ref="Z399" si="425">IF($A$64&lt;=Z363,IF($B$64&gt;=Z363,ABS(Z398),0),0)</f>
        <v>0.48697674455452894</v>
      </c>
      <c r="AA399" s="60">
        <f t="shared" ref="AA399" si="426">IF($A$64&lt;=AA363,IF($B$64&gt;=AA363,ABS(AA398),0),0)</f>
        <v>0.57710251006667701</v>
      </c>
      <c r="AB399" s="60">
        <f t="shared" ref="AB399" si="427">IF($A$64&lt;=AB363,IF($B$64&gt;=AB363,ABS(AB398),0),0)</f>
        <v>3171.7187668507222</v>
      </c>
      <c r="AC399" s="60">
        <f t="shared" ref="AC399" si="428">IF($A$64&lt;=AC363,IF($B$64&gt;=AC363,ABS(AC398),0),0)</f>
        <v>7306.0140449324499</v>
      </c>
      <c r="AD399" s="60">
        <f t="shared" ref="AD399" si="429">IF($A$64&lt;=AD363,IF($B$64&gt;=AD363,ABS(AD398),0),0)</f>
        <v>7264.2182768708562</v>
      </c>
      <c r="AE399" s="60">
        <f t="shared" ref="AE399" si="430">IF($A$64&lt;=AE363,IF($B$64&gt;=AE363,ABS(AE398),0),0)</f>
        <v>7227.9162426871453</v>
      </c>
      <c r="AF399" s="60">
        <f t="shared" ref="AF399" si="431">IF($A$64&lt;=AF363,IF($B$64&gt;=AF363,ABS(AF398),0),0)</f>
        <v>7191.7243809599959</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28" t="s">
        <v>163</v>
      </c>
      <c r="K402" s="128"/>
      <c r="L402" s="128"/>
      <c r="M402" s="128"/>
      <c r="N402" s="128"/>
      <c r="O402" s="128"/>
      <c r="P402" s="128"/>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-11.303886857979826</v>
      </c>
      <c r="C403" s="107">
        <f t="shared" ref="C403:H403" si="432">IF(C125=$B$2,0,C126)</f>
        <v>-7.5777956808959219</v>
      </c>
      <c r="D403" s="107">
        <f t="shared" si="432"/>
        <v>-5.0521057141647816</v>
      </c>
      <c r="E403" s="107">
        <f t="shared" si="432"/>
        <v>-2.836335034790062</v>
      </c>
      <c r="F403" s="107">
        <f t="shared" si="432"/>
        <v>0</v>
      </c>
      <c r="G403" s="107">
        <f t="shared" si="432"/>
        <v>5.9156966768868289</v>
      </c>
      <c r="H403" s="107">
        <f t="shared" si="432"/>
        <v>11.695143522032865</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1.2324925804409757E-20</v>
      </c>
      <c r="C404" s="3">
        <f t="shared" ref="C404:H419" si="433">$A404/EXP(-C$403)</f>
        <v>5.116879041983289E-19</v>
      </c>
      <c r="D404" s="3">
        <f t="shared" si="433"/>
        <v>6.3958514216585176E-18</v>
      </c>
      <c r="E404" s="3">
        <f t="shared" si="433"/>
        <v>5.8640186863323866E-17</v>
      </c>
      <c r="F404" s="3">
        <f t="shared" si="433"/>
        <v>1.0000000000000001E-15</v>
      </c>
      <c r="G404" s="3">
        <f t="shared" si="433"/>
        <v>3.7081254926910623E-13</v>
      </c>
      <c r="H404" s="3">
        <f t="shared" si="433"/>
        <v>1.199875806749513E-10</v>
      </c>
      <c r="I404" s="109">
        <f>Comparison!AL3</f>
        <v>1.0000000000000001E-15</v>
      </c>
      <c r="J404" s="3">
        <f>Comparison!AM3</f>
        <v>10218.668827091791</v>
      </c>
      <c r="K404" s="3">
        <f>Comparison!AN3</f>
        <v>10065.543251576082</v>
      </c>
      <c r="L404" s="3">
        <f>Comparison!AO3</f>
        <v>9730.0167223959397</v>
      </c>
      <c r="M404" s="3">
        <f>Comparison!AP3</f>
        <v>9521.3086452220268</v>
      </c>
      <c r="N404" s="3">
        <f>Comparison!AQ3</f>
        <v>9259.9030429946288</v>
      </c>
      <c r="O404" s="3">
        <f>Comparison!AR3</f>
        <v>8600.88026028485</v>
      </c>
      <c r="P404" s="3">
        <f>Comparison!AS3</f>
        <v>7885.0238799750496</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1.2324925804409757E-19</v>
      </c>
      <c r="C405" s="3">
        <f t="shared" si="433"/>
        <v>5.1168790419832879E-18</v>
      </c>
      <c r="D405" s="3">
        <f t="shared" si="433"/>
        <v>6.3958514216585173E-17</v>
      </c>
      <c r="E405" s="3">
        <f t="shared" si="433"/>
        <v>5.8640186863323861E-16</v>
      </c>
      <c r="F405" s="3">
        <f t="shared" si="433"/>
        <v>1E-14</v>
      </c>
      <c r="G405" s="3">
        <f t="shared" si="433"/>
        <v>3.7081254926910625E-12</v>
      </c>
      <c r="H405" s="3">
        <f t="shared" si="433"/>
        <v>1.1998758067495131E-9</v>
      </c>
      <c r="I405" s="109">
        <f>Comparison!AL4</f>
        <v>1E-14</v>
      </c>
      <c r="J405" s="3">
        <f>Comparison!AM4</f>
        <v>10130.735990154546</v>
      </c>
      <c r="K405" s="3">
        <f>Comparison!AN4</f>
        <v>9708.7484211633309</v>
      </c>
      <c r="L405" s="3">
        <f>Comparison!AO4</f>
        <v>9476.1525473419642</v>
      </c>
      <c r="M405" s="3">
        <f>Comparison!AP4</f>
        <v>9264.9569626866305</v>
      </c>
      <c r="N405" s="3">
        <f>Comparison!AQ4</f>
        <v>8975.4373156175916</v>
      </c>
      <c r="O405" s="3">
        <f>Comparison!AR4</f>
        <v>8258.5143784911779</v>
      </c>
      <c r="P405" s="3">
        <f>Comparison!AS4</f>
        <v>7533.2051738552464</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1.2324925804409756E-18</v>
      </c>
      <c r="C406" s="3">
        <f t="shared" si="433"/>
        <v>5.1168790419832886E-17</v>
      </c>
      <c r="D406" s="3">
        <f t="shared" si="433"/>
        <v>6.3958514216585173E-16</v>
      </c>
      <c r="E406" s="3">
        <f t="shared" si="433"/>
        <v>5.8640186863323865E-15</v>
      </c>
      <c r="F406" s="3">
        <f t="shared" si="433"/>
        <v>1E-13</v>
      </c>
      <c r="G406" s="3">
        <f t="shared" si="433"/>
        <v>3.7081254926910622E-11</v>
      </c>
      <c r="H406" s="3">
        <f t="shared" si="433"/>
        <v>1.199875806749513E-8</v>
      </c>
      <c r="I406" s="109">
        <f>Comparison!AL5</f>
        <v>1E-13</v>
      </c>
      <c r="J406" s="3">
        <f>Comparison!AM5</f>
        <v>9815.5100842671618</v>
      </c>
      <c r="K406" s="3">
        <f>Comparison!AN5</f>
        <v>9504.080552546171</v>
      </c>
      <c r="L406" s="3">
        <f>Comparison!AO5</f>
        <v>9264.0506360514537</v>
      </c>
      <c r="M406" s="3">
        <f>Comparison!AP5</f>
        <v>9040.3201170121174</v>
      </c>
      <c r="N406" s="3">
        <f>Comparison!AQ5</f>
        <v>8718.1797337443004</v>
      </c>
      <c r="O406" s="3">
        <f>Comparison!AR5</f>
        <v>7962.1526037178537</v>
      </c>
      <c r="P406" s="3">
        <f>Comparison!AS5</f>
        <v>7191.2405725815324</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1.2324925804409756E-17</v>
      </c>
      <c r="C407" s="3">
        <f t="shared" si="433"/>
        <v>5.116879041983288E-16</v>
      </c>
      <c r="D407" s="3">
        <f t="shared" si="433"/>
        <v>6.3958514216585175E-15</v>
      </c>
      <c r="E407" s="3">
        <f t="shared" si="433"/>
        <v>5.8640186863323866E-14</v>
      </c>
      <c r="F407" s="3">
        <f t="shared" si="433"/>
        <v>9.9999999999999998E-13</v>
      </c>
      <c r="G407" s="3">
        <f t="shared" si="433"/>
        <v>3.7081254926910623E-10</v>
      </c>
      <c r="H407" s="3">
        <f t="shared" si="433"/>
        <v>1.1998758067495131E-7</v>
      </c>
      <c r="I407" s="109">
        <f>Comparison!AL6</f>
        <v>9.9999999999999998E-13</v>
      </c>
      <c r="J407" s="3">
        <f>Comparison!AM6</f>
        <v>9602.7895017015398</v>
      </c>
      <c r="K407" s="3">
        <f>Comparison!AN6</f>
        <v>9297.6034614201999</v>
      </c>
      <c r="L407" s="3">
        <f>Comparison!AO6</f>
        <v>9042.8661048910981</v>
      </c>
      <c r="M407" s="3">
        <f>Comparison!AP6</f>
        <v>8795.6860246078559</v>
      </c>
      <c r="N407" s="3">
        <f>Comparison!AQ6</f>
        <v>8453.8665906134283</v>
      </c>
      <c r="O407" s="3">
        <f>Comparison!AR6</f>
        <v>7694.1164691736458</v>
      </c>
      <c r="P407" s="3">
        <f>Comparison!AS6</f>
        <v>6812.4631092957497</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1.2324925804409755E-16</v>
      </c>
      <c r="C408" s="3">
        <f t="shared" si="433"/>
        <v>5.1168790419832876E-15</v>
      </c>
      <c r="D408" s="3">
        <f t="shared" si="433"/>
        <v>6.3958514216585171E-14</v>
      </c>
      <c r="E408" s="3">
        <f t="shared" si="433"/>
        <v>5.8640186863323856E-13</v>
      </c>
      <c r="F408" s="3">
        <f t="shared" si="433"/>
        <v>9.9999999999999994E-12</v>
      </c>
      <c r="G408" s="3">
        <f t="shared" si="433"/>
        <v>3.7081254926910622E-9</v>
      </c>
      <c r="H408" s="3">
        <f t="shared" si="433"/>
        <v>1.1998758067495128E-6</v>
      </c>
      <c r="I408" s="109">
        <f>Comparison!AL7</f>
        <v>9.9999999999999994E-12</v>
      </c>
      <c r="J408" s="3">
        <f>Comparison!AM7</f>
        <v>9403.9958104822508</v>
      </c>
      <c r="K408" s="3">
        <f>Comparison!AN7</f>
        <v>9077.0448832845814</v>
      </c>
      <c r="L408" s="3">
        <f>Comparison!AO7</f>
        <v>8796.5318501985184</v>
      </c>
      <c r="M408" s="3">
        <f>Comparison!AP7</f>
        <v>8532.6912536798991</v>
      </c>
      <c r="N408" s="3">
        <f>Comparison!AQ7</f>
        <v>8157.4497816903277</v>
      </c>
      <c r="O408" s="3">
        <f>Comparison!AR7</f>
        <v>7392.1118529421537</v>
      </c>
      <c r="P408" s="3">
        <f>Comparison!AS7</f>
        <v>6451.9725248759578</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1.2324925804409758E-15</v>
      </c>
      <c r="C409" s="3">
        <f t="shared" si="433"/>
        <v>5.1168790419832886E-14</v>
      </c>
      <c r="D409" s="3">
        <f t="shared" si="433"/>
        <v>6.3958514216585171E-13</v>
      </c>
      <c r="E409" s="3">
        <f t="shared" si="433"/>
        <v>5.8640186863323868E-12</v>
      </c>
      <c r="F409" s="3">
        <f t="shared" si="433"/>
        <v>1E-10</v>
      </c>
      <c r="G409" s="3">
        <f t="shared" si="433"/>
        <v>3.7081254926910624E-8</v>
      </c>
      <c r="H409" s="3">
        <f t="shared" si="433"/>
        <v>1.199875806749513E-5</v>
      </c>
      <c r="I409" s="109">
        <f>Comparison!AL8</f>
        <v>1E-10</v>
      </c>
      <c r="J409" s="3">
        <f>Comparison!AM8</f>
        <v>9185.6343104080297</v>
      </c>
      <c r="K409" s="3">
        <f>Comparison!AN8</f>
        <v>8833.9901329277236</v>
      </c>
      <c r="L409" s="3">
        <f>Comparison!AO8</f>
        <v>8532.9278199977016</v>
      </c>
      <c r="M409" s="3">
        <f>Comparison!AP8</f>
        <v>8244.2374276121209</v>
      </c>
      <c r="N409" s="3">
        <f>Comparison!AQ8</f>
        <v>7881.4803699008435</v>
      </c>
      <c r="O409" s="3">
        <f>Comparison!AR8</f>
        <v>7031.7099177768096</v>
      </c>
      <c r="P409" s="3">
        <f>Comparison!AS8</f>
        <v>6166.1047060884439</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1.2324925804409757E-14</v>
      </c>
      <c r="C410" s="3">
        <f t="shared" si="433"/>
        <v>5.1168790419832886E-13</v>
      </c>
      <c r="D410" s="3">
        <f t="shared" si="433"/>
        <v>6.395851421658518E-12</v>
      </c>
      <c r="E410" s="3">
        <f t="shared" si="433"/>
        <v>5.8640186863323864E-11</v>
      </c>
      <c r="F410" s="3">
        <f t="shared" si="433"/>
        <v>1.0000000000000001E-9</v>
      </c>
      <c r="G410" s="3">
        <f t="shared" si="433"/>
        <v>3.7081254926910624E-7</v>
      </c>
      <c r="H410" s="3">
        <f t="shared" si="433"/>
        <v>1.1998758067495131E-4</v>
      </c>
      <c r="I410" s="109">
        <f>Comparison!AL9</f>
        <v>1.0000000000000001E-9</v>
      </c>
      <c r="J410" s="3">
        <f>Comparison!AM9</f>
        <v>8956.3853461764484</v>
      </c>
      <c r="K410" s="3">
        <f>Comparison!AN9</f>
        <v>8570.1980588932365</v>
      </c>
      <c r="L410" s="3">
        <f>Comparison!AO9</f>
        <v>8242.1892422663423</v>
      </c>
      <c r="M410" s="3">
        <f>Comparison!AP9</f>
        <v>7958.2786468847135</v>
      </c>
      <c r="N410" s="3">
        <f>Comparison!AQ9</f>
        <v>7606.797789198542</v>
      </c>
      <c r="O410" s="3">
        <f>Comparison!AR9</f>
        <v>6653.2341038317008</v>
      </c>
      <c r="P410" s="3">
        <f>Comparison!AS9</f>
        <v>5881.0552739751101</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1.2324925804409758E-13</v>
      </c>
      <c r="C411" s="3">
        <f t="shared" si="433"/>
        <v>5.1168790419832884E-12</v>
      </c>
      <c r="D411" s="3">
        <f t="shared" si="433"/>
        <v>6.3958514216585171E-11</v>
      </c>
      <c r="E411" s="3">
        <f t="shared" si="433"/>
        <v>5.8640186863323864E-10</v>
      </c>
      <c r="F411" s="3">
        <f t="shared" si="433"/>
        <v>1E-8</v>
      </c>
      <c r="G411" s="3">
        <f t="shared" si="433"/>
        <v>3.7081254926910623E-6</v>
      </c>
      <c r="H411" s="3">
        <f t="shared" si="433"/>
        <v>1.1998758067495131E-3</v>
      </c>
      <c r="I411" s="109">
        <f>Comparison!AL10</f>
        <v>1E-8</v>
      </c>
      <c r="J411" s="3">
        <f>Comparison!AM10</f>
        <v>8694.0472851843733</v>
      </c>
      <c r="K411" s="3">
        <f>Comparison!AN10</f>
        <v>8282.9223634397895</v>
      </c>
      <c r="L411" s="3">
        <f>Comparison!AO10</f>
        <v>7957.4855284258747</v>
      </c>
      <c r="M411" s="3">
        <f>Comparison!AP10</f>
        <v>7687.376383967704</v>
      </c>
      <c r="N411" s="3">
        <f>Comparison!AQ10</f>
        <v>7278.8872759198184</v>
      </c>
      <c r="O411" s="3">
        <f>Comparison!AR10</f>
        <v>6325.3637954371716</v>
      </c>
      <c r="P411" s="3">
        <f>Comparison!AS10</f>
        <v>5609.3504910949478</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1.2324925804409756E-12</v>
      </c>
      <c r="C412" s="3">
        <f t="shared" si="433"/>
        <v>5.1168790419832879E-11</v>
      </c>
      <c r="D412" s="3">
        <f t="shared" si="433"/>
        <v>6.3958514216585169E-10</v>
      </c>
      <c r="E412" s="3">
        <f t="shared" si="433"/>
        <v>5.8640186863323862E-9</v>
      </c>
      <c r="F412" s="3">
        <f t="shared" si="433"/>
        <v>9.9999999999999995E-8</v>
      </c>
      <c r="G412" s="3">
        <f t="shared" si="433"/>
        <v>3.7081254926910622E-5</v>
      </c>
      <c r="H412" s="3">
        <f t="shared" si="433"/>
        <v>1.1998758067495129E-2</v>
      </c>
      <c r="I412" s="109">
        <f>Comparison!AL11</f>
        <v>9.9999999999999995E-8</v>
      </c>
      <c r="J412" s="3">
        <f>Comparison!AM11</f>
        <v>8422.2902852365987</v>
      </c>
      <c r="K412" s="3">
        <f>Comparison!AN11</f>
        <v>7993.641154385381</v>
      </c>
      <c r="L412" s="3">
        <f>Comparison!AO11</f>
        <v>7685.4052187432317</v>
      </c>
      <c r="M412" s="3">
        <f>Comparison!AP11</f>
        <v>7374.3712231841728</v>
      </c>
      <c r="N412" s="3">
        <f>Comparison!AQ11</f>
        <v>6902.9128773701668</v>
      </c>
      <c r="O412" s="3">
        <f>Comparison!AR11</f>
        <v>6045.8980186697399</v>
      </c>
      <c r="P412" s="3">
        <f>Comparison!AS11</f>
        <v>5323.5276590267758</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1.2324925804409756E-11</v>
      </c>
      <c r="C413" s="3">
        <f t="shared" si="433"/>
        <v>5.116879041983288E-10</v>
      </c>
      <c r="D413" s="3">
        <f t="shared" si="433"/>
        <v>6.3958514216585171E-9</v>
      </c>
      <c r="E413" s="3">
        <f t="shared" si="433"/>
        <v>5.864018686332386E-8</v>
      </c>
      <c r="F413" s="3">
        <f t="shared" si="433"/>
        <v>9.9999999999999995E-7</v>
      </c>
      <c r="G413" s="3">
        <f t="shared" si="433"/>
        <v>3.708125492691062E-4</v>
      </c>
      <c r="H413" s="3">
        <f t="shared" si="433"/>
        <v>0.1199875806749513</v>
      </c>
      <c r="I413" s="109">
        <f>Comparison!AL12</f>
        <v>9.9999999999999995E-7</v>
      </c>
      <c r="J413" s="3">
        <f>Comparison!AM12</f>
        <v>8119.1133122846923</v>
      </c>
      <c r="K413" s="3">
        <f>Comparison!AN12</f>
        <v>7722.5102431706819</v>
      </c>
      <c r="L413" s="3">
        <f>Comparison!AO12</f>
        <v>7368.9543787655439</v>
      </c>
      <c r="M413" s="3">
        <f>Comparison!AP12</f>
        <v>7006.1552436770207</v>
      </c>
      <c r="N413" s="3">
        <f>Comparison!AQ12</f>
        <v>6533.8294095397778</v>
      </c>
      <c r="O413" s="3">
        <f>Comparison!AR12</f>
        <v>5765.1058423358591</v>
      </c>
      <c r="P413" s="3">
        <f>Comparison!AS12</f>
        <v>5061.2818561056738</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1.2324925804409758E-10</v>
      </c>
      <c r="C414" s="3">
        <f t="shared" si="433"/>
        <v>5.1168790419832889E-9</v>
      </c>
      <c r="D414" s="3">
        <f t="shared" si="433"/>
        <v>6.3958514216585181E-8</v>
      </c>
      <c r="E414" s="3">
        <f t="shared" si="433"/>
        <v>5.8640186863323866E-7</v>
      </c>
      <c r="F414" s="3">
        <f t="shared" si="433"/>
        <v>1.0000000000000001E-5</v>
      </c>
      <c r="G414" s="3">
        <f t="shared" si="433"/>
        <v>3.7081254926910625E-3</v>
      </c>
      <c r="H414" s="3">
        <f t="shared" si="433"/>
        <v>1.199875806749513</v>
      </c>
      <c r="I414" s="109">
        <f>Comparison!AL13</f>
        <v>1.0000000000000001E-5</v>
      </c>
      <c r="J414" s="3">
        <f>Comparison!AM13</f>
        <v>7848.6797155048253</v>
      </c>
      <c r="K414" s="3">
        <f>Comparison!AN13</f>
        <v>7411.9254661857585</v>
      </c>
      <c r="L414" s="3">
        <f>Comparison!AO13</f>
        <v>6998.3812744112274</v>
      </c>
      <c r="M414" s="3">
        <f>Comparison!AP13</f>
        <v>6628.8785990090082</v>
      </c>
      <c r="N414" s="3">
        <f>Comparison!AQ13</f>
        <v>6236.0805337275306</v>
      </c>
      <c r="O414" s="3">
        <f>Comparison!AR13</f>
        <v>5486.9816625574504</v>
      </c>
      <c r="P414" s="3">
        <f>Comparison!AS13</f>
        <v>4733.4087396901623</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1.2324925804409756E-9</v>
      </c>
      <c r="C415" s="3">
        <f t="shared" si="433"/>
        <v>5.1168790419832885E-8</v>
      </c>
      <c r="D415" s="3">
        <f t="shared" si="433"/>
        <v>6.3958514216585178E-7</v>
      </c>
      <c r="E415" s="3">
        <f t="shared" si="433"/>
        <v>5.8640186863323871E-6</v>
      </c>
      <c r="F415" s="3">
        <f t="shared" si="433"/>
        <v>1E-4</v>
      </c>
      <c r="G415" s="3">
        <f t="shared" si="433"/>
        <v>3.7081254926910626E-2</v>
      </c>
      <c r="H415" s="3">
        <f t="shared" si="433"/>
        <v>11.99875806749513</v>
      </c>
      <c r="I415" s="109">
        <f>Comparison!AL14</f>
        <v>1E-4</v>
      </c>
      <c r="J415" s="3">
        <f>Comparison!AM14</f>
        <v>7561.5718378512247</v>
      </c>
      <c r="K415" s="3">
        <f>Comparison!AN14</f>
        <v>7044.5082173262499</v>
      </c>
      <c r="L415" s="3">
        <f>Comparison!AO14</f>
        <v>6621.5844226341051</v>
      </c>
      <c r="M415" s="3">
        <f>Comparison!AP14</f>
        <v>6311.3720523241727</v>
      </c>
      <c r="N415" s="3">
        <f>Comparison!AQ14</f>
        <v>5950.4123980915811</v>
      </c>
      <c r="O415" s="3">
        <f>Comparison!AR14</f>
        <v>5211.1575946368548</v>
      </c>
      <c r="P415" s="3">
        <f>Comparison!AS14</f>
        <v>4393.7824312927287</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1.2324925804409757E-8</v>
      </c>
      <c r="C416" s="3">
        <f t="shared" si="433"/>
        <v>5.1168790419832881E-7</v>
      </c>
      <c r="D416" s="3">
        <f t="shared" si="433"/>
        <v>6.3958514216585172E-6</v>
      </c>
      <c r="E416" s="3">
        <f t="shared" si="433"/>
        <v>5.8640186863323867E-5</v>
      </c>
      <c r="F416" s="3">
        <f t="shared" si="433"/>
        <v>1E-3</v>
      </c>
      <c r="G416" s="3">
        <f t="shared" si="433"/>
        <v>0.37081254926910623</v>
      </c>
      <c r="H416" s="3">
        <f t="shared" si="433"/>
        <v>119.9875806749513</v>
      </c>
      <c r="I416" s="109">
        <f>Comparison!AL15</f>
        <v>1E-3</v>
      </c>
      <c r="J416" s="3">
        <f>Comparison!AM15</f>
        <v>7212.0886309644511</v>
      </c>
      <c r="K416" s="3">
        <f>Comparison!AN15</f>
        <v>6664.4913259208079</v>
      </c>
      <c r="L416" s="3">
        <f>Comparison!AO15</f>
        <v>6307.1591705971805</v>
      </c>
      <c r="M416" s="3">
        <f>Comparison!AP15</f>
        <v>6028.2349504089671</v>
      </c>
      <c r="N416" s="3">
        <f>Comparison!AQ15</f>
        <v>5675.5372968728034</v>
      </c>
      <c r="O416" s="3">
        <f>Comparison!AR15</f>
        <v>4923.9623445747775</v>
      </c>
      <c r="P416" s="3">
        <f>Comparison!AS15</f>
        <v>4006.1265808261332</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1.2324925804409757E-7</v>
      </c>
      <c r="C417" s="3">
        <f t="shared" si="433"/>
        <v>5.1168790419832881E-6</v>
      </c>
      <c r="D417" s="3">
        <f t="shared" si="433"/>
        <v>6.3958514216585179E-5</v>
      </c>
      <c r="E417" s="3">
        <f t="shared" si="433"/>
        <v>5.8640186863323865E-4</v>
      </c>
      <c r="F417" s="3">
        <f t="shared" si="433"/>
        <v>0.01</v>
      </c>
      <c r="G417" s="3">
        <f t="shared" si="433"/>
        <v>3.7081254926910625</v>
      </c>
      <c r="H417" s="3">
        <f t="shared" si="433"/>
        <v>1199.875806749513</v>
      </c>
      <c r="I417" s="109">
        <f>Comparison!AL16</f>
        <v>0.01</v>
      </c>
      <c r="J417" s="3">
        <f>Comparison!AM16</f>
        <v>6826.065675816817</v>
      </c>
      <c r="K417" s="3">
        <f>Comparison!AN16</f>
        <v>6341.2106146502829</v>
      </c>
      <c r="L417" s="3">
        <f>Comparison!AO16</f>
        <v>6022.8689849680577</v>
      </c>
      <c r="M417" s="3">
        <f>Comparison!AP16</f>
        <v>5748.7087759518809</v>
      </c>
      <c r="N417" s="3">
        <f>Comparison!AQ16</f>
        <v>5389.077424650558</v>
      </c>
      <c r="O417" s="3">
        <f>Comparison!AR16</f>
        <v>4584.0172032140918</v>
      </c>
      <c r="P417" s="3">
        <f>Comparison!AS16</f>
        <v>3576.233277328839</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1.2324925804409758E-6</v>
      </c>
      <c r="C418" s="3">
        <f t="shared" si="433"/>
        <v>5.1168790419832886E-5</v>
      </c>
      <c r="D418" s="3">
        <f t="shared" si="433"/>
        <v>6.3958514216585181E-4</v>
      </c>
      <c r="E418" s="3">
        <f t="shared" si="433"/>
        <v>5.8640186863323871E-3</v>
      </c>
      <c r="F418" s="3">
        <f t="shared" si="433"/>
        <v>0.1</v>
      </c>
      <c r="G418" s="3">
        <f t="shared" si="433"/>
        <v>37.081254926910624</v>
      </c>
      <c r="H418" s="3">
        <f t="shared" si="433"/>
        <v>11998.758067495131</v>
      </c>
      <c r="I418" s="109">
        <f>Comparison!AL17</f>
        <v>0.1</v>
      </c>
      <c r="J418" s="3">
        <f>Comparison!AM17</f>
        <v>6468.6777640443843</v>
      </c>
      <c r="K418" s="3">
        <f>Comparison!AN17</f>
        <v>6057.8856031721252</v>
      </c>
      <c r="L418" s="3">
        <f>Comparison!AO17</f>
        <v>5743.6712365645317</v>
      </c>
      <c r="M418" s="3">
        <f>Comparison!AP17</f>
        <v>5465.7818754747968</v>
      </c>
      <c r="N418" s="3">
        <f>Comparison!AQ17</f>
        <v>5123.5437168709832</v>
      </c>
      <c r="O418" s="3">
        <f>Comparison!AR17</f>
        <v>4221.1859974432145</v>
      </c>
      <c r="P418" s="3">
        <f>Comparison!AS17</f>
        <v>3059.5283871610445</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1.2324925804409756E-5</v>
      </c>
      <c r="C419" s="3">
        <f t="shared" si="433"/>
        <v>5.1168790419832877E-4</v>
      </c>
      <c r="D419" s="3">
        <f t="shared" si="433"/>
        <v>6.3958514216585173E-3</v>
      </c>
      <c r="E419" s="3">
        <f t="shared" si="433"/>
        <v>5.8640186863323868E-2</v>
      </c>
      <c r="F419" s="3">
        <f t="shared" si="433"/>
        <v>1</v>
      </c>
      <c r="G419" s="3">
        <f t="shared" si="433"/>
        <v>370.81254926910623</v>
      </c>
      <c r="H419" s="3">
        <f t="shared" si="433"/>
        <v>119987.5806749513</v>
      </c>
      <c r="I419" s="109">
        <f>Comparison!AL18</f>
        <v>1</v>
      </c>
      <c r="J419" s="3">
        <f>Comparison!AM18</f>
        <v>6185.0814076350389</v>
      </c>
      <c r="K419" s="3">
        <f>Comparison!AN18</f>
        <v>5776.2920069159836</v>
      </c>
      <c r="L419" s="3">
        <f>Comparison!AO18</f>
        <v>5459.2543435964462</v>
      </c>
      <c r="M419" s="3">
        <f>Comparison!AP18</f>
        <v>5192.657072535425</v>
      </c>
      <c r="N419" s="3">
        <f>Comparison!AQ18</f>
        <v>4799.280908658001</v>
      </c>
      <c r="O419" s="3">
        <f>Comparison!AR18</f>
        <v>3789.937412973562</v>
      </c>
      <c r="P419" s="3">
        <f>Comparison!AS18</f>
        <v>2469.5512794279489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1.2324925804409756E-4</v>
      </c>
      <c r="C420" s="3">
        <f t="shared" si="434"/>
        <v>5.1168790419832879E-3</v>
      </c>
      <c r="D420" s="3">
        <f t="shared" si="434"/>
        <v>6.3958514216585174E-2</v>
      </c>
      <c r="E420" s="3">
        <f t="shared" si="434"/>
        <v>0.58640186863323862</v>
      </c>
      <c r="F420" s="3">
        <f t="shared" si="434"/>
        <v>10</v>
      </c>
      <c r="G420" s="3">
        <f t="shared" si="434"/>
        <v>3708.1254926910624</v>
      </c>
      <c r="H420" s="3">
        <f t="shared" si="434"/>
        <v>1199875.8067495129</v>
      </c>
      <c r="I420" s="109">
        <f>Comparison!AL19</f>
        <v>10</v>
      </c>
      <c r="J420" s="3">
        <f>Comparison!AM19</f>
        <v>5896.0070828362468</v>
      </c>
      <c r="K420" s="3">
        <f>Comparison!AN19</f>
        <v>5493.3830678495879</v>
      </c>
      <c r="L420" s="3">
        <f>Comparison!AO19</f>
        <v>5186.1259100095131</v>
      </c>
      <c r="M420" s="3">
        <f>Comparison!AP19</f>
        <v>4882.9062343607484</v>
      </c>
      <c r="N420" s="3">
        <f>Comparison!AQ19</f>
        <v>4430.6662258617935</v>
      </c>
      <c r="O420" s="3">
        <f>Comparison!AR19</f>
        <v>3283.8683924627298</v>
      </c>
      <c r="P420" s="3">
        <f>Comparison!AS19</f>
        <v>1842.799668868907</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1.2324925804409756E-3</v>
      </c>
      <c r="C421" s="3">
        <f t="shared" si="434"/>
        <v>5.1168790419832882E-2</v>
      </c>
      <c r="D421" s="3">
        <f t="shared" si="434"/>
        <v>0.63958514216585172</v>
      </c>
      <c r="E421" s="3">
        <f t="shared" si="434"/>
        <v>5.8640186863323862</v>
      </c>
      <c r="F421" s="3">
        <f t="shared" si="434"/>
        <v>100</v>
      </c>
      <c r="G421" s="3">
        <f t="shared" si="434"/>
        <v>37081.254926910624</v>
      </c>
      <c r="H421" s="3">
        <f t="shared" si="434"/>
        <v>11998758.06749513</v>
      </c>
      <c r="I421" s="109">
        <f>Comparison!AL20</f>
        <v>100</v>
      </c>
      <c r="J421" s="3">
        <f>Comparison!AM20</f>
        <v>5620.2326577203476</v>
      </c>
      <c r="K421" s="3">
        <f>Comparison!AN20</f>
        <v>5215.5329419319251</v>
      </c>
      <c r="L421" s="3">
        <f>Comparison!AO20</f>
        <v>4865.5108844814831</v>
      </c>
      <c r="M421" s="3">
        <f>Comparison!AP20</f>
        <v>4501.5398610325774</v>
      </c>
      <c r="N421" s="3">
        <f>Comparison!AQ20</f>
        <v>3990.4031488339651</v>
      </c>
      <c r="O421" s="3">
        <f>Comparison!AR20</f>
        <v>2714.7098539050189</v>
      </c>
      <c r="P421" s="3">
        <f>Comparison!AS20</f>
        <v>1328.7737512423464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1.2324925804409756E-2</v>
      </c>
      <c r="C422" s="3">
        <f t="shared" si="434"/>
        <v>0.51168790419832877</v>
      </c>
      <c r="D422" s="3">
        <f t="shared" si="434"/>
        <v>6.3958514216585174</v>
      </c>
      <c r="E422" s="3">
        <f t="shared" si="434"/>
        <v>58.640186863323862</v>
      </c>
      <c r="F422" s="3">
        <f t="shared" si="434"/>
        <v>1000</v>
      </c>
      <c r="G422" s="3">
        <f t="shared" si="434"/>
        <v>370812.54926910624</v>
      </c>
      <c r="H422" s="3">
        <f t="shared" si="434"/>
        <v>119987580.6749513</v>
      </c>
      <c r="I422" s="109">
        <f>Comparison!AL21</f>
        <v>1000</v>
      </c>
      <c r="J422" s="3">
        <f>Comparison!AM21</f>
        <v>5330.7810569019748</v>
      </c>
      <c r="K422" s="3">
        <f>Comparison!AN21</f>
        <v>4897.7071873573095</v>
      </c>
      <c r="L422" s="3">
        <f>Comparison!AO21</f>
        <v>4471.3145751722259</v>
      </c>
      <c r="M422" s="3">
        <f>Comparison!AP21</f>
        <v>4066.6104281555185</v>
      </c>
      <c r="N422" s="3">
        <f>Comparison!AQ21</f>
        <v>3512.6173919241392</v>
      </c>
      <c r="O422" s="3">
        <f>Comparison!AR21</f>
        <v>2120.3389527808267</v>
      </c>
      <c r="P422" s="3">
        <f>Comparison!AS21</f>
        <v>948.83583319405307</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0.12324925804409756</v>
      </c>
      <c r="C423" s="3">
        <f t="shared" si="434"/>
        <v>5.1168790419832879</v>
      </c>
      <c r="D423" s="3">
        <f t="shared" si="434"/>
        <v>63.958514216585172</v>
      </c>
      <c r="E423" s="3">
        <f t="shared" si="434"/>
        <v>586.40186863323868</v>
      </c>
      <c r="F423" s="3">
        <f t="shared" si="434"/>
        <v>10000</v>
      </c>
      <c r="G423" s="3">
        <f t="shared" si="434"/>
        <v>3708125.4926910624</v>
      </c>
      <c r="H423" s="3">
        <f t="shared" si="434"/>
        <v>1199875806.7495129</v>
      </c>
      <c r="I423" s="109">
        <f>Comparison!AL22</f>
        <v>10000</v>
      </c>
      <c r="J423" s="3">
        <f>Comparison!AM22</f>
        <v>5056.458830124393</v>
      </c>
      <c r="K423" s="3">
        <f>Comparison!AN22</f>
        <v>4495.7217042422935</v>
      </c>
      <c r="L423" s="3">
        <f>Comparison!AO22</f>
        <v>4031.2545236434685</v>
      </c>
      <c r="M423" s="3">
        <f>Comparison!AP22</f>
        <v>3597.5685781370817</v>
      </c>
      <c r="N423" s="3">
        <f>Comparison!AQ22</f>
        <v>2997.1269883218743</v>
      </c>
      <c r="O423" s="3">
        <f>Comparison!AR22</f>
        <v>1549.2251736201158</v>
      </c>
      <c r="P423" s="3">
        <f>Comparison!AS22</f>
        <v>739.39486681916139</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1.2324925804409756</v>
      </c>
      <c r="C424" s="3">
        <f t="shared" si="434"/>
        <v>51.168790419832881</v>
      </c>
      <c r="D424" s="3">
        <f t="shared" si="434"/>
        <v>639.58514216585172</v>
      </c>
      <c r="E424" s="3">
        <f t="shared" si="434"/>
        <v>5864.0186863323861</v>
      </c>
      <c r="F424" s="3">
        <f t="shared" si="434"/>
        <v>100000</v>
      </c>
      <c r="G424" s="3">
        <f t="shared" si="434"/>
        <v>37081254.926910624</v>
      </c>
      <c r="H424" s="3">
        <f t="shared" si="434"/>
        <v>11998758067.495131</v>
      </c>
      <c r="I424" s="109">
        <f>Comparison!AL23</f>
        <v>100000</v>
      </c>
      <c r="J424" s="3">
        <f>Comparison!AM23</f>
        <v>4685.6312280238881</v>
      </c>
      <c r="K424" s="3">
        <f>Comparison!AN23</f>
        <v>4059.1954090175182</v>
      </c>
      <c r="L424" s="3">
        <f>Comparison!AO23</f>
        <v>3565.3464541885878</v>
      </c>
      <c r="M424" s="3">
        <f>Comparison!AP23</f>
        <v>3102.4717339118838</v>
      </c>
      <c r="N424" s="3">
        <f>Comparison!AQ23</f>
        <v>2450.4999019800034</v>
      </c>
      <c r="O424" s="3">
        <f>Comparison!AR23</f>
        <v>1115.0562509241029</v>
      </c>
      <c r="P424" s="3">
        <f>Comparison!AS23</f>
        <v>624.14790659062351</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12.324925804409757</v>
      </c>
      <c r="C425" s="3">
        <f t="shared" si="434"/>
        <v>511.68790419832879</v>
      </c>
      <c r="D425" s="3">
        <f t="shared" si="434"/>
        <v>6395.8514216585172</v>
      </c>
      <c r="E425" s="3">
        <f t="shared" si="434"/>
        <v>58640.186863323863</v>
      </c>
      <c r="F425" s="3">
        <f t="shared" si="434"/>
        <v>1000000</v>
      </c>
      <c r="G425" s="3">
        <f t="shared" si="434"/>
        <v>370812549.26910621</v>
      </c>
      <c r="H425" s="3">
        <f t="shared" si="434"/>
        <v>119987580674.95129</v>
      </c>
      <c r="I425" s="109">
        <f>Comparison!AL24</f>
        <v>1000000</v>
      </c>
      <c r="J425" s="3">
        <f>Comparison!AM24</f>
        <v>4271.8299665210579</v>
      </c>
      <c r="K425" s="3">
        <f>Comparison!AN24</f>
        <v>3597.5805592338243</v>
      </c>
      <c r="L425" s="3">
        <f>Comparison!AO24</f>
        <v>3072.2800042990852</v>
      </c>
      <c r="M425" s="3">
        <f>Comparison!AP24</f>
        <v>2568.6205512482802</v>
      </c>
      <c r="N425" s="3">
        <f>Comparison!AQ24</f>
        <v>1872.1545257089074</v>
      </c>
      <c r="O425" s="3">
        <f>Comparison!AR24</f>
        <v>819.57257707159806</v>
      </c>
      <c r="P425" s="3">
        <f>Comparison!AS24</f>
        <v>574.84813415628378</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123.24925804409756</v>
      </c>
      <c r="C426" s="3">
        <f t="shared" si="434"/>
        <v>5116.8790419832885</v>
      </c>
      <c r="D426" s="3">
        <f t="shared" si="434"/>
        <v>63958.514216585172</v>
      </c>
      <c r="E426" s="3">
        <f t="shared" si="434"/>
        <v>586401.8686332386</v>
      </c>
      <c r="F426" s="3">
        <f t="shared" si="434"/>
        <v>10000000</v>
      </c>
      <c r="G426" s="3">
        <f t="shared" si="434"/>
        <v>3708125492.6910625</v>
      </c>
      <c r="H426" s="3">
        <f t="shared" si="434"/>
        <v>1199875806749.5129</v>
      </c>
      <c r="I426" s="109">
        <f>Comparison!AL25</f>
        <v>10000000</v>
      </c>
      <c r="J426" s="3">
        <f>Comparison!AM25</f>
        <v>3807.4701999642007</v>
      </c>
      <c r="K426" s="3">
        <f>Comparison!AN25</f>
        <v>3113.2980023229825</v>
      </c>
      <c r="L426" s="3">
        <f>Comparison!AO25</f>
        <v>2540.7682600840731</v>
      </c>
      <c r="M426" s="3">
        <f>Comparison!AP25</f>
        <v>2000.7316961631682</v>
      </c>
      <c r="N426" s="3">
        <f>Comparison!AQ25</f>
        <v>1367.4511296212941</v>
      </c>
      <c r="O426" s="3">
        <f>Comparison!AR25</f>
        <v>672.71182943032534</v>
      </c>
      <c r="P426" s="3">
        <f>Comparison!AS25</f>
        <v>540.01941971549797</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1232.4925804409756</v>
      </c>
      <c r="C427" s="3">
        <f t="shared" si="434"/>
        <v>51168.790419832883</v>
      </c>
      <c r="D427" s="3">
        <f t="shared" si="434"/>
        <v>639585.14216585178</v>
      </c>
      <c r="E427" s="3">
        <f t="shared" si="434"/>
        <v>5864018.686332386</v>
      </c>
      <c r="F427" s="3">
        <f t="shared" si="434"/>
        <v>100000000</v>
      </c>
      <c r="G427" s="3">
        <f t="shared" si="434"/>
        <v>37081254926.910622</v>
      </c>
      <c r="H427" s="3">
        <f t="shared" si="434"/>
        <v>11998758067495.131</v>
      </c>
      <c r="I427" s="109">
        <f>Comparison!AL26</f>
        <v>100000000</v>
      </c>
      <c r="J427" s="3">
        <f>Comparison!AM26</f>
        <v>3333.4500993282409</v>
      </c>
      <c r="K427" s="3">
        <f>Comparison!AN26</f>
        <v>2587.1664421745386</v>
      </c>
      <c r="L427" s="3">
        <f>Comparison!AO26</f>
        <v>1974.0579457073152</v>
      </c>
      <c r="M427" s="3">
        <f>Comparison!AP26</f>
        <v>1467.5042196825975</v>
      </c>
      <c r="N427" s="3">
        <f>Comparison!AQ26</f>
        <v>983.81195335121254</v>
      </c>
      <c r="O427" s="3">
        <f>Comparison!AR26</f>
        <v>592.26686963031818</v>
      </c>
      <c r="P427" s="3">
        <f>Comparison!AS26</f>
        <v>522.91431442377564</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12324.925804409757</v>
      </c>
      <c r="C428" s="3">
        <f t="shared" si="434"/>
        <v>511687.90419832885</v>
      </c>
      <c r="D428" s="3">
        <f t="shared" si="434"/>
        <v>6395851.4216585178</v>
      </c>
      <c r="E428" s="3">
        <f t="shared" si="434"/>
        <v>58640186.863323867</v>
      </c>
      <c r="F428" s="3">
        <f t="shared" si="434"/>
        <v>1000000000</v>
      </c>
      <c r="G428" s="3">
        <f t="shared" si="434"/>
        <v>370812549269.1062</v>
      </c>
      <c r="H428" s="3">
        <f t="shared" si="434"/>
        <v>119987580674951.3</v>
      </c>
      <c r="I428" s="109">
        <f>Comparison!AL27</f>
        <v>1000000000</v>
      </c>
      <c r="J428" s="3">
        <f>Comparison!AM27</f>
        <v>2813.9339254547094</v>
      </c>
      <c r="K428" s="3">
        <f>Comparison!AN27</f>
        <v>2025.5491425769458</v>
      </c>
      <c r="L428" s="3">
        <f>Comparison!AO27</f>
        <v>1447.7693345065175</v>
      </c>
      <c r="M428" s="3">
        <f>Comparison!AP27</f>
        <v>1058.8226695409851</v>
      </c>
      <c r="N428" s="3">
        <f>Comparison!AQ27</f>
        <v>755.24433140254177</v>
      </c>
      <c r="O428" s="3">
        <f>Comparison!AR27</f>
        <v>556.12366677692739</v>
      </c>
      <c r="P428" s="3">
        <f>Comparison!AS27</f>
        <v>512.28225991416207</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123249.25804409757</v>
      </c>
      <c r="C429" s="3">
        <f t="shared" si="434"/>
        <v>5116879.0419832878</v>
      </c>
      <c r="D429" s="3">
        <f t="shared" si="434"/>
        <v>63958514.216585174</v>
      </c>
      <c r="E429" s="3">
        <f t="shared" si="434"/>
        <v>586401868.63323867</v>
      </c>
      <c r="F429" s="3">
        <f t="shared" si="434"/>
        <v>10000000000</v>
      </c>
      <c r="G429" s="3">
        <f t="shared" si="434"/>
        <v>3708125492691.0625</v>
      </c>
      <c r="H429" s="3">
        <f t="shared" si="434"/>
        <v>1199875806749513</v>
      </c>
      <c r="I429" s="109">
        <f>Comparison!AL28</f>
        <v>10000000000</v>
      </c>
      <c r="J429" s="3">
        <f>Comparison!AM28</f>
        <v>2264.5753602217969</v>
      </c>
      <c r="K429" s="3">
        <f>Comparison!AN28</f>
        <v>1488.3947775442189</v>
      </c>
      <c r="L429" s="3">
        <f>Comparison!AO28</f>
        <v>1044.3571981147218</v>
      </c>
      <c r="M429" s="3">
        <f>Comparison!AP28</f>
        <v>791.47453302018846</v>
      </c>
      <c r="N429" s="3">
        <f>Comparison!AQ28</f>
        <v>633.28610309701617</v>
      </c>
      <c r="O429" s="3">
        <f>Comparison!AR28</f>
        <v>528.75323853804991</v>
      </c>
      <c r="P429" s="3">
        <f>Comparison!AS28</f>
        <v>486.30628203230003</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1232492.5804409757</v>
      </c>
      <c r="C430" s="3">
        <f t="shared" si="434"/>
        <v>51168790.419832885</v>
      </c>
      <c r="D430" s="3">
        <f t="shared" si="434"/>
        <v>639585142.16585171</v>
      </c>
      <c r="E430" s="3">
        <f t="shared" si="434"/>
        <v>5864018686.332386</v>
      </c>
      <c r="F430" s="3">
        <f t="shared" si="434"/>
        <v>100000000000</v>
      </c>
      <c r="G430" s="3">
        <f t="shared" si="434"/>
        <v>37081254926910.625</v>
      </c>
      <c r="H430" s="3">
        <f t="shared" si="434"/>
        <v>1.199875806749513E+16</v>
      </c>
      <c r="I430" s="109">
        <f>Comparison!AL29</f>
        <v>100000000000</v>
      </c>
      <c r="J430" s="3">
        <f>Comparison!AM29</f>
        <v>1691.7003845109305</v>
      </c>
      <c r="K430" s="3">
        <f>Comparison!AN29</f>
        <v>1075.2839868020503</v>
      </c>
      <c r="L430" s="3">
        <f>Comparison!AO29</f>
        <v>784.40987612375113</v>
      </c>
      <c r="M430" s="3">
        <f>Comparison!AP29</f>
        <v>655.80009654126911</v>
      </c>
      <c r="N430" s="3">
        <f>Comparison!AQ29</f>
        <v>577.24905136540178</v>
      </c>
      <c r="O430" s="3">
        <f>Comparison!AR29</f>
        <v>517.55067575260887</v>
      </c>
      <c r="P430" s="3">
        <f>Comparison!AS29</f>
        <v>477.16338311456207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12324925.804409757</v>
      </c>
      <c r="C431" s="3">
        <f t="shared" si="434"/>
        <v>511687904.19832879</v>
      </c>
      <c r="D431" s="3">
        <f t="shared" si="434"/>
        <v>6395851421.6585178</v>
      </c>
      <c r="E431" s="3">
        <f t="shared" si="434"/>
        <v>58640186863.323868</v>
      </c>
      <c r="F431" s="3">
        <f t="shared" si="434"/>
        <v>1000000000000</v>
      </c>
      <c r="G431" s="3">
        <f t="shared" si="434"/>
        <v>370812549269106.25</v>
      </c>
      <c r="H431" s="3">
        <f t="shared" si="434"/>
        <v>1.199875806749513E+17</v>
      </c>
      <c r="I431" s="109">
        <f>Comparison!AL30</f>
        <v>1000000000000</v>
      </c>
      <c r="J431" s="3">
        <f>Comparison!AM30</f>
        <v>1230.3504248927311</v>
      </c>
      <c r="K431" s="3">
        <f>Comparison!AN30</f>
        <v>799.60727676982128</v>
      </c>
      <c r="L431" s="3">
        <f>Comparison!AO30</f>
        <v>651.40811766035665</v>
      </c>
      <c r="M431" s="3">
        <f>Comparison!AP30</f>
        <v>585.43210743850034</v>
      </c>
      <c r="N431" s="3">
        <f>Comparison!AQ30</f>
        <v>542.56491517927657</v>
      </c>
      <c r="O431" s="3">
        <f>Comparison!AR30</f>
        <v>499.76142817308812</v>
      </c>
      <c r="P431" s="3">
        <f>Comparison!AS30</f>
        <v>476.22593072507385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123249258.04409757</v>
      </c>
      <c r="C432" s="3">
        <f t="shared" si="434"/>
        <v>5116879041.9832878</v>
      </c>
      <c r="D432" s="3">
        <f t="shared" si="434"/>
        <v>63958514216.585175</v>
      </c>
      <c r="E432" s="3">
        <f t="shared" si="434"/>
        <v>586401868633.23865</v>
      </c>
      <c r="F432" s="3">
        <f t="shared" si="434"/>
        <v>10000000000000</v>
      </c>
      <c r="G432" s="3">
        <f t="shared" si="434"/>
        <v>3708125492691062.5</v>
      </c>
      <c r="H432" s="3">
        <f t="shared" si="434"/>
        <v>1.199875806749513E+18</v>
      </c>
      <c r="I432" s="109">
        <f>Comparison!AL31</f>
        <v>10000000000000</v>
      </c>
      <c r="J432" s="3">
        <f>Comparison!AM31</f>
        <v>888.25672531905332</v>
      </c>
      <c r="K432" s="3">
        <f>Comparison!AN31</f>
        <v>660.84412890819806</v>
      </c>
      <c r="L432" s="3">
        <f>Comparison!AO31</f>
        <v>583.80121108393644</v>
      </c>
      <c r="M432" s="3">
        <f>Comparison!AP31</f>
        <v>550.22961238933465</v>
      </c>
      <c r="N432" s="3">
        <f>Comparison!AQ31</f>
        <v>523.04517618896307</v>
      </c>
      <c r="O432" s="3">
        <f>Comparison!AR31</f>
        <v>478.96737917397832</v>
      </c>
      <c r="P432" s="3">
        <f>Comparison!AS31</f>
        <v>475.98047490013522</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1232492580.4409757</v>
      </c>
      <c r="C433" s="3">
        <f t="shared" si="434"/>
        <v>51168790419.832886</v>
      </c>
      <c r="D433" s="3">
        <f t="shared" si="434"/>
        <v>639585142165.85168</v>
      </c>
      <c r="E433" s="3">
        <f t="shared" si="434"/>
        <v>5864018686332.3867</v>
      </c>
      <c r="F433" s="3">
        <f t="shared" si="434"/>
        <v>100000000000000</v>
      </c>
      <c r="G433" s="3">
        <f t="shared" si="434"/>
        <v>3.7081254926910624E+16</v>
      </c>
      <c r="H433" s="3">
        <f t="shared" si="434"/>
        <v>1.1998758067495129E+19</v>
      </c>
      <c r="I433" s="109">
        <f>Comparison!AL32</f>
        <v>100000000000000</v>
      </c>
      <c r="J433" s="3">
        <f>Comparison!AM32</f>
        <v>708.86645626754114</v>
      </c>
      <c r="K433" s="3">
        <f>Comparison!AN32</f>
        <v>587.16779346403064</v>
      </c>
      <c r="L433" s="3">
        <f>Comparison!AO32</f>
        <v>548.71871201984641</v>
      </c>
      <c r="M433" s="3">
        <f>Comparison!AP32</f>
        <v>525.95012363885235</v>
      </c>
      <c r="N433" s="3">
        <f>Comparison!AQ32</f>
        <v>513.02385818918287</v>
      </c>
      <c r="O433" s="3">
        <f>Comparison!AR32</f>
        <v>475.66972462501121</v>
      </c>
      <c r="P433" s="3">
        <f>Comparison!AS32</f>
        <v>475.76724400704541</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12324925804.409756</v>
      </c>
      <c r="C434" s="3">
        <f t="shared" si="434"/>
        <v>511687904198.3288</v>
      </c>
      <c r="D434" s="3">
        <f t="shared" si="434"/>
        <v>6395851421658.5176</v>
      </c>
      <c r="E434" s="3">
        <f t="shared" si="434"/>
        <v>58640186863323.867</v>
      </c>
      <c r="F434" s="3">
        <f t="shared" si="434"/>
        <v>1000000000000000</v>
      </c>
      <c r="G434" s="3">
        <f t="shared" si="434"/>
        <v>3.7081254926910624E+17</v>
      </c>
      <c r="H434" s="3">
        <f t="shared" si="434"/>
        <v>1.199875806749513E+20</v>
      </c>
      <c r="I434" s="109">
        <f>Comparison!AL33</f>
        <v>1000000000000000</v>
      </c>
      <c r="J434" s="3">
        <f>Comparison!AM33</f>
        <v>607.16785102157667</v>
      </c>
      <c r="K434" s="3">
        <f>Comparison!AN33</f>
        <v>551.91226878266252</v>
      </c>
      <c r="L434" s="3">
        <f>Comparison!AO33</f>
        <v>525.29950476563715</v>
      </c>
      <c r="M434" s="3">
        <f>Comparison!AP33</f>
        <v>515.3503886433972</v>
      </c>
      <c r="N434" s="3">
        <f>Comparison!AQ33</f>
        <v>488.70376604058401</v>
      </c>
      <c r="O434" s="3">
        <f>Comparison!AR33</f>
        <v>475.44842733478526</v>
      </c>
      <c r="P434" s="3">
        <f>Comparison!AS33</f>
        <v>475.55412653805064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t="s">
        <v>164</v>
      </c>
      <c r="B436" s="113">
        <f>'Universal Mastercurve'!D1</f>
        <v>5</v>
      </c>
      <c r="C436" s="73"/>
      <c r="D436" s="112">
        <f>B436*2+1</f>
        <v>11</v>
      </c>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14"/>
      <c r="B437" s="115"/>
      <c r="C437" s="115"/>
      <c r="D437" s="115"/>
      <c r="E437" s="115"/>
      <c r="F437" s="115"/>
      <c r="G437" s="115"/>
      <c r="H437" s="115"/>
      <c r="I437" s="115"/>
      <c r="J437" s="115"/>
      <c r="K437" s="115"/>
      <c r="L437" s="115"/>
      <c r="M437" s="115"/>
      <c r="N437" s="115"/>
      <c r="O437" s="115"/>
      <c r="P437" s="115"/>
      <c r="Q437" s="91"/>
      <c r="R437" s="91"/>
      <c r="S437" s="91"/>
      <c r="T437" s="91"/>
      <c r="U437" s="91"/>
      <c r="V437" s="91"/>
      <c r="W437" s="91"/>
      <c r="X437" s="91"/>
      <c r="Y437" s="91"/>
      <c r="Z437" s="91"/>
      <c r="AA437" s="91"/>
      <c r="AB437" s="91"/>
      <c r="AC437" s="91"/>
      <c r="AD437" s="91"/>
      <c r="AE437" s="91"/>
      <c r="AF437" s="91"/>
      <c r="AG437" s="3"/>
      <c r="AH437" s="3"/>
    </row>
    <row r="438" spans="1:34" x14ac:dyDescent="0.25">
      <c r="A438" s="92">
        <f>INDEX($A$404:$P$434,ROW(A404)-ROW($A$403)+15-$B$436,COLUMN(A404))</f>
        <v>1.0000000000000001E-5</v>
      </c>
      <c r="B438" s="92">
        <f t="shared" ref="B438:P438" si="435">INDEX($A$404:$P$434,ROW(B404)-ROW($A$403)+15-$B$436,COLUMN(B404))</f>
        <v>1.2324925804409758E-10</v>
      </c>
      <c r="C438" s="92">
        <f t="shared" si="435"/>
        <v>5.1168790419832889E-9</v>
      </c>
      <c r="D438" s="92">
        <f t="shared" si="435"/>
        <v>6.3958514216585181E-8</v>
      </c>
      <c r="E438" s="92">
        <f t="shared" si="435"/>
        <v>5.8640186863323866E-7</v>
      </c>
      <c r="F438" s="92">
        <f t="shared" si="435"/>
        <v>1.0000000000000001E-5</v>
      </c>
      <c r="G438" s="92">
        <f t="shared" si="435"/>
        <v>3.7081254926910625E-3</v>
      </c>
      <c r="H438" s="92">
        <f t="shared" si="435"/>
        <v>1.199875806749513</v>
      </c>
      <c r="I438" s="92">
        <f t="shared" si="435"/>
        <v>1.0000000000000001E-5</v>
      </c>
      <c r="J438" s="92">
        <f t="shared" si="435"/>
        <v>7848.6797155048253</v>
      </c>
      <c r="K438" s="92">
        <f t="shared" si="435"/>
        <v>7411.9254661857585</v>
      </c>
      <c r="L438" s="92">
        <f t="shared" si="435"/>
        <v>6998.3812744112274</v>
      </c>
      <c r="M438" s="92">
        <f t="shared" si="435"/>
        <v>6628.8785990090082</v>
      </c>
      <c r="N438" s="92">
        <f t="shared" si="435"/>
        <v>6236.0805337275306</v>
      </c>
      <c r="O438" s="92">
        <f t="shared" si="435"/>
        <v>5486.9816625574504</v>
      </c>
      <c r="P438" s="92">
        <f t="shared" si="435"/>
        <v>4733.4087396901623</v>
      </c>
      <c r="Q438" s="92"/>
      <c r="R438" s="92"/>
      <c r="S438" s="92"/>
      <c r="T438" s="92"/>
      <c r="U438" s="92"/>
      <c r="V438" s="72"/>
      <c r="W438" s="72"/>
      <c r="X438" s="72"/>
      <c r="Y438" s="72"/>
      <c r="Z438" s="72"/>
      <c r="AA438" s="72"/>
      <c r="AB438" s="72"/>
      <c r="AC438" s="72"/>
      <c r="AD438" s="72"/>
      <c r="AE438" s="72"/>
      <c r="AF438" s="72"/>
      <c r="AG438" s="3"/>
      <c r="AH438" s="3"/>
    </row>
    <row r="439" spans="1:34" x14ac:dyDescent="0.25">
      <c r="A439" s="92">
        <f t="shared" ref="A439:P468" si="436">INDEX($A$404:$P$434,ROW(A405)-ROW($A$403)+15-$B$436,COLUMN(A405))</f>
        <v>1E-4</v>
      </c>
      <c r="B439" s="92">
        <f t="shared" si="436"/>
        <v>1.2324925804409756E-9</v>
      </c>
      <c r="C439" s="92">
        <f t="shared" si="436"/>
        <v>5.1168790419832885E-8</v>
      </c>
      <c r="D439" s="92">
        <f t="shared" si="436"/>
        <v>6.3958514216585178E-7</v>
      </c>
      <c r="E439" s="92">
        <f t="shared" si="436"/>
        <v>5.8640186863323871E-6</v>
      </c>
      <c r="F439" s="92">
        <f t="shared" si="436"/>
        <v>1E-4</v>
      </c>
      <c r="G439" s="92">
        <f t="shared" si="436"/>
        <v>3.7081254926910626E-2</v>
      </c>
      <c r="H439" s="92">
        <f t="shared" si="436"/>
        <v>11.99875806749513</v>
      </c>
      <c r="I439" s="92">
        <f t="shared" si="436"/>
        <v>1E-4</v>
      </c>
      <c r="J439" s="92">
        <f t="shared" si="436"/>
        <v>7561.5718378512247</v>
      </c>
      <c r="K439" s="92">
        <f t="shared" si="436"/>
        <v>7044.5082173262499</v>
      </c>
      <c r="L439" s="92">
        <f t="shared" si="436"/>
        <v>6621.5844226341051</v>
      </c>
      <c r="M439" s="92">
        <f t="shared" si="436"/>
        <v>6311.3720523241727</v>
      </c>
      <c r="N439" s="92">
        <f t="shared" si="436"/>
        <v>5950.4123980915811</v>
      </c>
      <c r="O439" s="92">
        <f t="shared" si="436"/>
        <v>5211.1575946368548</v>
      </c>
      <c r="P439" s="92">
        <f t="shared" si="436"/>
        <v>4393.7824312927287</v>
      </c>
      <c r="Q439" s="92"/>
      <c r="R439" s="92"/>
      <c r="S439" s="92"/>
      <c r="T439" s="92"/>
      <c r="U439" s="92"/>
      <c r="V439" s="15"/>
      <c r="W439" s="15"/>
      <c r="X439" s="15"/>
      <c r="Y439" s="15"/>
      <c r="Z439" s="15"/>
      <c r="AA439" s="15"/>
      <c r="AB439" s="15"/>
      <c r="AC439" s="15"/>
      <c r="AD439" s="15"/>
      <c r="AE439" s="15"/>
      <c r="AF439" s="15"/>
      <c r="AG439" s="38"/>
      <c r="AH439" s="38"/>
    </row>
    <row r="440" spans="1:34" x14ac:dyDescent="0.25">
      <c r="A440" s="92">
        <f t="shared" si="436"/>
        <v>1E-3</v>
      </c>
      <c r="B440" s="92">
        <f t="shared" si="436"/>
        <v>1.2324925804409757E-8</v>
      </c>
      <c r="C440" s="92">
        <f t="shared" si="436"/>
        <v>5.1168790419832881E-7</v>
      </c>
      <c r="D440" s="92">
        <f t="shared" si="436"/>
        <v>6.3958514216585172E-6</v>
      </c>
      <c r="E440" s="92">
        <f t="shared" si="436"/>
        <v>5.8640186863323867E-5</v>
      </c>
      <c r="F440" s="92">
        <f t="shared" si="436"/>
        <v>1E-3</v>
      </c>
      <c r="G440" s="92">
        <f t="shared" si="436"/>
        <v>0.37081254926910623</v>
      </c>
      <c r="H440" s="92">
        <f t="shared" si="436"/>
        <v>119.9875806749513</v>
      </c>
      <c r="I440" s="92">
        <f t="shared" si="436"/>
        <v>1E-3</v>
      </c>
      <c r="J440" s="92">
        <f t="shared" si="436"/>
        <v>7212.0886309644511</v>
      </c>
      <c r="K440" s="92">
        <f t="shared" si="436"/>
        <v>6664.4913259208079</v>
      </c>
      <c r="L440" s="92">
        <f t="shared" si="436"/>
        <v>6307.1591705971805</v>
      </c>
      <c r="M440" s="92">
        <f t="shared" si="436"/>
        <v>6028.2349504089671</v>
      </c>
      <c r="N440" s="92">
        <f t="shared" si="436"/>
        <v>5675.5372968728034</v>
      </c>
      <c r="O440" s="92">
        <f t="shared" si="436"/>
        <v>4923.9623445747775</v>
      </c>
      <c r="P440" s="92">
        <f t="shared" si="436"/>
        <v>4006.1265808261332</v>
      </c>
      <c r="Q440" s="92"/>
      <c r="R440" s="92"/>
      <c r="S440" s="92"/>
      <c r="T440" s="92"/>
      <c r="U440" s="92"/>
      <c r="V440" s="15"/>
      <c r="W440" s="15"/>
      <c r="X440" s="15"/>
      <c r="Y440" s="15"/>
      <c r="Z440" s="15"/>
      <c r="AA440" s="15"/>
      <c r="AB440" s="15"/>
      <c r="AC440" s="15"/>
      <c r="AD440" s="15"/>
      <c r="AE440" s="15"/>
      <c r="AF440" s="15"/>
    </row>
    <row r="441" spans="1:34" x14ac:dyDescent="0.25">
      <c r="A441" s="92">
        <f t="shared" si="436"/>
        <v>0.01</v>
      </c>
      <c r="B441" s="92">
        <f t="shared" si="436"/>
        <v>1.2324925804409757E-7</v>
      </c>
      <c r="C441" s="92">
        <f t="shared" si="436"/>
        <v>5.1168790419832881E-6</v>
      </c>
      <c r="D441" s="92">
        <f t="shared" si="436"/>
        <v>6.3958514216585179E-5</v>
      </c>
      <c r="E441" s="92">
        <f t="shared" si="436"/>
        <v>5.8640186863323865E-4</v>
      </c>
      <c r="F441" s="92">
        <f t="shared" si="436"/>
        <v>0.01</v>
      </c>
      <c r="G441" s="92">
        <f t="shared" si="436"/>
        <v>3.7081254926910625</v>
      </c>
      <c r="H441" s="92">
        <f t="shared" si="436"/>
        <v>1199.875806749513</v>
      </c>
      <c r="I441" s="92">
        <f t="shared" si="436"/>
        <v>0.01</v>
      </c>
      <c r="J441" s="92">
        <f t="shared" si="436"/>
        <v>6826.065675816817</v>
      </c>
      <c r="K441" s="92">
        <f t="shared" si="436"/>
        <v>6341.2106146502829</v>
      </c>
      <c r="L441" s="92">
        <f t="shared" si="436"/>
        <v>6022.8689849680577</v>
      </c>
      <c r="M441" s="92">
        <f t="shared" si="436"/>
        <v>5748.7087759518809</v>
      </c>
      <c r="N441" s="92">
        <f t="shared" si="436"/>
        <v>5389.077424650558</v>
      </c>
      <c r="O441" s="92">
        <f t="shared" si="436"/>
        <v>4584.0172032140918</v>
      </c>
      <c r="P441" s="92">
        <f t="shared" si="436"/>
        <v>3576.233277328839</v>
      </c>
      <c r="Q441" s="92"/>
      <c r="R441" s="92"/>
      <c r="S441" s="92"/>
      <c r="T441" s="92"/>
      <c r="U441" s="92"/>
      <c r="V441" s="22"/>
      <c r="W441" s="22"/>
      <c r="X441" s="22"/>
      <c r="Y441" s="22"/>
      <c r="Z441" s="22"/>
      <c r="AA441" s="22"/>
      <c r="AB441" s="22"/>
      <c r="AC441" s="22"/>
      <c r="AD441" s="22"/>
      <c r="AE441" s="22"/>
      <c r="AF441" s="22"/>
      <c r="AG441" s="22"/>
      <c r="AH441" s="22"/>
    </row>
    <row r="442" spans="1:34" x14ac:dyDescent="0.25">
      <c r="A442" s="92">
        <f t="shared" si="436"/>
        <v>0.1</v>
      </c>
      <c r="B442" s="92">
        <f t="shared" si="436"/>
        <v>1.2324925804409758E-6</v>
      </c>
      <c r="C442" s="92">
        <f t="shared" si="436"/>
        <v>5.1168790419832886E-5</v>
      </c>
      <c r="D442" s="92">
        <f t="shared" si="436"/>
        <v>6.3958514216585181E-4</v>
      </c>
      <c r="E442" s="92">
        <f t="shared" si="436"/>
        <v>5.8640186863323871E-3</v>
      </c>
      <c r="F442" s="92">
        <f t="shared" si="436"/>
        <v>0.1</v>
      </c>
      <c r="G442" s="92">
        <f t="shared" si="436"/>
        <v>37.081254926910624</v>
      </c>
      <c r="H442" s="92">
        <f t="shared" si="436"/>
        <v>11998.758067495131</v>
      </c>
      <c r="I442" s="92">
        <f t="shared" si="436"/>
        <v>0.1</v>
      </c>
      <c r="J442" s="92">
        <f t="shared" si="436"/>
        <v>6468.6777640443843</v>
      </c>
      <c r="K442" s="92">
        <f t="shared" si="436"/>
        <v>6057.8856031721252</v>
      </c>
      <c r="L442" s="92">
        <f t="shared" si="436"/>
        <v>5743.6712365645317</v>
      </c>
      <c r="M442" s="92">
        <f t="shared" si="436"/>
        <v>5465.7818754747968</v>
      </c>
      <c r="N442" s="92">
        <f t="shared" si="436"/>
        <v>5123.5437168709832</v>
      </c>
      <c r="O442" s="92">
        <f t="shared" si="436"/>
        <v>4221.1859974432145</v>
      </c>
      <c r="P442" s="92">
        <f t="shared" si="436"/>
        <v>3059.5283871610445</v>
      </c>
      <c r="Q442" s="92"/>
      <c r="R442" s="92"/>
      <c r="S442" s="92"/>
      <c r="T442" s="92"/>
      <c r="U442" s="92"/>
      <c r="V442" s="22"/>
      <c r="W442" s="22"/>
      <c r="X442" s="22"/>
      <c r="Y442" s="22"/>
      <c r="Z442" s="22"/>
      <c r="AA442" s="22"/>
      <c r="AB442" s="22"/>
      <c r="AC442" s="22"/>
      <c r="AD442" s="22"/>
      <c r="AE442" s="22"/>
      <c r="AF442" s="22"/>
      <c r="AG442" s="26"/>
      <c r="AH442" s="26"/>
    </row>
    <row r="443" spans="1:34" x14ac:dyDescent="0.25">
      <c r="A443" s="92">
        <f t="shared" si="436"/>
        <v>1</v>
      </c>
      <c r="B443" s="92">
        <f t="shared" si="436"/>
        <v>1.2324925804409756E-5</v>
      </c>
      <c r="C443" s="92">
        <f t="shared" si="436"/>
        <v>5.1168790419832877E-4</v>
      </c>
      <c r="D443" s="92">
        <f t="shared" si="436"/>
        <v>6.3958514216585173E-3</v>
      </c>
      <c r="E443" s="92">
        <f t="shared" si="436"/>
        <v>5.8640186863323868E-2</v>
      </c>
      <c r="F443" s="92">
        <f t="shared" si="436"/>
        <v>1</v>
      </c>
      <c r="G443" s="92">
        <f t="shared" si="436"/>
        <v>370.81254926910623</v>
      </c>
      <c r="H443" s="92">
        <f t="shared" si="436"/>
        <v>119987.5806749513</v>
      </c>
      <c r="I443" s="92">
        <f t="shared" si="436"/>
        <v>1</v>
      </c>
      <c r="J443" s="92">
        <f t="shared" si="436"/>
        <v>6185.0814076350389</v>
      </c>
      <c r="K443" s="92">
        <f t="shared" si="436"/>
        <v>5776.2920069159836</v>
      </c>
      <c r="L443" s="92">
        <f t="shared" si="436"/>
        <v>5459.2543435964462</v>
      </c>
      <c r="M443" s="92">
        <f t="shared" si="436"/>
        <v>5192.657072535425</v>
      </c>
      <c r="N443" s="92">
        <f t="shared" si="436"/>
        <v>4799.280908658001</v>
      </c>
      <c r="O443" s="92">
        <f t="shared" si="436"/>
        <v>3789.937412973562</v>
      </c>
      <c r="P443" s="92">
        <f t="shared" si="436"/>
        <v>2469.5512794279489</v>
      </c>
      <c r="Q443" s="92"/>
      <c r="R443" s="92"/>
      <c r="S443" s="92"/>
      <c r="T443" s="92"/>
      <c r="U443" s="92"/>
      <c r="V443" s="22"/>
      <c r="W443" s="22"/>
      <c r="X443" s="22"/>
      <c r="Y443" s="22"/>
      <c r="Z443" s="22"/>
      <c r="AA443" s="22"/>
      <c r="AB443" s="22"/>
      <c r="AC443" s="22"/>
      <c r="AD443" s="22"/>
      <c r="AE443" s="22"/>
      <c r="AF443" s="22"/>
      <c r="AG443" s="27"/>
      <c r="AH443" s="27"/>
    </row>
    <row r="444" spans="1:34" x14ac:dyDescent="0.25">
      <c r="A444" s="92">
        <f t="shared" si="436"/>
        <v>10</v>
      </c>
      <c r="B444" s="92">
        <f t="shared" si="436"/>
        <v>1.2324925804409756E-4</v>
      </c>
      <c r="C444" s="92">
        <f t="shared" si="436"/>
        <v>5.1168790419832879E-3</v>
      </c>
      <c r="D444" s="92">
        <f t="shared" si="436"/>
        <v>6.3958514216585174E-2</v>
      </c>
      <c r="E444" s="92">
        <f t="shared" si="436"/>
        <v>0.58640186863323862</v>
      </c>
      <c r="F444" s="92">
        <f t="shared" si="436"/>
        <v>10</v>
      </c>
      <c r="G444" s="92">
        <f t="shared" si="436"/>
        <v>3708.1254926910624</v>
      </c>
      <c r="H444" s="92">
        <f t="shared" si="436"/>
        <v>1199875.8067495129</v>
      </c>
      <c r="I444" s="92">
        <f t="shared" si="436"/>
        <v>10</v>
      </c>
      <c r="J444" s="92">
        <f t="shared" si="436"/>
        <v>5896.0070828362468</v>
      </c>
      <c r="K444" s="92">
        <f t="shared" si="436"/>
        <v>5493.3830678495879</v>
      </c>
      <c r="L444" s="92">
        <f t="shared" si="436"/>
        <v>5186.1259100095131</v>
      </c>
      <c r="M444" s="92">
        <f t="shared" si="436"/>
        <v>4882.9062343607484</v>
      </c>
      <c r="N444" s="92">
        <f t="shared" si="436"/>
        <v>4430.6662258617935</v>
      </c>
      <c r="O444" s="92">
        <f t="shared" si="436"/>
        <v>3283.8683924627298</v>
      </c>
      <c r="P444" s="92">
        <f t="shared" si="436"/>
        <v>1842.799668868907</v>
      </c>
      <c r="Q444" s="92"/>
      <c r="R444" s="92"/>
      <c r="S444" s="92"/>
      <c r="T444" s="92"/>
      <c r="U444" s="92"/>
      <c r="V444" s="42"/>
      <c r="W444" s="42"/>
      <c r="X444" s="42"/>
      <c r="Y444" s="42"/>
      <c r="Z444" s="42"/>
      <c r="AA444" s="42"/>
      <c r="AB444" s="42"/>
      <c r="AC444" s="42"/>
      <c r="AD444" s="42"/>
      <c r="AE444" s="42"/>
      <c r="AF444" s="42"/>
      <c r="AG444" s="3"/>
      <c r="AH444" s="3"/>
    </row>
    <row r="445" spans="1:34" x14ac:dyDescent="0.25">
      <c r="A445" s="92">
        <f t="shared" si="436"/>
        <v>100</v>
      </c>
      <c r="B445" s="92">
        <f t="shared" si="436"/>
        <v>1.2324925804409756E-3</v>
      </c>
      <c r="C445" s="92">
        <f t="shared" si="436"/>
        <v>5.1168790419832882E-2</v>
      </c>
      <c r="D445" s="92">
        <f t="shared" si="436"/>
        <v>0.63958514216585172</v>
      </c>
      <c r="E445" s="92">
        <f t="shared" si="436"/>
        <v>5.8640186863323862</v>
      </c>
      <c r="F445" s="92">
        <f t="shared" si="436"/>
        <v>100</v>
      </c>
      <c r="G445" s="92">
        <f t="shared" si="436"/>
        <v>37081.254926910624</v>
      </c>
      <c r="H445" s="92">
        <f t="shared" si="436"/>
        <v>11998758.06749513</v>
      </c>
      <c r="I445" s="92">
        <f t="shared" si="436"/>
        <v>100</v>
      </c>
      <c r="J445" s="92">
        <f t="shared" si="436"/>
        <v>5620.2326577203476</v>
      </c>
      <c r="K445" s="92">
        <f t="shared" si="436"/>
        <v>5215.5329419319251</v>
      </c>
      <c r="L445" s="92">
        <f t="shared" si="436"/>
        <v>4865.5108844814831</v>
      </c>
      <c r="M445" s="92">
        <f t="shared" si="436"/>
        <v>4501.5398610325774</v>
      </c>
      <c r="N445" s="92">
        <f t="shared" si="436"/>
        <v>3990.4031488339651</v>
      </c>
      <c r="O445" s="92">
        <f t="shared" si="436"/>
        <v>2714.7098539050189</v>
      </c>
      <c r="P445" s="92">
        <f t="shared" si="436"/>
        <v>1328.7737512423464</v>
      </c>
      <c r="Q445" s="92"/>
      <c r="R445" s="92"/>
      <c r="S445" s="92"/>
      <c r="T445" s="92"/>
      <c r="U445" s="92"/>
      <c r="V445" s="42"/>
      <c r="W445" s="42"/>
      <c r="X445" s="42"/>
      <c r="Y445" s="42"/>
      <c r="Z445" s="42"/>
      <c r="AA445" s="42"/>
      <c r="AB445" s="42"/>
      <c r="AC445" s="42"/>
      <c r="AD445" s="42"/>
      <c r="AE445" s="42"/>
      <c r="AF445" s="42"/>
      <c r="AG445" s="3"/>
      <c r="AH445" s="3"/>
    </row>
    <row r="446" spans="1:34" x14ac:dyDescent="0.25">
      <c r="A446" s="92">
        <f t="shared" si="436"/>
        <v>1000</v>
      </c>
      <c r="B446" s="92">
        <f t="shared" si="436"/>
        <v>1.2324925804409756E-2</v>
      </c>
      <c r="C446" s="92">
        <f t="shared" si="436"/>
        <v>0.51168790419832877</v>
      </c>
      <c r="D446" s="92">
        <f t="shared" si="436"/>
        <v>6.3958514216585174</v>
      </c>
      <c r="E446" s="92">
        <f t="shared" si="436"/>
        <v>58.640186863323862</v>
      </c>
      <c r="F446" s="92">
        <f t="shared" si="436"/>
        <v>1000</v>
      </c>
      <c r="G446" s="92">
        <f t="shared" si="436"/>
        <v>370812.54926910624</v>
      </c>
      <c r="H446" s="92">
        <f t="shared" si="436"/>
        <v>119987580.6749513</v>
      </c>
      <c r="I446" s="92">
        <f t="shared" si="436"/>
        <v>1000</v>
      </c>
      <c r="J446" s="92">
        <f t="shared" si="436"/>
        <v>5330.7810569019748</v>
      </c>
      <c r="K446" s="92">
        <f t="shared" si="436"/>
        <v>4897.7071873573095</v>
      </c>
      <c r="L446" s="92">
        <f t="shared" si="436"/>
        <v>4471.3145751722259</v>
      </c>
      <c r="M446" s="92">
        <f t="shared" si="436"/>
        <v>4066.6104281555185</v>
      </c>
      <c r="N446" s="92">
        <f t="shared" si="436"/>
        <v>3512.6173919241392</v>
      </c>
      <c r="O446" s="92">
        <f t="shared" si="436"/>
        <v>2120.3389527808267</v>
      </c>
      <c r="P446" s="92">
        <f t="shared" si="436"/>
        <v>948.83583319405307</v>
      </c>
      <c r="Q446" s="92"/>
      <c r="R446" s="92"/>
      <c r="S446" s="92"/>
      <c r="T446" s="92"/>
      <c r="U446" s="92"/>
      <c r="V446" s="42"/>
      <c r="W446" s="42"/>
      <c r="X446" s="42"/>
      <c r="Y446" s="42"/>
      <c r="Z446" s="42"/>
      <c r="AA446" s="42"/>
      <c r="AB446" s="42"/>
      <c r="AC446" s="42"/>
      <c r="AD446" s="42"/>
      <c r="AE446" s="42"/>
      <c r="AF446" s="42"/>
      <c r="AG446" s="3"/>
      <c r="AH446" s="3"/>
    </row>
    <row r="447" spans="1:34" x14ac:dyDescent="0.25">
      <c r="A447" s="92">
        <f t="shared" si="436"/>
        <v>10000</v>
      </c>
      <c r="B447" s="92">
        <f t="shared" si="436"/>
        <v>0.12324925804409756</v>
      </c>
      <c r="C447" s="92">
        <f t="shared" si="436"/>
        <v>5.1168790419832879</v>
      </c>
      <c r="D447" s="92">
        <f t="shared" si="436"/>
        <v>63.958514216585172</v>
      </c>
      <c r="E447" s="92">
        <f t="shared" si="436"/>
        <v>586.40186863323868</v>
      </c>
      <c r="F447" s="92">
        <f t="shared" si="436"/>
        <v>10000</v>
      </c>
      <c r="G447" s="92">
        <f t="shared" si="436"/>
        <v>3708125.4926910624</v>
      </c>
      <c r="H447" s="92">
        <f t="shared" si="436"/>
        <v>1199875806.7495129</v>
      </c>
      <c r="I447" s="92">
        <f t="shared" si="436"/>
        <v>10000</v>
      </c>
      <c r="J447" s="92">
        <f t="shared" si="436"/>
        <v>5056.458830124393</v>
      </c>
      <c r="K447" s="92">
        <f t="shared" si="436"/>
        <v>4495.7217042422935</v>
      </c>
      <c r="L447" s="92">
        <f t="shared" si="436"/>
        <v>4031.2545236434685</v>
      </c>
      <c r="M447" s="92">
        <f t="shared" si="436"/>
        <v>3597.5685781370817</v>
      </c>
      <c r="N447" s="92">
        <f t="shared" si="436"/>
        <v>2997.1269883218743</v>
      </c>
      <c r="O447" s="92">
        <f t="shared" si="436"/>
        <v>1549.2251736201158</v>
      </c>
      <c r="P447" s="92">
        <f t="shared" si="436"/>
        <v>739.39486681916139</v>
      </c>
      <c r="Q447" s="92"/>
      <c r="R447" s="92"/>
      <c r="S447" s="92"/>
      <c r="T447" s="92"/>
      <c r="U447" s="92"/>
      <c r="V447" s="42"/>
      <c r="W447" s="42"/>
      <c r="X447" s="42"/>
      <c r="Y447" s="42"/>
      <c r="Z447" s="42"/>
      <c r="AA447" s="42"/>
      <c r="AB447" s="42"/>
      <c r="AC447" s="42"/>
      <c r="AD447" s="42"/>
      <c r="AE447" s="42"/>
      <c r="AF447" s="42"/>
      <c r="AG447" s="3"/>
      <c r="AH447" s="3"/>
    </row>
    <row r="448" spans="1:34" x14ac:dyDescent="0.25">
      <c r="A448" s="92">
        <f t="shared" si="436"/>
        <v>100000</v>
      </c>
      <c r="B448" s="92">
        <f t="shared" si="436"/>
        <v>1.2324925804409756</v>
      </c>
      <c r="C448" s="92">
        <f t="shared" si="436"/>
        <v>51.168790419832881</v>
      </c>
      <c r="D448" s="92">
        <f t="shared" si="436"/>
        <v>639.58514216585172</v>
      </c>
      <c r="E448" s="92">
        <f t="shared" si="436"/>
        <v>5864.0186863323861</v>
      </c>
      <c r="F448" s="92">
        <f t="shared" si="436"/>
        <v>100000</v>
      </c>
      <c r="G448" s="92">
        <f t="shared" si="436"/>
        <v>37081254.926910624</v>
      </c>
      <c r="H448" s="92">
        <f t="shared" si="436"/>
        <v>11998758067.495131</v>
      </c>
      <c r="I448" s="92">
        <f t="shared" si="436"/>
        <v>100000</v>
      </c>
      <c r="J448" s="92">
        <f t="shared" si="436"/>
        <v>4685.6312280238881</v>
      </c>
      <c r="K448" s="92">
        <f t="shared" si="436"/>
        <v>4059.1954090175182</v>
      </c>
      <c r="L448" s="92">
        <f t="shared" si="436"/>
        <v>3565.3464541885878</v>
      </c>
      <c r="M448" s="92">
        <f t="shared" si="436"/>
        <v>3102.4717339118838</v>
      </c>
      <c r="N448" s="92">
        <f t="shared" si="436"/>
        <v>2450.4999019800034</v>
      </c>
      <c r="O448" s="92">
        <f t="shared" si="436"/>
        <v>1115.0562509241029</v>
      </c>
      <c r="P448" s="92">
        <f t="shared" si="436"/>
        <v>624.14790659062351</v>
      </c>
      <c r="Q448" s="92"/>
      <c r="R448" s="92"/>
      <c r="S448" s="92"/>
      <c r="T448" s="92"/>
      <c r="U448" s="92"/>
      <c r="V448" s="42"/>
      <c r="W448" s="42"/>
      <c r="X448" s="42"/>
      <c r="Y448" s="42"/>
      <c r="Z448" s="42"/>
      <c r="AA448" s="42"/>
      <c r="AB448" s="42"/>
      <c r="AC448" s="42"/>
      <c r="AD448" s="42"/>
      <c r="AE448" s="42"/>
      <c r="AF448" s="42"/>
      <c r="AG448" s="3"/>
      <c r="AH448" s="3"/>
    </row>
    <row r="449" spans="1:34" x14ac:dyDescent="0.25">
      <c r="A449" s="92">
        <f t="shared" si="436"/>
        <v>1000000</v>
      </c>
      <c r="B449" s="92">
        <f t="shared" si="436"/>
        <v>12.324925804409757</v>
      </c>
      <c r="C449" s="92">
        <f t="shared" si="436"/>
        <v>511.68790419832879</v>
      </c>
      <c r="D449" s="92">
        <f t="shared" si="436"/>
        <v>6395.8514216585172</v>
      </c>
      <c r="E449" s="92">
        <f t="shared" si="436"/>
        <v>58640.186863323863</v>
      </c>
      <c r="F449" s="92">
        <f t="shared" si="436"/>
        <v>1000000</v>
      </c>
      <c r="G449" s="92">
        <f t="shared" si="436"/>
        <v>370812549.26910621</v>
      </c>
      <c r="H449" s="92">
        <f t="shared" si="436"/>
        <v>119987580674.95129</v>
      </c>
      <c r="I449" s="92">
        <f t="shared" si="436"/>
        <v>1000000</v>
      </c>
      <c r="J449" s="92">
        <f t="shared" si="436"/>
        <v>4271.8299665210579</v>
      </c>
      <c r="K449" s="92">
        <f t="shared" si="436"/>
        <v>3597.5805592338243</v>
      </c>
      <c r="L449" s="92">
        <f t="shared" si="436"/>
        <v>3072.2800042990852</v>
      </c>
      <c r="M449" s="92">
        <f t="shared" si="436"/>
        <v>2568.6205512482802</v>
      </c>
      <c r="N449" s="92">
        <f t="shared" si="436"/>
        <v>1872.1545257089074</v>
      </c>
      <c r="O449" s="92">
        <f t="shared" si="436"/>
        <v>819.57257707159806</v>
      </c>
      <c r="P449" s="92">
        <f t="shared" si="436"/>
        <v>574.84813415628378</v>
      </c>
      <c r="Q449" s="92"/>
      <c r="R449" s="92"/>
      <c r="S449" s="92"/>
      <c r="T449" s="92"/>
      <c r="U449" s="92"/>
      <c r="V449" s="42"/>
      <c r="W449" s="42"/>
      <c r="X449" s="42"/>
      <c r="Y449" s="42"/>
      <c r="Z449" s="42"/>
      <c r="AA449" s="42"/>
      <c r="AB449" s="42"/>
      <c r="AC449" s="42"/>
      <c r="AD449" s="42"/>
      <c r="AE449" s="42"/>
      <c r="AF449" s="42"/>
      <c r="AG449" s="3"/>
      <c r="AH449" s="3"/>
    </row>
    <row r="450" spans="1:34" x14ac:dyDescent="0.25">
      <c r="A450" s="92">
        <f t="shared" si="436"/>
        <v>10000000</v>
      </c>
      <c r="B450" s="92">
        <f t="shared" si="436"/>
        <v>123.24925804409756</v>
      </c>
      <c r="C450" s="92">
        <f t="shared" si="436"/>
        <v>5116.8790419832885</v>
      </c>
      <c r="D450" s="92">
        <f t="shared" si="436"/>
        <v>63958.514216585172</v>
      </c>
      <c r="E450" s="92">
        <f t="shared" si="436"/>
        <v>586401.8686332386</v>
      </c>
      <c r="F450" s="92">
        <f t="shared" si="436"/>
        <v>10000000</v>
      </c>
      <c r="G450" s="92">
        <f t="shared" si="436"/>
        <v>3708125492.6910625</v>
      </c>
      <c r="H450" s="92">
        <f t="shared" si="436"/>
        <v>1199875806749.5129</v>
      </c>
      <c r="I450" s="92">
        <f t="shared" si="436"/>
        <v>10000000</v>
      </c>
      <c r="J450" s="92">
        <f t="shared" si="436"/>
        <v>3807.4701999642007</v>
      </c>
      <c r="K450" s="92">
        <f t="shared" si="436"/>
        <v>3113.2980023229825</v>
      </c>
      <c r="L450" s="92">
        <f t="shared" si="436"/>
        <v>2540.7682600840731</v>
      </c>
      <c r="M450" s="92">
        <f t="shared" si="436"/>
        <v>2000.7316961631682</v>
      </c>
      <c r="N450" s="92">
        <f t="shared" si="436"/>
        <v>1367.4511296212941</v>
      </c>
      <c r="O450" s="92">
        <f t="shared" si="436"/>
        <v>672.71182943032534</v>
      </c>
      <c r="P450" s="92">
        <f t="shared" si="436"/>
        <v>540.01941971549797</v>
      </c>
      <c r="Q450" s="92"/>
      <c r="R450" s="92"/>
      <c r="S450" s="92"/>
      <c r="T450" s="92"/>
      <c r="U450" s="92"/>
      <c r="V450" s="42"/>
      <c r="W450" s="42"/>
      <c r="X450" s="42"/>
      <c r="Y450" s="42"/>
      <c r="Z450" s="42"/>
      <c r="AA450" s="42"/>
      <c r="AB450" s="42"/>
      <c r="AC450" s="42"/>
      <c r="AD450" s="42"/>
      <c r="AE450" s="42"/>
      <c r="AF450" s="42"/>
      <c r="AG450" s="3"/>
      <c r="AH450" s="3"/>
    </row>
    <row r="451" spans="1:34" x14ac:dyDescent="0.25">
      <c r="A451" s="92">
        <f t="shared" si="436"/>
        <v>100000000</v>
      </c>
      <c r="B451" s="92">
        <f t="shared" si="436"/>
        <v>1232.4925804409756</v>
      </c>
      <c r="C451" s="92">
        <f t="shared" si="436"/>
        <v>51168.790419832883</v>
      </c>
      <c r="D451" s="92">
        <f t="shared" si="436"/>
        <v>639585.14216585178</v>
      </c>
      <c r="E451" s="92">
        <f t="shared" si="436"/>
        <v>5864018.686332386</v>
      </c>
      <c r="F451" s="92">
        <f t="shared" si="436"/>
        <v>100000000</v>
      </c>
      <c r="G451" s="92">
        <f t="shared" si="436"/>
        <v>37081254926.910622</v>
      </c>
      <c r="H451" s="92">
        <f t="shared" si="436"/>
        <v>11998758067495.131</v>
      </c>
      <c r="I451" s="92">
        <f t="shared" si="436"/>
        <v>100000000</v>
      </c>
      <c r="J451" s="92">
        <f t="shared" si="436"/>
        <v>3333.4500993282409</v>
      </c>
      <c r="K451" s="92">
        <f t="shared" si="436"/>
        <v>2587.1664421745386</v>
      </c>
      <c r="L451" s="92">
        <f t="shared" si="436"/>
        <v>1974.0579457073152</v>
      </c>
      <c r="M451" s="92">
        <f t="shared" si="436"/>
        <v>1467.5042196825975</v>
      </c>
      <c r="N451" s="92">
        <f t="shared" si="436"/>
        <v>983.81195335121254</v>
      </c>
      <c r="O451" s="92">
        <f t="shared" si="436"/>
        <v>592.26686963031818</v>
      </c>
      <c r="P451" s="92">
        <f t="shared" si="436"/>
        <v>522.91431442377564</v>
      </c>
      <c r="Q451" s="92"/>
      <c r="R451" s="92"/>
      <c r="S451" s="92"/>
      <c r="T451" s="92"/>
      <c r="U451" s="92"/>
      <c r="V451" s="42"/>
      <c r="W451" s="42"/>
      <c r="X451" s="42"/>
      <c r="Y451" s="42"/>
      <c r="Z451" s="42"/>
      <c r="AA451" s="42"/>
      <c r="AB451" s="42"/>
      <c r="AC451" s="42"/>
      <c r="AD451" s="42"/>
      <c r="AE451" s="42"/>
      <c r="AF451" s="42"/>
      <c r="AG451" s="3"/>
      <c r="AH451" s="3"/>
    </row>
    <row r="452" spans="1:34" x14ac:dyDescent="0.25">
      <c r="A452" s="92">
        <f t="shared" si="436"/>
        <v>1000000000</v>
      </c>
      <c r="B452" s="92">
        <f t="shared" si="436"/>
        <v>12324.925804409757</v>
      </c>
      <c r="C452" s="92">
        <f t="shared" si="436"/>
        <v>511687.90419832885</v>
      </c>
      <c r="D452" s="92">
        <f t="shared" si="436"/>
        <v>6395851.4216585178</v>
      </c>
      <c r="E452" s="92">
        <f t="shared" si="436"/>
        <v>58640186.863323867</v>
      </c>
      <c r="F452" s="92">
        <f t="shared" si="436"/>
        <v>1000000000</v>
      </c>
      <c r="G452" s="92">
        <f t="shared" si="436"/>
        <v>370812549269.1062</v>
      </c>
      <c r="H452" s="92">
        <f t="shared" si="436"/>
        <v>119987580674951.3</v>
      </c>
      <c r="I452" s="92">
        <f t="shared" si="436"/>
        <v>1000000000</v>
      </c>
      <c r="J452" s="92">
        <f t="shared" si="436"/>
        <v>2813.9339254547094</v>
      </c>
      <c r="K452" s="92">
        <f t="shared" si="436"/>
        <v>2025.5491425769458</v>
      </c>
      <c r="L452" s="92">
        <f t="shared" si="436"/>
        <v>1447.7693345065175</v>
      </c>
      <c r="M452" s="92">
        <f t="shared" si="436"/>
        <v>1058.8226695409851</v>
      </c>
      <c r="N452" s="92">
        <f t="shared" si="436"/>
        <v>755.24433140254177</v>
      </c>
      <c r="O452" s="92">
        <f t="shared" si="436"/>
        <v>556.12366677692739</v>
      </c>
      <c r="P452" s="92">
        <f t="shared" si="436"/>
        <v>512.28225991416207</v>
      </c>
      <c r="Q452" s="92"/>
      <c r="R452" s="92"/>
      <c r="S452" s="92"/>
      <c r="T452" s="92"/>
      <c r="U452" s="92"/>
      <c r="V452" s="42"/>
      <c r="W452" s="42"/>
      <c r="X452" s="42"/>
      <c r="Y452" s="42"/>
      <c r="Z452" s="42"/>
      <c r="AA452" s="42"/>
      <c r="AB452" s="42"/>
      <c r="AC452" s="42"/>
      <c r="AD452" s="42"/>
      <c r="AE452" s="42"/>
      <c r="AF452" s="42"/>
      <c r="AG452" s="3"/>
      <c r="AH452" s="3"/>
    </row>
    <row r="453" spans="1:34" x14ac:dyDescent="0.25">
      <c r="A453" s="92">
        <f t="shared" si="436"/>
        <v>10000000000</v>
      </c>
      <c r="B453" s="92">
        <f t="shared" si="436"/>
        <v>123249.25804409757</v>
      </c>
      <c r="C453" s="92">
        <f t="shared" si="436"/>
        <v>5116879.0419832878</v>
      </c>
      <c r="D453" s="92">
        <f t="shared" si="436"/>
        <v>63958514.216585174</v>
      </c>
      <c r="E453" s="92">
        <f t="shared" si="436"/>
        <v>586401868.63323867</v>
      </c>
      <c r="F453" s="92">
        <f t="shared" si="436"/>
        <v>10000000000</v>
      </c>
      <c r="G453" s="92">
        <f t="shared" si="436"/>
        <v>3708125492691.0625</v>
      </c>
      <c r="H453" s="92">
        <f t="shared" si="436"/>
        <v>1199875806749513</v>
      </c>
      <c r="I453" s="92">
        <f t="shared" si="436"/>
        <v>10000000000</v>
      </c>
      <c r="J453" s="92">
        <f t="shared" si="436"/>
        <v>2264.5753602217969</v>
      </c>
      <c r="K453" s="92">
        <f t="shared" si="436"/>
        <v>1488.3947775442189</v>
      </c>
      <c r="L453" s="92">
        <f t="shared" si="436"/>
        <v>1044.3571981147218</v>
      </c>
      <c r="M453" s="92">
        <f t="shared" si="436"/>
        <v>791.47453302018846</v>
      </c>
      <c r="N453" s="92">
        <f t="shared" si="436"/>
        <v>633.28610309701617</v>
      </c>
      <c r="O453" s="92">
        <f t="shared" si="436"/>
        <v>528.75323853804991</v>
      </c>
      <c r="P453" s="92">
        <f t="shared" si="436"/>
        <v>486.30628203230003</v>
      </c>
      <c r="Q453" s="92"/>
      <c r="R453" s="92"/>
      <c r="S453" s="92"/>
      <c r="T453" s="92"/>
      <c r="U453" s="92"/>
      <c r="V453" s="42"/>
      <c r="W453" s="42"/>
      <c r="X453" s="42"/>
      <c r="Y453" s="42"/>
      <c r="Z453" s="42"/>
      <c r="AA453" s="42"/>
      <c r="AB453" s="42"/>
      <c r="AC453" s="42"/>
      <c r="AD453" s="42"/>
      <c r="AE453" s="42"/>
      <c r="AF453" s="42"/>
      <c r="AG453" s="3"/>
      <c r="AH453" s="3"/>
    </row>
    <row r="454" spans="1:34" x14ac:dyDescent="0.25">
      <c r="A454" s="92">
        <f t="shared" si="436"/>
        <v>100000000000</v>
      </c>
      <c r="B454" s="92">
        <f t="shared" ref="B454:P468" si="437">INDEX($A$404:$P$434,ROW(B420)-ROW($A$403)+15-$B$436,COLUMN(B420))</f>
        <v>1232492.5804409757</v>
      </c>
      <c r="C454" s="92">
        <f t="shared" si="437"/>
        <v>51168790.419832885</v>
      </c>
      <c r="D454" s="92">
        <f t="shared" si="437"/>
        <v>639585142.16585171</v>
      </c>
      <c r="E454" s="92">
        <f t="shared" si="437"/>
        <v>5864018686.332386</v>
      </c>
      <c r="F454" s="92">
        <f t="shared" si="437"/>
        <v>100000000000</v>
      </c>
      <c r="G454" s="92">
        <f t="shared" si="437"/>
        <v>37081254926910.625</v>
      </c>
      <c r="H454" s="92">
        <f t="shared" si="437"/>
        <v>1.199875806749513E+16</v>
      </c>
      <c r="I454" s="92">
        <f t="shared" si="437"/>
        <v>100000000000</v>
      </c>
      <c r="J454" s="92">
        <f t="shared" si="437"/>
        <v>1691.7003845109305</v>
      </c>
      <c r="K454" s="92">
        <f t="shared" si="437"/>
        <v>1075.2839868020503</v>
      </c>
      <c r="L454" s="92">
        <f t="shared" si="437"/>
        <v>784.40987612375113</v>
      </c>
      <c r="M454" s="92">
        <f t="shared" si="437"/>
        <v>655.80009654126911</v>
      </c>
      <c r="N454" s="92">
        <f t="shared" si="437"/>
        <v>577.24905136540178</v>
      </c>
      <c r="O454" s="92">
        <f t="shared" si="437"/>
        <v>517.55067575260887</v>
      </c>
      <c r="P454" s="92">
        <f t="shared" si="437"/>
        <v>477.16338311456207</v>
      </c>
      <c r="Q454" s="92"/>
      <c r="R454" s="92"/>
      <c r="S454" s="92"/>
      <c r="T454" s="92"/>
      <c r="U454" s="92"/>
      <c r="V454" s="42"/>
      <c r="W454" s="42"/>
      <c r="X454" s="42"/>
      <c r="Y454" s="42"/>
      <c r="Z454" s="42"/>
      <c r="AA454" s="42"/>
      <c r="AB454" s="42"/>
      <c r="AC454" s="42"/>
      <c r="AD454" s="42"/>
      <c r="AE454" s="42"/>
      <c r="AF454" s="42"/>
      <c r="AG454" s="3"/>
      <c r="AH454" s="3"/>
    </row>
    <row r="455" spans="1:34" x14ac:dyDescent="0.25">
      <c r="A455" s="92">
        <f t="shared" si="436"/>
        <v>1000000000000</v>
      </c>
      <c r="B455" s="92">
        <f t="shared" si="437"/>
        <v>12324925.804409757</v>
      </c>
      <c r="C455" s="92">
        <f t="shared" si="437"/>
        <v>511687904.19832879</v>
      </c>
      <c r="D455" s="92">
        <f t="shared" si="437"/>
        <v>6395851421.6585178</v>
      </c>
      <c r="E455" s="92">
        <f t="shared" si="437"/>
        <v>58640186863.323868</v>
      </c>
      <c r="F455" s="92">
        <f t="shared" si="437"/>
        <v>1000000000000</v>
      </c>
      <c r="G455" s="92">
        <f t="shared" si="437"/>
        <v>370812549269106.25</v>
      </c>
      <c r="H455" s="92">
        <f t="shared" si="437"/>
        <v>1.199875806749513E+17</v>
      </c>
      <c r="I455" s="92">
        <f t="shared" si="437"/>
        <v>1000000000000</v>
      </c>
      <c r="J455" s="92">
        <f t="shared" si="437"/>
        <v>1230.3504248927311</v>
      </c>
      <c r="K455" s="92">
        <f t="shared" si="437"/>
        <v>799.60727676982128</v>
      </c>
      <c r="L455" s="92">
        <f t="shared" si="437"/>
        <v>651.40811766035665</v>
      </c>
      <c r="M455" s="92">
        <f t="shared" si="437"/>
        <v>585.43210743850034</v>
      </c>
      <c r="N455" s="92">
        <f t="shared" si="437"/>
        <v>542.56491517927657</v>
      </c>
      <c r="O455" s="92">
        <f t="shared" si="437"/>
        <v>499.76142817308812</v>
      </c>
      <c r="P455" s="92">
        <f t="shared" si="437"/>
        <v>476.22593072507385</v>
      </c>
      <c r="Q455" s="92"/>
      <c r="R455" s="92"/>
      <c r="S455" s="92"/>
      <c r="T455" s="92"/>
      <c r="U455" s="92"/>
      <c r="V455" s="42"/>
      <c r="W455" s="42"/>
      <c r="X455" s="42"/>
      <c r="Y455" s="42"/>
      <c r="Z455" s="42"/>
      <c r="AA455" s="42"/>
      <c r="AB455" s="42"/>
      <c r="AC455" s="42"/>
      <c r="AD455" s="42"/>
      <c r="AE455" s="42"/>
      <c r="AF455" s="42"/>
      <c r="AG455" s="3"/>
      <c r="AH455" s="3"/>
    </row>
    <row r="456" spans="1:34" x14ac:dyDescent="0.25">
      <c r="A456" s="92">
        <f t="shared" si="436"/>
        <v>10000000000000</v>
      </c>
      <c r="B456" s="92">
        <f t="shared" si="437"/>
        <v>123249258.04409757</v>
      </c>
      <c r="C456" s="92">
        <f t="shared" si="437"/>
        <v>5116879041.9832878</v>
      </c>
      <c r="D456" s="92">
        <f t="shared" si="437"/>
        <v>63958514216.585175</v>
      </c>
      <c r="E456" s="92">
        <f t="shared" si="437"/>
        <v>586401868633.23865</v>
      </c>
      <c r="F456" s="92">
        <f t="shared" si="437"/>
        <v>10000000000000</v>
      </c>
      <c r="G456" s="92">
        <f t="shared" si="437"/>
        <v>3708125492691062.5</v>
      </c>
      <c r="H456" s="92">
        <f t="shared" si="437"/>
        <v>1.199875806749513E+18</v>
      </c>
      <c r="I456" s="92">
        <f t="shared" si="437"/>
        <v>10000000000000</v>
      </c>
      <c r="J456" s="92">
        <f t="shared" si="437"/>
        <v>888.25672531905332</v>
      </c>
      <c r="K456" s="92">
        <f t="shared" si="437"/>
        <v>660.84412890819806</v>
      </c>
      <c r="L456" s="92">
        <f t="shared" si="437"/>
        <v>583.80121108393644</v>
      </c>
      <c r="M456" s="92">
        <f t="shared" si="437"/>
        <v>550.22961238933465</v>
      </c>
      <c r="N456" s="92">
        <f t="shared" si="437"/>
        <v>523.04517618896307</v>
      </c>
      <c r="O456" s="92">
        <f t="shared" si="437"/>
        <v>478.96737917397832</v>
      </c>
      <c r="P456" s="92">
        <f t="shared" si="437"/>
        <v>475.98047490013522</v>
      </c>
      <c r="Q456" s="92"/>
      <c r="R456" s="92"/>
      <c r="S456" s="92"/>
      <c r="T456" s="92"/>
      <c r="U456" s="92"/>
      <c r="V456" s="42"/>
      <c r="W456" s="42"/>
      <c r="X456" s="42"/>
      <c r="Y456" s="42"/>
      <c r="Z456" s="42"/>
      <c r="AA456" s="42"/>
      <c r="AB456" s="42"/>
      <c r="AC456" s="42"/>
      <c r="AD456" s="42"/>
      <c r="AE456" s="42"/>
      <c r="AF456" s="42"/>
      <c r="AG456" s="3"/>
      <c r="AH456" s="3"/>
    </row>
    <row r="457" spans="1:34" x14ac:dyDescent="0.25">
      <c r="A457" s="92">
        <f t="shared" si="436"/>
        <v>100000000000000</v>
      </c>
      <c r="B457" s="92">
        <f t="shared" si="437"/>
        <v>1232492580.4409757</v>
      </c>
      <c r="C457" s="92">
        <f t="shared" si="437"/>
        <v>51168790419.832886</v>
      </c>
      <c r="D457" s="92">
        <f t="shared" si="437"/>
        <v>639585142165.85168</v>
      </c>
      <c r="E457" s="92">
        <f t="shared" si="437"/>
        <v>5864018686332.3867</v>
      </c>
      <c r="F457" s="92">
        <f t="shared" si="437"/>
        <v>100000000000000</v>
      </c>
      <c r="G457" s="92">
        <f t="shared" si="437"/>
        <v>3.7081254926910624E+16</v>
      </c>
      <c r="H457" s="92">
        <f t="shared" si="437"/>
        <v>1.1998758067495129E+19</v>
      </c>
      <c r="I457" s="92">
        <f t="shared" si="437"/>
        <v>100000000000000</v>
      </c>
      <c r="J457" s="92">
        <f t="shared" si="437"/>
        <v>708.86645626754114</v>
      </c>
      <c r="K457" s="92">
        <f t="shared" si="437"/>
        <v>587.16779346403064</v>
      </c>
      <c r="L457" s="92">
        <f t="shared" si="437"/>
        <v>548.71871201984641</v>
      </c>
      <c r="M457" s="92">
        <f t="shared" si="437"/>
        <v>525.95012363885235</v>
      </c>
      <c r="N457" s="92">
        <f t="shared" si="437"/>
        <v>513.02385818918287</v>
      </c>
      <c r="O457" s="92">
        <f t="shared" si="437"/>
        <v>475.66972462501121</v>
      </c>
      <c r="P457" s="92">
        <f t="shared" si="437"/>
        <v>475.76724400704541</v>
      </c>
      <c r="Q457" s="92"/>
      <c r="R457" s="92"/>
      <c r="S457" s="92"/>
      <c r="T457" s="92"/>
      <c r="U457" s="92"/>
      <c r="V457" s="42"/>
      <c r="W457" s="42"/>
      <c r="X457" s="42"/>
      <c r="Y457" s="42"/>
      <c r="Z457" s="42"/>
      <c r="AA457" s="42"/>
      <c r="AB457" s="42"/>
      <c r="AC457" s="42"/>
      <c r="AD457" s="42"/>
      <c r="AE457" s="42"/>
      <c r="AF457" s="42"/>
      <c r="AG457" s="3"/>
      <c r="AH457" s="3"/>
    </row>
    <row r="458" spans="1:34" x14ac:dyDescent="0.25">
      <c r="A458" s="92">
        <f t="shared" si="436"/>
        <v>1000000000000000</v>
      </c>
      <c r="B458" s="92">
        <f t="shared" si="437"/>
        <v>12324925804.409756</v>
      </c>
      <c r="C458" s="92">
        <f t="shared" si="437"/>
        <v>511687904198.3288</v>
      </c>
      <c r="D458" s="92">
        <f t="shared" si="437"/>
        <v>6395851421658.5176</v>
      </c>
      <c r="E458" s="92">
        <f t="shared" si="437"/>
        <v>58640186863323.867</v>
      </c>
      <c r="F458" s="92">
        <f t="shared" si="437"/>
        <v>1000000000000000</v>
      </c>
      <c r="G458" s="92">
        <f t="shared" si="437"/>
        <v>3.7081254926910624E+17</v>
      </c>
      <c r="H458" s="92">
        <f t="shared" si="437"/>
        <v>1.199875806749513E+20</v>
      </c>
      <c r="I458" s="92">
        <f t="shared" si="437"/>
        <v>1000000000000000</v>
      </c>
      <c r="J458" s="92">
        <f t="shared" si="437"/>
        <v>607.16785102157667</v>
      </c>
      <c r="K458" s="92">
        <f t="shared" si="437"/>
        <v>551.91226878266252</v>
      </c>
      <c r="L458" s="92">
        <f t="shared" si="437"/>
        <v>525.29950476563715</v>
      </c>
      <c r="M458" s="92">
        <f t="shared" si="437"/>
        <v>515.3503886433972</v>
      </c>
      <c r="N458" s="92">
        <f t="shared" si="437"/>
        <v>488.70376604058401</v>
      </c>
      <c r="O458" s="92">
        <f t="shared" si="437"/>
        <v>475.44842733478526</v>
      </c>
      <c r="P458" s="92">
        <f t="shared" si="437"/>
        <v>475.55412653805064</v>
      </c>
      <c r="Q458" s="92"/>
      <c r="R458" s="92"/>
      <c r="S458" s="92"/>
      <c r="T458" s="92"/>
      <c r="U458" s="92"/>
      <c r="V458" s="42"/>
      <c r="W458" s="42"/>
      <c r="X458" s="42"/>
      <c r="Y458" s="42"/>
      <c r="Z458" s="42"/>
      <c r="AA458" s="42"/>
      <c r="AB458" s="42"/>
      <c r="AC458" s="42"/>
      <c r="AD458" s="42"/>
      <c r="AE458" s="42"/>
      <c r="AF458" s="42"/>
      <c r="AG458" s="3"/>
      <c r="AH458" s="3"/>
    </row>
    <row r="459" spans="1:34" x14ac:dyDescent="0.25">
      <c r="A459" s="92" t="e">
        <f t="shared" si="436"/>
        <v>#REF!</v>
      </c>
      <c r="B459" s="92" t="e">
        <f t="shared" si="437"/>
        <v>#REF!</v>
      </c>
      <c r="C459" s="92" t="e">
        <f t="shared" si="437"/>
        <v>#REF!</v>
      </c>
      <c r="D459" s="92" t="e">
        <f t="shared" si="437"/>
        <v>#REF!</v>
      </c>
      <c r="E459" s="92" t="e">
        <f t="shared" si="437"/>
        <v>#REF!</v>
      </c>
      <c r="F459" s="92" t="e">
        <f t="shared" si="437"/>
        <v>#REF!</v>
      </c>
      <c r="G459" s="92" t="e">
        <f t="shared" si="437"/>
        <v>#REF!</v>
      </c>
      <c r="H459" s="92" t="e">
        <f t="shared" si="437"/>
        <v>#REF!</v>
      </c>
      <c r="I459" s="92" t="e">
        <f t="shared" si="437"/>
        <v>#REF!</v>
      </c>
      <c r="J459" s="92" t="e">
        <f t="shared" si="437"/>
        <v>#REF!</v>
      </c>
      <c r="K459" s="92" t="e">
        <f t="shared" si="437"/>
        <v>#REF!</v>
      </c>
      <c r="L459" s="92" t="e">
        <f t="shared" si="437"/>
        <v>#REF!</v>
      </c>
      <c r="M459" s="92" t="e">
        <f t="shared" si="437"/>
        <v>#REF!</v>
      </c>
      <c r="N459" s="92" t="e">
        <f t="shared" si="437"/>
        <v>#REF!</v>
      </c>
      <c r="O459" s="92" t="e">
        <f t="shared" si="437"/>
        <v>#REF!</v>
      </c>
      <c r="P459" s="92" t="e">
        <f t="shared" si="437"/>
        <v>#REF!</v>
      </c>
      <c r="Q459" s="92"/>
      <c r="R459" s="92"/>
      <c r="S459" s="92"/>
      <c r="T459" s="92"/>
      <c r="U459" s="92"/>
      <c r="V459" s="42"/>
      <c r="W459" s="42"/>
      <c r="X459" s="42"/>
      <c r="Y459" s="42"/>
      <c r="Z459" s="42"/>
      <c r="AA459" s="42"/>
      <c r="AB459" s="42"/>
      <c r="AC459" s="42"/>
      <c r="AD459" s="42"/>
      <c r="AE459" s="42"/>
      <c r="AF459" s="42"/>
      <c r="AG459" s="3"/>
      <c r="AH459" s="3"/>
    </row>
    <row r="460" spans="1:34" x14ac:dyDescent="0.25">
      <c r="A460" s="92" t="e">
        <f t="shared" si="436"/>
        <v>#REF!</v>
      </c>
      <c r="B460" s="92" t="e">
        <f t="shared" si="437"/>
        <v>#REF!</v>
      </c>
      <c r="C460" s="92" t="e">
        <f t="shared" si="437"/>
        <v>#REF!</v>
      </c>
      <c r="D460" s="92" t="e">
        <f t="shared" si="437"/>
        <v>#REF!</v>
      </c>
      <c r="E460" s="92" t="e">
        <f t="shared" si="437"/>
        <v>#REF!</v>
      </c>
      <c r="F460" s="92" t="e">
        <f t="shared" si="437"/>
        <v>#REF!</v>
      </c>
      <c r="G460" s="92" t="e">
        <f t="shared" si="437"/>
        <v>#REF!</v>
      </c>
      <c r="H460" s="92" t="e">
        <f t="shared" si="437"/>
        <v>#REF!</v>
      </c>
      <c r="I460" s="92" t="e">
        <f t="shared" si="437"/>
        <v>#REF!</v>
      </c>
      <c r="J460" s="92" t="e">
        <f t="shared" si="437"/>
        <v>#REF!</v>
      </c>
      <c r="K460" s="92" t="e">
        <f t="shared" si="437"/>
        <v>#REF!</v>
      </c>
      <c r="L460" s="92" t="e">
        <f t="shared" si="437"/>
        <v>#REF!</v>
      </c>
      <c r="M460" s="92" t="e">
        <f t="shared" si="437"/>
        <v>#REF!</v>
      </c>
      <c r="N460" s="92" t="e">
        <f t="shared" si="437"/>
        <v>#REF!</v>
      </c>
      <c r="O460" s="92" t="e">
        <f t="shared" si="437"/>
        <v>#REF!</v>
      </c>
      <c r="P460" s="92" t="e">
        <f t="shared" si="437"/>
        <v>#REF!</v>
      </c>
      <c r="Q460" s="92"/>
      <c r="R460" s="92"/>
      <c r="S460" s="92"/>
      <c r="T460" s="92"/>
      <c r="U460" s="92"/>
      <c r="V460" s="42"/>
      <c r="W460" s="42"/>
      <c r="X460" s="42"/>
      <c r="Y460" s="42"/>
      <c r="Z460" s="42"/>
      <c r="AA460" s="42"/>
      <c r="AB460" s="42"/>
      <c r="AC460" s="42"/>
      <c r="AD460" s="42"/>
      <c r="AE460" s="42"/>
      <c r="AF460" s="42"/>
      <c r="AG460" s="3"/>
      <c r="AH460" s="3"/>
    </row>
    <row r="461" spans="1:34" x14ac:dyDescent="0.25">
      <c r="A461" s="92" t="e">
        <f t="shared" si="436"/>
        <v>#REF!</v>
      </c>
      <c r="B461" s="92" t="e">
        <f t="shared" si="437"/>
        <v>#REF!</v>
      </c>
      <c r="C461" s="92" t="e">
        <f t="shared" si="437"/>
        <v>#REF!</v>
      </c>
      <c r="D461" s="92" t="e">
        <f t="shared" si="437"/>
        <v>#REF!</v>
      </c>
      <c r="E461" s="92" t="e">
        <f t="shared" si="437"/>
        <v>#REF!</v>
      </c>
      <c r="F461" s="92" t="e">
        <f t="shared" si="437"/>
        <v>#REF!</v>
      </c>
      <c r="G461" s="92" t="e">
        <f t="shared" si="437"/>
        <v>#REF!</v>
      </c>
      <c r="H461" s="92" t="e">
        <f t="shared" si="437"/>
        <v>#REF!</v>
      </c>
      <c r="I461" s="92" t="e">
        <f t="shared" si="437"/>
        <v>#REF!</v>
      </c>
      <c r="J461" s="92" t="e">
        <f t="shared" si="437"/>
        <v>#REF!</v>
      </c>
      <c r="K461" s="92" t="e">
        <f t="shared" si="437"/>
        <v>#REF!</v>
      </c>
      <c r="L461" s="92" t="e">
        <f t="shared" si="437"/>
        <v>#REF!</v>
      </c>
      <c r="M461" s="92" t="e">
        <f t="shared" si="437"/>
        <v>#REF!</v>
      </c>
      <c r="N461" s="92" t="e">
        <f t="shared" si="437"/>
        <v>#REF!</v>
      </c>
      <c r="O461" s="92" t="e">
        <f t="shared" si="437"/>
        <v>#REF!</v>
      </c>
      <c r="P461" s="92" t="e">
        <f t="shared" si="437"/>
        <v>#REF!</v>
      </c>
      <c r="Q461" s="92"/>
      <c r="R461" s="92"/>
      <c r="S461" s="92"/>
      <c r="T461" s="92"/>
      <c r="U461" s="92"/>
      <c r="V461" s="42"/>
      <c r="W461" s="42"/>
      <c r="X461" s="42"/>
      <c r="Y461" s="42"/>
      <c r="Z461" s="42"/>
      <c r="AA461" s="42"/>
      <c r="AB461" s="42"/>
      <c r="AC461" s="42"/>
      <c r="AD461" s="42"/>
      <c r="AE461" s="42"/>
      <c r="AF461" s="42"/>
      <c r="AG461" s="3"/>
      <c r="AH461" s="3"/>
    </row>
    <row r="462" spans="1:34" x14ac:dyDescent="0.25">
      <c r="A462" s="92" t="e">
        <f t="shared" si="436"/>
        <v>#REF!</v>
      </c>
      <c r="B462" s="92" t="e">
        <f t="shared" si="437"/>
        <v>#REF!</v>
      </c>
      <c r="C462" s="92" t="e">
        <f t="shared" si="437"/>
        <v>#REF!</v>
      </c>
      <c r="D462" s="92" t="e">
        <f t="shared" si="437"/>
        <v>#REF!</v>
      </c>
      <c r="E462" s="92" t="e">
        <f t="shared" si="437"/>
        <v>#REF!</v>
      </c>
      <c r="F462" s="92" t="e">
        <f t="shared" si="437"/>
        <v>#REF!</v>
      </c>
      <c r="G462" s="92" t="e">
        <f t="shared" si="437"/>
        <v>#REF!</v>
      </c>
      <c r="H462" s="92" t="e">
        <f t="shared" si="437"/>
        <v>#REF!</v>
      </c>
      <c r="I462" s="92" t="e">
        <f t="shared" si="437"/>
        <v>#REF!</v>
      </c>
      <c r="J462" s="92" t="e">
        <f t="shared" si="437"/>
        <v>#REF!</v>
      </c>
      <c r="K462" s="92" t="e">
        <f t="shared" si="437"/>
        <v>#REF!</v>
      </c>
      <c r="L462" s="92" t="e">
        <f t="shared" si="437"/>
        <v>#REF!</v>
      </c>
      <c r="M462" s="92" t="e">
        <f t="shared" si="437"/>
        <v>#REF!</v>
      </c>
      <c r="N462" s="92" t="e">
        <f t="shared" si="437"/>
        <v>#REF!</v>
      </c>
      <c r="O462" s="92" t="e">
        <f t="shared" si="437"/>
        <v>#REF!</v>
      </c>
      <c r="P462" s="92" t="e">
        <f t="shared" si="437"/>
        <v>#REF!</v>
      </c>
      <c r="Q462" s="92"/>
      <c r="R462" s="92"/>
      <c r="S462" s="92"/>
      <c r="T462" s="92"/>
      <c r="U462" s="92"/>
      <c r="V462" s="42"/>
      <c r="W462" s="42"/>
      <c r="X462" s="42"/>
      <c r="Y462" s="42"/>
      <c r="Z462" s="42"/>
      <c r="AA462" s="42"/>
      <c r="AB462" s="42"/>
      <c r="AC462" s="42"/>
      <c r="AD462" s="42"/>
      <c r="AE462" s="42"/>
      <c r="AF462" s="42"/>
      <c r="AG462" s="3"/>
      <c r="AH462" s="3"/>
    </row>
    <row r="463" spans="1:34" x14ac:dyDescent="0.25">
      <c r="A463" s="92" t="e">
        <f t="shared" si="436"/>
        <v>#REF!</v>
      </c>
      <c r="B463" s="92" t="e">
        <f t="shared" si="437"/>
        <v>#REF!</v>
      </c>
      <c r="C463" s="92" t="e">
        <f t="shared" si="437"/>
        <v>#REF!</v>
      </c>
      <c r="D463" s="92" t="e">
        <f t="shared" si="437"/>
        <v>#REF!</v>
      </c>
      <c r="E463" s="92" t="e">
        <f t="shared" si="437"/>
        <v>#REF!</v>
      </c>
      <c r="F463" s="92" t="e">
        <f t="shared" si="437"/>
        <v>#REF!</v>
      </c>
      <c r="G463" s="92" t="e">
        <f t="shared" si="437"/>
        <v>#REF!</v>
      </c>
      <c r="H463" s="92" t="e">
        <f t="shared" si="437"/>
        <v>#REF!</v>
      </c>
      <c r="I463" s="92" t="e">
        <f t="shared" si="437"/>
        <v>#REF!</v>
      </c>
      <c r="J463" s="92" t="e">
        <f t="shared" si="437"/>
        <v>#REF!</v>
      </c>
      <c r="K463" s="92" t="e">
        <f t="shared" si="437"/>
        <v>#REF!</v>
      </c>
      <c r="L463" s="92" t="e">
        <f t="shared" si="437"/>
        <v>#REF!</v>
      </c>
      <c r="M463" s="92" t="e">
        <f t="shared" si="437"/>
        <v>#REF!</v>
      </c>
      <c r="N463" s="92" t="e">
        <f t="shared" si="437"/>
        <v>#REF!</v>
      </c>
      <c r="O463" s="92" t="e">
        <f t="shared" si="437"/>
        <v>#REF!</v>
      </c>
      <c r="P463" s="92" t="e">
        <f t="shared" si="437"/>
        <v>#REF!</v>
      </c>
      <c r="Q463" s="92"/>
      <c r="R463" s="92"/>
      <c r="S463" s="92"/>
      <c r="T463" s="92"/>
      <c r="U463" s="92"/>
      <c r="V463" s="42"/>
      <c r="W463" s="42"/>
      <c r="X463" s="42"/>
      <c r="Y463" s="42"/>
      <c r="Z463" s="42"/>
      <c r="AA463" s="42"/>
      <c r="AB463" s="42"/>
      <c r="AC463" s="42"/>
      <c r="AD463" s="42"/>
      <c r="AE463" s="42"/>
      <c r="AF463" s="42"/>
      <c r="AG463" s="3"/>
      <c r="AH463" s="3"/>
    </row>
    <row r="464" spans="1:34" x14ac:dyDescent="0.25">
      <c r="A464" s="92" t="e">
        <f t="shared" si="436"/>
        <v>#REF!</v>
      </c>
      <c r="B464" s="92" t="e">
        <f t="shared" si="437"/>
        <v>#REF!</v>
      </c>
      <c r="C464" s="92" t="e">
        <f t="shared" si="437"/>
        <v>#REF!</v>
      </c>
      <c r="D464" s="92" t="e">
        <f t="shared" si="437"/>
        <v>#REF!</v>
      </c>
      <c r="E464" s="92" t="e">
        <f t="shared" si="437"/>
        <v>#REF!</v>
      </c>
      <c r="F464" s="92" t="e">
        <f t="shared" si="437"/>
        <v>#REF!</v>
      </c>
      <c r="G464" s="92" t="e">
        <f t="shared" si="437"/>
        <v>#REF!</v>
      </c>
      <c r="H464" s="92" t="e">
        <f t="shared" si="437"/>
        <v>#REF!</v>
      </c>
      <c r="I464" s="92" t="e">
        <f t="shared" si="437"/>
        <v>#REF!</v>
      </c>
      <c r="J464" s="92" t="e">
        <f t="shared" si="437"/>
        <v>#REF!</v>
      </c>
      <c r="K464" s="92" t="e">
        <f t="shared" si="437"/>
        <v>#REF!</v>
      </c>
      <c r="L464" s="92" t="e">
        <f t="shared" si="437"/>
        <v>#REF!</v>
      </c>
      <c r="M464" s="92" t="e">
        <f t="shared" si="437"/>
        <v>#REF!</v>
      </c>
      <c r="N464" s="92" t="e">
        <f t="shared" si="437"/>
        <v>#REF!</v>
      </c>
      <c r="O464" s="92" t="e">
        <f t="shared" si="437"/>
        <v>#REF!</v>
      </c>
      <c r="P464" s="92" t="e">
        <f t="shared" si="437"/>
        <v>#REF!</v>
      </c>
      <c r="Q464" s="92"/>
      <c r="R464" s="92"/>
      <c r="S464" s="92"/>
      <c r="T464" s="92"/>
      <c r="U464" s="92"/>
      <c r="V464" s="42"/>
      <c r="W464" s="42"/>
      <c r="X464" s="42"/>
      <c r="Y464" s="42"/>
      <c r="Z464" s="42"/>
      <c r="AA464" s="42"/>
      <c r="AB464" s="42"/>
      <c r="AC464" s="42"/>
      <c r="AD464" s="42"/>
      <c r="AE464" s="42"/>
      <c r="AF464" s="42"/>
      <c r="AG464" s="3"/>
      <c r="AH464" s="3"/>
    </row>
    <row r="465" spans="1:34" x14ac:dyDescent="0.25">
      <c r="A465" s="92" t="e">
        <f t="shared" si="436"/>
        <v>#REF!</v>
      </c>
      <c r="B465" s="92" t="e">
        <f t="shared" si="437"/>
        <v>#REF!</v>
      </c>
      <c r="C465" s="92" t="e">
        <f t="shared" si="437"/>
        <v>#REF!</v>
      </c>
      <c r="D465" s="92" t="e">
        <f t="shared" si="437"/>
        <v>#REF!</v>
      </c>
      <c r="E465" s="92" t="e">
        <f t="shared" si="437"/>
        <v>#REF!</v>
      </c>
      <c r="F465" s="92" t="e">
        <f t="shared" si="437"/>
        <v>#REF!</v>
      </c>
      <c r="G465" s="92" t="e">
        <f t="shared" si="437"/>
        <v>#REF!</v>
      </c>
      <c r="H465" s="92" t="e">
        <f t="shared" si="437"/>
        <v>#REF!</v>
      </c>
      <c r="I465" s="92" t="e">
        <f t="shared" si="437"/>
        <v>#REF!</v>
      </c>
      <c r="J465" s="92" t="e">
        <f t="shared" si="437"/>
        <v>#REF!</v>
      </c>
      <c r="K465" s="92" t="e">
        <f t="shared" si="437"/>
        <v>#REF!</v>
      </c>
      <c r="L465" s="92" t="e">
        <f t="shared" si="437"/>
        <v>#REF!</v>
      </c>
      <c r="M465" s="92" t="e">
        <f t="shared" si="437"/>
        <v>#REF!</v>
      </c>
      <c r="N465" s="92" t="e">
        <f t="shared" si="437"/>
        <v>#REF!</v>
      </c>
      <c r="O465" s="92" t="e">
        <f t="shared" si="437"/>
        <v>#REF!</v>
      </c>
      <c r="P465" s="92" t="e">
        <f t="shared" si="437"/>
        <v>#REF!</v>
      </c>
      <c r="Q465" s="92"/>
      <c r="R465" s="92"/>
      <c r="S465" s="92"/>
      <c r="T465" s="92"/>
      <c r="U465" s="92"/>
      <c r="V465" s="42"/>
      <c r="W465" s="42"/>
      <c r="X465" s="42"/>
      <c r="Y465" s="42"/>
      <c r="Z465" s="42"/>
      <c r="AA465" s="42"/>
      <c r="AB465" s="42"/>
      <c r="AC465" s="42"/>
      <c r="AD465" s="42"/>
      <c r="AE465" s="42"/>
      <c r="AF465" s="42"/>
      <c r="AG465" s="3"/>
      <c r="AH465" s="3"/>
    </row>
    <row r="466" spans="1:34" x14ac:dyDescent="0.25">
      <c r="A466" s="92" t="e">
        <f t="shared" si="436"/>
        <v>#REF!</v>
      </c>
      <c r="B466" s="92" t="e">
        <f t="shared" si="437"/>
        <v>#REF!</v>
      </c>
      <c r="C466" s="92" t="e">
        <f t="shared" si="437"/>
        <v>#REF!</v>
      </c>
      <c r="D466" s="92" t="e">
        <f t="shared" si="437"/>
        <v>#REF!</v>
      </c>
      <c r="E466" s="92" t="e">
        <f t="shared" si="437"/>
        <v>#REF!</v>
      </c>
      <c r="F466" s="92" t="e">
        <f t="shared" si="437"/>
        <v>#REF!</v>
      </c>
      <c r="G466" s="92" t="e">
        <f t="shared" si="437"/>
        <v>#REF!</v>
      </c>
      <c r="H466" s="92" t="e">
        <f t="shared" si="437"/>
        <v>#REF!</v>
      </c>
      <c r="I466" s="92" t="e">
        <f t="shared" si="437"/>
        <v>#REF!</v>
      </c>
      <c r="J466" s="92" t="e">
        <f t="shared" si="437"/>
        <v>#REF!</v>
      </c>
      <c r="K466" s="92" t="e">
        <f t="shared" si="437"/>
        <v>#REF!</v>
      </c>
      <c r="L466" s="92" t="e">
        <f t="shared" si="437"/>
        <v>#REF!</v>
      </c>
      <c r="M466" s="92" t="e">
        <f t="shared" si="437"/>
        <v>#REF!</v>
      </c>
      <c r="N466" s="92" t="e">
        <f t="shared" si="437"/>
        <v>#REF!</v>
      </c>
      <c r="O466" s="92" t="e">
        <f t="shared" si="437"/>
        <v>#REF!</v>
      </c>
      <c r="P466" s="92" t="e">
        <f t="shared" si="437"/>
        <v>#REF!</v>
      </c>
      <c r="Q466" s="92"/>
      <c r="R466" s="92"/>
      <c r="S466" s="92"/>
      <c r="T466" s="92"/>
      <c r="U466" s="92"/>
      <c r="V466" s="42"/>
      <c r="W466" s="42"/>
      <c r="X466" s="42"/>
      <c r="Y466" s="42"/>
      <c r="Z466" s="42"/>
      <c r="AA466" s="42"/>
      <c r="AB466" s="42"/>
      <c r="AC466" s="42"/>
      <c r="AD466" s="42"/>
      <c r="AE466" s="42"/>
      <c r="AF466" s="42"/>
      <c r="AG466" s="3"/>
      <c r="AH466" s="3"/>
    </row>
    <row r="467" spans="1:34" x14ac:dyDescent="0.25">
      <c r="A467" s="92" t="e">
        <f t="shared" si="436"/>
        <v>#REF!</v>
      </c>
      <c r="B467" s="92" t="e">
        <f t="shared" si="437"/>
        <v>#REF!</v>
      </c>
      <c r="C467" s="92" t="e">
        <f t="shared" si="437"/>
        <v>#REF!</v>
      </c>
      <c r="D467" s="92" t="e">
        <f t="shared" si="437"/>
        <v>#REF!</v>
      </c>
      <c r="E467" s="92" t="e">
        <f t="shared" si="437"/>
        <v>#REF!</v>
      </c>
      <c r="F467" s="92" t="e">
        <f t="shared" si="437"/>
        <v>#REF!</v>
      </c>
      <c r="G467" s="92" t="e">
        <f t="shared" si="437"/>
        <v>#REF!</v>
      </c>
      <c r="H467" s="92" t="e">
        <f t="shared" si="437"/>
        <v>#REF!</v>
      </c>
      <c r="I467" s="92" t="e">
        <f t="shared" si="437"/>
        <v>#REF!</v>
      </c>
      <c r="J467" s="92" t="e">
        <f t="shared" si="437"/>
        <v>#REF!</v>
      </c>
      <c r="K467" s="92" t="e">
        <f t="shared" si="437"/>
        <v>#REF!</v>
      </c>
      <c r="L467" s="92" t="e">
        <f t="shared" si="437"/>
        <v>#REF!</v>
      </c>
      <c r="M467" s="92" t="e">
        <f t="shared" si="437"/>
        <v>#REF!</v>
      </c>
      <c r="N467" s="92" t="e">
        <f t="shared" si="437"/>
        <v>#REF!</v>
      </c>
      <c r="O467" s="92" t="e">
        <f t="shared" si="437"/>
        <v>#REF!</v>
      </c>
      <c r="P467" s="92" t="e">
        <f t="shared" si="437"/>
        <v>#REF!</v>
      </c>
      <c r="Q467" s="92"/>
      <c r="R467" s="92"/>
      <c r="S467" s="92"/>
      <c r="T467" s="92"/>
      <c r="U467" s="92"/>
      <c r="V467" s="42"/>
      <c r="W467" s="42"/>
      <c r="X467" s="42"/>
      <c r="Y467" s="42"/>
      <c r="Z467" s="42"/>
      <c r="AA467" s="42"/>
      <c r="AB467" s="42"/>
      <c r="AC467" s="42"/>
      <c r="AD467" s="42"/>
      <c r="AE467" s="42"/>
      <c r="AF467" s="42"/>
      <c r="AG467" s="3"/>
      <c r="AH467" s="3"/>
    </row>
    <row r="468" spans="1:34" x14ac:dyDescent="0.25">
      <c r="A468" s="92" t="e">
        <f t="shared" si="436"/>
        <v>#REF!</v>
      </c>
      <c r="B468" s="92" t="e">
        <f t="shared" si="437"/>
        <v>#REF!</v>
      </c>
      <c r="C468" s="92" t="e">
        <f t="shared" si="437"/>
        <v>#REF!</v>
      </c>
      <c r="D468" s="92" t="e">
        <f t="shared" si="437"/>
        <v>#REF!</v>
      </c>
      <c r="E468" s="92" t="e">
        <f t="shared" si="437"/>
        <v>#REF!</v>
      </c>
      <c r="F468" s="92" t="e">
        <f t="shared" si="437"/>
        <v>#REF!</v>
      </c>
      <c r="G468" s="92" t="e">
        <f t="shared" si="437"/>
        <v>#REF!</v>
      </c>
      <c r="H468" s="92" t="e">
        <f t="shared" si="437"/>
        <v>#REF!</v>
      </c>
      <c r="I468" s="92" t="e">
        <f t="shared" si="437"/>
        <v>#REF!</v>
      </c>
      <c r="J468" s="92" t="e">
        <f t="shared" si="437"/>
        <v>#REF!</v>
      </c>
      <c r="K468" s="92" t="e">
        <f t="shared" si="437"/>
        <v>#REF!</v>
      </c>
      <c r="L468" s="92" t="e">
        <f t="shared" si="437"/>
        <v>#REF!</v>
      </c>
      <c r="M468" s="92" t="e">
        <f t="shared" si="437"/>
        <v>#REF!</v>
      </c>
      <c r="N468" s="92" t="e">
        <f t="shared" si="437"/>
        <v>#REF!</v>
      </c>
      <c r="O468" s="92" t="e">
        <f t="shared" si="437"/>
        <v>#REF!</v>
      </c>
      <c r="P468" s="92" t="e">
        <f t="shared" si="437"/>
        <v>#REF!</v>
      </c>
      <c r="Q468" s="92"/>
      <c r="R468" s="92"/>
      <c r="S468" s="92"/>
      <c r="T468" s="92"/>
      <c r="U468" s="92"/>
      <c r="V468" s="42"/>
      <c r="W468" s="42"/>
      <c r="X468" s="42"/>
      <c r="Y468" s="42"/>
      <c r="Z468" s="42"/>
      <c r="AA468" s="42"/>
      <c r="AB468" s="42"/>
      <c r="AC468" s="42"/>
      <c r="AD468" s="42"/>
      <c r="AE468" s="42"/>
      <c r="AF468" s="42"/>
      <c r="AG468" s="3"/>
      <c r="AH468" s="3"/>
    </row>
    <row r="469" spans="1:34" x14ac:dyDescent="0.25">
      <c r="A469" s="116"/>
      <c r="B469" s="20"/>
      <c r="C469" s="20"/>
      <c r="D469" s="20"/>
      <c r="E469" s="20"/>
      <c r="F469" s="20"/>
      <c r="G469" s="20"/>
      <c r="H469" s="20"/>
      <c r="I469" s="20"/>
      <c r="J469" s="20"/>
      <c r="K469" s="20"/>
      <c r="L469" s="20"/>
      <c r="M469" s="20"/>
      <c r="N469" s="20"/>
      <c r="O469" s="20"/>
      <c r="P469" s="20"/>
      <c r="Q469" s="42"/>
      <c r="R469" s="42"/>
      <c r="S469" s="42"/>
      <c r="T469" s="42"/>
      <c r="U469" s="42"/>
      <c r="V469" s="42"/>
      <c r="W469" s="42"/>
      <c r="X469" s="42"/>
      <c r="Y469" s="42"/>
      <c r="Z469" s="42"/>
      <c r="AA469" s="42"/>
      <c r="AB469" s="42"/>
      <c r="AC469" s="42"/>
      <c r="AD469" s="42"/>
      <c r="AE469" s="42"/>
      <c r="AF469" s="42"/>
      <c r="AG469" s="3"/>
      <c r="AH469" s="3"/>
    </row>
    <row r="470" spans="1:34" x14ac:dyDescent="0.25">
      <c r="A470" s="92"/>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92"/>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92"/>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92"/>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92"/>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2"/>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34"/>
      <c r="B532" s="134"/>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29"/>
      <c r="B534" s="129"/>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8">AF570+10</f>
        <v>10</v>
      </c>
      <c r="AH570" s="11">
        <f t="shared" si="438"/>
        <v>20</v>
      </c>
      <c r="AI570" s="11">
        <f t="shared" si="438"/>
        <v>30</v>
      </c>
      <c r="AJ570" s="11">
        <f t="shared" si="438"/>
        <v>40</v>
      </c>
      <c r="AK570" s="11">
        <f t="shared" si="438"/>
        <v>50</v>
      </c>
      <c r="AL570" s="11">
        <f t="shared" si="438"/>
        <v>60</v>
      </c>
      <c r="AM570" s="11">
        <f t="shared" si="438"/>
        <v>70</v>
      </c>
      <c r="AN570" s="11">
        <f t="shared" si="438"/>
        <v>80</v>
      </c>
      <c r="AO570" s="11">
        <f t="shared" si="438"/>
        <v>90</v>
      </c>
      <c r="AP570" s="11">
        <f t="shared" si="438"/>
        <v>100</v>
      </c>
      <c r="AQ570" s="11">
        <f t="shared" si="438"/>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9">AG570-$B$521</f>
        <v>10</v>
      </c>
      <c r="AH571" s="40">
        <f t="shared" si="439"/>
        <v>20</v>
      </c>
      <c r="AI571" s="40">
        <f t="shared" si="439"/>
        <v>30</v>
      </c>
      <c r="AJ571" s="40">
        <f t="shared" si="439"/>
        <v>40</v>
      </c>
      <c r="AK571" s="40">
        <f t="shared" si="439"/>
        <v>50</v>
      </c>
      <c r="AL571" s="40">
        <f t="shared" si="439"/>
        <v>60</v>
      </c>
      <c r="AM571" s="40">
        <f t="shared" si="439"/>
        <v>70</v>
      </c>
      <c r="AN571" s="40">
        <f t="shared" si="439"/>
        <v>80</v>
      </c>
      <c r="AO571" s="40">
        <f t="shared" si="439"/>
        <v>90</v>
      </c>
      <c r="AP571" s="40">
        <f t="shared" si="439"/>
        <v>100</v>
      </c>
      <c r="AQ571" s="40">
        <f t="shared" si="439"/>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40">$B572*AG$571^$A572</f>
        <v>0</v>
      </c>
      <c r="AH572" s="41">
        <f t="shared" si="440"/>
        <v>0</v>
      </c>
      <c r="AI572" s="41">
        <f t="shared" si="440"/>
        <v>0</v>
      </c>
      <c r="AJ572" s="41">
        <f t="shared" si="440"/>
        <v>0</v>
      </c>
      <c r="AK572" s="41">
        <f t="shared" si="440"/>
        <v>0</v>
      </c>
      <c r="AL572" s="41">
        <f t="shared" si="440"/>
        <v>0</v>
      </c>
      <c r="AM572" s="41">
        <f t="shared" si="440"/>
        <v>0</v>
      </c>
      <c r="AN572" s="41">
        <f t="shared" si="440"/>
        <v>0</v>
      </c>
      <c r="AO572" s="41">
        <f t="shared" si="440"/>
        <v>0</v>
      </c>
      <c r="AP572" s="41">
        <f t="shared" si="440"/>
        <v>0</v>
      </c>
      <c r="AQ572" s="41">
        <f t="shared" si="440"/>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40"/>
        <v>0</v>
      </c>
      <c r="AH573" s="41">
        <f t="shared" si="440"/>
        <v>0</v>
      </c>
      <c r="AI573" s="41">
        <f t="shared" si="440"/>
        <v>0</v>
      </c>
      <c r="AJ573" s="41">
        <f t="shared" si="440"/>
        <v>0</v>
      </c>
      <c r="AK573" s="41">
        <f t="shared" si="440"/>
        <v>0</v>
      </c>
      <c r="AL573" s="41">
        <f t="shared" si="440"/>
        <v>0</v>
      </c>
      <c r="AM573" s="41">
        <f t="shared" si="440"/>
        <v>0</v>
      </c>
      <c r="AN573" s="41">
        <f t="shared" si="440"/>
        <v>0</v>
      </c>
      <c r="AO573" s="41">
        <f t="shared" si="440"/>
        <v>0</v>
      </c>
      <c r="AP573" s="41">
        <f t="shared" si="440"/>
        <v>0</v>
      </c>
      <c r="AQ573" s="41">
        <f t="shared" si="440"/>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40"/>
        <v>0</v>
      </c>
      <c r="AH574" s="41">
        <f t="shared" si="440"/>
        <v>0</v>
      </c>
      <c r="AI574" s="41">
        <f t="shared" si="440"/>
        <v>0</v>
      </c>
      <c r="AJ574" s="41">
        <f t="shared" si="440"/>
        <v>0</v>
      </c>
      <c r="AK574" s="41">
        <f t="shared" si="440"/>
        <v>0</v>
      </c>
      <c r="AL574" s="41">
        <f t="shared" si="440"/>
        <v>0</v>
      </c>
      <c r="AM574" s="41">
        <f t="shared" si="440"/>
        <v>0</v>
      </c>
      <c r="AN574" s="41">
        <f t="shared" si="440"/>
        <v>0</v>
      </c>
      <c r="AO574" s="41">
        <f t="shared" si="440"/>
        <v>0</v>
      </c>
      <c r="AP574" s="41">
        <f t="shared" si="440"/>
        <v>0</v>
      </c>
      <c r="AQ574" s="41">
        <f t="shared" si="440"/>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40"/>
        <v>0</v>
      </c>
      <c r="AH575" s="41">
        <f t="shared" si="440"/>
        <v>0</v>
      </c>
      <c r="AI575" s="41">
        <f t="shared" si="440"/>
        <v>0</v>
      </c>
      <c r="AJ575" s="41">
        <f t="shared" si="440"/>
        <v>0</v>
      </c>
      <c r="AK575" s="41">
        <f t="shared" si="440"/>
        <v>0</v>
      </c>
      <c r="AL575" s="41">
        <f t="shared" si="440"/>
        <v>0</v>
      </c>
      <c r="AM575" s="41">
        <f t="shared" si="440"/>
        <v>0</v>
      </c>
      <c r="AN575" s="41">
        <f t="shared" si="440"/>
        <v>0</v>
      </c>
      <c r="AO575" s="41">
        <f t="shared" si="440"/>
        <v>0</v>
      </c>
      <c r="AP575" s="41">
        <f t="shared" si="440"/>
        <v>0</v>
      </c>
      <c r="AQ575" s="41">
        <f t="shared" si="440"/>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40"/>
        <v>0</v>
      </c>
      <c r="AH576" s="41">
        <f t="shared" si="440"/>
        <v>0</v>
      </c>
      <c r="AI576" s="41">
        <f t="shared" si="440"/>
        <v>0</v>
      </c>
      <c r="AJ576" s="41">
        <f t="shared" si="440"/>
        <v>0</v>
      </c>
      <c r="AK576" s="41">
        <f t="shared" si="440"/>
        <v>0</v>
      </c>
      <c r="AL576" s="41">
        <f t="shared" si="440"/>
        <v>0</v>
      </c>
      <c r="AM576" s="41">
        <f t="shared" si="440"/>
        <v>0</v>
      </c>
      <c r="AN576" s="41">
        <f t="shared" si="440"/>
        <v>0</v>
      </c>
      <c r="AO576" s="41">
        <f t="shared" si="440"/>
        <v>0</v>
      </c>
      <c r="AP576" s="41">
        <f t="shared" si="440"/>
        <v>0</v>
      </c>
      <c r="AQ576" s="41">
        <f t="shared" si="440"/>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40"/>
        <v>0</v>
      </c>
      <c r="AH577" s="41">
        <f t="shared" si="440"/>
        <v>0</v>
      </c>
      <c r="AI577" s="41">
        <f t="shared" si="440"/>
        <v>0</v>
      </c>
      <c r="AJ577" s="41">
        <f t="shared" si="440"/>
        <v>0</v>
      </c>
      <c r="AK577" s="41">
        <f t="shared" si="440"/>
        <v>0</v>
      </c>
      <c r="AL577" s="41">
        <f t="shared" si="440"/>
        <v>0</v>
      </c>
      <c r="AM577" s="41">
        <f t="shared" si="440"/>
        <v>0</v>
      </c>
      <c r="AN577" s="41">
        <f t="shared" si="440"/>
        <v>0</v>
      </c>
      <c r="AO577" s="41">
        <f t="shared" si="440"/>
        <v>0</v>
      </c>
      <c r="AP577" s="41">
        <f t="shared" si="440"/>
        <v>0</v>
      </c>
      <c r="AQ577" s="41">
        <f t="shared" si="440"/>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40"/>
        <v>0</v>
      </c>
      <c r="AH578" s="41">
        <f t="shared" si="440"/>
        <v>0</v>
      </c>
      <c r="AI578" s="41">
        <f t="shared" si="440"/>
        <v>0</v>
      </c>
      <c r="AJ578" s="41">
        <f t="shared" si="440"/>
        <v>0</v>
      </c>
      <c r="AK578" s="41">
        <f t="shared" si="440"/>
        <v>0</v>
      </c>
      <c r="AL578" s="41">
        <f t="shared" si="440"/>
        <v>0</v>
      </c>
      <c r="AM578" s="41">
        <f t="shared" si="440"/>
        <v>0</v>
      </c>
      <c r="AN578" s="41">
        <f t="shared" si="440"/>
        <v>0</v>
      </c>
      <c r="AO578" s="41">
        <f t="shared" si="440"/>
        <v>0</v>
      </c>
      <c r="AP578" s="41">
        <f t="shared" si="440"/>
        <v>0</v>
      </c>
      <c r="AQ578" s="41">
        <f t="shared" si="440"/>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40"/>
        <v>0</v>
      </c>
      <c r="AH579" s="41">
        <f t="shared" si="440"/>
        <v>0</v>
      </c>
      <c r="AI579" s="41">
        <f t="shared" si="440"/>
        <v>0</v>
      </c>
      <c r="AJ579" s="41">
        <f t="shared" si="440"/>
        <v>0</v>
      </c>
      <c r="AK579" s="41">
        <f t="shared" si="440"/>
        <v>0</v>
      </c>
      <c r="AL579" s="41">
        <f t="shared" si="440"/>
        <v>0</v>
      </c>
      <c r="AM579" s="41">
        <f t="shared" si="440"/>
        <v>0</v>
      </c>
      <c r="AN579" s="41">
        <f t="shared" si="440"/>
        <v>0</v>
      </c>
      <c r="AO579" s="41">
        <f t="shared" si="440"/>
        <v>0</v>
      </c>
      <c r="AP579" s="41">
        <f t="shared" si="440"/>
        <v>0</v>
      </c>
      <c r="AQ579" s="41">
        <f t="shared" si="440"/>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40"/>
        <v>0</v>
      </c>
      <c r="AH580" s="41">
        <f t="shared" si="440"/>
        <v>0</v>
      </c>
      <c r="AI580" s="41">
        <f t="shared" si="440"/>
        <v>0</v>
      </c>
      <c r="AJ580" s="41">
        <f t="shared" si="440"/>
        <v>0</v>
      </c>
      <c r="AK580" s="41">
        <f t="shared" si="440"/>
        <v>0</v>
      </c>
      <c r="AL580" s="41">
        <f t="shared" si="440"/>
        <v>0</v>
      </c>
      <c r="AM580" s="41">
        <f t="shared" si="440"/>
        <v>0</v>
      </c>
      <c r="AN580" s="41">
        <f t="shared" si="440"/>
        <v>0</v>
      </c>
      <c r="AO580" s="41">
        <f t="shared" si="440"/>
        <v>0</v>
      </c>
      <c r="AP580" s="41">
        <f t="shared" si="440"/>
        <v>0</v>
      </c>
      <c r="AQ580" s="41">
        <f t="shared" si="440"/>
        <v>0</v>
      </c>
      <c r="AR580" s="41"/>
      <c r="AS580" s="41"/>
      <c r="AT580" s="41"/>
      <c r="AU580" s="41"/>
    </row>
    <row r="581" spans="1:47" x14ac:dyDescent="0.25">
      <c r="A581" s="134"/>
      <c r="B581" s="134"/>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41">SUM(AG572:AG580)</f>
        <v>0</v>
      </c>
      <c r="AH581" s="41">
        <f t="shared" si="441"/>
        <v>0</v>
      </c>
      <c r="AI581" s="41">
        <f t="shared" si="441"/>
        <v>0</v>
      </c>
      <c r="AJ581" s="41">
        <f t="shared" si="441"/>
        <v>0</v>
      </c>
      <c r="AK581" s="41">
        <f t="shared" si="441"/>
        <v>0</v>
      </c>
      <c r="AL581" s="41">
        <f t="shared" si="441"/>
        <v>0</v>
      </c>
      <c r="AM581" s="41">
        <f t="shared" si="441"/>
        <v>0</v>
      </c>
      <c r="AN581" s="41">
        <f t="shared" si="441"/>
        <v>0</v>
      </c>
      <c r="AO581" s="41">
        <f t="shared" si="441"/>
        <v>0</v>
      </c>
      <c r="AP581" s="41">
        <f t="shared" si="441"/>
        <v>0</v>
      </c>
      <c r="AQ581" s="41">
        <f t="shared" si="441"/>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42">AF585+10</f>
        <v>10</v>
      </c>
      <c r="AH585" s="11">
        <f t="shared" si="442"/>
        <v>20</v>
      </c>
      <c r="AI585" s="11">
        <f t="shared" si="442"/>
        <v>30</v>
      </c>
      <c r="AJ585" s="11">
        <f t="shared" si="442"/>
        <v>40</v>
      </c>
      <c r="AK585" s="11">
        <f t="shared" si="442"/>
        <v>50</v>
      </c>
      <c r="AL585" s="11">
        <f t="shared" si="442"/>
        <v>60</v>
      </c>
      <c r="AM585" s="11">
        <f t="shared" si="442"/>
        <v>70</v>
      </c>
      <c r="AN585" s="11">
        <f t="shared" si="442"/>
        <v>80</v>
      </c>
      <c r="AO585" s="11">
        <f t="shared" si="442"/>
        <v>90</v>
      </c>
      <c r="AP585" s="11">
        <f t="shared" si="442"/>
        <v>100</v>
      </c>
      <c r="AQ585" s="11">
        <f t="shared" si="442"/>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3">AG585-$B$521</f>
        <v>10</v>
      </c>
      <c r="AH586" s="40">
        <f t="shared" si="443"/>
        <v>20</v>
      </c>
      <c r="AI586" s="40">
        <f t="shared" si="443"/>
        <v>30</v>
      </c>
      <c r="AJ586" s="40">
        <f t="shared" si="443"/>
        <v>40</v>
      </c>
      <c r="AK586" s="40">
        <f t="shared" si="443"/>
        <v>50</v>
      </c>
      <c r="AL586" s="40">
        <f t="shared" si="443"/>
        <v>60</v>
      </c>
      <c r="AM586" s="40">
        <f t="shared" si="443"/>
        <v>70</v>
      </c>
      <c r="AN586" s="40">
        <f t="shared" si="443"/>
        <v>80</v>
      </c>
      <c r="AO586" s="40">
        <f t="shared" si="443"/>
        <v>90</v>
      </c>
      <c r="AP586" s="40">
        <f t="shared" si="443"/>
        <v>100</v>
      </c>
      <c r="AQ586" s="40">
        <f t="shared" si="443"/>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4">$B587*AG$571^$A587</f>
        <v>0</v>
      </c>
      <c r="AH587" s="41">
        <f t="shared" si="444"/>
        <v>0</v>
      </c>
      <c r="AI587" s="41">
        <f t="shared" si="444"/>
        <v>0</v>
      </c>
      <c r="AJ587" s="41">
        <f t="shared" si="444"/>
        <v>0</v>
      </c>
      <c r="AK587" s="41">
        <f t="shared" si="444"/>
        <v>0</v>
      </c>
      <c r="AL587" s="41">
        <f t="shared" si="444"/>
        <v>0</v>
      </c>
      <c r="AM587" s="41">
        <f t="shared" si="444"/>
        <v>0</v>
      </c>
      <c r="AN587" s="41">
        <f t="shared" si="444"/>
        <v>0</v>
      </c>
      <c r="AO587" s="41">
        <f t="shared" si="444"/>
        <v>0</v>
      </c>
      <c r="AP587" s="41">
        <f t="shared" si="444"/>
        <v>0</v>
      </c>
      <c r="AQ587" s="41">
        <f t="shared" si="444"/>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4"/>
        <v>0</v>
      </c>
      <c r="AH588" s="41">
        <f t="shared" si="444"/>
        <v>0</v>
      </c>
      <c r="AI588" s="41">
        <f t="shared" si="444"/>
        <v>0</v>
      </c>
      <c r="AJ588" s="41">
        <f t="shared" si="444"/>
        <v>0</v>
      </c>
      <c r="AK588" s="41">
        <f t="shared" si="444"/>
        <v>0</v>
      </c>
      <c r="AL588" s="41">
        <f t="shared" si="444"/>
        <v>0</v>
      </c>
      <c r="AM588" s="41">
        <f t="shared" si="444"/>
        <v>0</v>
      </c>
      <c r="AN588" s="41">
        <f t="shared" si="444"/>
        <v>0</v>
      </c>
      <c r="AO588" s="41">
        <f t="shared" si="444"/>
        <v>0</v>
      </c>
      <c r="AP588" s="41">
        <f t="shared" si="444"/>
        <v>0</v>
      </c>
      <c r="AQ588" s="41">
        <f t="shared" si="444"/>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4"/>
        <v>0</v>
      </c>
      <c r="AH589" s="41">
        <f t="shared" si="444"/>
        <v>0</v>
      </c>
      <c r="AI589" s="41">
        <f t="shared" si="444"/>
        <v>0</v>
      </c>
      <c r="AJ589" s="41">
        <f t="shared" si="444"/>
        <v>0</v>
      </c>
      <c r="AK589" s="41">
        <f t="shared" si="444"/>
        <v>0</v>
      </c>
      <c r="AL589" s="41">
        <f t="shared" si="444"/>
        <v>0</v>
      </c>
      <c r="AM589" s="41">
        <f t="shared" si="444"/>
        <v>0</v>
      </c>
      <c r="AN589" s="41">
        <f t="shared" si="444"/>
        <v>0</v>
      </c>
      <c r="AO589" s="41">
        <f t="shared" si="444"/>
        <v>0</v>
      </c>
      <c r="AP589" s="41">
        <f t="shared" si="444"/>
        <v>0</v>
      </c>
      <c r="AQ589" s="41">
        <f t="shared" si="444"/>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4"/>
        <v>0</v>
      </c>
      <c r="AH590" s="41">
        <f t="shared" si="444"/>
        <v>0</v>
      </c>
      <c r="AI590" s="41">
        <f t="shared" si="444"/>
        <v>0</v>
      </c>
      <c r="AJ590" s="41">
        <f t="shared" si="444"/>
        <v>0</v>
      </c>
      <c r="AK590" s="41">
        <f t="shared" si="444"/>
        <v>0</v>
      </c>
      <c r="AL590" s="41">
        <f t="shared" si="444"/>
        <v>0</v>
      </c>
      <c r="AM590" s="41">
        <f t="shared" si="444"/>
        <v>0</v>
      </c>
      <c r="AN590" s="41">
        <f t="shared" si="444"/>
        <v>0</v>
      </c>
      <c r="AO590" s="41">
        <f t="shared" si="444"/>
        <v>0</v>
      </c>
      <c r="AP590" s="41">
        <f t="shared" si="444"/>
        <v>0</v>
      </c>
      <c r="AQ590" s="41">
        <f t="shared" si="444"/>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4"/>
        <v>0</v>
      </c>
      <c r="AH591" s="41">
        <f t="shared" si="444"/>
        <v>0</v>
      </c>
      <c r="AI591" s="41">
        <f t="shared" si="444"/>
        <v>0</v>
      </c>
      <c r="AJ591" s="41">
        <f t="shared" si="444"/>
        <v>0</v>
      </c>
      <c r="AK591" s="41">
        <f t="shared" si="444"/>
        <v>0</v>
      </c>
      <c r="AL591" s="41">
        <f t="shared" si="444"/>
        <v>0</v>
      </c>
      <c r="AM591" s="41">
        <f t="shared" si="444"/>
        <v>0</v>
      </c>
      <c r="AN591" s="41">
        <f t="shared" si="444"/>
        <v>0</v>
      </c>
      <c r="AO591" s="41">
        <f t="shared" si="444"/>
        <v>0</v>
      </c>
      <c r="AP591" s="41">
        <f t="shared" si="444"/>
        <v>0</v>
      </c>
      <c r="AQ591" s="41">
        <f t="shared" si="444"/>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4"/>
        <v>0</v>
      </c>
      <c r="AH592" s="41">
        <f t="shared" si="444"/>
        <v>0</v>
      </c>
      <c r="AI592" s="41">
        <f t="shared" si="444"/>
        <v>0</v>
      </c>
      <c r="AJ592" s="41">
        <f t="shared" si="444"/>
        <v>0</v>
      </c>
      <c r="AK592" s="41">
        <f t="shared" si="444"/>
        <v>0</v>
      </c>
      <c r="AL592" s="41">
        <f t="shared" si="444"/>
        <v>0</v>
      </c>
      <c r="AM592" s="41">
        <f t="shared" si="444"/>
        <v>0</v>
      </c>
      <c r="AN592" s="41">
        <f t="shared" si="444"/>
        <v>0</v>
      </c>
      <c r="AO592" s="41">
        <f t="shared" si="444"/>
        <v>0</v>
      </c>
      <c r="AP592" s="41">
        <f t="shared" si="444"/>
        <v>0</v>
      </c>
      <c r="AQ592" s="41">
        <f t="shared" si="444"/>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4"/>
        <v>0</v>
      </c>
      <c r="AH593" s="41">
        <f t="shared" si="444"/>
        <v>0</v>
      </c>
      <c r="AI593" s="41">
        <f t="shared" si="444"/>
        <v>0</v>
      </c>
      <c r="AJ593" s="41">
        <f t="shared" si="444"/>
        <v>0</v>
      </c>
      <c r="AK593" s="41">
        <f t="shared" si="444"/>
        <v>0</v>
      </c>
      <c r="AL593" s="41">
        <f t="shared" si="444"/>
        <v>0</v>
      </c>
      <c r="AM593" s="41">
        <f t="shared" si="444"/>
        <v>0</v>
      </c>
      <c r="AN593" s="41">
        <f t="shared" si="444"/>
        <v>0</v>
      </c>
      <c r="AO593" s="41">
        <f t="shared" si="444"/>
        <v>0</v>
      </c>
      <c r="AP593" s="41">
        <f t="shared" si="444"/>
        <v>0</v>
      </c>
      <c r="AQ593" s="41">
        <f t="shared" si="444"/>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4"/>
        <v>0</v>
      </c>
      <c r="AH594" s="41">
        <f t="shared" si="444"/>
        <v>0</v>
      </c>
      <c r="AI594" s="41">
        <f t="shared" si="444"/>
        <v>0</v>
      </c>
      <c r="AJ594" s="41">
        <f t="shared" si="444"/>
        <v>0</v>
      </c>
      <c r="AK594" s="41">
        <f t="shared" si="444"/>
        <v>0</v>
      </c>
      <c r="AL594" s="41">
        <f t="shared" si="444"/>
        <v>0</v>
      </c>
      <c r="AM594" s="41">
        <f t="shared" si="444"/>
        <v>0</v>
      </c>
      <c r="AN594" s="41">
        <f t="shared" si="444"/>
        <v>0</v>
      </c>
      <c r="AO594" s="41">
        <f t="shared" si="444"/>
        <v>0</v>
      </c>
      <c r="AP594" s="41">
        <f t="shared" si="444"/>
        <v>0</v>
      </c>
      <c r="AQ594" s="41">
        <f t="shared" si="444"/>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4"/>
        <v>0</v>
      </c>
      <c r="AH595" s="41">
        <f t="shared" si="444"/>
        <v>0</v>
      </c>
      <c r="AI595" s="41">
        <f t="shared" si="444"/>
        <v>0</v>
      </c>
      <c r="AJ595" s="41">
        <f t="shared" si="444"/>
        <v>0</v>
      </c>
      <c r="AK595" s="41">
        <f t="shared" si="444"/>
        <v>0</v>
      </c>
      <c r="AL595" s="41">
        <f t="shared" si="444"/>
        <v>0</v>
      </c>
      <c r="AM595" s="41">
        <f t="shared" si="444"/>
        <v>0</v>
      </c>
      <c r="AN595" s="41">
        <f t="shared" si="444"/>
        <v>0</v>
      </c>
      <c r="AO595" s="41">
        <f t="shared" si="444"/>
        <v>0</v>
      </c>
      <c r="AP595" s="41">
        <f t="shared" si="444"/>
        <v>0</v>
      </c>
      <c r="AQ595" s="41">
        <f t="shared" si="444"/>
        <v>0</v>
      </c>
    </row>
    <row r="596" spans="1:43" x14ac:dyDescent="0.25">
      <c r="A596" s="134"/>
      <c r="B596" s="134"/>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5">SUM(AG587:AG595)</f>
        <v>0</v>
      </c>
      <c r="AH596" s="41">
        <f t="shared" si="445"/>
        <v>0</v>
      </c>
      <c r="AI596" s="41">
        <f t="shared" si="445"/>
        <v>0</v>
      </c>
      <c r="AJ596" s="41">
        <f t="shared" si="445"/>
        <v>0</v>
      </c>
      <c r="AK596" s="41">
        <f t="shared" si="445"/>
        <v>0</v>
      </c>
      <c r="AL596" s="41">
        <f t="shared" si="445"/>
        <v>0</v>
      </c>
      <c r="AM596" s="41">
        <f t="shared" si="445"/>
        <v>0</v>
      </c>
      <c r="AN596" s="41">
        <f t="shared" si="445"/>
        <v>0</v>
      </c>
      <c r="AO596" s="41">
        <f t="shared" si="445"/>
        <v>0</v>
      </c>
      <c r="AP596" s="41">
        <f t="shared" si="445"/>
        <v>0</v>
      </c>
      <c r="AQ596" s="41">
        <f t="shared" si="445"/>
        <v>0</v>
      </c>
    </row>
    <row r="597" spans="1:43" x14ac:dyDescent="0.25">
      <c r="A597" s="129"/>
      <c r="B597" s="129"/>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6">(AG581-AG596)^2</f>
        <v>0</v>
      </c>
      <c r="AH597" s="41">
        <f t="shared" si="446"/>
        <v>0</v>
      </c>
      <c r="AI597" s="41">
        <f t="shared" si="446"/>
        <v>0</v>
      </c>
      <c r="AJ597" s="41">
        <f t="shared" si="446"/>
        <v>0</v>
      </c>
      <c r="AK597" s="41">
        <f t="shared" si="446"/>
        <v>0</v>
      </c>
      <c r="AL597" s="41">
        <f t="shared" si="446"/>
        <v>0</v>
      </c>
      <c r="AM597" s="41">
        <f t="shared" si="446"/>
        <v>0</v>
      </c>
      <c r="AN597" s="41">
        <f t="shared" si="446"/>
        <v>0</v>
      </c>
      <c r="AO597" s="41">
        <f t="shared" si="446"/>
        <v>0</v>
      </c>
      <c r="AP597" s="41">
        <f t="shared" si="446"/>
        <v>0</v>
      </c>
      <c r="AQ597" s="41">
        <f t="shared" si="446"/>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29"/>
      <c r="B626" s="129"/>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29"/>
      <c r="B627" s="129"/>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34"/>
      <c r="B650" s="134"/>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29"/>
      <c r="B651" s="129"/>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29"/>
      <c r="B652" s="129"/>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29"/>
      <c r="B653" s="129"/>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29"/>
      <c r="B654" s="129"/>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J152"/>
  <sheetViews>
    <sheetView tabSelected="1" topLeftCell="A73" zoomScale="110" zoomScaleNormal="110" workbookViewId="0">
      <selection activeCell="J72" sqref="J72:J102"/>
    </sheetView>
  </sheetViews>
  <sheetFormatPr baseColWidth="10" defaultRowHeight="15" x14ac:dyDescent="0.25"/>
  <sheetData>
    <row r="1" spans="1:17" x14ac:dyDescent="0.25">
      <c r="A1">
        <f>'Mastercurve bestimmen'!D436</f>
        <v>11</v>
      </c>
      <c r="C1" t="str">
        <f>'Mastercurve bestimmen'!A436</f>
        <v>Intervall: +-</v>
      </c>
      <c r="D1" s="102">
        <v>5</v>
      </c>
    </row>
    <row r="3" spans="1:17" x14ac:dyDescent="0.25">
      <c r="A3" s="117"/>
      <c r="B3" s="117"/>
      <c r="C3" s="117"/>
      <c r="D3" s="117"/>
      <c r="E3" s="117"/>
      <c r="F3" s="117"/>
      <c r="G3" s="117"/>
      <c r="H3" s="117"/>
      <c r="I3" s="118"/>
      <c r="J3" s="118"/>
      <c r="K3" s="118"/>
      <c r="L3" s="118"/>
      <c r="M3" s="118"/>
      <c r="N3" s="118"/>
      <c r="O3" s="118"/>
      <c r="P3" s="118"/>
    </row>
    <row r="4" spans="1:17" x14ac:dyDescent="0.25">
      <c r="A4" s="10">
        <f>LOG10('Mastercurve bestimmen'!A438)</f>
        <v>-5</v>
      </c>
      <c r="B4" s="10">
        <f>LOG10('Mastercurve bestimmen'!B438)</f>
        <v>-9.9092156864793264</v>
      </c>
      <c r="C4" s="10">
        <f>LOG10('Mastercurve bestimmen'!C438)</f>
        <v>-8.2909948492033934</v>
      </c>
      <c r="D4" s="10">
        <f>LOG10('Mastercurve bestimmen'!D438)</f>
        <v>-7.1941016336536521</v>
      </c>
      <c r="E4" s="10">
        <f>LOG10('Mastercurve bestimmen'!E438)</f>
        <v>-6.231804654438192</v>
      </c>
      <c r="F4" s="10">
        <f>LOG10('Mastercurve bestimmen'!F438)</f>
        <v>-5</v>
      </c>
      <c r="G4" s="10">
        <f>LOG10('Mastercurve bestimmen'!G438)</f>
        <v>-2.430845576614646</v>
      </c>
      <c r="H4" s="10">
        <f>LOG10('Mastercurve bestimmen'!H438)</f>
        <v>7.9136296685434843E-2</v>
      </c>
      <c r="I4" s="3">
        <f>'Mastercurve bestimmen'!I438</f>
        <v>1.0000000000000001E-5</v>
      </c>
      <c r="J4" s="3">
        <f>'Mastercurve bestimmen'!J438</f>
        <v>7848.6797155048253</v>
      </c>
      <c r="K4" s="3">
        <f>'Mastercurve bestimmen'!K438</f>
        <v>7411.9254661857585</v>
      </c>
      <c r="L4" s="3">
        <f>'Mastercurve bestimmen'!L438</f>
        <v>6998.3812744112274</v>
      </c>
      <c r="M4" s="3">
        <f>'Mastercurve bestimmen'!M438</f>
        <v>6628.8785990090082</v>
      </c>
      <c r="N4" s="3">
        <f>'Mastercurve bestimmen'!N438</f>
        <v>6236.0805337275306</v>
      </c>
      <c r="O4" s="3">
        <f>'Mastercurve bestimmen'!O438</f>
        <v>5486.9816625574504</v>
      </c>
      <c r="P4" s="3">
        <f>'Mastercurve bestimmen'!P438</f>
        <v>4733.4087396901623</v>
      </c>
      <c r="Q4" s="3"/>
    </row>
    <row r="5" spans="1:17" x14ac:dyDescent="0.25">
      <c r="A5" s="10">
        <f>LOG10('Mastercurve bestimmen'!A439)</f>
        <v>-4</v>
      </c>
      <c r="B5" s="10">
        <f>LOG10('Mastercurve bestimmen'!B439)</f>
        <v>-8.9092156864793264</v>
      </c>
      <c r="C5" s="10">
        <f>LOG10('Mastercurve bestimmen'!C439)</f>
        <v>-7.2909948492033942</v>
      </c>
      <c r="D5" s="10">
        <f>LOG10('Mastercurve bestimmen'!D439)</f>
        <v>-6.1941016336536521</v>
      </c>
      <c r="E5" s="10">
        <f>LOG10('Mastercurve bestimmen'!E439)</f>
        <v>-5.231804654438192</v>
      </c>
      <c r="F5" s="10">
        <f>LOG10('Mastercurve bestimmen'!F439)</f>
        <v>-4</v>
      </c>
      <c r="G5" s="10">
        <f>LOG10('Mastercurve bestimmen'!G439)</f>
        <v>-1.4308455766146462</v>
      </c>
      <c r="H5" s="10">
        <f>LOG10('Mastercurve bestimmen'!H439)</f>
        <v>1.0791362966854348</v>
      </c>
      <c r="I5" s="3">
        <f>'Mastercurve bestimmen'!I439</f>
        <v>1E-4</v>
      </c>
      <c r="J5" s="3">
        <f>'Mastercurve bestimmen'!J439</f>
        <v>7561.5718378512247</v>
      </c>
      <c r="K5" s="3">
        <f>'Mastercurve bestimmen'!K439</f>
        <v>7044.5082173262499</v>
      </c>
      <c r="L5" s="3">
        <f>'Mastercurve bestimmen'!L439</f>
        <v>6621.5844226341051</v>
      </c>
      <c r="M5" s="3">
        <f>'Mastercurve bestimmen'!M439</f>
        <v>6311.3720523241727</v>
      </c>
      <c r="N5" s="3">
        <f>'Mastercurve bestimmen'!N439</f>
        <v>5950.4123980915811</v>
      </c>
      <c r="O5" s="3">
        <f>'Mastercurve bestimmen'!O439</f>
        <v>5211.1575946368548</v>
      </c>
      <c r="P5" s="3">
        <f>'Mastercurve bestimmen'!P439</f>
        <v>4393.7824312927287</v>
      </c>
    </row>
    <row r="6" spans="1:17" x14ac:dyDescent="0.25">
      <c r="A6" s="10">
        <f>LOG10('Mastercurve bestimmen'!A440)</f>
        <v>-3</v>
      </c>
      <c r="B6" s="10">
        <f>LOG10('Mastercurve bestimmen'!B440)</f>
        <v>-7.9092156864793255</v>
      </c>
      <c r="C6" s="10">
        <f>LOG10('Mastercurve bestimmen'!C440)</f>
        <v>-6.2909948492033942</v>
      </c>
      <c r="D6" s="10">
        <f>LOG10('Mastercurve bestimmen'!D440)</f>
        <v>-5.1941016336536521</v>
      </c>
      <c r="E6" s="10">
        <f>LOG10('Mastercurve bestimmen'!E440)</f>
        <v>-4.231804654438192</v>
      </c>
      <c r="F6" s="10">
        <f>LOG10('Mastercurve bestimmen'!F440)</f>
        <v>-3</v>
      </c>
      <c r="G6" s="10">
        <f>LOG10('Mastercurve bestimmen'!G440)</f>
        <v>-0.43084557661464612</v>
      </c>
      <c r="H6" s="10">
        <f>LOG10('Mastercurve bestimmen'!H440)</f>
        <v>2.079136296685435</v>
      </c>
      <c r="I6" s="3">
        <f>'Mastercurve bestimmen'!I440</f>
        <v>1E-3</v>
      </c>
      <c r="J6" s="3">
        <f>'Mastercurve bestimmen'!J440</f>
        <v>7212.0886309644511</v>
      </c>
      <c r="K6" s="3">
        <f>'Mastercurve bestimmen'!K440</f>
        <v>6664.4913259208079</v>
      </c>
      <c r="L6" s="3">
        <f>'Mastercurve bestimmen'!L440</f>
        <v>6307.1591705971805</v>
      </c>
      <c r="M6" s="3">
        <f>'Mastercurve bestimmen'!M440</f>
        <v>6028.2349504089671</v>
      </c>
      <c r="N6" s="3">
        <f>'Mastercurve bestimmen'!N440</f>
        <v>5675.5372968728034</v>
      </c>
      <c r="O6" s="3">
        <f>'Mastercurve bestimmen'!O440</f>
        <v>4923.9623445747775</v>
      </c>
      <c r="P6" s="3">
        <f>'Mastercurve bestimmen'!P440</f>
        <v>4006.1265808261332</v>
      </c>
    </row>
    <row r="7" spans="1:17" x14ac:dyDescent="0.25">
      <c r="A7" s="10">
        <f>LOG10('Mastercurve bestimmen'!A441)</f>
        <v>-2</v>
      </c>
      <c r="B7" s="10">
        <f>LOG10('Mastercurve bestimmen'!B441)</f>
        <v>-6.9092156864793255</v>
      </c>
      <c r="C7" s="10">
        <f>LOG10('Mastercurve bestimmen'!C441)</f>
        <v>-5.2909948492033942</v>
      </c>
      <c r="D7" s="10">
        <f>LOG10('Mastercurve bestimmen'!D441)</f>
        <v>-4.1941016336536521</v>
      </c>
      <c r="E7" s="10">
        <f>LOG10('Mastercurve bestimmen'!E441)</f>
        <v>-3.2318046544381915</v>
      </c>
      <c r="F7" s="10">
        <f>LOG10('Mastercurve bestimmen'!F441)</f>
        <v>-2</v>
      </c>
      <c r="G7" s="10">
        <f>LOG10('Mastercurve bestimmen'!G441)</f>
        <v>0.56915442338535394</v>
      </c>
      <c r="H7" s="10">
        <f>LOG10('Mastercurve bestimmen'!H441)</f>
        <v>3.079136296685435</v>
      </c>
      <c r="I7" s="3">
        <f>'Mastercurve bestimmen'!I441</f>
        <v>0.01</v>
      </c>
      <c r="J7" s="3">
        <f>'Mastercurve bestimmen'!J441</f>
        <v>6826.065675816817</v>
      </c>
      <c r="K7" s="3">
        <f>'Mastercurve bestimmen'!K441</f>
        <v>6341.2106146502829</v>
      </c>
      <c r="L7" s="3">
        <f>'Mastercurve bestimmen'!L441</f>
        <v>6022.8689849680577</v>
      </c>
      <c r="M7" s="3">
        <f>'Mastercurve bestimmen'!M441</f>
        <v>5748.7087759518809</v>
      </c>
      <c r="N7" s="3">
        <f>'Mastercurve bestimmen'!N441</f>
        <v>5389.077424650558</v>
      </c>
      <c r="O7" s="3">
        <f>'Mastercurve bestimmen'!O441</f>
        <v>4584.0172032140918</v>
      </c>
      <c r="P7" s="3">
        <f>'Mastercurve bestimmen'!P441</f>
        <v>3576.233277328839</v>
      </c>
    </row>
    <row r="8" spans="1:17" x14ac:dyDescent="0.25">
      <c r="A8" s="10">
        <f>LOG10('Mastercurve bestimmen'!A442)</f>
        <v>-1</v>
      </c>
      <c r="B8" s="10">
        <f>LOG10('Mastercurve bestimmen'!B442)</f>
        <v>-5.9092156864793255</v>
      </c>
      <c r="C8" s="10">
        <f>LOG10('Mastercurve bestimmen'!C442)</f>
        <v>-4.2909948492033942</v>
      </c>
      <c r="D8" s="10">
        <f>LOG10('Mastercurve bestimmen'!D442)</f>
        <v>-3.1941016336536521</v>
      </c>
      <c r="E8" s="10">
        <f>LOG10('Mastercurve bestimmen'!E442)</f>
        <v>-2.2318046544381915</v>
      </c>
      <c r="F8" s="10">
        <f>LOG10('Mastercurve bestimmen'!F442)</f>
        <v>-1</v>
      </c>
      <c r="G8" s="10">
        <f>LOG10('Mastercurve bestimmen'!G442)</f>
        <v>1.5691544233853538</v>
      </c>
      <c r="H8" s="10">
        <f>LOG10('Mastercurve bestimmen'!H442)</f>
        <v>4.0791362966854345</v>
      </c>
      <c r="I8" s="3">
        <f>'Mastercurve bestimmen'!I442</f>
        <v>0.1</v>
      </c>
      <c r="J8" s="3">
        <f>'Mastercurve bestimmen'!J442</f>
        <v>6468.6777640443843</v>
      </c>
      <c r="K8" s="3">
        <f>'Mastercurve bestimmen'!K442</f>
        <v>6057.8856031721252</v>
      </c>
      <c r="L8" s="3">
        <f>'Mastercurve bestimmen'!L442</f>
        <v>5743.6712365645317</v>
      </c>
      <c r="M8" s="3">
        <f>'Mastercurve bestimmen'!M442</f>
        <v>5465.7818754747968</v>
      </c>
      <c r="N8" s="3">
        <f>'Mastercurve bestimmen'!N442</f>
        <v>5123.5437168709832</v>
      </c>
      <c r="O8" s="3">
        <f>'Mastercurve bestimmen'!O442</f>
        <v>4221.1859974432145</v>
      </c>
      <c r="P8" s="3">
        <f>'Mastercurve bestimmen'!P442</f>
        <v>3059.5283871610445</v>
      </c>
    </row>
    <row r="9" spans="1:17" x14ac:dyDescent="0.25">
      <c r="A9" s="10">
        <f>LOG10('Mastercurve bestimmen'!A443)</f>
        <v>0</v>
      </c>
      <c r="B9" s="10">
        <f>LOG10('Mastercurve bestimmen'!B443)</f>
        <v>-4.9092156864793255</v>
      </c>
      <c r="C9" s="10">
        <f>LOG10('Mastercurve bestimmen'!C443)</f>
        <v>-3.2909948492033938</v>
      </c>
      <c r="D9" s="10">
        <f>LOG10('Mastercurve bestimmen'!D443)</f>
        <v>-2.1941016336536521</v>
      </c>
      <c r="E9" s="10">
        <f>LOG10('Mastercurve bestimmen'!E443)</f>
        <v>-1.2318046544381918</v>
      </c>
      <c r="F9" s="10">
        <f>LOG10('Mastercurve bestimmen'!F443)</f>
        <v>0</v>
      </c>
      <c r="G9" s="10">
        <f>LOG10('Mastercurve bestimmen'!G443)</f>
        <v>2.569154423385354</v>
      </c>
      <c r="H9" s="10">
        <f>LOG10('Mastercurve bestimmen'!H443)</f>
        <v>5.0791362966854345</v>
      </c>
      <c r="I9" s="3">
        <f>'Mastercurve bestimmen'!I443</f>
        <v>1</v>
      </c>
      <c r="J9" s="3">
        <f>'Mastercurve bestimmen'!J443</f>
        <v>6185.0814076350389</v>
      </c>
      <c r="K9" s="3">
        <f>'Mastercurve bestimmen'!K443</f>
        <v>5776.2920069159836</v>
      </c>
      <c r="L9" s="3">
        <f>'Mastercurve bestimmen'!L443</f>
        <v>5459.2543435964462</v>
      </c>
      <c r="M9" s="3">
        <f>'Mastercurve bestimmen'!M443</f>
        <v>5192.657072535425</v>
      </c>
      <c r="N9" s="3">
        <f>'Mastercurve bestimmen'!N443</f>
        <v>4799.280908658001</v>
      </c>
      <c r="O9" s="3">
        <f>'Mastercurve bestimmen'!O443</f>
        <v>3789.937412973562</v>
      </c>
      <c r="P9" s="3">
        <f>'Mastercurve bestimmen'!P443</f>
        <v>2469.5512794279489</v>
      </c>
    </row>
    <row r="10" spans="1:17" x14ac:dyDescent="0.25">
      <c r="A10" s="10">
        <f>LOG10('Mastercurve bestimmen'!A444)</f>
        <v>1</v>
      </c>
      <c r="B10" s="10">
        <f>LOG10('Mastercurve bestimmen'!B444)</f>
        <v>-3.9092156864793259</v>
      </c>
      <c r="C10" s="10">
        <f>LOG10('Mastercurve bestimmen'!C444)</f>
        <v>-2.2909948492033938</v>
      </c>
      <c r="D10" s="10">
        <f>LOG10('Mastercurve bestimmen'!D444)</f>
        <v>-1.1941016336536519</v>
      </c>
      <c r="E10" s="10">
        <f>LOG10('Mastercurve bestimmen'!E444)</f>
        <v>-0.23180465443819176</v>
      </c>
      <c r="F10" s="10">
        <f>LOG10('Mastercurve bestimmen'!F444)</f>
        <v>1</v>
      </c>
      <c r="G10" s="10">
        <f>LOG10('Mastercurve bestimmen'!G444)</f>
        <v>3.569154423385354</v>
      </c>
      <c r="H10" s="10">
        <f>LOG10('Mastercurve bestimmen'!H444)</f>
        <v>6.0791362966854345</v>
      </c>
      <c r="I10" s="3">
        <f>'Mastercurve bestimmen'!I444</f>
        <v>10</v>
      </c>
      <c r="J10" s="3">
        <f>'Mastercurve bestimmen'!J444</f>
        <v>5896.0070828362468</v>
      </c>
      <c r="K10" s="3">
        <f>'Mastercurve bestimmen'!K444</f>
        <v>5493.3830678495879</v>
      </c>
      <c r="L10" s="3">
        <f>'Mastercurve bestimmen'!L444</f>
        <v>5186.1259100095131</v>
      </c>
      <c r="M10" s="3">
        <f>'Mastercurve bestimmen'!M444</f>
        <v>4882.9062343607484</v>
      </c>
      <c r="N10" s="3">
        <f>'Mastercurve bestimmen'!N444</f>
        <v>4430.6662258617935</v>
      </c>
      <c r="O10" s="3">
        <f>'Mastercurve bestimmen'!O444</f>
        <v>3283.8683924627298</v>
      </c>
      <c r="P10" s="3">
        <f>'Mastercurve bestimmen'!P444</f>
        <v>1842.799668868907</v>
      </c>
    </row>
    <row r="11" spans="1:17" x14ac:dyDescent="0.25">
      <c r="A11" s="10">
        <f>LOG10('Mastercurve bestimmen'!A445)</f>
        <v>2</v>
      </c>
      <c r="B11" s="10">
        <f>LOG10('Mastercurve bestimmen'!B445)</f>
        <v>-2.9092156864793259</v>
      </c>
      <c r="C11" s="10">
        <f>LOG10('Mastercurve bestimmen'!C445)</f>
        <v>-1.2909948492033938</v>
      </c>
      <c r="D11" s="10">
        <f>LOG10('Mastercurve bestimmen'!D445)</f>
        <v>-0.19410163365365196</v>
      </c>
      <c r="E11" s="10">
        <f>LOG10('Mastercurve bestimmen'!E445)</f>
        <v>0.76819534556180824</v>
      </c>
      <c r="F11" s="10">
        <f>LOG10('Mastercurve bestimmen'!F445)</f>
        <v>2</v>
      </c>
      <c r="G11" s="10">
        <f>LOG10('Mastercurve bestimmen'!G445)</f>
        <v>4.5691544233853536</v>
      </c>
      <c r="H11" s="10">
        <f>LOG10('Mastercurve bestimmen'!H445)</f>
        <v>7.0791362966854345</v>
      </c>
      <c r="I11" s="3">
        <f>'Mastercurve bestimmen'!I445</f>
        <v>100</v>
      </c>
      <c r="J11" s="3">
        <f>'Mastercurve bestimmen'!J445</f>
        <v>5620.2326577203476</v>
      </c>
      <c r="K11" s="3">
        <f>'Mastercurve bestimmen'!K445</f>
        <v>5215.5329419319251</v>
      </c>
      <c r="L11" s="3">
        <f>'Mastercurve bestimmen'!L445</f>
        <v>4865.5108844814831</v>
      </c>
      <c r="M11" s="3">
        <f>'Mastercurve bestimmen'!M445</f>
        <v>4501.5398610325774</v>
      </c>
      <c r="N11" s="3">
        <f>'Mastercurve bestimmen'!N445</f>
        <v>3990.4031488339651</v>
      </c>
      <c r="O11" s="3">
        <f>'Mastercurve bestimmen'!O445</f>
        <v>2714.7098539050189</v>
      </c>
      <c r="P11" s="3">
        <f>'Mastercurve bestimmen'!P445</f>
        <v>1328.7737512423464</v>
      </c>
    </row>
    <row r="12" spans="1:17" x14ac:dyDescent="0.25">
      <c r="A12" s="10">
        <f>LOG10('Mastercurve bestimmen'!A446)</f>
        <v>3</v>
      </c>
      <c r="B12" s="10">
        <f>LOG10('Mastercurve bestimmen'!B446)</f>
        <v>-1.9092156864793257</v>
      </c>
      <c r="C12" s="10">
        <f>LOG10('Mastercurve bestimmen'!C446)</f>
        <v>-0.29099484920339391</v>
      </c>
      <c r="D12" s="10">
        <f>LOG10('Mastercurve bestimmen'!D446)</f>
        <v>0.80589836634634804</v>
      </c>
      <c r="E12" s="10">
        <f>LOG10('Mastercurve bestimmen'!E446)</f>
        <v>1.7681953455618082</v>
      </c>
      <c r="F12" s="10">
        <f>LOG10('Mastercurve bestimmen'!F446)</f>
        <v>3</v>
      </c>
      <c r="G12" s="10">
        <f>LOG10('Mastercurve bestimmen'!G446)</f>
        <v>5.5691544233853536</v>
      </c>
      <c r="H12" s="10">
        <f>LOG10('Mastercurve bestimmen'!H446)</f>
        <v>8.0791362966854354</v>
      </c>
      <c r="I12" s="3">
        <f>'Mastercurve bestimmen'!I446</f>
        <v>1000</v>
      </c>
      <c r="J12" s="3">
        <f>'Mastercurve bestimmen'!J446</f>
        <v>5330.7810569019748</v>
      </c>
      <c r="K12" s="3">
        <f>'Mastercurve bestimmen'!K446</f>
        <v>4897.7071873573095</v>
      </c>
      <c r="L12" s="3">
        <f>'Mastercurve bestimmen'!L446</f>
        <v>4471.3145751722259</v>
      </c>
      <c r="M12" s="3">
        <f>'Mastercurve bestimmen'!M446</f>
        <v>4066.6104281555185</v>
      </c>
      <c r="N12" s="3">
        <f>'Mastercurve bestimmen'!N446</f>
        <v>3512.6173919241392</v>
      </c>
      <c r="O12" s="3">
        <f>'Mastercurve bestimmen'!O446</f>
        <v>2120.3389527808267</v>
      </c>
      <c r="P12" s="3">
        <f>'Mastercurve bestimmen'!P446</f>
        <v>948.83583319405307</v>
      </c>
    </row>
    <row r="13" spans="1:17" x14ac:dyDescent="0.25">
      <c r="A13" s="10">
        <f>LOG10('Mastercurve bestimmen'!A447)</f>
        <v>4</v>
      </c>
      <c r="B13" s="10">
        <f>LOG10('Mastercurve bestimmen'!B447)</f>
        <v>-0.90921568647932582</v>
      </c>
      <c r="C13" s="10">
        <f>LOG10('Mastercurve bestimmen'!C447)</f>
        <v>0.70900515079660609</v>
      </c>
      <c r="D13" s="10">
        <f>LOG10('Mastercurve bestimmen'!D447)</f>
        <v>1.8058983663463481</v>
      </c>
      <c r="E13" s="10">
        <f>LOG10('Mastercurve bestimmen'!E447)</f>
        <v>2.7681953455618085</v>
      </c>
      <c r="F13" s="10">
        <f>LOG10('Mastercurve bestimmen'!F447)</f>
        <v>4</v>
      </c>
      <c r="G13" s="10">
        <f>LOG10('Mastercurve bestimmen'!G447)</f>
        <v>6.5691544233853536</v>
      </c>
      <c r="H13" s="10">
        <f>LOG10('Mastercurve bestimmen'!H447)</f>
        <v>9.0791362966854354</v>
      </c>
      <c r="I13" s="3">
        <f>'Mastercurve bestimmen'!I447</f>
        <v>10000</v>
      </c>
      <c r="J13" s="3">
        <f>'Mastercurve bestimmen'!J447</f>
        <v>5056.458830124393</v>
      </c>
      <c r="K13" s="3">
        <f>'Mastercurve bestimmen'!K447</f>
        <v>4495.7217042422935</v>
      </c>
      <c r="L13" s="3">
        <f>'Mastercurve bestimmen'!L447</f>
        <v>4031.2545236434685</v>
      </c>
      <c r="M13" s="3">
        <f>'Mastercurve bestimmen'!M447</f>
        <v>3597.5685781370817</v>
      </c>
      <c r="N13" s="3">
        <f>'Mastercurve bestimmen'!N447</f>
        <v>2997.1269883218743</v>
      </c>
      <c r="O13" s="3">
        <f>'Mastercurve bestimmen'!O447</f>
        <v>1549.2251736201158</v>
      </c>
      <c r="P13" s="3">
        <f>'Mastercurve bestimmen'!P447</f>
        <v>739.39486681916139</v>
      </c>
    </row>
    <row r="14" spans="1:17" x14ac:dyDescent="0.25">
      <c r="A14" s="10">
        <f>LOG10('Mastercurve bestimmen'!A448)</f>
        <v>5</v>
      </c>
      <c r="B14" s="10">
        <f>LOG10('Mastercurve bestimmen'!B448)</f>
        <v>9.0784313520674204E-2</v>
      </c>
      <c r="C14" s="10">
        <f>LOG10('Mastercurve bestimmen'!C448)</f>
        <v>1.7090051507966062</v>
      </c>
      <c r="D14" s="10">
        <f>LOG10('Mastercurve bestimmen'!D448)</f>
        <v>2.8058983663463479</v>
      </c>
      <c r="E14" s="10">
        <f>LOG10('Mastercurve bestimmen'!E448)</f>
        <v>3.768195345561808</v>
      </c>
      <c r="F14" s="10">
        <f>LOG10('Mastercurve bestimmen'!F448)</f>
        <v>5</v>
      </c>
      <c r="G14" s="10">
        <f>LOG10('Mastercurve bestimmen'!G448)</f>
        <v>7.5691544233853536</v>
      </c>
      <c r="H14" s="10">
        <f>LOG10('Mastercurve bestimmen'!H448)</f>
        <v>10.079136296685435</v>
      </c>
      <c r="I14" s="3">
        <f>'Mastercurve bestimmen'!I448</f>
        <v>100000</v>
      </c>
      <c r="J14" s="3">
        <f>'Mastercurve bestimmen'!J448</f>
        <v>4685.6312280238881</v>
      </c>
      <c r="K14" s="3">
        <f>'Mastercurve bestimmen'!K448</f>
        <v>4059.1954090175182</v>
      </c>
      <c r="L14" s="3">
        <f>'Mastercurve bestimmen'!L448</f>
        <v>3565.3464541885878</v>
      </c>
      <c r="M14" s="3">
        <f>'Mastercurve bestimmen'!M448</f>
        <v>3102.4717339118838</v>
      </c>
      <c r="N14" s="3">
        <f>'Mastercurve bestimmen'!N448</f>
        <v>2450.4999019800034</v>
      </c>
      <c r="O14" s="3">
        <f>'Mastercurve bestimmen'!O448</f>
        <v>1115.0562509241029</v>
      </c>
      <c r="P14" s="3">
        <f>'Mastercurve bestimmen'!P448</f>
        <v>624.14790659062351</v>
      </c>
    </row>
    <row r="15" spans="1:17" x14ac:dyDescent="0.25">
      <c r="A15" s="10">
        <f>LOG10('Mastercurve bestimmen'!A449)</f>
        <v>6</v>
      </c>
      <c r="B15" s="10">
        <f>LOG10('Mastercurve bestimmen'!B449)</f>
        <v>1.0907843135206743</v>
      </c>
      <c r="C15" s="10">
        <f>LOG10('Mastercurve bestimmen'!C449)</f>
        <v>2.7090051507966062</v>
      </c>
      <c r="D15" s="10">
        <f>LOG10('Mastercurve bestimmen'!D449)</f>
        <v>3.8058983663463479</v>
      </c>
      <c r="E15" s="10">
        <f>LOG10('Mastercurve bestimmen'!E449)</f>
        <v>4.768195345561808</v>
      </c>
      <c r="F15" s="10">
        <f>LOG10('Mastercurve bestimmen'!F449)</f>
        <v>6</v>
      </c>
      <c r="G15" s="10">
        <f>LOG10('Mastercurve bestimmen'!G449)</f>
        <v>8.5691544233853545</v>
      </c>
      <c r="H15" s="10">
        <f>LOG10('Mastercurve bestimmen'!H449)</f>
        <v>11.079136296685435</v>
      </c>
      <c r="I15" s="3">
        <f>'Mastercurve bestimmen'!I449</f>
        <v>1000000</v>
      </c>
      <c r="J15" s="3">
        <f>'Mastercurve bestimmen'!J449</f>
        <v>4271.8299665210579</v>
      </c>
      <c r="K15" s="3">
        <f>'Mastercurve bestimmen'!K449</f>
        <v>3597.5805592338243</v>
      </c>
      <c r="L15" s="3">
        <f>'Mastercurve bestimmen'!L449</f>
        <v>3072.2800042990852</v>
      </c>
      <c r="M15" s="3">
        <f>'Mastercurve bestimmen'!M449</f>
        <v>2568.6205512482802</v>
      </c>
      <c r="N15" s="3">
        <f>'Mastercurve bestimmen'!N449</f>
        <v>1872.1545257089074</v>
      </c>
      <c r="O15" s="3">
        <f>'Mastercurve bestimmen'!O449</f>
        <v>819.57257707159806</v>
      </c>
      <c r="P15" s="3">
        <f>'Mastercurve bestimmen'!P449</f>
        <v>574.84813415628378</v>
      </c>
    </row>
    <row r="16" spans="1:17" x14ac:dyDescent="0.25">
      <c r="A16" s="10">
        <f>LOG10('Mastercurve bestimmen'!A450)</f>
        <v>7</v>
      </c>
      <c r="B16" s="10">
        <f>LOG10('Mastercurve bestimmen'!B450)</f>
        <v>2.0907843135206741</v>
      </c>
      <c r="C16" s="10">
        <f>LOG10('Mastercurve bestimmen'!C450)</f>
        <v>3.7090051507966062</v>
      </c>
      <c r="D16" s="10">
        <f>LOG10('Mastercurve bestimmen'!D450)</f>
        <v>4.8058983663463479</v>
      </c>
      <c r="E16" s="10">
        <f>LOG10('Mastercurve bestimmen'!E450)</f>
        <v>5.768195345561808</v>
      </c>
      <c r="F16" s="10">
        <f>LOG10('Mastercurve bestimmen'!F450)</f>
        <v>7</v>
      </c>
      <c r="G16" s="10">
        <f>LOG10('Mastercurve bestimmen'!G450)</f>
        <v>9.5691544233853545</v>
      </c>
      <c r="H16" s="10">
        <f>LOG10('Mastercurve bestimmen'!H450)</f>
        <v>12.079136296685435</v>
      </c>
      <c r="I16" s="3">
        <f>'Mastercurve bestimmen'!I450</f>
        <v>10000000</v>
      </c>
      <c r="J16" s="3">
        <f>'Mastercurve bestimmen'!J450</f>
        <v>3807.4701999642007</v>
      </c>
      <c r="K16" s="3">
        <f>'Mastercurve bestimmen'!K450</f>
        <v>3113.2980023229825</v>
      </c>
      <c r="L16" s="3">
        <f>'Mastercurve bestimmen'!L450</f>
        <v>2540.7682600840731</v>
      </c>
      <c r="M16" s="3">
        <f>'Mastercurve bestimmen'!M450</f>
        <v>2000.7316961631682</v>
      </c>
      <c r="N16" s="3">
        <f>'Mastercurve bestimmen'!N450</f>
        <v>1367.4511296212941</v>
      </c>
      <c r="O16" s="3">
        <f>'Mastercurve bestimmen'!O450</f>
        <v>672.71182943032534</v>
      </c>
      <c r="P16" s="3">
        <f>'Mastercurve bestimmen'!P450</f>
        <v>540.01941971549797</v>
      </c>
    </row>
    <row r="17" spans="1:16" x14ac:dyDescent="0.25">
      <c r="A17" s="10">
        <f>LOG10('Mastercurve bestimmen'!A451)</f>
        <v>8</v>
      </c>
      <c r="B17" s="10">
        <f>LOG10('Mastercurve bestimmen'!B451)</f>
        <v>3.0907843135206741</v>
      </c>
      <c r="C17" s="10">
        <f>LOG10('Mastercurve bestimmen'!C451)</f>
        <v>4.7090051507966058</v>
      </c>
      <c r="D17" s="10">
        <f>LOG10('Mastercurve bestimmen'!D451)</f>
        <v>5.8058983663463479</v>
      </c>
      <c r="E17" s="10">
        <f>LOG10('Mastercurve bestimmen'!E451)</f>
        <v>6.768195345561808</v>
      </c>
      <c r="F17" s="10">
        <f>LOG10('Mastercurve bestimmen'!F451)</f>
        <v>8</v>
      </c>
      <c r="G17" s="10">
        <f>LOG10('Mastercurve bestimmen'!G451)</f>
        <v>10.569154423385354</v>
      </c>
      <c r="H17" s="10">
        <f>LOG10('Mastercurve bestimmen'!H451)</f>
        <v>13.079136296685435</v>
      </c>
      <c r="I17" s="3">
        <f>'Mastercurve bestimmen'!I451</f>
        <v>100000000</v>
      </c>
      <c r="J17" s="3">
        <f>'Mastercurve bestimmen'!J451</f>
        <v>3333.4500993282409</v>
      </c>
      <c r="K17" s="3">
        <f>'Mastercurve bestimmen'!K451</f>
        <v>2587.1664421745386</v>
      </c>
      <c r="L17" s="3">
        <f>'Mastercurve bestimmen'!L451</f>
        <v>1974.0579457073152</v>
      </c>
      <c r="M17" s="3">
        <f>'Mastercurve bestimmen'!M451</f>
        <v>1467.5042196825975</v>
      </c>
      <c r="N17" s="3">
        <f>'Mastercurve bestimmen'!N451</f>
        <v>983.81195335121254</v>
      </c>
      <c r="O17" s="3">
        <f>'Mastercurve bestimmen'!O451</f>
        <v>592.26686963031818</v>
      </c>
      <c r="P17" s="3">
        <f>'Mastercurve bestimmen'!P451</f>
        <v>522.91431442377564</v>
      </c>
    </row>
    <row r="18" spans="1:16" x14ac:dyDescent="0.25">
      <c r="A18" s="10">
        <f>LOG10('Mastercurve bestimmen'!A452)</f>
        <v>9</v>
      </c>
      <c r="B18" s="10">
        <f>LOG10('Mastercurve bestimmen'!B452)</f>
        <v>4.0907843135206745</v>
      </c>
      <c r="C18" s="10">
        <f>LOG10('Mastercurve bestimmen'!C452)</f>
        <v>5.7090051507966058</v>
      </c>
      <c r="D18" s="10">
        <f>LOG10('Mastercurve bestimmen'!D452)</f>
        <v>6.8058983663463479</v>
      </c>
      <c r="E18" s="10">
        <f>LOG10('Mastercurve bestimmen'!E452)</f>
        <v>7.768195345561808</v>
      </c>
      <c r="F18" s="10">
        <f>LOG10('Mastercurve bestimmen'!F452)</f>
        <v>9</v>
      </c>
      <c r="G18" s="10">
        <f>LOG10('Mastercurve bestimmen'!G452)</f>
        <v>11.569154423385354</v>
      </c>
      <c r="H18" s="10">
        <f>LOG10('Mastercurve bestimmen'!H452)</f>
        <v>14.079136296685435</v>
      </c>
      <c r="I18" s="3">
        <f>'Mastercurve bestimmen'!I452</f>
        <v>1000000000</v>
      </c>
      <c r="J18" s="3">
        <f>'Mastercurve bestimmen'!J452</f>
        <v>2813.9339254547094</v>
      </c>
      <c r="K18" s="3">
        <f>'Mastercurve bestimmen'!K452</f>
        <v>2025.5491425769458</v>
      </c>
      <c r="L18" s="3">
        <f>'Mastercurve bestimmen'!L452</f>
        <v>1447.7693345065175</v>
      </c>
      <c r="M18" s="3">
        <f>'Mastercurve bestimmen'!M452</f>
        <v>1058.8226695409851</v>
      </c>
      <c r="N18" s="3">
        <f>'Mastercurve bestimmen'!N452</f>
        <v>755.24433140254177</v>
      </c>
      <c r="O18" s="3">
        <f>'Mastercurve bestimmen'!O452</f>
        <v>556.12366677692739</v>
      </c>
      <c r="P18" s="3">
        <f>'Mastercurve bestimmen'!P452</f>
        <v>512.28225991416207</v>
      </c>
    </row>
    <row r="19" spans="1:16" x14ac:dyDescent="0.25">
      <c r="A19" s="10">
        <f>LOG10('Mastercurve bestimmen'!A453)</f>
        <v>10</v>
      </c>
      <c r="B19" s="10">
        <f>LOG10('Mastercurve bestimmen'!B453)</f>
        <v>5.0907843135206745</v>
      </c>
      <c r="C19" s="10">
        <f>LOG10('Mastercurve bestimmen'!C453)</f>
        <v>6.7090051507966058</v>
      </c>
      <c r="D19" s="10">
        <f>LOG10('Mastercurve bestimmen'!D453)</f>
        <v>7.8058983663463479</v>
      </c>
      <c r="E19" s="10">
        <f>LOG10('Mastercurve bestimmen'!E453)</f>
        <v>8.7681953455618089</v>
      </c>
      <c r="F19" s="10">
        <f>LOG10('Mastercurve bestimmen'!F453)</f>
        <v>10</v>
      </c>
      <c r="G19" s="10">
        <f>LOG10('Mastercurve bestimmen'!G453)</f>
        <v>12.569154423385354</v>
      </c>
      <c r="H19" s="10">
        <f>LOG10('Mastercurve bestimmen'!H453)</f>
        <v>15.079136296685435</v>
      </c>
      <c r="I19" s="3">
        <f>'Mastercurve bestimmen'!I453</f>
        <v>10000000000</v>
      </c>
      <c r="J19" s="3">
        <f>'Mastercurve bestimmen'!J453</f>
        <v>2264.5753602217969</v>
      </c>
      <c r="K19" s="3">
        <f>'Mastercurve bestimmen'!K453</f>
        <v>1488.3947775442189</v>
      </c>
      <c r="L19" s="3">
        <f>'Mastercurve bestimmen'!L453</f>
        <v>1044.3571981147218</v>
      </c>
      <c r="M19" s="3">
        <f>'Mastercurve bestimmen'!M453</f>
        <v>791.47453302018846</v>
      </c>
      <c r="N19" s="3">
        <f>'Mastercurve bestimmen'!N453</f>
        <v>633.28610309701617</v>
      </c>
      <c r="O19" s="3">
        <f>'Mastercurve bestimmen'!O453</f>
        <v>528.75323853804991</v>
      </c>
      <c r="P19" s="3">
        <f>'Mastercurve bestimmen'!P453</f>
        <v>486.30628203230003</v>
      </c>
    </row>
    <row r="20" spans="1:16" x14ac:dyDescent="0.25">
      <c r="A20" s="10">
        <f>LOG10('Mastercurve bestimmen'!A454)</f>
        <v>11</v>
      </c>
      <c r="B20" s="10">
        <f>LOG10('Mastercurve bestimmen'!B454)</f>
        <v>6.0907843135206745</v>
      </c>
      <c r="C20" s="10">
        <f>LOG10('Mastercurve bestimmen'!C454)</f>
        <v>7.7090051507966058</v>
      </c>
      <c r="D20" s="10">
        <f>LOG10('Mastercurve bestimmen'!D454)</f>
        <v>8.8058983663463479</v>
      </c>
      <c r="E20" s="10">
        <f>LOG10('Mastercurve bestimmen'!E454)</f>
        <v>9.7681953455618089</v>
      </c>
      <c r="F20" s="10">
        <f>LOG10('Mastercurve bestimmen'!F454)</f>
        <v>11</v>
      </c>
      <c r="G20" s="10">
        <f>LOG10('Mastercurve bestimmen'!G454)</f>
        <v>13.569154423385354</v>
      </c>
      <c r="H20" s="10">
        <f>LOG10('Mastercurve bestimmen'!H454)</f>
        <v>16.079136296685434</v>
      </c>
      <c r="I20" s="3">
        <f>'Mastercurve bestimmen'!I454</f>
        <v>100000000000</v>
      </c>
      <c r="J20" s="3">
        <f>'Mastercurve bestimmen'!J454</f>
        <v>1691.7003845109305</v>
      </c>
      <c r="K20" s="3">
        <f>'Mastercurve bestimmen'!K454</f>
        <v>1075.2839868020503</v>
      </c>
      <c r="L20" s="3">
        <f>'Mastercurve bestimmen'!L454</f>
        <v>784.40987612375113</v>
      </c>
      <c r="M20" s="3">
        <f>'Mastercurve bestimmen'!M454</f>
        <v>655.80009654126911</v>
      </c>
      <c r="N20" s="3">
        <f>'Mastercurve bestimmen'!N454</f>
        <v>577.24905136540178</v>
      </c>
      <c r="O20" s="3">
        <f>'Mastercurve bestimmen'!O454</f>
        <v>517.55067575260887</v>
      </c>
      <c r="P20" s="3">
        <f>'Mastercurve bestimmen'!P454</f>
        <v>477.16338311456207</v>
      </c>
    </row>
    <row r="21" spans="1:16" x14ac:dyDescent="0.25">
      <c r="A21" s="10">
        <f>LOG10('Mastercurve bestimmen'!A455)</f>
        <v>12</v>
      </c>
      <c r="B21" s="10">
        <f>LOG10('Mastercurve bestimmen'!B455)</f>
        <v>7.0907843135206745</v>
      </c>
      <c r="C21" s="10">
        <f>LOG10('Mastercurve bestimmen'!C455)</f>
        <v>8.7090051507966066</v>
      </c>
      <c r="D21" s="10">
        <f>LOG10('Mastercurve bestimmen'!D455)</f>
        <v>9.8058983663463479</v>
      </c>
      <c r="E21" s="10">
        <f>LOG10('Mastercurve bestimmen'!E455)</f>
        <v>10.768195345561809</v>
      </c>
      <c r="F21" s="10">
        <f>LOG10('Mastercurve bestimmen'!F455)</f>
        <v>12</v>
      </c>
      <c r="G21" s="10">
        <f>LOG10('Mastercurve bestimmen'!G455)</f>
        <v>14.569154423385354</v>
      </c>
      <c r="H21" s="10">
        <f>LOG10('Mastercurve bestimmen'!H455)</f>
        <v>17.079136296685434</v>
      </c>
      <c r="I21" s="3">
        <f>'Mastercurve bestimmen'!I455</f>
        <v>1000000000000</v>
      </c>
      <c r="J21" s="3">
        <f>'Mastercurve bestimmen'!J455</f>
        <v>1230.3504248927311</v>
      </c>
      <c r="K21" s="3">
        <f>'Mastercurve bestimmen'!K455</f>
        <v>799.60727676982128</v>
      </c>
      <c r="L21" s="3">
        <f>'Mastercurve bestimmen'!L455</f>
        <v>651.40811766035665</v>
      </c>
      <c r="M21" s="3">
        <f>'Mastercurve bestimmen'!M455</f>
        <v>585.43210743850034</v>
      </c>
      <c r="N21" s="3">
        <f>'Mastercurve bestimmen'!N455</f>
        <v>542.56491517927657</v>
      </c>
      <c r="O21" s="3">
        <f>'Mastercurve bestimmen'!O455</f>
        <v>499.76142817308812</v>
      </c>
      <c r="P21" s="3">
        <f>'Mastercurve bestimmen'!P455</f>
        <v>476.22593072507385</v>
      </c>
    </row>
    <row r="22" spans="1:16" x14ac:dyDescent="0.25">
      <c r="A22" s="10">
        <f>LOG10('Mastercurve bestimmen'!A456)</f>
        <v>13</v>
      </c>
      <c r="B22" s="10">
        <f>LOG10('Mastercurve bestimmen'!B456)</f>
        <v>8.0907843135206736</v>
      </c>
      <c r="C22" s="10">
        <f>LOG10('Mastercurve bestimmen'!C456)</f>
        <v>9.7090051507966066</v>
      </c>
      <c r="D22" s="10">
        <f>LOG10('Mastercurve bestimmen'!D456)</f>
        <v>10.805898366346348</v>
      </c>
      <c r="E22" s="10">
        <f>LOG10('Mastercurve bestimmen'!E456)</f>
        <v>11.768195345561809</v>
      </c>
      <c r="F22" s="10">
        <f>LOG10('Mastercurve bestimmen'!F456)</f>
        <v>13</v>
      </c>
      <c r="G22" s="10">
        <f>LOG10('Mastercurve bestimmen'!G456)</f>
        <v>15.569154423385354</v>
      </c>
      <c r="H22" s="10">
        <f>LOG10('Mastercurve bestimmen'!H456)</f>
        <v>18.079136296685434</v>
      </c>
      <c r="I22" s="3">
        <f>'Mastercurve bestimmen'!I456</f>
        <v>10000000000000</v>
      </c>
      <c r="J22" s="3">
        <f>'Mastercurve bestimmen'!J456</f>
        <v>888.25672531905332</v>
      </c>
      <c r="K22" s="3">
        <f>'Mastercurve bestimmen'!K456</f>
        <v>660.84412890819806</v>
      </c>
      <c r="L22" s="3">
        <f>'Mastercurve bestimmen'!L456</f>
        <v>583.80121108393644</v>
      </c>
      <c r="M22" s="3">
        <f>'Mastercurve bestimmen'!M456</f>
        <v>550.22961238933465</v>
      </c>
      <c r="N22" s="3">
        <f>'Mastercurve bestimmen'!N456</f>
        <v>523.04517618896307</v>
      </c>
      <c r="O22" s="3">
        <f>'Mastercurve bestimmen'!O456</f>
        <v>478.96737917397832</v>
      </c>
      <c r="P22" s="3">
        <f>'Mastercurve bestimmen'!P456</f>
        <v>475.98047490013522</v>
      </c>
    </row>
    <row r="23" spans="1:16" x14ac:dyDescent="0.25">
      <c r="A23" s="10">
        <f>LOG10('Mastercurve bestimmen'!A457)</f>
        <v>14</v>
      </c>
      <c r="B23" s="10">
        <f>LOG10('Mastercurve bestimmen'!B457)</f>
        <v>9.0907843135206736</v>
      </c>
      <c r="C23" s="10">
        <f>LOG10('Mastercurve bestimmen'!C457)</f>
        <v>10.709005150796607</v>
      </c>
      <c r="D23" s="10">
        <f>LOG10('Mastercurve bestimmen'!D457)</f>
        <v>11.805898366346348</v>
      </c>
      <c r="E23" s="10">
        <f>LOG10('Mastercurve bestimmen'!E457)</f>
        <v>12.768195345561809</v>
      </c>
      <c r="F23" s="10">
        <f>LOG10('Mastercurve bestimmen'!F457)</f>
        <v>14</v>
      </c>
      <c r="G23" s="10">
        <f>LOG10('Mastercurve bestimmen'!G457)</f>
        <v>16.569154423385353</v>
      </c>
      <c r="H23" s="10">
        <f>LOG10('Mastercurve bestimmen'!H457)</f>
        <v>19.079136296685434</v>
      </c>
      <c r="I23" s="3">
        <f>'Mastercurve bestimmen'!I457</f>
        <v>100000000000000</v>
      </c>
      <c r="J23" s="3">
        <f>'Mastercurve bestimmen'!J457</f>
        <v>708.86645626754114</v>
      </c>
      <c r="K23" s="3">
        <f>'Mastercurve bestimmen'!K457</f>
        <v>587.16779346403064</v>
      </c>
      <c r="L23" s="3">
        <f>'Mastercurve bestimmen'!L457</f>
        <v>548.71871201984641</v>
      </c>
      <c r="M23" s="3">
        <f>'Mastercurve bestimmen'!M457</f>
        <v>525.95012363885235</v>
      </c>
      <c r="N23" s="3">
        <f>'Mastercurve bestimmen'!N457</f>
        <v>513.02385818918287</v>
      </c>
      <c r="O23" s="3">
        <f>'Mastercurve bestimmen'!O457</f>
        <v>475.66972462501121</v>
      </c>
      <c r="P23" s="3">
        <f>'Mastercurve bestimmen'!P457</f>
        <v>475.76724400704541</v>
      </c>
    </row>
    <row r="24" spans="1:16" x14ac:dyDescent="0.25">
      <c r="A24" s="10">
        <f>LOG10('Mastercurve bestimmen'!A458)</f>
        <v>15</v>
      </c>
      <c r="B24" s="10">
        <f>LOG10('Mastercurve bestimmen'!B458)</f>
        <v>10.090784313520674</v>
      </c>
      <c r="C24" s="10">
        <f>LOG10('Mastercurve bestimmen'!C458)</f>
        <v>11.709005150796607</v>
      </c>
      <c r="D24" s="10">
        <f>LOG10('Mastercurve bestimmen'!D458)</f>
        <v>12.805898366346348</v>
      </c>
      <c r="E24" s="10">
        <f>LOG10('Mastercurve bestimmen'!E458)</f>
        <v>13.768195345561809</v>
      </c>
      <c r="F24" s="10">
        <f>LOG10('Mastercurve bestimmen'!F458)</f>
        <v>15</v>
      </c>
      <c r="G24" s="10">
        <f>LOG10('Mastercurve bestimmen'!G458)</f>
        <v>17.569154423385353</v>
      </c>
      <c r="H24" s="10">
        <f>LOG10('Mastercurve bestimmen'!H458)</f>
        <v>20.079136296685434</v>
      </c>
      <c r="I24" s="3">
        <f>'Mastercurve bestimmen'!I458</f>
        <v>1000000000000000</v>
      </c>
      <c r="J24" s="3">
        <f>'Mastercurve bestimmen'!J458</f>
        <v>607.16785102157667</v>
      </c>
      <c r="K24" s="3">
        <f>'Mastercurve bestimmen'!K458</f>
        <v>551.91226878266252</v>
      </c>
      <c r="L24" s="3">
        <f>'Mastercurve bestimmen'!L458</f>
        <v>525.29950476563715</v>
      </c>
      <c r="M24" s="3">
        <f>'Mastercurve bestimmen'!M458</f>
        <v>515.3503886433972</v>
      </c>
      <c r="N24" s="3">
        <f>'Mastercurve bestimmen'!N458</f>
        <v>488.70376604058401</v>
      </c>
      <c r="O24" s="3">
        <f>'Mastercurve bestimmen'!O458</f>
        <v>475.44842733478526</v>
      </c>
      <c r="P24" s="3">
        <f>'Mastercurve bestimmen'!P458</f>
        <v>475.55412653805064</v>
      </c>
    </row>
    <row r="25" spans="1:16" x14ac:dyDescent="0.25">
      <c r="A25" s="10" t="e">
        <f>LOG10('Mastercurve bestimmen'!A459)</f>
        <v>#REF!</v>
      </c>
      <c r="B25" s="10" t="e">
        <f>LOG10('Mastercurve bestimmen'!B459)</f>
        <v>#REF!</v>
      </c>
      <c r="C25" s="10" t="e">
        <f>LOG10('Mastercurve bestimmen'!C459)</f>
        <v>#REF!</v>
      </c>
      <c r="D25" s="10" t="e">
        <f>LOG10('Mastercurve bestimmen'!D459)</f>
        <v>#REF!</v>
      </c>
      <c r="E25" s="10" t="e">
        <f>LOG10('Mastercurve bestimmen'!E459)</f>
        <v>#REF!</v>
      </c>
      <c r="F25" s="10" t="e">
        <f>LOG10('Mastercurve bestimmen'!F459)</f>
        <v>#REF!</v>
      </c>
      <c r="G25" s="10" t="e">
        <f>LOG10('Mastercurve bestimmen'!G459)</f>
        <v>#REF!</v>
      </c>
      <c r="H25" s="10" t="e">
        <f>LOG10('Mastercurve bestimmen'!H459)</f>
        <v>#REF!</v>
      </c>
      <c r="I25" s="3" t="e">
        <f>'Mastercurve bestimmen'!I459</f>
        <v>#REF!</v>
      </c>
      <c r="J25" s="3" t="e">
        <f>'Mastercurve bestimmen'!J459</f>
        <v>#REF!</v>
      </c>
      <c r="K25" s="3" t="e">
        <f>'Mastercurve bestimmen'!K459</f>
        <v>#REF!</v>
      </c>
      <c r="L25" s="3" t="e">
        <f>'Mastercurve bestimmen'!L459</f>
        <v>#REF!</v>
      </c>
      <c r="M25" s="3" t="e">
        <f>'Mastercurve bestimmen'!M459</f>
        <v>#REF!</v>
      </c>
      <c r="N25" s="3" t="e">
        <f>'Mastercurve bestimmen'!N459</f>
        <v>#REF!</v>
      </c>
      <c r="O25" s="3" t="e">
        <f>'Mastercurve bestimmen'!O459</f>
        <v>#REF!</v>
      </c>
      <c r="P25" s="3" t="e">
        <f>'Mastercurve bestimmen'!P459</f>
        <v>#REF!</v>
      </c>
    </row>
    <row r="26" spans="1:16" x14ac:dyDescent="0.25">
      <c r="A26" s="10" t="e">
        <f>LOG10('Mastercurve bestimmen'!A460)</f>
        <v>#REF!</v>
      </c>
      <c r="B26" s="10" t="e">
        <f>LOG10('Mastercurve bestimmen'!B460)</f>
        <v>#REF!</v>
      </c>
      <c r="C26" s="10" t="e">
        <f>LOG10('Mastercurve bestimmen'!C460)</f>
        <v>#REF!</v>
      </c>
      <c r="D26" s="10" t="e">
        <f>LOG10('Mastercurve bestimmen'!D460)</f>
        <v>#REF!</v>
      </c>
      <c r="E26" s="10" t="e">
        <f>LOG10('Mastercurve bestimmen'!E460)</f>
        <v>#REF!</v>
      </c>
      <c r="F26" s="10" t="e">
        <f>LOG10('Mastercurve bestimmen'!F460)</f>
        <v>#REF!</v>
      </c>
      <c r="G26" s="10" t="e">
        <f>LOG10('Mastercurve bestimmen'!G460)</f>
        <v>#REF!</v>
      </c>
      <c r="H26" s="10" t="e">
        <f>LOG10('Mastercurve bestimmen'!H460)</f>
        <v>#REF!</v>
      </c>
      <c r="I26" s="3" t="e">
        <f>'Mastercurve bestimmen'!I460</f>
        <v>#REF!</v>
      </c>
      <c r="J26" s="3" t="e">
        <f>'Mastercurve bestimmen'!J460</f>
        <v>#REF!</v>
      </c>
      <c r="K26" s="3" t="e">
        <f>'Mastercurve bestimmen'!K460</f>
        <v>#REF!</v>
      </c>
      <c r="L26" s="3" t="e">
        <f>'Mastercurve bestimmen'!L460</f>
        <v>#REF!</v>
      </c>
      <c r="M26" s="3" t="e">
        <f>'Mastercurve bestimmen'!M460</f>
        <v>#REF!</v>
      </c>
      <c r="N26" s="3" t="e">
        <f>'Mastercurve bestimmen'!N460</f>
        <v>#REF!</v>
      </c>
      <c r="O26" s="3" t="e">
        <f>'Mastercurve bestimmen'!O460</f>
        <v>#REF!</v>
      </c>
      <c r="P26" s="3" t="e">
        <f>'Mastercurve bestimmen'!P460</f>
        <v>#REF!</v>
      </c>
    </row>
    <row r="27" spans="1:16" x14ac:dyDescent="0.25">
      <c r="A27" s="10" t="e">
        <f>LOG10('Mastercurve bestimmen'!A461)</f>
        <v>#REF!</v>
      </c>
      <c r="B27" s="10" t="e">
        <f>LOG10('Mastercurve bestimmen'!B461)</f>
        <v>#REF!</v>
      </c>
      <c r="C27" s="10" t="e">
        <f>LOG10('Mastercurve bestimmen'!C461)</f>
        <v>#REF!</v>
      </c>
      <c r="D27" s="10" t="e">
        <f>LOG10('Mastercurve bestimmen'!D461)</f>
        <v>#REF!</v>
      </c>
      <c r="E27" s="10" t="e">
        <f>LOG10('Mastercurve bestimmen'!E461)</f>
        <v>#REF!</v>
      </c>
      <c r="F27" s="10" t="e">
        <f>LOG10('Mastercurve bestimmen'!F461)</f>
        <v>#REF!</v>
      </c>
      <c r="G27" s="10" t="e">
        <f>LOG10('Mastercurve bestimmen'!G461)</f>
        <v>#REF!</v>
      </c>
      <c r="H27" s="10" t="e">
        <f>LOG10('Mastercurve bestimmen'!H461)</f>
        <v>#REF!</v>
      </c>
      <c r="I27" s="3" t="e">
        <f>'Mastercurve bestimmen'!I461</f>
        <v>#REF!</v>
      </c>
      <c r="J27" s="3" t="e">
        <f>'Mastercurve bestimmen'!J461</f>
        <v>#REF!</v>
      </c>
      <c r="K27" s="3" t="e">
        <f>'Mastercurve bestimmen'!K461</f>
        <v>#REF!</v>
      </c>
      <c r="L27" s="3" t="e">
        <f>'Mastercurve bestimmen'!L461</f>
        <v>#REF!</v>
      </c>
      <c r="M27" s="3" t="e">
        <f>'Mastercurve bestimmen'!M461</f>
        <v>#REF!</v>
      </c>
      <c r="N27" s="3" t="e">
        <f>'Mastercurve bestimmen'!N461</f>
        <v>#REF!</v>
      </c>
      <c r="O27" s="3" t="e">
        <f>'Mastercurve bestimmen'!O461</f>
        <v>#REF!</v>
      </c>
      <c r="P27" s="3" t="e">
        <f>'Mastercurve bestimmen'!P461</f>
        <v>#REF!</v>
      </c>
    </row>
    <row r="28" spans="1:16" x14ac:dyDescent="0.25">
      <c r="A28" s="10" t="e">
        <f>LOG10('Mastercurve bestimmen'!A462)</f>
        <v>#REF!</v>
      </c>
      <c r="B28" s="10" t="e">
        <f>LOG10('Mastercurve bestimmen'!B462)</f>
        <v>#REF!</v>
      </c>
      <c r="C28" s="10" t="e">
        <f>LOG10('Mastercurve bestimmen'!C462)</f>
        <v>#REF!</v>
      </c>
      <c r="D28" s="10" t="e">
        <f>LOG10('Mastercurve bestimmen'!D462)</f>
        <v>#REF!</v>
      </c>
      <c r="E28" s="10" t="e">
        <f>LOG10('Mastercurve bestimmen'!E462)</f>
        <v>#REF!</v>
      </c>
      <c r="F28" s="10" t="e">
        <f>LOG10('Mastercurve bestimmen'!F462)</f>
        <v>#REF!</v>
      </c>
      <c r="G28" s="10" t="e">
        <f>LOG10('Mastercurve bestimmen'!G462)</f>
        <v>#REF!</v>
      </c>
      <c r="H28" s="10" t="e">
        <f>LOG10('Mastercurve bestimmen'!H462)</f>
        <v>#REF!</v>
      </c>
      <c r="I28" s="3" t="e">
        <f>'Mastercurve bestimmen'!I462</f>
        <v>#REF!</v>
      </c>
      <c r="J28" s="3" t="e">
        <f>'Mastercurve bestimmen'!J462</f>
        <v>#REF!</v>
      </c>
      <c r="K28" s="3" t="e">
        <f>'Mastercurve bestimmen'!K462</f>
        <v>#REF!</v>
      </c>
      <c r="L28" s="3" t="e">
        <f>'Mastercurve bestimmen'!L462</f>
        <v>#REF!</v>
      </c>
      <c r="M28" s="3" t="e">
        <f>'Mastercurve bestimmen'!M462</f>
        <v>#REF!</v>
      </c>
      <c r="N28" s="3" t="e">
        <f>'Mastercurve bestimmen'!N462</f>
        <v>#REF!</v>
      </c>
      <c r="O28" s="3" t="e">
        <f>'Mastercurve bestimmen'!O462</f>
        <v>#REF!</v>
      </c>
      <c r="P28" s="3" t="e">
        <f>'Mastercurve bestimmen'!P462</f>
        <v>#REF!</v>
      </c>
    </row>
    <row r="29" spans="1:16" x14ac:dyDescent="0.25">
      <c r="A29" s="10" t="e">
        <f>LOG10('Mastercurve bestimmen'!A463)</f>
        <v>#REF!</v>
      </c>
      <c r="B29" s="10" t="e">
        <f>LOG10('Mastercurve bestimmen'!B463)</f>
        <v>#REF!</v>
      </c>
      <c r="C29" s="10" t="e">
        <f>LOG10('Mastercurve bestimmen'!C463)</f>
        <v>#REF!</v>
      </c>
      <c r="D29" s="10" t="e">
        <f>LOG10('Mastercurve bestimmen'!D463)</f>
        <v>#REF!</v>
      </c>
      <c r="E29" s="10" t="e">
        <f>LOG10('Mastercurve bestimmen'!E463)</f>
        <v>#REF!</v>
      </c>
      <c r="F29" s="10" t="e">
        <f>LOG10('Mastercurve bestimmen'!F463)</f>
        <v>#REF!</v>
      </c>
      <c r="G29" s="10" t="e">
        <f>LOG10('Mastercurve bestimmen'!G463)</f>
        <v>#REF!</v>
      </c>
      <c r="H29" s="10" t="e">
        <f>LOG10('Mastercurve bestimmen'!H463)</f>
        <v>#REF!</v>
      </c>
      <c r="I29" s="3" t="e">
        <f>'Mastercurve bestimmen'!I463</f>
        <v>#REF!</v>
      </c>
      <c r="J29" s="3" t="e">
        <f>'Mastercurve bestimmen'!J463</f>
        <v>#REF!</v>
      </c>
      <c r="K29" s="3" t="e">
        <f>'Mastercurve bestimmen'!K463</f>
        <v>#REF!</v>
      </c>
      <c r="L29" s="3" t="e">
        <f>'Mastercurve bestimmen'!L463</f>
        <v>#REF!</v>
      </c>
      <c r="M29" s="3" t="e">
        <f>'Mastercurve bestimmen'!M463</f>
        <v>#REF!</v>
      </c>
      <c r="N29" s="3" t="e">
        <f>'Mastercurve bestimmen'!N463</f>
        <v>#REF!</v>
      </c>
      <c r="O29" s="3" t="e">
        <f>'Mastercurve bestimmen'!O463</f>
        <v>#REF!</v>
      </c>
      <c r="P29" s="3" t="e">
        <f>'Mastercurve bestimmen'!P463</f>
        <v>#REF!</v>
      </c>
    </row>
    <row r="30" spans="1:16" x14ac:dyDescent="0.25">
      <c r="A30" s="10" t="e">
        <f>LOG10('Mastercurve bestimmen'!A464)</f>
        <v>#REF!</v>
      </c>
      <c r="B30" s="10" t="e">
        <f>LOG10('Mastercurve bestimmen'!B464)</f>
        <v>#REF!</v>
      </c>
      <c r="C30" s="10" t="e">
        <f>LOG10('Mastercurve bestimmen'!C464)</f>
        <v>#REF!</v>
      </c>
      <c r="D30" s="10" t="e">
        <f>LOG10('Mastercurve bestimmen'!D464)</f>
        <v>#REF!</v>
      </c>
      <c r="E30" s="10" t="e">
        <f>LOG10('Mastercurve bestimmen'!E464)</f>
        <v>#REF!</v>
      </c>
      <c r="F30" s="10" t="e">
        <f>LOG10('Mastercurve bestimmen'!F464)</f>
        <v>#REF!</v>
      </c>
      <c r="G30" s="10" t="e">
        <f>LOG10('Mastercurve bestimmen'!G464)</f>
        <v>#REF!</v>
      </c>
      <c r="H30" s="10" t="e">
        <f>LOG10('Mastercurve bestimmen'!H464)</f>
        <v>#REF!</v>
      </c>
      <c r="I30" s="3" t="e">
        <f>'Mastercurve bestimmen'!I464</f>
        <v>#REF!</v>
      </c>
      <c r="J30" s="3" t="e">
        <f>'Mastercurve bestimmen'!J464</f>
        <v>#REF!</v>
      </c>
      <c r="K30" s="3" t="e">
        <f>'Mastercurve bestimmen'!K464</f>
        <v>#REF!</v>
      </c>
      <c r="L30" s="3" t="e">
        <f>'Mastercurve bestimmen'!L464</f>
        <v>#REF!</v>
      </c>
      <c r="M30" s="3" t="e">
        <f>'Mastercurve bestimmen'!M464</f>
        <v>#REF!</v>
      </c>
      <c r="N30" s="3" t="e">
        <f>'Mastercurve bestimmen'!N464</f>
        <v>#REF!</v>
      </c>
      <c r="O30" s="3" t="e">
        <f>'Mastercurve bestimmen'!O464</f>
        <v>#REF!</v>
      </c>
      <c r="P30" s="3" t="e">
        <f>'Mastercurve bestimmen'!P464</f>
        <v>#REF!</v>
      </c>
    </row>
    <row r="31" spans="1:16" x14ac:dyDescent="0.25">
      <c r="A31" s="10" t="e">
        <f>LOG10('Mastercurve bestimmen'!A465)</f>
        <v>#REF!</v>
      </c>
      <c r="B31" s="10" t="e">
        <f>LOG10('Mastercurve bestimmen'!B465)</f>
        <v>#REF!</v>
      </c>
      <c r="C31" s="10" t="e">
        <f>LOG10('Mastercurve bestimmen'!C465)</f>
        <v>#REF!</v>
      </c>
      <c r="D31" s="10" t="e">
        <f>LOG10('Mastercurve bestimmen'!D465)</f>
        <v>#REF!</v>
      </c>
      <c r="E31" s="10" t="e">
        <f>LOG10('Mastercurve bestimmen'!E465)</f>
        <v>#REF!</v>
      </c>
      <c r="F31" s="10" t="e">
        <f>LOG10('Mastercurve bestimmen'!F465)</f>
        <v>#REF!</v>
      </c>
      <c r="G31" s="10" t="e">
        <f>LOG10('Mastercurve bestimmen'!G465)</f>
        <v>#REF!</v>
      </c>
      <c r="H31" s="10" t="e">
        <f>LOG10('Mastercurve bestimmen'!H465)</f>
        <v>#REF!</v>
      </c>
      <c r="I31" s="3" t="e">
        <f>'Mastercurve bestimmen'!I465</f>
        <v>#REF!</v>
      </c>
      <c r="J31" s="3" t="e">
        <f>'Mastercurve bestimmen'!J465</f>
        <v>#REF!</v>
      </c>
      <c r="K31" s="3" t="e">
        <f>'Mastercurve bestimmen'!K465</f>
        <v>#REF!</v>
      </c>
      <c r="L31" s="3" t="e">
        <f>'Mastercurve bestimmen'!L465</f>
        <v>#REF!</v>
      </c>
      <c r="M31" s="3" t="e">
        <f>'Mastercurve bestimmen'!M465</f>
        <v>#REF!</v>
      </c>
      <c r="N31" s="3" t="e">
        <f>'Mastercurve bestimmen'!N465</f>
        <v>#REF!</v>
      </c>
      <c r="O31" s="3" t="e">
        <f>'Mastercurve bestimmen'!O465</f>
        <v>#REF!</v>
      </c>
      <c r="P31" s="3" t="e">
        <f>'Mastercurve bestimmen'!P465</f>
        <v>#REF!</v>
      </c>
    </row>
    <row r="32" spans="1:16" x14ac:dyDescent="0.25">
      <c r="A32" s="10" t="e">
        <f>LOG10('Mastercurve bestimmen'!A466)</f>
        <v>#REF!</v>
      </c>
      <c r="B32" s="10" t="e">
        <f>LOG10('Mastercurve bestimmen'!B466)</f>
        <v>#REF!</v>
      </c>
      <c r="C32" s="10" t="e">
        <f>LOG10('Mastercurve bestimmen'!C466)</f>
        <v>#REF!</v>
      </c>
      <c r="D32" s="10" t="e">
        <f>LOG10('Mastercurve bestimmen'!D466)</f>
        <v>#REF!</v>
      </c>
      <c r="E32" s="10" t="e">
        <f>LOG10('Mastercurve bestimmen'!E466)</f>
        <v>#REF!</v>
      </c>
      <c r="F32" s="10" t="e">
        <f>LOG10('Mastercurve bestimmen'!F466)</f>
        <v>#REF!</v>
      </c>
      <c r="G32" s="10" t="e">
        <f>LOG10('Mastercurve bestimmen'!G466)</f>
        <v>#REF!</v>
      </c>
      <c r="H32" s="10" t="e">
        <f>LOG10('Mastercurve bestimmen'!H466)</f>
        <v>#REF!</v>
      </c>
      <c r="I32" s="3" t="e">
        <f>'Mastercurve bestimmen'!I466</f>
        <v>#REF!</v>
      </c>
      <c r="J32" s="3" t="e">
        <f>'Mastercurve bestimmen'!J466</f>
        <v>#REF!</v>
      </c>
      <c r="K32" s="3" t="e">
        <f>'Mastercurve bestimmen'!K466</f>
        <v>#REF!</v>
      </c>
      <c r="L32" s="3" t="e">
        <f>'Mastercurve bestimmen'!L466</f>
        <v>#REF!</v>
      </c>
      <c r="M32" s="3" t="e">
        <f>'Mastercurve bestimmen'!M466</f>
        <v>#REF!</v>
      </c>
      <c r="N32" s="3" t="e">
        <f>'Mastercurve bestimmen'!N466</f>
        <v>#REF!</v>
      </c>
      <c r="O32" s="3" t="e">
        <f>'Mastercurve bestimmen'!O466</f>
        <v>#REF!</v>
      </c>
      <c r="P32" s="3" t="e">
        <f>'Mastercurve bestimmen'!P466</f>
        <v>#REF!</v>
      </c>
    </row>
    <row r="33" spans="1:16" x14ac:dyDescent="0.25">
      <c r="A33" s="10" t="e">
        <f>LOG10('Mastercurve bestimmen'!A467)</f>
        <v>#REF!</v>
      </c>
      <c r="B33" s="10" t="e">
        <f>LOG10('Mastercurve bestimmen'!B467)</f>
        <v>#REF!</v>
      </c>
      <c r="C33" s="10" t="e">
        <f>LOG10('Mastercurve bestimmen'!C467)</f>
        <v>#REF!</v>
      </c>
      <c r="D33" s="10" t="e">
        <f>LOG10('Mastercurve bestimmen'!D467)</f>
        <v>#REF!</v>
      </c>
      <c r="E33" s="10" t="e">
        <f>LOG10('Mastercurve bestimmen'!E467)</f>
        <v>#REF!</v>
      </c>
      <c r="F33" s="10" t="e">
        <f>LOG10('Mastercurve bestimmen'!F467)</f>
        <v>#REF!</v>
      </c>
      <c r="G33" s="10" t="e">
        <f>LOG10('Mastercurve bestimmen'!G467)</f>
        <v>#REF!</v>
      </c>
      <c r="H33" s="10" t="e">
        <f>LOG10('Mastercurve bestimmen'!H467)</f>
        <v>#REF!</v>
      </c>
      <c r="I33" s="3" t="e">
        <f>'Mastercurve bestimmen'!I467</f>
        <v>#REF!</v>
      </c>
      <c r="J33" s="3" t="e">
        <f>'Mastercurve bestimmen'!J467</f>
        <v>#REF!</v>
      </c>
      <c r="K33" s="3" t="e">
        <f>'Mastercurve bestimmen'!K467</f>
        <v>#REF!</v>
      </c>
      <c r="L33" s="3" t="e">
        <f>'Mastercurve bestimmen'!L467</f>
        <v>#REF!</v>
      </c>
      <c r="M33" s="3" t="e">
        <f>'Mastercurve bestimmen'!M467</f>
        <v>#REF!</v>
      </c>
      <c r="N33" s="3" t="e">
        <f>'Mastercurve bestimmen'!N467</f>
        <v>#REF!</v>
      </c>
      <c r="O33" s="3" t="e">
        <f>'Mastercurve bestimmen'!O467</f>
        <v>#REF!</v>
      </c>
      <c r="P33" s="3" t="e">
        <f>'Mastercurve bestimmen'!P467</f>
        <v>#REF!</v>
      </c>
    </row>
    <row r="34" spans="1:16" x14ac:dyDescent="0.25">
      <c r="A34" s="10" t="e">
        <f>LOG10('Mastercurve bestimmen'!A468)</f>
        <v>#REF!</v>
      </c>
      <c r="B34" s="10" t="e">
        <f>LOG10('Mastercurve bestimmen'!B468)</f>
        <v>#REF!</v>
      </c>
      <c r="C34" s="10" t="e">
        <f>LOG10('Mastercurve bestimmen'!C468)</f>
        <v>#REF!</v>
      </c>
      <c r="D34" s="10" t="e">
        <f>LOG10('Mastercurve bestimmen'!D468)</f>
        <v>#REF!</v>
      </c>
      <c r="E34" s="10" t="e">
        <f>LOG10('Mastercurve bestimmen'!E468)</f>
        <v>#REF!</v>
      </c>
      <c r="F34" s="10" t="e">
        <f>LOG10('Mastercurve bestimmen'!F468)</f>
        <v>#REF!</v>
      </c>
      <c r="G34" s="10" t="e">
        <f>LOG10('Mastercurve bestimmen'!G468)</f>
        <v>#REF!</v>
      </c>
      <c r="H34" s="10" t="e">
        <f>LOG10('Mastercurve bestimmen'!H468)</f>
        <v>#REF!</v>
      </c>
      <c r="I34" s="3" t="e">
        <f>'Mastercurve bestimmen'!I468</f>
        <v>#REF!</v>
      </c>
      <c r="J34" s="3" t="e">
        <f>'Mastercurve bestimmen'!J468</f>
        <v>#REF!</v>
      </c>
      <c r="K34" s="3" t="e">
        <f>'Mastercurve bestimmen'!K468</f>
        <v>#REF!</v>
      </c>
      <c r="L34" s="3" t="e">
        <f>'Mastercurve bestimmen'!L468</f>
        <v>#REF!</v>
      </c>
      <c r="M34" s="3" t="e">
        <f>'Mastercurve bestimmen'!M468</f>
        <v>#REF!</v>
      </c>
      <c r="N34" s="3" t="e">
        <f>'Mastercurve bestimmen'!N468</f>
        <v>#REF!</v>
      </c>
      <c r="O34" s="3" t="e">
        <f>'Mastercurve bestimmen'!O468</f>
        <v>#REF!</v>
      </c>
      <c r="P34" s="3" t="e">
        <f>'Mastercurve bestimmen'!P468</f>
        <v>#REF!</v>
      </c>
    </row>
    <row r="35" spans="1:16" x14ac:dyDescent="0.25">
      <c r="A35" s="3"/>
      <c r="B35" s="3"/>
      <c r="C35" s="3"/>
      <c r="D35" s="3"/>
      <c r="E35" s="3"/>
      <c r="F35" s="3"/>
      <c r="G35" s="3"/>
      <c r="H35" s="3"/>
      <c r="I35" s="3"/>
      <c r="J35" s="3"/>
      <c r="K35" s="3"/>
      <c r="L35" s="3"/>
      <c r="M35" s="3"/>
      <c r="N35" s="3"/>
      <c r="O35" s="3"/>
      <c r="P35" s="3"/>
    </row>
    <row r="36" spans="1:16" x14ac:dyDescent="0.25">
      <c r="A36" s="3" t="s">
        <v>165</v>
      </c>
      <c r="B36" s="3"/>
      <c r="C36" s="3"/>
      <c r="D36" s="3"/>
      <c r="E36" s="3"/>
      <c r="F36" s="3"/>
      <c r="G36" s="3"/>
      <c r="H36" s="3"/>
      <c r="I36" s="3"/>
      <c r="J36" s="3"/>
      <c r="K36" s="3"/>
      <c r="L36" s="3"/>
      <c r="M36" s="3"/>
      <c r="N36" s="3"/>
      <c r="O36" s="3"/>
      <c r="P36" s="3"/>
    </row>
    <row r="37" spans="1:16" x14ac:dyDescent="0.25">
      <c r="A37" s="119">
        <f>-15</f>
        <v>-15</v>
      </c>
      <c r="B37" s="3"/>
      <c r="C37" s="3">
        <v>4721.7554370863636</v>
      </c>
      <c r="D37" s="3">
        <v>4370.1089620620942</v>
      </c>
      <c r="E37" s="3">
        <v>3942.1738264567325</v>
      </c>
      <c r="F37" s="3">
        <v>3484.455930574185</v>
      </c>
      <c r="G37" s="3">
        <v>2450.4999019800034</v>
      </c>
      <c r="H37" s="3">
        <v>1348.7811436221966</v>
      </c>
      <c r="I37" s="3"/>
      <c r="J37" s="3"/>
      <c r="K37" s="3"/>
      <c r="L37" s="3"/>
      <c r="M37" s="3"/>
      <c r="N37" s="3"/>
      <c r="O37" s="3"/>
      <c r="P37" s="3"/>
    </row>
    <row r="38" spans="1:16" x14ac:dyDescent="0.25">
      <c r="A38" s="120">
        <f>A37+1</f>
        <v>-14</v>
      </c>
      <c r="B38" s="3"/>
      <c r="C38" s="3">
        <v>4721.7554370863636</v>
      </c>
      <c r="D38" s="3">
        <v>4370.1089620620942</v>
      </c>
      <c r="E38" s="3">
        <v>3942.1738264567325</v>
      </c>
      <c r="F38" s="3">
        <v>3484.455930574185</v>
      </c>
      <c r="G38" s="3">
        <v>2450.4999019800034</v>
      </c>
      <c r="H38" s="3">
        <v>1348.7811436221966</v>
      </c>
      <c r="I38" s="3"/>
      <c r="J38" s="3"/>
      <c r="K38" s="3"/>
      <c r="L38" s="3"/>
      <c r="M38" s="3"/>
      <c r="N38" s="3"/>
      <c r="O38" s="3"/>
      <c r="P38" s="3"/>
    </row>
    <row r="39" spans="1:16" x14ac:dyDescent="0.25">
      <c r="A39" s="120">
        <f t="shared" ref="A39:A67" si="0">A38+1</f>
        <v>-13</v>
      </c>
      <c r="B39" s="3"/>
      <c r="C39" s="3">
        <v>4721.7554370863636</v>
      </c>
      <c r="D39" s="3">
        <v>4370.1089620620942</v>
      </c>
      <c r="E39" s="3">
        <v>3942.1738264567325</v>
      </c>
      <c r="F39" s="3">
        <v>3484.455930574185</v>
      </c>
      <c r="G39" s="3">
        <v>2450.4999019800034</v>
      </c>
      <c r="H39" s="3">
        <v>1348.7811436221966</v>
      </c>
      <c r="I39" s="3"/>
      <c r="J39" s="3"/>
      <c r="K39" s="3"/>
      <c r="L39" s="3"/>
      <c r="M39" s="3"/>
      <c r="N39" s="3"/>
      <c r="O39" s="3"/>
      <c r="P39" s="3"/>
    </row>
    <row r="40" spans="1:16" x14ac:dyDescent="0.25">
      <c r="A40" s="120">
        <f t="shared" si="0"/>
        <v>-12</v>
      </c>
      <c r="B40" s="3"/>
      <c r="C40" s="3">
        <v>4721.7554370863636</v>
      </c>
      <c r="D40" s="3">
        <v>4370.1089620620942</v>
      </c>
      <c r="E40" s="3">
        <v>3942.1738264567325</v>
      </c>
      <c r="F40" s="3">
        <v>3484.455930574185</v>
      </c>
      <c r="G40" s="3">
        <v>2450.4999019800034</v>
      </c>
      <c r="H40" s="3">
        <v>1348.7811436221966</v>
      </c>
      <c r="I40" s="3"/>
      <c r="J40" s="3"/>
      <c r="K40" s="3"/>
      <c r="L40" s="3"/>
      <c r="M40" s="3"/>
      <c r="N40" s="3"/>
      <c r="O40" s="3"/>
      <c r="P40" s="3"/>
    </row>
    <row r="41" spans="1:16" x14ac:dyDescent="0.25">
      <c r="A41" s="120">
        <f t="shared" si="0"/>
        <v>-11</v>
      </c>
      <c r="B41" s="3"/>
      <c r="C41" s="3">
        <v>4721.7554370863636</v>
      </c>
      <c r="D41" s="3">
        <v>4370.1089620620942</v>
      </c>
      <c r="E41" s="3">
        <v>3942.1738264567325</v>
      </c>
      <c r="F41" s="3">
        <v>3484.455930574185</v>
      </c>
      <c r="G41" s="3">
        <v>2450.4999019800034</v>
      </c>
      <c r="H41" s="3">
        <v>1348.7811436221966</v>
      </c>
      <c r="I41" s="3"/>
      <c r="J41" s="3"/>
      <c r="K41" s="3"/>
      <c r="L41" s="3"/>
      <c r="M41" s="3"/>
      <c r="N41" s="3"/>
      <c r="O41" s="3"/>
      <c r="P41" s="3"/>
    </row>
    <row r="42" spans="1:16" x14ac:dyDescent="0.25">
      <c r="A42" s="120">
        <f t="shared" si="0"/>
        <v>-10</v>
      </c>
      <c r="B42" s="3"/>
      <c r="C42" s="3">
        <v>4721.7554370863636</v>
      </c>
      <c r="D42" s="3">
        <v>4370.1089620620942</v>
      </c>
      <c r="E42" s="3">
        <v>3942.1738264567325</v>
      </c>
      <c r="F42" s="3">
        <v>3484.455930574185</v>
      </c>
      <c r="G42" s="3">
        <v>2450.4999019800034</v>
      </c>
      <c r="H42" s="3">
        <v>1348.7811436221966</v>
      </c>
      <c r="I42" s="3"/>
      <c r="J42" s="3"/>
      <c r="K42" s="3"/>
      <c r="L42" s="3"/>
      <c r="M42" s="3"/>
      <c r="N42" s="3"/>
      <c r="O42" s="3"/>
      <c r="P42" s="3"/>
    </row>
    <row r="43" spans="1:16" x14ac:dyDescent="0.25">
      <c r="A43" s="120">
        <f t="shared" si="0"/>
        <v>-9</v>
      </c>
      <c r="B43" s="3">
        <v>7602.5920165015468</v>
      </c>
      <c r="C43" s="3">
        <v>4721.7554370863636</v>
      </c>
      <c r="D43" s="3">
        <v>4370.1089620620942</v>
      </c>
      <c r="E43" s="3">
        <v>3942.1738264567325</v>
      </c>
      <c r="F43" s="3">
        <v>3484.455930574185</v>
      </c>
      <c r="G43" s="3">
        <v>2450.4999019800034</v>
      </c>
      <c r="H43" s="3">
        <v>1348.7811436221966</v>
      </c>
      <c r="I43" s="3"/>
      <c r="J43" s="3"/>
      <c r="K43" s="3"/>
      <c r="L43" s="3"/>
      <c r="M43" s="3"/>
      <c r="N43" s="3"/>
      <c r="O43" s="3"/>
      <c r="P43" s="3"/>
    </row>
    <row r="44" spans="1:16" x14ac:dyDescent="0.25">
      <c r="A44" s="120">
        <f t="shared" si="0"/>
        <v>-8</v>
      </c>
      <c r="B44" s="3">
        <v>7249.987779746918</v>
      </c>
      <c r="C44" s="3">
        <v>7336.1333940096556</v>
      </c>
      <c r="D44" s="3">
        <v>4370.1089620620942</v>
      </c>
      <c r="E44" s="3">
        <v>3942.1738264567325</v>
      </c>
      <c r="F44" s="3">
        <v>3484.455930574185</v>
      </c>
      <c r="G44" s="3">
        <v>2450.4999019800034</v>
      </c>
      <c r="H44" s="3">
        <v>1348.7811436221966</v>
      </c>
      <c r="I44" s="3"/>
      <c r="J44" s="3"/>
      <c r="K44" s="3"/>
      <c r="L44" s="3"/>
      <c r="M44" s="3"/>
      <c r="N44" s="3"/>
      <c r="O44" s="3"/>
      <c r="P44" s="3"/>
    </row>
    <row r="45" spans="1:16" x14ac:dyDescent="0.25">
      <c r="A45" s="120">
        <f t="shared" si="0"/>
        <v>-7</v>
      </c>
      <c r="B45" s="3">
        <v>6860.0490828300326</v>
      </c>
      <c r="C45" s="3">
        <v>6963.4880765951311</v>
      </c>
      <c r="D45" s="3">
        <v>6943.0083030005298</v>
      </c>
      <c r="E45" s="3">
        <v>3942.1738264567325</v>
      </c>
      <c r="F45" s="3">
        <v>3484.455930574185</v>
      </c>
      <c r="G45" s="3">
        <v>2450.4999019800034</v>
      </c>
      <c r="H45" s="3">
        <v>1348.7811436221966</v>
      </c>
      <c r="I45" s="3"/>
      <c r="J45" s="3"/>
      <c r="K45" s="3"/>
      <c r="L45" s="3"/>
      <c r="M45" s="3"/>
      <c r="N45" s="3"/>
      <c r="O45" s="3"/>
      <c r="P45" s="3"/>
    </row>
    <row r="46" spans="1:16" x14ac:dyDescent="0.25">
      <c r="A46" s="120">
        <f t="shared" si="0"/>
        <v>-6</v>
      </c>
      <c r="B46" s="3">
        <v>6497.974369604819</v>
      </c>
      <c r="C46" s="3">
        <v>6555.3314351874324</v>
      </c>
      <c r="D46" s="3">
        <v>6581.2569296934889</v>
      </c>
      <c r="E46" s="3">
        <v>6573.3983963603832</v>
      </c>
      <c r="F46" s="3">
        <v>3484.455930574185</v>
      </c>
      <c r="G46" s="3">
        <v>2450.4999019800034</v>
      </c>
      <c r="H46" s="3">
        <v>1348.7811436221966</v>
      </c>
      <c r="I46" s="3"/>
      <c r="J46" s="3"/>
      <c r="K46" s="3"/>
      <c r="L46" s="3"/>
      <c r="M46" s="3"/>
      <c r="N46" s="3"/>
      <c r="O46" s="3"/>
      <c r="P46" s="3"/>
    </row>
    <row r="47" spans="1:16" x14ac:dyDescent="0.25">
      <c r="A47" s="120">
        <f t="shared" si="0"/>
        <v>-5</v>
      </c>
      <c r="B47" s="3">
        <v>6210.2762652838683</v>
      </c>
      <c r="C47" s="3">
        <v>6258.9018124682643</v>
      </c>
      <c r="D47" s="3">
        <v>6243.9147618412999</v>
      </c>
      <c r="E47" s="3">
        <v>6266.5632479609685</v>
      </c>
      <c r="F47" s="3">
        <v>6236.0805337275306</v>
      </c>
      <c r="G47" s="3">
        <v>2450.4999019800034</v>
      </c>
      <c r="H47" s="3">
        <v>1348.7811436221966</v>
      </c>
      <c r="I47" s="3"/>
      <c r="J47" s="3"/>
      <c r="K47" s="3"/>
      <c r="L47" s="3"/>
      <c r="M47" s="3"/>
      <c r="N47" s="3"/>
      <c r="O47" s="3"/>
      <c r="P47" s="3"/>
    </row>
    <row r="48" spans="1:16" x14ac:dyDescent="0.25">
      <c r="A48" s="120">
        <f t="shared" si="0"/>
        <v>-4</v>
      </c>
      <c r="B48" s="3">
        <v>5921.8234573303171</v>
      </c>
      <c r="C48" s="3">
        <v>5975.9315073541356</v>
      </c>
      <c r="D48" s="3">
        <v>5970.7621019627313</v>
      </c>
      <c r="E48" s="3">
        <v>5957.8270273394101</v>
      </c>
      <c r="F48" s="3">
        <v>5950.4123980915811</v>
      </c>
      <c r="G48" s="3">
        <v>2450.4999019800034</v>
      </c>
      <c r="H48" s="3">
        <v>1348.7811436221966</v>
      </c>
      <c r="I48" s="3"/>
      <c r="J48" s="3"/>
      <c r="K48" s="3"/>
      <c r="L48" s="3"/>
      <c r="M48" s="3"/>
      <c r="N48" s="3"/>
      <c r="O48" s="3"/>
      <c r="P48" s="3"/>
    </row>
    <row r="49" spans="1:16" x14ac:dyDescent="0.25">
      <c r="A49" s="120">
        <f t="shared" si="0"/>
        <v>-3</v>
      </c>
      <c r="B49" s="3">
        <v>5645.9253150333252</v>
      </c>
      <c r="C49" s="3">
        <v>5693.6167407609819</v>
      </c>
      <c r="D49" s="3">
        <v>5687.7215640172462</v>
      </c>
      <c r="E49" s="3">
        <v>5684.3601210508441</v>
      </c>
      <c r="F49" s="3">
        <v>5675.5372968728034</v>
      </c>
      <c r="G49" s="3">
        <v>2450.4999019800034</v>
      </c>
      <c r="H49" s="3">
        <v>1348.7811436221966</v>
      </c>
      <c r="I49" s="3"/>
      <c r="J49" s="3"/>
      <c r="K49" s="3"/>
      <c r="L49" s="3"/>
      <c r="M49" s="3"/>
      <c r="N49" s="3"/>
      <c r="O49" s="3"/>
      <c r="P49" s="3"/>
    </row>
    <row r="50" spans="1:16" x14ac:dyDescent="0.25">
      <c r="A50" s="120">
        <f t="shared" si="0"/>
        <v>-2</v>
      </c>
      <c r="B50" s="3">
        <v>5355.8170350394648</v>
      </c>
      <c r="C50" s="3">
        <v>5413.0591607603819</v>
      </c>
      <c r="D50" s="3">
        <v>5406.495165981145</v>
      </c>
      <c r="E50" s="3">
        <v>5402.062948209601</v>
      </c>
      <c r="F50" s="3">
        <v>5389.077424650558</v>
      </c>
      <c r="G50" s="3">
        <v>5394.4983766949572</v>
      </c>
      <c r="H50" s="3">
        <v>1348.7811436221966</v>
      </c>
      <c r="I50" s="3"/>
      <c r="J50" s="3"/>
      <c r="K50" s="3"/>
      <c r="L50" s="3"/>
      <c r="M50" s="3"/>
      <c r="N50" s="3"/>
      <c r="O50" s="3"/>
      <c r="P50" s="3"/>
    </row>
    <row r="51" spans="1:16" x14ac:dyDescent="0.25">
      <c r="A51" s="120">
        <f t="shared" si="0"/>
        <v>-1</v>
      </c>
      <c r="B51" s="3">
        <v>5084.5202456699817</v>
      </c>
      <c r="C51" s="3">
        <v>5130.1452608658346</v>
      </c>
      <c r="D51" s="3">
        <v>5129.2969959899747</v>
      </c>
      <c r="E51" s="3">
        <v>5126.1971249844337</v>
      </c>
      <c r="F51" s="3">
        <v>5123.5437168709832</v>
      </c>
      <c r="G51" s="3">
        <v>5113.99786428261</v>
      </c>
      <c r="H51" s="3">
        <v>1348.7811436221966</v>
      </c>
      <c r="I51" s="3"/>
      <c r="J51" s="3"/>
      <c r="K51" s="3"/>
      <c r="L51" s="3"/>
      <c r="M51" s="3"/>
      <c r="N51" s="3"/>
      <c r="O51" s="3"/>
      <c r="P51" s="3"/>
    </row>
    <row r="52" spans="1:16" x14ac:dyDescent="0.25">
      <c r="A52" s="120">
        <f t="shared" si="0"/>
        <v>0</v>
      </c>
      <c r="B52" s="3">
        <v>4721.7554370863636</v>
      </c>
      <c r="C52" s="3">
        <v>4788.3220762055216</v>
      </c>
      <c r="D52" s="3">
        <v>4794.2879297202908</v>
      </c>
      <c r="E52" s="3">
        <v>4800.7851511331446</v>
      </c>
      <c r="F52" s="3">
        <v>4799.280908658001</v>
      </c>
      <c r="G52" s="3">
        <v>4776.4018259067698</v>
      </c>
      <c r="H52" s="3">
        <v>1348.7811436221966</v>
      </c>
      <c r="I52" s="3"/>
      <c r="J52" s="3"/>
      <c r="K52" s="3"/>
      <c r="L52" s="3"/>
      <c r="M52" s="3"/>
      <c r="N52" s="3"/>
      <c r="O52" s="3"/>
      <c r="P52" s="3"/>
    </row>
    <row r="53" spans="1:16" x14ac:dyDescent="0.25">
      <c r="A53" s="120">
        <f t="shared" si="0"/>
        <v>1</v>
      </c>
      <c r="B53" s="3">
        <v>4721.7554370863636</v>
      </c>
      <c r="C53" s="3">
        <v>4370.1089620620942</v>
      </c>
      <c r="D53" s="3">
        <v>4388.683236694339</v>
      </c>
      <c r="E53" s="3">
        <v>4404.5519995552449</v>
      </c>
      <c r="F53" s="3">
        <v>4430.6662258617935</v>
      </c>
      <c r="G53" s="3">
        <v>4433.8298794106795</v>
      </c>
      <c r="H53" s="3">
        <v>4435.8241555955983</v>
      </c>
      <c r="I53" s="3"/>
      <c r="J53" s="3"/>
      <c r="K53" s="3"/>
      <c r="L53" s="3"/>
      <c r="M53" s="3"/>
      <c r="N53" s="3"/>
      <c r="O53" s="3"/>
      <c r="P53" s="3"/>
    </row>
    <row r="54" spans="1:16" x14ac:dyDescent="0.25">
      <c r="A54" s="120">
        <f t="shared" si="0"/>
        <v>2</v>
      </c>
      <c r="B54" s="3">
        <v>4721.7554370863636</v>
      </c>
      <c r="C54" s="3">
        <v>4370.1089620620942</v>
      </c>
      <c r="D54" s="3">
        <v>3942.1738264567325</v>
      </c>
      <c r="E54" s="3">
        <v>3960.6273503281673</v>
      </c>
      <c r="F54" s="3">
        <v>3990.4031488339651</v>
      </c>
      <c r="G54" s="3">
        <v>4044.7452365195086</v>
      </c>
      <c r="H54" s="3">
        <v>4042.1260859394492</v>
      </c>
      <c r="I54" s="3"/>
      <c r="J54" s="3"/>
      <c r="K54" s="3"/>
      <c r="L54" s="3"/>
      <c r="M54" s="3"/>
      <c r="N54" s="3"/>
      <c r="O54" s="3"/>
      <c r="P54" s="3"/>
    </row>
    <row r="55" spans="1:16" x14ac:dyDescent="0.25">
      <c r="A55" s="120">
        <f t="shared" si="0"/>
        <v>3</v>
      </c>
      <c r="B55" s="3">
        <v>4721.7554370863636</v>
      </c>
      <c r="C55" s="3">
        <v>4370.1089620620942</v>
      </c>
      <c r="D55" s="3">
        <v>3942.1738264567325</v>
      </c>
      <c r="E55" s="3">
        <v>3484.455930574185</v>
      </c>
      <c r="F55" s="3">
        <v>3512.6173919241392</v>
      </c>
      <c r="G55" s="3">
        <v>3580.897862841699</v>
      </c>
      <c r="H55" s="3">
        <v>3611.9955101308756</v>
      </c>
      <c r="I55" s="3"/>
      <c r="J55" s="3"/>
      <c r="K55" s="3"/>
      <c r="L55" s="3"/>
      <c r="M55" s="3"/>
      <c r="N55" s="3"/>
      <c r="O55" s="3"/>
      <c r="P55" s="3"/>
    </row>
    <row r="56" spans="1:16" x14ac:dyDescent="0.25">
      <c r="A56" s="120">
        <f t="shared" si="0"/>
        <v>4</v>
      </c>
      <c r="B56" s="3">
        <v>4721.7554370863636</v>
      </c>
      <c r="C56" s="3">
        <v>4370.1089620620942</v>
      </c>
      <c r="D56" s="3">
        <v>3942.1738264567325</v>
      </c>
      <c r="E56" s="3">
        <v>3484.455930574185</v>
      </c>
      <c r="F56" s="3">
        <v>2997.1269883218743</v>
      </c>
      <c r="G56" s="3">
        <v>3044.2218414546733</v>
      </c>
      <c r="H56" s="3">
        <v>3103.6018814519025</v>
      </c>
      <c r="I56" s="3"/>
      <c r="J56" s="3"/>
      <c r="K56" s="3"/>
      <c r="L56" s="3"/>
      <c r="M56" s="3"/>
      <c r="N56" s="3"/>
      <c r="O56" s="3"/>
      <c r="P56" s="3"/>
    </row>
    <row r="57" spans="1:16" x14ac:dyDescent="0.25">
      <c r="A57" s="120">
        <f t="shared" si="0"/>
        <v>5</v>
      </c>
      <c r="B57" s="3">
        <v>4721.7554370863636</v>
      </c>
      <c r="C57" s="3">
        <v>4370.1089620620942</v>
      </c>
      <c r="D57" s="3">
        <v>3942.1738264567325</v>
      </c>
      <c r="E57" s="3">
        <v>3484.455930574185</v>
      </c>
      <c r="F57" s="3">
        <v>2450.4999019800034</v>
      </c>
      <c r="G57" s="3">
        <v>2460.4602686423113</v>
      </c>
      <c r="H57" s="3">
        <v>2518.8478906445057</v>
      </c>
      <c r="I57" s="3"/>
      <c r="J57" s="3"/>
      <c r="K57" s="3"/>
      <c r="L57" s="3"/>
      <c r="M57" s="3"/>
      <c r="N57" s="3"/>
      <c r="O57" s="3"/>
      <c r="P57" s="3"/>
    </row>
    <row r="58" spans="1:16" x14ac:dyDescent="0.25">
      <c r="A58" s="120">
        <f t="shared" si="0"/>
        <v>6</v>
      </c>
      <c r="B58" s="3">
        <v>4721.7554370863636</v>
      </c>
      <c r="C58" s="3">
        <v>4370.1089620620942</v>
      </c>
      <c r="D58" s="3">
        <v>3942.1738264567325</v>
      </c>
      <c r="E58" s="3">
        <v>3484.455930574185</v>
      </c>
      <c r="F58" s="3">
        <v>2450.4999019800034</v>
      </c>
      <c r="G58" s="3">
        <v>1862.915395454796</v>
      </c>
      <c r="H58" s="3">
        <v>1889.6929492567635</v>
      </c>
      <c r="I58" s="3"/>
      <c r="J58" s="3"/>
      <c r="K58" s="3"/>
      <c r="L58" s="3"/>
      <c r="M58" s="3"/>
      <c r="N58" s="3"/>
      <c r="O58" s="3"/>
      <c r="P58" s="3"/>
    </row>
    <row r="59" spans="1:16" x14ac:dyDescent="0.25">
      <c r="A59" s="120">
        <f t="shared" si="0"/>
        <v>7</v>
      </c>
      <c r="B59" s="3">
        <v>4721.7554370863636</v>
      </c>
      <c r="C59" s="3">
        <v>4370.1089620620942</v>
      </c>
      <c r="D59" s="3">
        <v>3942.1738264567325</v>
      </c>
      <c r="E59" s="3">
        <v>3484.455930574185</v>
      </c>
      <c r="F59" s="3">
        <v>2450.4999019800034</v>
      </c>
      <c r="G59" s="3">
        <v>1348.7811436221966</v>
      </c>
      <c r="H59" s="3">
        <v>1364.7785056820744</v>
      </c>
      <c r="I59" s="3"/>
      <c r="J59" s="3"/>
      <c r="K59" s="3"/>
      <c r="L59" s="3"/>
      <c r="M59" s="3"/>
      <c r="N59" s="3"/>
      <c r="O59" s="3"/>
      <c r="P59" s="3"/>
    </row>
    <row r="60" spans="1:16" x14ac:dyDescent="0.25">
      <c r="A60" s="120">
        <f t="shared" si="0"/>
        <v>8</v>
      </c>
      <c r="B60" s="3">
        <v>4721.7554370863636</v>
      </c>
      <c r="C60" s="3">
        <v>4370.1089620620942</v>
      </c>
      <c r="D60" s="3">
        <v>3942.1738264567325</v>
      </c>
      <c r="E60" s="3">
        <v>3484.455930574185</v>
      </c>
      <c r="F60" s="3">
        <v>2450.4999019800034</v>
      </c>
      <c r="G60" s="3">
        <v>1348.7811436221966</v>
      </c>
      <c r="H60" s="3">
        <v>972.6671097611403</v>
      </c>
      <c r="I60" s="3"/>
      <c r="J60" s="3"/>
      <c r="K60" s="3"/>
      <c r="L60" s="3"/>
      <c r="M60" s="3"/>
      <c r="N60" s="3"/>
      <c r="O60" s="3"/>
      <c r="P60" s="3"/>
    </row>
    <row r="61" spans="1:16" x14ac:dyDescent="0.25">
      <c r="A61" s="120">
        <f t="shared" si="0"/>
        <v>9</v>
      </c>
      <c r="B61" s="3">
        <v>4721.7554370863636</v>
      </c>
      <c r="C61" s="3">
        <v>4370.1089620620942</v>
      </c>
      <c r="D61" s="3">
        <v>3942.1738264567325</v>
      </c>
      <c r="E61" s="3">
        <v>3484.455930574185</v>
      </c>
      <c r="F61" s="3">
        <v>2450.4999019800034</v>
      </c>
      <c r="G61" s="3">
        <v>1348.7811436221966</v>
      </c>
      <c r="H61" s="3">
        <v>751.17398759984246</v>
      </c>
      <c r="I61" s="3"/>
      <c r="J61" s="3"/>
      <c r="K61" s="3"/>
      <c r="L61" s="3"/>
      <c r="M61" s="3"/>
      <c r="N61" s="3"/>
      <c r="O61" s="3"/>
      <c r="P61" s="3"/>
    </row>
    <row r="62" spans="1:16" x14ac:dyDescent="0.25">
      <c r="A62" s="120">
        <f t="shared" si="0"/>
        <v>10</v>
      </c>
      <c r="B62" s="3">
        <v>4721.7554370863636</v>
      </c>
      <c r="C62" s="3">
        <v>4370.1089620620942</v>
      </c>
      <c r="D62" s="3">
        <v>3942.1738264567325</v>
      </c>
      <c r="E62" s="3">
        <v>3484.455930574185</v>
      </c>
      <c r="F62" s="3">
        <v>2450.4999019800034</v>
      </c>
      <c r="G62" s="3">
        <v>1348.7811436221966</v>
      </c>
      <c r="H62" s="3">
        <v>632.09144754604006</v>
      </c>
      <c r="I62" s="3"/>
      <c r="J62" s="3"/>
      <c r="K62" s="3"/>
      <c r="L62" s="3"/>
      <c r="M62" s="3"/>
      <c r="N62" s="3"/>
      <c r="O62" s="3"/>
      <c r="P62" s="3"/>
    </row>
    <row r="63" spans="1:16" x14ac:dyDescent="0.25">
      <c r="A63" s="120">
        <f t="shared" si="0"/>
        <v>11</v>
      </c>
      <c r="B63" s="3">
        <v>4721.7554370863636</v>
      </c>
      <c r="C63" s="3">
        <v>4370.1089620620942</v>
      </c>
      <c r="D63" s="3">
        <v>3942.1738264567325</v>
      </c>
      <c r="E63" s="3">
        <v>3484.455930574185</v>
      </c>
      <c r="F63" s="3">
        <v>2450.4999019800034</v>
      </c>
      <c r="G63" s="3">
        <v>1348.7811436221966</v>
      </c>
      <c r="H63" s="3">
        <v>632.09144754604006</v>
      </c>
      <c r="I63" s="3"/>
      <c r="J63" s="3"/>
      <c r="K63" s="3"/>
      <c r="L63" s="3"/>
      <c r="M63" s="3"/>
      <c r="N63" s="3"/>
      <c r="O63" s="3"/>
      <c r="P63" s="3"/>
    </row>
    <row r="64" spans="1:16" x14ac:dyDescent="0.25">
      <c r="A64" s="120">
        <f t="shared" si="0"/>
        <v>12</v>
      </c>
      <c r="B64" s="3">
        <v>4721.7554370863636</v>
      </c>
      <c r="C64" s="3">
        <v>4370.1089620620942</v>
      </c>
      <c r="D64" s="3">
        <v>3942.1738264567325</v>
      </c>
      <c r="E64" s="3">
        <v>3484.455930574185</v>
      </c>
      <c r="F64" s="3">
        <v>2450.4999019800034</v>
      </c>
      <c r="G64" s="3">
        <v>1348.7811436221966</v>
      </c>
      <c r="H64" s="3">
        <v>632.09144754604006</v>
      </c>
      <c r="I64" s="3"/>
      <c r="J64" s="3"/>
      <c r="K64" s="3"/>
      <c r="L64" s="3"/>
      <c r="M64" s="3"/>
      <c r="N64" s="3"/>
      <c r="O64" s="3"/>
      <c r="P64" s="3"/>
    </row>
    <row r="65" spans="1:16" x14ac:dyDescent="0.25">
      <c r="A65" s="120">
        <f t="shared" si="0"/>
        <v>13</v>
      </c>
      <c r="B65" s="3">
        <v>4721.7554370863636</v>
      </c>
      <c r="C65" s="3">
        <v>4370.1089620620942</v>
      </c>
      <c r="D65" s="3">
        <v>3942.1738264567325</v>
      </c>
      <c r="E65" s="3">
        <v>3484.455930574185</v>
      </c>
      <c r="F65" s="3">
        <v>2450.4999019800034</v>
      </c>
      <c r="G65" s="3">
        <v>1348.7811436221966</v>
      </c>
      <c r="H65" s="3">
        <v>632.09144754604006</v>
      </c>
      <c r="I65" s="3"/>
      <c r="J65" s="3"/>
      <c r="K65" s="3"/>
      <c r="L65" s="3"/>
      <c r="M65" s="3"/>
      <c r="N65" s="3"/>
      <c r="O65" s="3"/>
      <c r="P65" s="3"/>
    </row>
    <row r="66" spans="1:16" x14ac:dyDescent="0.25">
      <c r="A66" s="120">
        <f t="shared" si="0"/>
        <v>14</v>
      </c>
      <c r="B66" s="3">
        <v>4721.7554370863636</v>
      </c>
      <c r="C66" s="3">
        <v>4370.1089620620942</v>
      </c>
      <c r="D66" s="3">
        <v>3942.1738264567325</v>
      </c>
      <c r="E66" s="3">
        <v>3484.455930574185</v>
      </c>
      <c r="F66" s="3">
        <v>2450.4999019800034</v>
      </c>
      <c r="G66" s="3">
        <v>1348.7811436221966</v>
      </c>
      <c r="H66" s="3">
        <v>632.09144754604006</v>
      </c>
      <c r="I66" s="3"/>
      <c r="J66" s="3"/>
      <c r="K66" s="3"/>
      <c r="L66" s="3"/>
      <c r="M66" s="3"/>
      <c r="N66" s="3"/>
      <c r="O66" s="3"/>
      <c r="P66" s="3"/>
    </row>
    <row r="67" spans="1:16" x14ac:dyDescent="0.25">
      <c r="A67" s="120">
        <f t="shared" si="0"/>
        <v>15</v>
      </c>
      <c r="B67" s="3">
        <v>4721.7554370863636</v>
      </c>
      <c r="C67" s="3">
        <v>4370.1089620620942</v>
      </c>
      <c r="D67" s="3">
        <v>3942.1738264567325</v>
      </c>
      <c r="E67" s="3">
        <v>3484.455930574185</v>
      </c>
      <c r="F67" s="3">
        <v>2450.4999019800034</v>
      </c>
      <c r="G67" s="3">
        <v>1348.7811436221966</v>
      </c>
      <c r="H67" s="3">
        <v>632.09144754604006</v>
      </c>
      <c r="I67" s="3"/>
      <c r="J67" s="3"/>
      <c r="K67" s="3"/>
      <c r="L67" s="3"/>
      <c r="M67" s="3"/>
      <c r="N67" s="3"/>
      <c r="O67" s="3"/>
      <c r="P67" s="3"/>
    </row>
    <row r="68" spans="1:16" x14ac:dyDescent="0.25">
      <c r="A68" s="3"/>
      <c r="B68" s="3"/>
      <c r="C68" s="3"/>
      <c r="D68" s="3"/>
      <c r="E68" s="3"/>
      <c r="F68" s="3"/>
      <c r="G68" s="3"/>
      <c r="H68" s="3"/>
      <c r="I68" s="3"/>
      <c r="J68" s="3"/>
      <c r="K68" s="3"/>
      <c r="L68" s="3"/>
      <c r="M68" s="3"/>
      <c r="N68" s="3"/>
      <c r="O68" s="3"/>
      <c r="P68" s="3"/>
    </row>
    <row r="69" spans="1:16" x14ac:dyDescent="0.25">
      <c r="A69" s="121"/>
      <c r="B69" s="121"/>
      <c r="C69" s="121"/>
      <c r="D69" s="121"/>
      <c r="E69" s="121"/>
      <c r="F69" s="121"/>
      <c r="G69" s="121"/>
      <c r="H69" s="121"/>
      <c r="I69" s="121"/>
      <c r="J69" s="121"/>
      <c r="K69" s="3"/>
      <c r="L69" s="3"/>
      <c r="M69" s="3"/>
      <c r="N69" s="3"/>
      <c r="O69" s="3"/>
      <c r="P69" s="3"/>
    </row>
    <row r="70" spans="1:16" x14ac:dyDescent="0.25">
      <c r="A70" s="3"/>
      <c r="B70" s="3"/>
      <c r="C70" s="3"/>
      <c r="D70" s="3"/>
      <c r="E70" s="3"/>
      <c r="F70" s="3"/>
      <c r="G70" s="3"/>
      <c r="H70" s="3"/>
      <c r="I70" s="3"/>
      <c r="J70" s="3"/>
      <c r="K70" s="3"/>
      <c r="L70" s="3"/>
      <c r="M70" s="3"/>
      <c r="N70" s="3"/>
      <c r="O70" s="3"/>
      <c r="P70" s="3"/>
    </row>
    <row r="71" spans="1:16" x14ac:dyDescent="0.25">
      <c r="A71" s="121" t="s">
        <v>17</v>
      </c>
      <c r="B71" s="3"/>
      <c r="C71" s="3"/>
      <c r="D71" s="3"/>
      <c r="E71" s="3"/>
      <c r="F71" s="3"/>
      <c r="G71" s="3"/>
      <c r="H71" s="3"/>
      <c r="I71" s="3"/>
      <c r="J71" s="3"/>
      <c r="K71" s="3"/>
      <c r="L71" s="3"/>
      <c r="M71" s="3"/>
      <c r="N71" s="3"/>
      <c r="O71" s="3"/>
      <c r="P71" s="3"/>
    </row>
    <row r="72" spans="1:16" x14ac:dyDescent="0.25">
      <c r="A72" s="121">
        <f>10^A37</f>
        <v>1.0000000000000001E-15</v>
      </c>
      <c r="B72" s="122" t="str">
        <f t="shared" ref="B72:H79" si="1">IF($A72&gt;=10^B$4,IF($A72&lt;=10^INDEX($B$4:$H$34,$A$1,COLUMN(B4)-1),B37,"nv"),"nv")</f>
        <v>nv</v>
      </c>
      <c r="C72" s="122" t="str">
        <f t="shared" si="1"/>
        <v>nv</v>
      </c>
      <c r="D72" s="122" t="str">
        <f t="shared" si="1"/>
        <v>nv</v>
      </c>
      <c r="E72" s="122" t="str">
        <f t="shared" si="1"/>
        <v>nv</v>
      </c>
      <c r="F72" s="122" t="str">
        <f t="shared" si="1"/>
        <v>nv</v>
      </c>
      <c r="G72" s="122" t="str">
        <f t="shared" si="1"/>
        <v>nv</v>
      </c>
      <c r="H72" s="122" t="str">
        <f t="shared" si="1"/>
        <v>nv</v>
      </c>
      <c r="I72" s="122"/>
      <c r="J72" s="122">
        <f t="shared" ref="J72:J102" si="2">IF(ISERROR(AVERAGE(B72:H72)),IF(J71&gt;0,J71,$K$72),AVERAGE(B72:H72))</f>
        <v>7602.5920165015468</v>
      </c>
      <c r="K72" s="3">
        <f>MAX(B72:H102)</f>
        <v>7602.5920165015468</v>
      </c>
      <c r="L72" s="3"/>
      <c r="M72" s="3"/>
      <c r="N72" s="3"/>
      <c r="O72" s="3"/>
      <c r="P72" s="3"/>
    </row>
    <row r="73" spans="1:16" x14ac:dyDescent="0.25">
      <c r="A73" s="121">
        <f t="shared" ref="A73:A102" si="3">10^A38</f>
        <v>1E-14</v>
      </c>
      <c r="B73" s="122" t="str">
        <f t="shared" si="1"/>
        <v>nv</v>
      </c>
      <c r="C73" s="122" t="str">
        <f t="shared" si="1"/>
        <v>nv</v>
      </c>
      <c r="D73" s="122" t="str">
        <f t="shared" si="1"/>
        <v>nv</v>
      </c>
      <c r="E73" s="122" t="str">
        <f t="shared" si="1"/>
        <v>nv</v>
      </c>
      <c r="F73" s="122" t="str">
        <f t="shared" si="1"/>
        <v>nv</v>
      </c>
      <c r="G73" s="122" t="str">
        <f t="shared" si="1"/>
        <v>nv</v>
      </c>
      <c r="H73" s="122" t="str">
        <f t="shared" si="1"/>
        <v>nv</v>
      </c>
      <c r="I73" s="122"/>
      <c r="J73" s="122">
        <f t="shared" si="2"/>
        <v>7602.5920165015468</v>
      </c>
      <c r="K73" s="3"/>
      <c r="L73" s="3"/>
      <c r="M73" s="3"/>
      <c r="N73" s="3"/>
      <c r="O73" s="3"/>
      <c r="P73" s="3"/>
    </row>
    <row r="74" spans="1:16" x14ac:dyDescent="0.25">
      <c r="A74" s="121">
        <f t="shared" si="3"/>
        <v>1E-13</v>
      </c>
      <c r="B74" s="122" t="str">
        <f t="shared" si="1"/>
        <v>nv</v>
      </c>
      <c r="C74" s="122" t="str">
        <f t="shared" si="1"/>
        <v>nv</v>
      </c>
      <c r="D74" s="122" t="str">
        <f t="shared" si="1"/>
        <v>nv</v>
      </c>
      <c r="E74" s="122" t="str">
        <f t="shared" si="1"/>
        <v>nv</v>
      </c>
      <c r="F74" s="122" t="str">
        <f t="shared" si="1"/>
        <v>nv</v>
      </c>
      <c r="G74" s="122" t="str">
        <f t="shared" si="1"/>
        <v>nv</v>
      </c>
      <c r="H74" s="122" t="str">
        <f t="shared" si="1"/>
        <v>nv</v>
      </c>
      <c r="I74" s="122"/>
      <c r="J74" s="122">
        <f t="shared" si="2"/>
        <v>7602.5920165015468</v>
      </c>
      <c r="K74" s="3"/>
      <c r="L74" s="3"/>
      <c r="M74" s="3"/>
      <c r="N74" s="3"/>
      <c r="O74" s="3"/>
      <c r="P74" s="3"/>
    </row>
    <row r="75" spans="1:16" x14ac:dyDescent="0.25">
      <c r="A75" s="121">
        <f t="shared" si="3"/>
        <v>9.9999999999999998E-13</v>
      </c>
      <c r="B75" s="122" t="str">
        <f t="shared" si="1"/>
        <v>nv</v>
      </c>
      <c r="C75" s="122" t="str">
        <f t="shared" si="1"/>
        <v>nv</v>
      </c>
      <c r="D75" s="122" t="str">
        <f t="shared" si="1"/>
        <v>nv</v>
      </c>
      <c r="E75" s="122" t="str">
        <f t="shared" si="1"/>
        <v>nv</v>
      </c>
      <c r="F75" s="122" t="str">
        <f t="shared" si="1"/>
        <v>nv</v>
      </c>
      <c r="G75" s="122" t="str">
        <f t="shared" si="1"/>
        <v>nv</v>
      </c>
      <c r="H75" s="122" t="str">
        <f t="shared" si="1"/>
        <v>nv</v>
      </c>
      <c r="I75" s="122"/>
      <c r="J75" s="122">
        <f t="shared" si="2"/>
        <v>7602.5920165015468</v>
      </c>
      <c r="K75" s="3"/>
      <c r="L75" s="3"/>
      <c r="M75" s="3"/>
      <c r="N75" s="3"/>
      <c r="O75" s="3"/>
      <c r="P75" s="3"/>
    </row>
    <row r="76" spans="1:16" x14ac:dyDescent="0.25">
      <c r="A76" s="121">
        <f t="shared" si="3"/>
        <v>9.9999999999999994E-12</v>
      </c>
      <c r="B76" s="122" t="str">
        <f t="shared" si="1"/>
        <v>nv</v>
      </c>
      <c r="C76" s="122" t="str">
        <f t="shared" si="1"/>
        <v>nv</v>
      </c>
      <c r="D76" s="122" t="str">
        <f t="shared" si="1"/>
        <v>nv</v>
      </c>
      <c r="E76" s="122" t="str">
        <f t="shared" si="1"/>
        <v>nv</v>
      </c>
      <c r="F76" s="122" t="str">
        <f t="shared" si="1"/>
        <v>nv</v>
      </c>
      <c r="G76" s="122" t="str">
        <f t="shared" si="1"/>
        <v>nv</v>
      </c>
      <c r="H76" s="122" t="str">
        <f t="shared" si="1"/>
        <v>nv</v>
      </c>
      <c r="I76" s="122"/>
      <c r="J76" s="122">
        <f t="shared" si="2"/>
        <v>7602.5920165015468</v>
      </c>
      <c r="K76" s="3"/>
      <c r="L76" s="3"/>
      <c r="M76" s="3"/>
      <c r="N76" s="3"/>
      <c r="O76" s="3"/>
      <c r="P76" s="3"/>
    </row>
    <row r="77" spans="1:16" x14ac:dyDescent="0.25">
      <c r="A77" s="121">
        <f t="shared" si="3"/>
        <v>1E-10</v>
      </c>
      <c r="B77" s="122" t="str">
        <f t="shared" si="1"/>
        <v>nv</v>
      </c>
      <c r="C77" s="122" t="str">
        <f t="shared" si="1"/>
        <v>nv</v>
      </c>
      <c r="D77" s="122" t="str">
        <f t="shared" si="1"/>
        <v>nv</v>
      </c>
      <c r="E77" s="122" t="str">
        <f t="shared" si="1"/>
        <v>nv</v>
      </c>
      <c r="F77" s="122" t="str">
        <f t="shared" si="1"/>
        <v>nv</v>
      </c>
      <c r="G77" s="122" t="str">
        <f t="shared" si="1"/>
        <v>nv</v>
      </c>
      <c r="H77" s="122" t="str">
        <f t="shared" si="1"/>
        <v>nv</v>
      </c>
      <c r="I77" s="122"/>
      <c r="J77" s="122">
        <f t="shared" si="2"/>
        <v>7602.5920165015468</v>
      </c>
      <c r="K77" s="3"/>
      <c r="L77" s="3"/>
      <c r="M77" s="3"/>
      <c r="N77" s="3"/>
      <c r="O77" s="3"/>
      <c r="P77" s="3"/>
    </row>
    <row r="78" spans="1:16" x14ac:dyDescent="0.25">
      <c r="A78" s="121">
        <f t="shared" si="3"/>
        <v>1.0000000000000001E-9</v>
      </c>
      <c r="B78" s="122">
        <f t="shared" si="1"/>
        <v>7602.5920165015468</v>
      </c>
      <c r="C78" s="122" t="str">
        <f t="shared" si="1"/>
        <v>nv</v>
      </c>
      <c r="D78" s="122" t="str">
        <f t="shared" si="1"/>
        <v>nv</v>
      </c>
      <c r="E78" s="122" t="str">
        <f t="shared" si="1"/>
        <v>nv</v>
      </c>
      <c r="F78" s="122" t="str">
        <f t="shared" si="1"/>
        <v>nv</v>
      </c>
      <c r="G78" s="122" t="str">
        <f t="shared" si="1"/>
        <v>nv</v>
      </c>
      <c r="H78" s="122" t="str">
        <f t="shared" si="1"/>
        <v>nv</v>
      </c>
      <c r="I78" s="122"/>
      <c r="J78" s="122">
        <f t="shared" si="2"/>
        <v>7602.5920165015468</v>
      </c>
    </row>
    <row r="79" spans="1:16" x14ac:dyDescent="0.25">
      <c r="A79" s="121">
        <f t="shared" si="3"/>
        <v>1E-8</v>
      </c>
      <c r="B79" s="122">
        <f t="shared" si="1"/>
        <v>7249.987779746918</v>
      </c>
      <c r="C79" s="122">
        <f t="shared" si="1"/>
        <v>7336.1333940096556</v>
      </c>
      <c r="D79" s="122" t="str">
        <f t="shared" si="1"/>
        <v>nv</v>
      </c>
      <c r="E79" s="122" t="str">
        <f t="shared" si="1"/>
        <v>nv</v>
      </c>
      <c r="F79" s="122" t="str">
        <f t="shared" si="1"/>
        <v>nv</v>
      </c>
      <c r="G79" s="122" t="str">
        <f t="shared" si="1"/>
        <v>nv</v>
      </c>
      <c r="H79" s="122" t="str">
        <f t="shared" si="1"/>
        <v>nv</v>
      </c>
      <c r="I79" s="122"/>
      <c r="J79" s="122">
        <f t="shared" si="2"/>
        <v>7293.0605868782868</v>
      </c>
    </row>
    <row r="80" spans="1:16" x14ac:dyDescent="0.25">
      <c r="A80" s="121">
        <f t="shared" si="3"/>
        <v>9.9999999999999995E-8</v>
      </c>
      <c r="B80" s="122">
        <f>IF($A80&gt;=10^B$4,IF($A80&lt;=10^INDEX($B$4:$H$34,$A$1,COLUMN(B12)-1),B45,"nv"),"nv")</f>
        <v>6860.0490828300326</v>
      </c>
      <c r="C80" s="122">
        <f t="shared" ref="C80:H80" si="4">IF($A80&gt;=10^C$4,IF($A80&lt;=10^INDEX($B$4:$H$34,$A$1,COLUMN(C12)-1),C45,"nv"),"nv")</f>
        <v>6963.4880765951311</v>
      </c>
      <c r="D80" s="122">
        <f t="shared" si="4"/>
        <v>6943.0083030005298</v>
      </c>
      <c r="E80" s="122" t="str">
        <f t="shared" si="4"/>
        <v>nv</v>
      </c>
      <c r="F80" s="122" t="str">
        <f t="shared" si="4"/>
        <v>nv</v>
      </c>
      <c r="G80" s="122" t="str">
        <f t="shared" si="4"/>
        <v>nv</v>
      </c>
      <c r="H80" s="122" t="str">
        <f t="shared" si="4"/>
        <v>nv</v>
      </c>
      <c r="I80" s="122"/>
      <c r="J80" s="122">
        <f t="shared" si="2"/>
        <v>6922.1818208085642</v>
      </c>
    </row>
    <row r="81" spans="1:10" x14ac:dyDescent="0.25">
      <c r="A81" s="121">
        <f t="shared" si="3"/>
        <v>9.9999999999999995E-7</v>
      </c>
      <c r="B81" s="122">
        <f t="shared" ref="B81:H102" si="5">IF($A81&gt;=10^B$4,IF($A81&lt;=10^INDEX($B$4:$H$34,$A$1,COLUMN(B13)-1),B46,"nv"),"nv")</f>
        <v>6497.974369604819</v>
      </c>
      <c r="C81" s="122">
        <f t="shared" si="5"/>
        <v>6555.3314351874324</v>
      </c>
      <c r="D81" s="122">
        <f t="shared" si="5"/>
        <v>6581.2569296934889</v>
      </c>
      <c r="E81" s="122">
        <f t="shared" si="5"/>
        <v>6573.3983963603832</v>
      </c>
      <c r="F81" s="122" t="str">
        <f t="shared" si="5"/>
        <v>nv</v>
      </c>
      <c r="G81" s="122" t="str">
        <f t="shared" si="5"/>
        <v>nv</v>
      </c>
      <c r="H81" s="122" t="str">
        <f t="shared" si="5"/>
        <v>nv</v>
      </c>
      <c r="I81" s="122"/>
      <c r="J81" s="122">
        <f t="shared" si="2"/>
        <v>6551.9902827115311</v>
      </c>
    </row>
    <row r="82" spans="1:10" x14ac:dyDescent="0.25">
      <c r="A82" s="121">
        <f t="shared" si="3"/>
        <v>1.0000000000000001E-5</v>
      </c>
      <c r="B82" s="122">
        <f t="shared" si="5"/>
        <v>6210.2762652838683</v>
      </c>
      <c r="C82" s="122">
        <f t="shared" si="5"/>
        <v>6258.9018124682643</v>
      </c>
      <c r="D82" s="122">
        <f t="shared" si="5"/>
        <v>6243.9147618412999</v>
      </c>
      <c r="E82" s="122">
        <f t="shared" si="5"/>
        <v>6266.5632479609685</v>
      </c>
      <c r="F82" s="122">
        <f t="shared" si="5"/>
        <v>6236.0805337275306</v>
      </c>
      <c r="G82" s="122" t="str">
        <f t="shared" si="5"/>
        <v>nv</v>
      </c>
      <c r="H82" s="122" t="str">
        <f t="shared" si="5"/>
        <v>nv</v>
      </c>
      <c r="I82" s="122"/>
      <c r="J82" s="122">
        <f t="shared" si="2"/>
        <v>6243.1473242563861</v>
      </c>
    </row>
    <row r="83" spans="1:10" x14ac:dyDescent="0.25">
      <c r="A83" s="121">
        <f t="shared" si="3"/>
        <v>1E-4</v>
      </c>
      <c r="B83" s="122">
        <f t="shared" si="5"/>
        <v>5921.8234573303171</v>
      </c>
      <c r="C83" s="122">
        <f t="shared" si="5"/>
        <v>5975.9315073541356</v>
      </c>
      <c r="D83" s="122">
        <f t="shared" si="5"/>
        <v>5970.7621019627313</v>
      </c>
      <c r="E83" s="122">
        <f t="shared" si="5"/>
        <v>5957.8270273394101</v>
      </c>
      <c r="F83" s="122">
        <f t="shared" si="5"/>
        <v>5950.4123980915811</v>
      </c>
      <c r="G83" s="122" t="str">
        <f t="shared" si="5"/>
        <v>nv</v>
      </c>
      <c r="H83" s="122" t="str">
        <f t="shared" si="5"/>
        <v>nv</v>
      </c>
      <c r="I83" s="122"/>
      <c r="J83" s="122">
        <f t="shared" si="2"/>
        <v>5955.351298415635</v>
      </c>
    </row>
    <row r="84" spans="1:10" x14ac:dyDescent="0.25">
      <c r="A84" s="121">
        <f t="shared" si="3"/>
        <v>1E-3</v>
      </c>
      <c r="B84" s="122">
        <f t="shared" si="5"/>
        <v>5645.9253150333252</v>
      </c>
      <c r="C84" s="122">
        <f t="shared" si="5"/>
        <v>5693.6167407609819</v>
      </c>
      <c r="D84" s="122">
        <f t="shared" si="5"/>
        <v>5687.7215640172462</v>
      </c>
      <c r="E84" s="122">
        <f t="shared" si="5"/>
        <v>5684.3601210508441</v>
      </c>
      <c r="F84" s="122">
        <f t="shared" si="5"/>
        <v>5675.5372968728034</v>
      </c>
      <c r="G84" s="122" t="str">
        <f t="shared" si="5"/>
        <v>nv</v>
      </c>
      <c r="H84" s="122" t="str">
        <f t="shared" si="5"/>
        <v>nv</v>
      </c>
      <c r="I84" s="122"/>
      <c r="J84" s="122">
        <f t="shared" si="2"/>
        <v>5677.4322075470409</v>
      </c>
    </row>
    <row r="85" spans="1:10" x14ac:dyDescent="0.25">
      <c r="A85" s="121">
        <f t="shared" si="3"/>
        <v>0.01</v>
      </c>
      <c r="B85" s="122">
        <f t="shared" si="5"/>
        <v>5355.8170350394648</v>
      </c>
      <c r="C85" s="122">
        <f t="shared" si="5"/>
        <v>5413.0591607603819</v>
      </c>
      <c r="D85" s="122">
        <f t="shared" si="5"/>
        <v>5406.495165981145</v>
      </c>
      <c r="E85" s="122">
        <f t="shared" si="5"/>
        <v>5402.062948209601</v>
      </c>
      <c r="F85" s="122">
        <f t="shared" si="5"/>
        <v>5389.077424650558</v>
      </c>
      <c r="G85" s="122">
        <f t="shared" si="5"/>
        <v>5394.4983766949572</v>
      </c>
      <c r="H85" s="122" t="str">
        <f t="shared" si="5"/>
        <v>nv</v>
      </c>
      <c r="I85" s="122"/>
      <c r="J85" s="122">
        <f t="shared" si="2"/>
        <v>5393.5016852226845</v>
      </c>
    </row>
    <row r="86" spans="1:10" x14ac:dyDescent="0.25">
      <c r="A86" s="121">
        <f t="shared" si="3"/>
        <v>0.1</v>
      </c>
      <c r="B86" s="122">
        <f t="shared" si="5"/>
        <v>5084.5202456699817</v>
      </c>
      <c r="C86" s="122">
        <f t="shared" si="5"/>
        <v>5130.1452608658346</v>
      </c>
      <c r="D86" s="122">
        <f t="shared" si="5"/>
        <v>5129.2969959899747</v>
      </c>
      <c r="E86" s="122">
        <f t="shared" si="5"/>
        <v>5126.1971249844337</v>
      </c>
      <c r="F86" s="122">
        <f t="shared" si="5"/>
        <v>5123.5437168709832</v>
      </c>
      <c r="G86" s="122">
        <f t="shared" si="5"/>
        <v>5113.99786428261</v>
      </c>
      <c r="H86" s="122" t="str">
        <f t="shared" si="5"/>
        <v>nv</v>
      </c>
      <c r="I86" s="122"/>
      <c r="J86" s="122">
        <f t="shared" si="2"/>
        <v>5117.9502014439704</v>
      </c>
    </row>
    <row r="87" spans="1:10" x14ac:dyDescent="0.25">
      <c r="A87" s="121">
        <f t="shared" si="3"/>
        <v>1</v>
      </c>
      <c r="B87" s="122">
        <f t="shared" si="5"/>
        <v>4721.7554370863636</v>
      </c>
      <c r="C87" s="122">
        <f t="shared" si="5"/>
        <v>4788.3220762055216</v>
      </c>
      <c r="D87" s="122">
        <f t="shared" si="5"/>
        <v>4794.2879297202908</v>
      </c>
      <c r="E87" s="122">
        <f t="shared" si="5"/>
        <v>4800.7851511331446</v>
      </c>
      <c r="F87" s="122">
        <f t="shared" si="5"/>
        <v>4799.280908658001</v>
      </c>
      <c r="G87" s="122">
        <f t="shared" si="5"/>
        <v>4776.4018259067698</v>
      </c>
      <c r="H87" s="122" t="str">
        <f t="shared" si="5"/>
        <v>nv</v>
      </c>
      <c r="I87" s="122"/>
      <c r="J87" s="122">
        <f t="shared" si="2"/>
        <v>4780.1388881183493</v>
      </c>
    </row>
    <row r="88" spans="1:10" x14ac:dyDescent="0.25">
      <c r="A88" s="121">
        <f t="shared" si="3"/>
        <v>10</v>
      </c>
      <c r="B88" s="122" t="str">
        <f t="shared" si="5"/>
        <v>nv</v>
      </c>
      <c r="C88" s="122">
        <f t="shared" si="5"/>
        <v>4370.1089620620942</v>
      </c>
      <c r="D88" s="122">
        <f t="shared" si="5"/>
        <v>4388.683236694339</v>
      </c>
      <c r="E88" s="122">
        <f t="shared" si="5"/>
        <v>4404.5519995552449</v>
      </c>
      <c r="F88" s="122">
        <f t="shared" si="5"/>
        <v>4430.6662258617935</v>
      </c>
      <c r="G88" s="122">
        <f t="shared" si="5"/>
        <v>4433.8298794106795</v>
      </c>
      <c r="H88" s="122">
        <f t="shared" si="5"/>
        <v>4435.8241555955983</v>
      </c>
      <c r="I88" s="122"/>
      <c r="J88" s="122">
        <f t="shared" si="2"/>
        <v>4410.6107431966257</v>
      </c>
    </row>
    <row r="89" spans="1:10" x14ac:dyDescent="0.25">
      <c r="A89" s="121">
        <f t="shared" si="3"/>
        <v>100</v>
      </c>
      <c r="B89" s="122" t="str">
        <f t="shared" si="5"/>
        <v>nv</v>
      </c>
      <c r="C89" s="122" t="str">
        <f t="shared" si="5"/>
        <v>nv</v>
      </c>
      <c r="D89" s="122">
        <f t="shared" si="5"/>
        <v>3942.1738264567325</v>
      </c>
      <c r="E89" s="122">
        <f t="shared" si="5"/>
        <v>3960.6273503281673</v>
      </c>
      <c r="F89" s="122">
        <f t="shared" si="5"/>
        <v>3990.4031488339651</v>
      </c>
      <c r="G89" s="122">
        <f t="shared" si="5"/>
        <v>4044.7452365195086</v>
      </c>
      <c r="H89" s="122">
        <f t="shared" si="5"/>
        <v>4042.1260859394492</v>
      </c>
      <c r="I89" s="122"/>
      <c r="J89" s="122">
        <f t="shared" si="2"/>
        <v>3996.015129615565</v>
      </c>
    </row>
    <row r="90" spans="1:10" x14ac:dyDescent="0.25">
      <c r="A90" s="121">
        <f t="shared" si="3"/>
        <v>1000</v>
      </c>
      <c r="B90" s="122" t="str">
        <f t="shared" si="5"/>
        <v>nv</v>
      </c>
      <c r="C90" s="122" t="str">
        <f t="shared" si="5"/>
        <v>nv</v>
      </c>
      <c r="D90" s="122" t="str">
        <f t="shared" si="5"/>
        <v>nv</v>
      </c>
      <c r="E90" s="122">
        <f t="shared" si="5"/>
        <v>3484.455930574185</v>
      </c>
      <c r="F90" s="122">
        <f t="shared" si="5"/>
        <v>3512.6173919241392</v>
      </c>
      <c r="G90" s="122">
        <f t="shared" si="5"/>
        <v>3580.897862841699</v>
      </c>
      <c r="H90" s="122">
        <f t="shared" si="5"/>
        <v>3611.9955101308756</v>
      </c>
      <c r="I90" s="122"/>
      <c r="J90" s="122">
        <f t="shared" si="2"/>
        <v>3547.4916738677243</v>
      </c>
    </row>
    <row r="91" spans="1:10" x14ac:dyDescent="0.25">
      <c r="A91" s="121">
        <f t="shared" si="3"/>
        <v>10000</v>
      </c>
      <c r="B91" s="122" t="str">
        <f t="shared" si="5"/>
        <v>nv</v>
      </c>
      <c r="C91" s="122" t="str">
        <f t="shared" si="5"/>
        <v>nv</v>
      </c>
      <c r="D91" s="122" t="str">
        <f t="shared" si="5"/>
        <v>nv</v>
      </c>
      <c r="E91" s="122" t="str">
        <f t="shared" si="5"/>
        <v>nv</v>
      </c>
      <c r="F91" s="122">
        <f t="shared" si="5"/>
        <v>2997.1269883218743</v>
      </c>
      <c r="G91" s="122">
        <f t="shared" si="5"/>
        <v>3044.2218414546733</v>
      </c>
      <c r="H91" s="122">
        <f t="shared" si="5"/>
        <v>3103.6018814519025</v>
      </c>
      <c r="I91" s="122"/>
      <c r="J91" s="122">
        <f t="shared" si="2"/>
        <v>3048.3169037428165</v>
      </c>
    </row>
    <row r="92" spans="1:10" x14ac:dyDescent="0.25">
      <c r="A92" s="121">
        <f t="shared" si="3"/>
        <v>100000</v>
      </c>
      <c r="B92" s="122" t="str">
        <f t="shared" si="5"/>
        <v>nv</v>
      </c>
      <c r="C92" s="122" t="str">
        <f t="shared" si="5"/>
        <v>nv</v>
      </c>
      <c r="D92" s="122" t="str">
        <f t="shared" si="5"/>
        <v>nv</v>
      </c>
      <c r="E92" s="122" t="str">
        <f t="shared" si="5"/>
        <v>nv</v>
      </c>
      <c r="F92" s="122">
        <f t="shared" si="5"/>
        <v>2450.4999019800034</v>
      </c>
      <c r="G92" s="122">
        <f t="shared" si="5"/>
        <v>2460.4602686423113</v>
      </c>
      <c r="H92" s="122">
        <f t="shared" si="5"/>
        <v>2518.8478906445057</v>
      </c>
      <c r="I92" s="122"/>
      <c r="J92" s="122">
        <f t="shared" si="2"/>
        <v>2476.60268708894</v>
      </c>
    </row>
    <row r="93" spans="1:10" x14ac:dyDescent="0.25">
      <c r="A93" s="121">
        <f t="shared" si="3"/>
        <v>1000000</v>
      </c>
      <c r="B93" s="122" t="str">
        <f t="shared" si="5"/>
        <v>nv</v>
      </c>
      <c r="C93" s="122" t="str">
        <f t="shared" si="5"/>
        <v>nv</v>
      </c>
      <c r="D93" s="122" t="str">
        <f t="shared" si="5"/>
        <v>nv</v>
      </c>
      <c r="E93" s="122" t="str">
        <f t="shared" si="5"/>
        <v>nv</v>
      </c>
      <c r="F93" s="122" t="str">
        <f t="shared" si="5"/>
        <v>nv</v>
      </c>
      <c r="G93" s="122">
        <f t="shared" si="5"/>
        <v>1862.915395454796</v>
      </c>
      <c r="H93" s="122">
        <f t="shared" si="5"/>
        <v>1889.6929492567635</v>
      </c>
      <c r="I93" s="122"/>
      <c r="J93" s="122">
        <f t="shared" si="2"/>
        <v>1876.3041723557799</v>
      </c>
    </row>
    <row r="94" spans="1:10" x14ac:dyDescent="0.25">
      <c r="A94" s="121">
        <f t="shared" si="3"/>
        <v>10000000</v>
      </c>
      <c r="B94" s="122" t="str">
        <f t="shared" si="5"/>
        <v>nv</v>
      </c>
      <c r="C94" s="122" t="str">
        <f t="shared" si="5"/>
        <v>nv</v>
      </c>
      <c r="D94" s="122" t="str">
        <f t="shared" si="5"/>
        <v>nv</v>
      </c>
      <c r="E94" s="122" t="str">
        <f t="shared" si="5"/>
        <v>nv</v>
      </c>
      <c r="F94" s="122" t="str">
        <f t="shared" si="5"/>
        <v>nv</v>
      </c>
      <c r="G94" s="122">
        <f t="shared" si="5"/>
        <v>1348.7811436221966</v>
      </c>
      <c r="H94" s="122">
        <f t="shared" si="5"/>
        <v>1364.7785056820744</v>
      </c>
      <c r="I94" s="122"/>
      <c r="J94" s="122">
        <f t="shared" si="2"/>
        <v>1356.7798246521356</v>
      </c>
    </row>
    <row r="95" spans="1:10" x14ac:dyDescent="0.25">
      <c r="A95" s="121">
        <f t="shared" si="3"/>
        <v>100000000</v>
      </c>
      <c r="B95" s="122" t="str">
        <f t="shared" si="5"/>
        <v>nv</v>
      </c>
      <c r="C95" s="122" t="str">
        <f t="shared" si="5"/>
        <v>nv</v>
      </c>
      <c r="D95" s="122" t="str">
        <f t="shared" si="5"/>
        <v>nv</v>
      </c>
      <c r="E95" s="122" t="str">
        <f t="shared" si="5"/>
        <v>nv</v>
      </c>
      <c r="F95" s="122" t="str">
        <f t="shared" si="5"/>
        <v>nv</v>
      </c>
      <c r="G95" s="122" t="str">
        <f t="shared" si="5"/>
        <v>nv</v>
      </c>
      <c r="H95" s="122">
        <f t="shared" si="5"/>
        <v>972.6671097611403</v>
      </c>
      <c r="I95" s="122"/>
      <c r="J95" s="122">
        <f t="shared" si="2"/>
        <v>972.6671097611403</v>
      </c>
    </row>
    <row r="96" spans="1:10" x14ac:dyDescent="0.25">
      <c r="A96" s="121">
        <f t="shared" si="3"/>
        <v>1000000000</v>
      </c>
      <c r="B96" s="122" t="str">
        <f t="shared" si="5"/>
        <v>nv</v>
      </c>
      <c r="C96" s="122" t="str">
        <f t="shared" si="5"/>
        <v>nv</v>
      </c>
      <c r="D96" s="122" t="str">
        <f t="shared" si="5"/>
        <v>nv</v>
      </c>
      <c r="E96" s="122" t="str">
        <f t="shared" si="5"/>
        <v>nv</v>
      </c>
      <c r="F96" s="122" t="str">
        <f t="shared" si="5"/>
        <v>nv</v>
      </c>
      <c r="G96" s="122" t="str">
        <f t="shared" si="5"/>
        <v>nv</v>
      </c>
      <c r="H96" s="122">
        <f t="shared" si="5"/>
        <v>751.17398759984246</v>
      </c>
      <c r="I96" s="122"/>
      <c r="J96" s="122">
        <f t="shared" si="2"/>
        <v>751.17398759984246</v>
      </c>
    </row>
    <row r="97" spans="1:36" x14ac:dyDescent="0.25">
      <c r="A97" s="121">
        <f t="shared" si="3"/>
        <v>10000000000</v>
      </c>
      <c r="B97" s="122" t="str">
        <f t="shared" si="5"/>
        <v>nv</v>
      </c>
      <c r="C97" s="122" t="str">
        <f t="shared" si="5"/>
        <v>nv</v>
      </c>
      <c r="D97" s="122" t="str">
        <f t="shared" si="5"/>
        <v>nv</v>
      </c>
      <c r="E97" s="122" t="str">
        <f t="shared" si="5"/>
        <v>nv</v>
      </c>
      <c r="F97" s="122" t="str">
        <f t="shared" si="5"/>
        <v>nv</v>
      </c>
      <c r="G97" s="122" t="str">
        <f t="shared" si="5"/>
        <v>nv</v>
      </c>
      <c r="H97" s="122">
        <f t="shared" si="5"/>
        <v>632.09144754604006</v>
      </c>
      <c r="I97" s="122"/>
      <c r="J97" s="122">
        <f t="shared" si="2"/>
        <v>632.09144754604006</v>
      </c>
    </row>
    <row r="98" spans="1:36" x14ac:dyDescent="0.25">
      <c r="A98" s="121">
        <f t="shared" si="3"/>
        <v>100000000000</v>
      </c>
      <c r="B98" s="122" t="str">
        <f t="shared" si="5"/>
        <v>nv</v>
      </c>
      <c r="C98" s="122" t="str">
        <f t="shared" si="5"/>
        <v>nv</v>
      </c>
      <c r="D98" s="122" t="str">
        <f t="shared" si="5"/>
        <v>nv</v>
      </c>
      <c r="E98" s="122" t="str">
        <f t="shared" si="5"/>
        <v>nv</v>
      </c>
      <c r="F98" s="122" t="str">
        <f t="shared" si="5"/>
        <v>nv</v>
      </c>
      <c r="G98" s="122" t="str">
        <f t="shared" si="5"/>
        <v>nv</v>
      </c>
      <c r="H98" s="122" t="str">
        <f t="shared" si="5"/>
        <v>nv</v>
      </c>
      <c r="I98" s="122"/>
      <c r="J98" s="122">
        <f t="shared" si="2"/>
        <v>632.09144754604006</v>
      </c>
    </row>
    <row r="99" spans="1:36" x14ac:dyDescent="0.25">
      <c r="A99" s="121">
        <f t="shared" si="3"/>
        <v>1000000000000</v>
      </c>
      <c r="B99" s="122" t="str">
        <f t="shared" si="5"/>
        <v>nv</v>
      </c>
      <c r="C99" s="122" t="str">
        <f t="shared" si="5"/>
        <v>nv</v>
      </c>
      <c r="D99" s="122" t="str">
        <f t="shared" si="5"/>
        <v>nv</v>
      </c>
      <c r="E99" s="122" t="str">
        <f t="shared" si="5"/>
        <v>nv</v>
      </c>
      <c r="F99" s="122" t="str">
        <f t="shared" si="5"/>
        <v>nv</v>
      </c>
      <c r="G99" s="122" t="str">
        <f t="shared" si="5"/>
        <v>nv</v>
      </c>
      <c r="H99" s="122" t="str">
        <f t="shared" si="5"/>
        <v>nv</v>
      </c>
      <c r="I99" s="122"/>
      <c r="J99" s="122">
        <f t="shared" si="2"/>
        <v>632.09144754604006</v>
      </c>
    </row>
    <row r="100" spans="1:36" x14ac:dyDescent="0.25">
      <c r="A100" s="121">
        <f t="shared" si="3"/>
        <v>10000000000000</v>
      </c>
      <c r="B100" s="122" t="str">
        <f t="shared" si="5"/>
        <v>nv</v>
      </c>
      <c r="C100" s="122" t="str">
        <f t="shared" si="5"/>
        <v>nv</v>
      </c>
      <c r="D100" s="122" t="str">
        <f t="shared" si="5"/>
        <v>nv</v>
      </c>
      <c r="E100" s="122" t="str">
        <f t="shared" si="5"/>
        <v>nv</v>
      </c>
      <c r="F100" s="122" t="str">
        <f t="shared" si="5"/>
        <v>nv</v>
      </c>
      <c r="G100" s="122" t="str">
        <f t="shared" si="5"/>
        <v>nv</v>
      </c>
      <c r="H100" s="122" t="str">
        <f t="shared" si="5"/>
        <v>nv</v>
      </c>
      <c r="I100" s="122"/>
      <c r="J100" s="122">
        <f t="shared" si="2"/>
        <v>632.09144754604006</v>
      </c>
    </row>
    <row r="101" spans="1:36" x14ac:dyDescent="0.25">
      <c r="A101" s="121">
        <f t="shared" si="3"/>
        <v>100000000000000</v>
      </c>
      <c r="B101" s="122" t="str">
        <f t="shared" si="5"/>
        <v>nv</v>
      </c>
      <c r="C101" s="122" t="str">
        <f t="shared" si="5"/>
        <v>nv</v>
      </c>
      <c r="D101" s="122" t="str">
        <f t="shared" si="5"/>
        <v>nv</v>
      </c>
      <c r="E101" s="122" t="str">
        <f t="shared" si="5"/>
        <v>nv</v>
      </c>
      <c r="F101" s="122" t="str">
        <f t="shared" si="5"/>
        <v>nv</v>
      </c>
      <c r="G101" s="122" t="str">
        <f t="shared" si="5"/>
        <v>nv</v>
      </c>
      <c r="H101" s="122" t="str">
        <f t="shared" si="5"/>
        <v>nv</v>
      </c>
      <c r="I101" s="122"/>
      <c r="J101" s="122">
        <f t="shared" si="2"/>
        <v>632.09144754604006</v>
      </c>
    </row>
    <row r="102" spans="1:36" x14ac:dyDescent="0.25">
      <c r="A102" s="121">
        <f t="shared" si="3"/>
        <v>1000000000000000</v>
      </c>
      <c r="B102" s="122" t="str">
        <f t="shared" si="5"/>
        <v>nv</v>
      </c>
      <c r="C102" s="122" t="str">
        <f t="shared" si="5"/>
        <v>nv</v>
      </c>
      <c r="D102" s="122" t="str">
        <f t="shared" si="5"/>
        <v>nv</v>
      </c>
      <c r="E102" s="122" t="str">
        <f t="shared" si="5"/>
        <v>nv</v>
      </c>
      <c r="F102" s="122" t="str">
        <f t="shared" si="5"/>
        <v>nv</v>
      </c>
      <c r="G102" s="122" t="str">
        <f t="shared" si="5"/>
        <v>nv</v>
      </c>
      <c r="H102" s="122" t="str">
        <f t="shared" si="5"/>
        <v>nv</v>
      </c>
      <c r="I102" s="122"/>
      <c r="J102" s="122">
        <f t="shared" si="2"/>
        <v>632.09144754604006</v>
      </c>
    </row>
    <row r="103" spans="1:36" x14ac:dyDescent="0.25">
      <c r="A103" s="3"/>
    </row>
    <row r="104" spans="1:36" x14ac:dyDescent="0.25">
      <c r="A104" s="3"/>
    </row>
    <row r="105" spans="1:36" x14ac:dyDescent="0.25">
      <c r="A105" s="3"/>
    </row>
    <row r="106" spans="1:36" x14ac:dyDescent="0.25">
      <c r="A106" s="3"/>
    </row>
    <row r="107" spans="1:36" x14ac:dyDescent="0.25">
      <c r="A107" s="3"/>
    </row>
    <row r="108" spans="1:36" x14ac:dyDescent="0.25">
      <c r="A108" s="130" t="s">
        <v>26</v>
      </c>
      <c r="B108" s="130"/>
      <c r="C108" s="130"/>
      <c r="D108" s="111"/>
      <c r="E108" s="111" t="s">
        <v>17</v>
      </c>
      <c r="F108" s="22">
        <f>INDEX($A$72:$A$102,COLUMN(A72),1)</f>
        <v>1.0000000000000001E-15</v>
      </c>
      <c r="G108" s="22">
        <f t="shared" ref="G108:AJ108" si="6">INDEX($A$72:$A$102,COLUMN(B72),1)</f>
        <v>1E-14</v>
      </c>
      <c r="H108" s="22">
        <f t="shared" si="6"/>
        <v>1E-13</v>
      </c>
      <c r="I108" s="22">
        <f t="shared" si="6"/>
        <v>9.9999999999999998E-13</v>
      </c>
      <c r="J108" s="22">
        <f t="shared" si="6"/>
        <v>9.9999999999999994E-12</v>
      </c>
      <c r="K108" s="22">
        <f t="shared" si="6"/>
        <v>1E-10</v>
      </c>
      <c r="L108" s="22">
        <f t="shared" si="6"/>
        <v>1.0000000000000001E-9</v>
      </c>
      <c r="M108" s="22">
        <f t="shared" si="6"/>
        <v>1E-8</v>
      </c>
      <c r="N108" s="22">
        <f t="shared" si="6"/>
        <v>9.9999999999999995E-8</v>
      </c>
      <c r="O108" s="22">
        <f t="shared" si="6"/>
        <v>9.9999999999999995E-7</v>
      </c>
      <c r="P108" s="22">
        <f t="shared" si="6"/>
        <v>1.0000000000000001E-5</v>
      </c>
      <c r="Q108" s="22">
        <f t="shared" si="6"/>
        <v>1E-4</v>
      </c>
      <c r="R108" s="22">
        <f t="shared" si="6"/>
        <v>1E-3</v>
      </c>
      <c r="S108" s="22">
        <f t="shared" si="6"/>
        <v>0.01</v>
      </c>
      <c r="T108" s="22">
        <f t="shared" si="6"/>
        <v>0.1</v>
      </c>
      <c r="U108" s="22">
        <f t="shared" si="6"/>
        <v>1</v>
      </c>
      <c r="V108" s="22">
        <f t="shared" si="6"/>
        <v>10</v>
      </c>
      <c r="W108" s="22">
        <f t="shared" si="6"/>
        <v>100</v>
      </c>
      <c r="X108" s="22">
        <f t="shared" si="6"/>
        <v>1000</v>
      </c>
      <c r="Y108" s="22">
        <f t="shared" si="6"/>
        <v>10000</v>
      </c>
      <c r="Z108" s="22">
        <f t="shared" si="6"/>
        <v>100000</v>
      </c>
      <c r="AA108" s="22">
        <f t="shared" si="6"/>
        <v>1000000</v>
      </c>
      <c r="AB108" s="22">
        <f t="shared" si="6"/>
        <v>10000000</v>
      </c>
      <c r="AC108" s="22">
        <f t="shared" si="6"/>
        <v>100000000</v>
      </c>
      <c r="AD108" s="22">
        <f t="shared" si="6"/>
        <v>1000000000</v>
      </c>
      <c r="AE108" s="22">
        <f t="shared" si="6"/>
        <v>10000000000</v>
      </c>
      <c r="AF108" s="22">
        <f t="shared" si="6"/>
        <v>100000000000</v>
      </c>
      <c r="AG108" s="22">
        <f t="shared" si="6"/>
        <v>1000000000000</v>
      </c>
      <c r="AH108" s="22">
        <f t="shared" si="6"/>
        <v>10000000000000</v>
      </c>
      <c r="AI108" s="22">
        <f t="shared" si="6"/>
        <v>100000000000000</v>
      </c>
      <c r="AJ108" s="22">
        <f t="shared" si="6"/>
        <v>1000000000000000</v>
      </c>
    </row>
    <row r="109" spans="1:36" x14ac:dyDescent="0.25">
      <c r="A109" s="11" t="s">
        <v>18</v>
      </c>
      <c r="B109" s="24" t="s">
        <v>19</v>
      </c>
      <c r="C109" s="24"/>
      <c r="D109" s="111"/>
      <c r="E109" s="25" t="s">
        <v>23</v>
      </c>
      <c r="F109" s="26">
        <f>INDEX($J$72:$J$102,COLUMN(A72),1)</f>
        <v>7602.5920165015468</v>
      </c>
      <c r="G109" s="26">
        <f t="shared" ref="G109:AJ109" si="7">INDEX($J$72:$J$102,COLUMN(B72),1)</f>
        <v>7602.5920165015468</v>
      </c>
      <c r="H109" s="26">
        <f t="shared" si="7"/>
        <v>7602.5920165015468</v>
      </c>
      <c r="I109" s="26">
        <f t="shared" si="7"/>
        <v>7602.5920165015468</v>
      </c>
      <c r="J109" s="26">
        <f t="shared" si="7"/>
        <v>7602.5920165015468</v>
      </c>
      <c r="K109" s="26">
        <f t="shared" si="7"/>
        <v>7602.5920165015468</v>
      </c>
      <c r="L109" s="26">
        <f t="shared" si="7"/>
        <v>7602.5920165015468</v>
      </c>
      <c r="M109" s="26">
        <f t="shared" si="7"/>
        <v>7293.0605868782868</v>
      </c>
      <c r="N109" s="26">
        <f t="shared" si="7"/>
        <v>6922.1818208085642</v>
      </c>
      <c r="O109" s="26">
        <f t="shared" si="7"/>
        <v>6551.9902827115311</v>
      </c>
      <c r="P109" s="26">
        <f t="shared" si="7"/>
        <v>6243.1473242563861</v>
      </c>
      <c r="Q109" s="26">
        <f t="shared" si="7"/>
        <v>5955.351298415635</v>
      </c>
      <c r="R109" s="26">
        <f t="shared" si="7"/>
        <v>5677.4322075470409</v>
      </c>
      <c r="S109" s="26">
        <f t="shared" si="7"/>
        <v>5393.5016852226845</v>
      </c>
      <c r="T109" s="26">
        <f t="shared" si="7"/>
        <v>5117.9502014439704</v>
      </c>
      <c r="U109" s="26">
        <f t="shared" si="7"/>
        <v>4780.1388881183493</v>
      </c>
      <c r="V109" s="26">
        <f t="shared" si="7"/>
        <v>4410.6107431966257</v>
      </c>
      <c r="W109" s="26">
        <f t="shared" si="7"/>
        <v>3996.015129615565</v>
      </c>
      <c r="X109" s="26">
        <f t="shared" si="7"/>
        <v>3547.4916738677243</v>
      </c>
      <c r="Y109" s="26">
        <f t="shared" si="7"/>
        <v>3048.3169037428165</v>
      </c>
      <c r="Z109" s="26">
        <f t="shared" si="7"/>
        <v>2476.60268708894</v>
      </c>
      <c r="AA109" s="26">
        <f t="shared" si="7"/>
        <v>1876.3041723557799</v>
      </c>
      <c r="AB109" s="26">
        <f t="shared" si="7"/>
        <v>1356.7798246521356</v>
      </c>
      <c r="AC109" s="26">
        <f t="shared" si="7"/>
        <v>972.6671097611403</v>
      </c>
      <c r="AD109" s="26">
        <f t="shared" si="7"/>
        <v>751.17398759984246</v>
      </c>
      <c r="AE109" s="26">
        <f t="shared" si="7"/>
        <v>632.09144754604006</v>
      </c>
      <c r="AF109" s="26">
        <f t="shared" si="7"/>
        <v>632.09144754604006</v>
      </c>
      <c r="AG109" s="26">
        <f t="shared" si="7"/>
        <v>632.09144754604006</v>
      </c>
      <c r="AH109" s="26">
        <f t="shared" si="7"/>
        <v>632.09144754604006</v>
      </c>
      <c r="AI109" s="26">
        <f t="shared" si="7"/>
        <v>632.09144754604006</v>
      </c>
      <c r="AJ109" s="26">
        <f t="shared" si="7"/>
        <v>632.09144754604006</v>
      </c>
    </row>
    <row r="110" spans="1:36" x14ac:dyDescent="0.25">
      <c r="A110" s="14" t="s">
        <v>20</v>
      </c>
      <c r="B110" s="105">
        <v>5.4832275594297909E-2</v>
      </c>
      <c r="C110" s="18">
        <f>ABS(B110/$B$142)</f>
        <v>6.2046914058304765E-2</v>
      </c>
      <c r="D110" s="111"/>
      <c r="E110" s="77" t="s">
        <v>22</v>
      </c>
      <c r="F110" s="27">
        <f>($C$110+SUM(F111:F141))*$B$144</f>
        <v>7609.5747766551567</v>
      </c>
      <c r="G110" s="27">
        <f t="shared" ref="G110:AJ110" si="8">($C$110+SUM(G111:G141))*$B$144</f>
        <v>7609.5742853943748</v>
      </c>
      <c r="H110" s="27">
        <f t="shared" si="8"/>
        <v>7609.5693728196948</v>
      </c>
      <c r="I110" s="27">
        <f t="shared" si="8"/>
        <v>7609.5202503855098</v>
      </c>
      <c r="J110" s="27">
        <f t="shared" si="8"/>
        <v>7609.0293571391258</v>
      </c>
      <c r="K110" s="27">
        <f t="shared" si="8"/>
        <v>7604.1533678575433</v>
      </c>
      <c r="L110" s="27">
        <f t="shared" si="8"/>
        <v>7558.5276029893239</v>
      </c>
      <c r="M110" s="27">
        <f t="shared" si="8"/>
        <v>7302.1979835125558</v>
      </c>
      <c r="N110" s="27">
        <f t="shared" si="8"/>
        <v>6920.7321681299454</v>
      </c>
      <c r="O110" s="27">
        <f t="shared" si="8"/>
        <v>6553.3681868299718</v>
      </c>
      <c r="P110" s="27">
        <f t="shared" si="8"/>
        <v>6240.8888298186657</v>
      </c>
      <c r="Q110" s="27">
        <f t="shared" si="8"/>
        <v>5958.6127470134916</v>
      </c>
      <c r="R110" s="27">
        <f t="shared" si="8"/>
        <v>5673.4215096418848</v>
      </c>
      <c r="S110" s="27">
        <f t="shared" si="8"/>
        <v>5397.7129833707731</v>
      </c>
      <c r="T110" s="27">
        <f t="shared" si="8"/>
        <v>5114.1615889200048</v>
      </c>
      <c r="U110" s="27">
        <f t="shared" si="8"/>
        <v>4783.0678801813756</v>
      </c>
      <c r="V110" s="27">
        <f t="shared" si="8"/>
        <v>4408.6599189743574</v>
      </c>
      <c r="W110" s="27">
        <f t="shared" si="8"/>
        <v>3997.1367791068797</v>
      </c>
      <c r="X110" s="27">
        <f t="shared" si="8"/>
        <v>3546.9338036195431</v>
      </c>
      <c r="Y110" s="27">
        <f t="shared" si="8"/>
        <v>3048.5570702339228</v>
      </c>
      <c r="Z110" s="27">
        <f t="shared" si="8"/>
        <v>2476.5129492262759</v>
      </c>
      <c r="AA110" s="27">
        <f t="shared" si="8"/>
        <v>1876.333402679433</v>
      </c>
      <c r="AB110" s="27">
        <f t="shared" si="8"/>
        <v>1356.7670874389737</v>
      </c>
      <c r="AC110" s="27">
        <f t="shared" si="8"/>
        <v>972.6806696054158</v>
      </c>
      <c r="AD110" s="27">
        <f t="shared" si="8"/>
        <v>751.15675017855051</v>
      </c>
      <c r="AE110" s="27">
        <f t="shared" si="8"/>
        <v>632.10528283794451</v>
      </c>
      <c r="AF110" s="27">
        <f t="shared" si="8"/>
        <v>632.09058963308212</v>
      </c>
      <c r="AG110" s="27">
        <f t="shared" si="8"/>
        <v>632.09058963308212</v>
      </c>
      <c r="AH110" s="27">
        <f t="shared" si="8"/>
        <v>632.09058963308212</v>
      </c>
      <c r="AI110" s="27">
        <f t="shared" si="8"/>
        <v>632.09058963308212</v>
      </c>
      <c r="AJ110" s="27">
        <f t="shared" si="8"/>
        <v>632.09058963308212</v>
      </c>
    </row>
    <row r="111" spans="1:36" x14ac:dyDescent="0.25">
      <c r="A111" s="3">
        <f>0.000000000000001/10^5</f>
        <v>1.0000000000000001E-20</v>
      </c>
      <c r="B111" s="105">
        <v>0.22361128928393648</v>
      </c>
      <c r="C111" s="18">
        <f t="shared" ref="C111:C141" si="9">ABS(B111/$B$142)</f>
        <v>0.25303327827068972</v>
      </c>
      <c r="D111" s="17"/>
      <c r="E111" s="11"/>
      <c r="F111" s="3">
        <f>$C111*EXP(-F$108/$A111)</f>
        <v>0</v>
      </c>
      <c r="G111" s="3">
        <f t="shared" ref="G111:AJ119" si="10">$C111*EXP(-G$108/$A111)</f>
        <v>0</v>
      </c>
      <c r="H111" s="3">
        <f t="shared" si="10"/>
        <v>0</v>
      </c>
      <c r="I111" s="3">
        <f t="shared" si="10"/>
        <v>0</v>
      </c>
      <c r="J111" s="3">
        <f t="shared" si="10"/>
        <v>0</v>
      </c>
      <c r="K111" s="3">
        <f t="shared" si="10"/>
        <v>0</v>
      </c>
      <c r="L111" s="3">
        <f t="shared" si="10"/>
        <v>0</v>
      </c>
      <c r="M111" s="3">
        <f t="shared" si="10"/>
        <v>0</v>
      </c>
      <c r="N111" s="3">
        <f t="shared" si="10"/>
        <v>0</v>
      </c>
      <c r="O111" s="3">
        <f t="shared" si="10"/>
        <v>0</v>
      </c>
      <c r="P111" s="3">
        <f t="shared" si="10"/>
        <v>0</v>
      </c>
      <c r="Q111" s="3">
        <f t="shared" si="10"/>
        <v>0</v>
      </c>
      <c r="R111" s="3">
        <f t="shared" si="10"/>
        <v>0</v>
      </c>
      <c r="S111" s="3">
        <f t="shared" si="10"/>
        <v>0</v>
      </c>
      <c r="T111" s="3">
        <f t="shared" si="10"/>
        <v>0</v>
      </c>
      <c r="U111" s="3">
        <f t="shared" si="10"/>
        <v>0</v>
      </c>
      <c r="V111" s="3">
        <f t="shared" si="10"/>
        <v>0</v>
      </c>
      <c r="W111" s="3">
        <f t="shared" si="10"/>
        <v>0</v>
      </c>
      <c r="X111" s="3">
        <f t="shared" si="10"/>
        <v>0</v>
      </c>
      <c r="Y111" s="3">
        <f t="shared" si="10"/>
        <v>0</v>
      </c>
      <c r="Z111" s="3">
        <f t="shared" si="10"/>
        <v>0</v>
      </c>
      <c r="AA111" s="3">
        <f t="shared" si="10"/>
        <v>0</v>
      </c>
      <c r="AB111" s="3">
        <f t="shared" si="10"/>
        <v>0</v>
      </c>
      <c r="AC111" s="3">
        <f t="shared" si="10"/>
        <v>0</v>
      </c>
      <c r="AD111" s="3">
        <f t="shared" si="10"/>
        <v>0</v>
      </c>
      <c r="AE111" s="3">
        <f t="shared" si="10"/>
        <v>0</v>
      </c>
      <c r="AF111" s="3">
        <f t="shared" si="10"/>
        <v>0</v>
      </c>
      <c r="AG111" s="3">
        <f t="shared" si="10"/>
        <v>0</v>
      </c>
      <c r="AH111" s="3">
        <f t="shared" si="10"/>
        <v>0</v>
      </c>
      <c r="AI111" s="3">
        <f t="shared" si="10"/>
        <v>0</v>
      </c>
      <c r="AJ111" s="3">
        <f t="shared" si="10"/>
        <v>0</v>
      </c>
    </row>
    <row r="112" spans="1:36" x14ac:dyDescent="0.25">
      <c r="A112" s="3">
        <v>3.9038946506297401E-14</v>
      </c>
      <c r="B112" s="105">
        <v>0</v>
      </c>
      <c r="C112" s="18">
        <f t="shared" si="9"/>
        <v>0</v>
      </c>
      <c r="D112" s="17"/>
      <c r="E112" s="11"/>
      <c r="F112" s="3">
        <f t="shared" ref="F112:U141" si="11">$C112*EXP(-F$108/$A112)</f>
        <v>0</v>
      </c>
      <c r="G112" s="3">
        <f t="shared" si="11"/>
        <v>0</v>
      </c>
      <c r="H112" s="3">
        <f t="shared" si="11"/>
        <v>0</v>
      </c>
      <c r="I112" s="3">
        <f t="shared" si="11"/>
        <v>0</v>
      </c>
      <c r="J112" s="3">
        <f t="shared" si="11"/>
        <v>0</v>
      </c>
      <c r="K112" s="3">
        <f t="shared" si="11"/>
        <v>0</v>
      </c>
      <c r="L112" s="3">
        <f t="shared" si="11"/>
        <v>0</v>
      </c>
      <c r="M112" s="3">
        <f t="shared" si="11"/>
        <v>0</v>
      </c>
      <c r="N112" s="3">
        <f t="shared" si="11"/>
        <v>0</v>
      </c>
      <c r="O112" s="3">
        <f t="shared" si="11"/>
        <v>0</v>
      </c>
      <c r="P112" s="3">
        <f t="shared" si="11"/>
        <v>0</v>
      </c>
      <c r="Q112" s="3">
        <f t="shared" si="11"/>
        <v>0</v>
      </c>
      <c r="R112" s="3">
        <f t="shared" si="11"/>
        <v>0</v>
      </c>
      <c r="S112" s="3">
        <f t="shared" si="11"/>
        <v>0</v>
      </c>
      <c r="T112" s="3">
        <f t="shared" si="11"/>
        <v>0</v>
      </c>
      <c r="U112" s="3">
        <f t="shared" si="11"/>
        <v>0</v>
      </c>
      <c r="V112" s="3">
        <f t="shared" si="10"/>
        <v>0</v>
      </c>
      <c r="W112" s="3">
        <f t="shared" si="10"/>
        <v>0</v>
      </c>
      <c r="X112" s="3">
        <f t="shared" si="10"/>
        <v>0</v>
      </c>
      <c r="Y112" s="3">
        <f t="shared" si="10"/>
        <v>0</v>
      </c>
      <c r="Z112" s="3">
        <f t="shared" si="10"/>
        <v>0</v>
      </c>
      <c r="AA112" s="3">
        <f t="shared" si="10"/>
        <v>0</v>
      </c>
      <c r="AB112" s="3">
        <f t="shared" si="10"/>
        <v>0</v>
      </c>
      <c r="AC112" s="3">
        <f t="shared" si="10"/>
        <v>0</v>
      </c>
      <c r="AD112" s="3">
        <f t="shared" si="10"/>
        <v>0</v>
      </c>
      <c r="AE112" s="3">
        <f t="shared" si="10"/>
        <v>0</v>
      </c>
      <c r="AF112" s="3">
        <f t="shared" si="10"/>
        <v>0</v>
      </c>
      <c r="AG112" s="3">
        <f t="shared" si="10"/>
        <v>0</v>
      </c>
      <c r="AH112" s="3">
        <f t="shared" si="10"/>
        <v>0</v>
      </c>
      <c r="AI112" s="3">
        <f t="shared" si="10"/>
        <v>0</v>
      </c>
      <c r="AJ112" s="3">
        <f t="shared" si="10"/>
        <v>0</v>
      </c>
    </row>
    <row r="113" spans="1:36" x14ac:dyDescent="0.25">
      <c r="A113" s="3">
        <v>4.3276437088188502E-13</v>
      </c>
      <c r="B113" s="105">
        <v>0</v>
      </c>
      <c r="C113" s="18">
        <f t="shared" si="9"/>
        <v>0</v>
      </c>
      <c r="D113" s="17"/>
      <c r="E113" s="11"/>
      <c r="F113" s="3">
        <f t="shared" si="11"/>
        <v>0</v>
      </c>
      <c r="G113" s="3">
        <f t="shared" si="10"/>
        <v>0</v>
      </c>
      <c r="H113" s="3">
        <f t="shared" si="10"/>
        <v>0</v>
      </c>
      <c r="I113" s="3">
        <f t="shared" si="10"/>
        <v>0</v>
      </c>
      <c r="J113" s="3">
        <f t="shared" si="10"/>
        <v>0</v>
      </c>
      <c r="K113" s="3">
        <f t="shared" si="10"/>
        <v>0</v>
      </c>
      <c r="L113" s="3">
        <f t="shared" si="10"/>
        <v>0</v>
      </c>
      <c r="M113" s="3">
        <f t="shared" si="10"/>
        <v>0</v>
      </c>
      <c r="N113" s="3">
        <f t="shared" si="10"/>
        <v>0</v>
      </c>
      <c r="O113" s="3">
        <f t="shared" si="10"/>
        <v>0</v>
      </c>
      <c r="P113" s="3">
        <f t="shared" si="10"/>
        <v>0</v>
      </c>
      <c r="Q113" s="3">
        <f t="shared" si="10"/>
        <v>0</v>
      </c>
      <c r="R113" s="3">
        <f t="shared" si="10"/>
        <v>0</v>
      </c>
      <c r="S113" s="3">
        <f t="shared" si="10"/>
        <v>0</v>
      </c>
      <c r="T113" s="3">
        <f t="shared" si="10"/>
        <v>0</v>
      </c>
      <c r="U113" s="3">
        <f t="shared" si="10"/>
        <v>0</v>
      </c>
      <c r="V113" s="3">
        <f t="shared" si="10"/>
        <v>0</v>
      </c>
      <c r="W113" s="3">
        <f t="shared" si="10"/>
        <v>0</v>
      </c>
      <c r="X113" s="3">
        <f t="shared" si="10"/>
        <v>0</v>
      </c>
      <c r="Y113" s="3">
        <f t="shared" si="10"/>
        <v>0</v>
      </c>
      <c r="Z113" s="3">
        <f t="shared" si="10"/>
        <v>0</v>
      </c>
      <c r="AA113" s="3">
        <f t="shared" si="10"/>
        <v>0</v>
      </c>
      <c r="AB113" s="3">
        <f t="shared" si="10"/>
        <v>0</v>
      </c>
      <c r="AC113" s="3">
        <f t="shared" si="10"/>
        <v>0</v>
      </c>
      <c r="AD113" s="3">
        <f t="shared" si="10"/>
        <v>0</v>
      </c>
      <c r="AE113" s="3">
        <f t="shared" si="10"/>
        <v>0</v>
      </c>
      <c r="AF113" s="3">
        <f t="shared" si="10"/>
        <v>0</v>
      </c>
      <c r="AG113" s="3">
        <f t="shared" si="10"/>
        <v>0</v>
      </c>
      <c r="AH113" s="3">
        <f t="shared" si="10"/>
        <v>0</v>
      </c>
      <c r="AI113" s="3">
        <f t="shared" si="10"/>
        <v>0</v>
      </c>
      <c r="AJ113" s="3">
        <f t="shared" si="10"/>
        <v>0</v>
      </c>
    </row>
    <row r="114" spans="1:36" x14ac:dyDescent="0.25">
      <c r="A114" s="3">
        <v>4.7973886968128502E-12</v>
      </c>
      <c r="B114" s="105">
        <v>0</v>
      </c>
      <c r="C114" s="18">
        <f t="shared" si="9"/>
        <v>0</v>
      </c>
      <c r="D114" s="17"/>
      <c r="E114" s="11"/>
      <c r="F114" s="3">
        <f t="shared" si="11"/>
        <v>0</v>
      </c>
      <c r="G114" s="3">
        <f t="shared" si="10"/>
        <v>0</v>
      </c>
      <c r="H114" s="3">
        <f t="shared" si="10"/>
        <v>0</v>
      </c>
      <c r="I114" s="3">
        <f t="shared" si="10"/>
        <v>0</v>
      </c>
      <c r="J114" s="3">
        <f t="shared" si="10"/>
        <v>0</v>
      </c>
      <c r="K114" s="3">
        <f t="shared" si="10"/>
        <v>0</v>
      </c>
      <c r="L114" s="3">
        <f t="shared" si="10"/>
        <v>0</v>
      </c>
      <c r="M114" s="3">
        <f t="shared" si="10"/>
        <v>0</v>
      </c>
      <c r="N114" s="3">
        <f t="shared" si="10"/>
        <v>0</v>
      </c>
      <c r="O114" s="3">
        <f t="shared" si="10"/>
        <v>0</v>
      </c>
      <c r="P114" s="3">
        <f t="shared" si="10"/>
        <v>0</v>
      </c>
      <c r="Q114" s="3">
        <f t="shared" si="10"/>
        <v>0</v>
      </c>
      <c r="R114" s="3">
        <f t="shared" si="10"/>
        <v>0</v>
      </c>
      <c r="S114" s="3">
        <f t="shared" si="10"/>
        <v>0</v>
      </c>
      <c r="T114" s="3">
        <f t="shared" si="10"/>
        <v>0</v>
      </c>
      <c r="U114" s="3">
        <f t="shared" si="10"/>
        <v>0</v>
      </c>
      <c r="V114" s="3">
        <f t="shared" si="10"/>
        <v>0</v>
      </c>
      <c r="W114" s="3">
        <f t="shared" si="10"/>
        <v>0</v>
      </c>
      <c r="X114" s="3">
        <f t="shared" si="10"/>
        <v>0</v>
      </c>
      <c r="Y114" s="3">
        <f t="shared" si="10"/>
        <v>0</v>
      </c>
      <c r="Z114" s="3">
        <f t="shared" si="10"/>
        <v>0</v>
      </c>
      <c r="AA114" s="3">
        <f t="shared" si="10"/>
        <v>0</v>
      </c>
      <c r="AB114" s="3">
        <f t="shared" si="10"/>
        <v>0</v>
      </c>
      <c r="AC114" s="3">
        <f t="shared" si="10"/>
        <v>0</v>
      </c>
      <c r="AD114" s="3">
        <f t="shared" si="10"/>
        <v>0</v>
      </c>
      <c r="AE114" s="3">
        <f t="shared" si="10"/>
        <v>0</v>
      </c>
      <c r="AF114" s="3">
        <f t="shared" si="10"/>
        <v>0</v>
      </c>
      <c r="AG114" s="3">
        <f t="shared" si="10"/>
        <v>0</v>
      </c>
      <c r="AH114" s="3">
        <f t="shared" si="10"/>
        <v>0</v>
      </c>
      <c r="AI114" s="3">
        <f t="shared" si="10"/>
        <v>0</v>
      </c>
      <c r="AJ114" s="3">
        <f t="shared" si="10"/>
        <v>0</v>
      </c>
    </row>
    <row r="115" spans="1:36" x14ac:dyDescent="0.25">
      <c r="A115" s="3">
        <v>5.31812225239524E-11</v>
      </c>
      <c r="B115" s="105">
        <v>0</v>
      </c>
      <c r="C115" s="18">
        <f t="shared" si="9"/>
        <v>0</v>
      </c>
      <c r="D115" s="17"/>
      <c r="E115" s="11"/>
      <c r="F115" s="3">
        <f t="shared" si="11"/>
        <v>0</v>
      </c>
      <c r="G115" s="3">
        <f t="shared" si="10"/>
        <v>0</v>
      </c>
      <c r="H115" s="3">
        <f t="shared" si="10"/>
        <v>0</v>
      </c>
      <c r="I115" s="3">
        <f t="shared" si="10"/>
        <v>0</v>
      </c>
      <c r="J115" s="3">
        <f t="shared" si="10"/>
        <v>0</v>
      </c>
      <c r="K115" s="3">
        <f t="shared" si="10"/>
        <v>0</v>
      </c>
      <c r="L115" s="3">
        <f t="shared" si="10"/>
        <v>0</v>
      </c>
      <c r="M115" s="3">
        <f t="shared" si="10"/>
        <v>0</v>
      </c>
      <c r="N115" s="3">
        <f t="shared" si="10"/>
        <v>0</v>
      </c>
      <c r="O115" s="3">
        <f t="shared" si="10"/>
        <v>0</v>
      </c>
      <c r="P115" s="3">
        <f t="shared" si="10"/>
        <v>0</v>
      </c>
      <c r="Q115" s="3">
        <f t="shared" si="10"/>
        <v>0</v>
      </c>
      <c r="R115" s="3">
        <f t="shared" si="10"/>
        <v>0</v>
      </c>
      <c r="S115" s="3">
        <f t="shared" si="10"/>
        <v>0</v>
      </c>
      <c r="T115" s="3">
        <f t="shared" si="10"/>
        <v>0</v>
      </c>
      <c r="U115" s="3">
        <f t="shared" si="10"/>
        <v>0</v>
      </c>
      <c r="V115" s="3">
        <f t="shared" si="10"/>
        <v>0</v>
      </c>
      <c r="W115" s="3">
        <f t="shared" si="10"/>
        <v>0</v>
      </c>
      <c r="X115" s="3">
        <f t="shared" si="10"/>
        <v>0</v>
      </c>
      <c r="Y115" s="3">
        <f t="shared" si="10"/>
        <v>0</v>
      </c>
      <c r="Z115" s="3">
        <f t="shared" si="10"/>
        <v>0</v>
      </c>
      <c r="AA115" s="3">
        <f t="shared" si="10"/>
        <v>0</v>
      </c>
      <c r="AB115" s="3">
        <f t="shared" si="10"/>
        <v>0</v>
      </c>
      <c r="AC115" s="3">
        <f t="shared" si="10"/>
        <v>0</v>
      </c>
      <c r="AD115" s="3">
        <f t="shared" si="10"/>
        <v>0</v>
      </c>
      <c r="AE115" s="3">
        <f t="shared" si="10"/>
        <v>0</v>
      </c>
      <c r="AF115" s="3">
        <f t="shared" si="10"/>
        <v>0</v>
      </c>
      <c r="AG115" s="3">
        <f t="shared" si="10"/>
        <v>0</v>
      </c>
      <c r="AH115" s="3">
        <f t="shared" si="10"/>
        <v>0</v>
      </c>
      <c r="AI115" s="3">
        <f t="shared" si="10"/>
        <v>0</v>
      </c>
      <c r="AJ115" s="3">
        <f t="shared" si="10"/>
        <v>0</v>
      </c>
    </row>
    <row r="116" spans="1:36" x14ac:dyDescent="0.25">
      <c r="A116" s="3">
        <v>5.8953789402578301E-10</v>
      </c>
      <c r="B116" s="105">
        <v>0</v>
      </c>
      <c r="C116" s="18">
        <f t="shared" si="9"/>
        <v>0</v>
      </c>
      <c r="D116" s="17"/>
      <c r="E116" s="11"/>
      <c r="F116" s="3">
        <f t="shared" si="11"/>
        <v>0</v>
      </c>
      <c r="G116" s="3">
        <f t="shared" si="10"/>
        <v>0</v>
      </c>
      <c r="H116" s="3">
        <f t="shared" si="10"/>
        <v>0</v>
      </c>
      <c r="I116" s="3">
        <f t="shared" si="10"/>
        <v>0</v>
      </c>
      <c r="J116" s="3">
        <f t="shared" si="10"/>
        <v>0</v>
      </c>
      <c r="K116" s="3">
        <f t="shared" si="10"/>
        <v>0</v>
      </c>
      <c r="L116" s="3">
        <f t="shared" si="10"/>
        <v>0</v>
      </c>
      <c r="M116" s="3">
        <f t="shared" si="10"/>
        <v>0</v>
      </c>
      <c r="N116" s="3">
        <f t="shared" si="10"/>
        <v>0</v>
      </c>
      <c r="O116" s="3">
        <f t="shared" si="10"/>
        <v>0</v>
      </c>
      <c r="P116" s="3">
        <f t="shared" si="10"/>
        <v>0</v>
      </c>
      <c r="Q116" s="3">
        <f t="shared" si="10"/>
        <v>0</v>
      </c>
      <c r="R116" s="3">
        <f t="shared" si="10"/>
        <v>0</v>
      </c>
      <c r="S116" s="3">
        <f t="shared" si="10"/>
        <v>0</v>
      </c>
      <c r="T116" s="3">
        <f t="shared" si="10"/>
        <v>0</v>
      </c>
      <c r="U116" s="3">
        <f t="shared" si="10"/>
        <v>0</v>
      </c>
      <c r="V116" s="3">
        <f t="shared" si="10"/>
        <v>0</v>
      </c>
      <c r="W116" s="3">
        <f t="shared" si="10"/>
        <v>0</v>
      </c>
      <c r="X116" s="3">
        <f t="shared" si="10"/>
        <v>0</v>
      </c>
      <c r="Y116" s="3">
        <f t="shared" si="10"/>
        <v>0</v>
      </c>
      <c r="Z116" s="3">
        <f t="shared" si="10"/>
        <v>0</v>
      </c>
      <c r="AA116" s="3">
        <f t="shared" si="10"/>
        <v>0</v>
      </c>
      <c r="AB116" s="3">
        <f t="shared" si="10"/>
        <v>0</v>
      </c>
      <c r="AC116" s="3">
        <f t="shared" si="10"/>
        <v>0</v>
      </c>
      <c r="AD116" s="3">
        <f t="shared" si="10"/>
        <v>0</v>
      </c>
      <c r="AE116" s="3">
        <f t="shared" si="10"/>
        <v>0</v>
      </c>
      <c r="AF116" s="3">
        <f t="shared" si="10"/>
        <v>0</v>
      </c>
      <c r="AG116" s="3">
        <f t="shared" si="10"/>
        <v>0</v>
      </c>
      <c r="AH116" s="3">
        <f t="shared" si="10"/>
        <v>0</v>
      </c>
      <c r="AI116" s="3">
        <f t="shared" si="10"/>
        <v>0</v>
      </c>
      <c r="AJ116" s="3">
        <f t="shared" si="10"/>
        <v>0</v>
      </c>
    </row>
    <row r="117" spans="1:36" x14ac:dyDescent="0.25">
      <c r="A117" s="3">
        <v>6.5352940755699598E-9</v>
      </c>
      <c r="B117" s="105">
        <v>2.7240601813385768E-2</v>
      </c>
      <c r="C117" s="18">
        <f t="shared" si="9"/>
        <v>3.0824824636448495E-2</v>
      </c>
      <c r="D117" s="17"/>
      <c r="E117" s="11"/>
      <c r="F117" s="3">
        <f t="shared" si="11"/>
        <v>3.0824819919778989E-2</v>
      </c>
      <c r="G117" s="3">
        <f t="shared" si="10"/>
        <v>3.0824777469785916E-2</v>
      </c>
      <c r="H117" s="3">
        <f t="shared" si="10"/>
        <v>3.0824352973070415E-2</v>
      </c>
      <c r="I117" s="3">
        <f t="shared" si="10"/>
        <v>3.0820108327424694E-2</v>
      </c>
      <c r="J117" s="3">
        <f t="shared" si="10"/>
        <v>3.0777694005515811E-2</v>
      </c>
      <c r="K117" s="3">
        <f t="shared" si="10"/>
        <v>3.0356747927533772E-2</v>
      </c>
      <c r="L117" s="3">
        <f t="shared" si="10"/>
        <v>2.6451293415740453E-2</v>
      </c>
      <c r="M117" s="3">
        <f t="shared" si="10"/>
        <v>6.6736526576896254E-3</v>
      </c>
      <c r="N117" s="3">
        <f t="shared" si="10"/>
        <v>6.974779166302884E-9</v>
      </c>
      <c r="O117" s="3">
        <f t="shared" si="10"/>
        <v>1.084423912007874E-68</v>
      </c>
      <c r="P117" s="3">
        <f t="shared" si="10"/>
        <v>0</v>
      </c>
      <c r="Q117" s="3">
        <f t="shared" si="10"/>
        <v>0</v>
      </c>
      <c r="R117" s="3">
        <f t="shared" si="10"/>
        <v>0</v>
      </c>
      <c r="S117" s="3">
        <f t="shared" si="10"/>
        <v>0</v>
      </c>
      <c r="T117" s="3">
        <f t="shared" si="10"/>
        <v>0</v>
      </c>
      <c r="U117" s="3">
        <f t="shared" si="10"/>
        <v>0</v>
      </c>
      <c r="V117" s="3">
        <f t="shared" si="10"/>
        <v>0</v>
      </c>
      <c r="W117" s="3">
        <f t="shared" si="10"/>
        <v>0</v>
      </c>
      <c r="X117" s="3">
        <f t="shared" si="10"/>
        <v>0</v>
      </c>
      <c r="Y117" s="3">
        <f t="shared" si="10"/>
        <v>0</v>
      </c>
      <c r="Z117" s="3">
        <f t="shared" si="10"/>
        <v>0</v>
      </c>
      <c r="AA117" s="3">
        <f t="shared" si="10"/>
        <v>0</v>
      </c>
      <c r="AB117" s="3">
        <f t="shared" si="10"/>
        <v>0</v>
      </c>
      <c r="AC117" s="3">
        <f t="shared" si="10"/>
        <v>0</v>
      </c>
      <c r="AD117" s="3">
        <f t="shared" si="10"/>
        <v>0</v>
      </c>
      <c r="AE117" s="3">
        <f t="shared" si="10"/>
        <v>0</v>
      </c>
      <c r="AF117" s="3">
        <f t="shared" si="10"/>
        <v>0</v>
      </c>
      <c r="AG117" s="3">
        <f t="shared" si="10"/>
        <v>0</v>
      </c>
      <c r="AH117" s="3">
        <f t="shared" si="10"/>
        <v>0</v>
      </c>
      <c r="AI117" s="3">
        <f t="shared" si="10"/>
        <v>0</v>
      </c>
      <c r="AJ117" s="3">
        <f t="shared" si="10"/>
        <v>0</v>
      </c>
    </row>
    <row r="118" spans="1:36" x14ac:dyDescent="0.25">
      <c r="A118" s="3">
        <v>7.2446689325643296E-8</v>
      </c>
      <c r="B118" s="105">
        <v>3.7864712507549372E-2</v>
      </c>
      <c r="C118" s="18">
        <f t="shared" si="9"/>
        <v>4.2846818545000345E-2</v>
      </c>
      <c r="D118" s="17"/>
      <c r="E118" s="11"/>
      <c r="F118" s="3">
        <f t="shared" si="11"/>
        <v>4.284681795357486E-2</v>
      </c>
      <c r="G118" s="3">
        <f t="shared" si="10"/>
        <v>4.2846812630745877E-2</v>
      </c>
      <c r="H118" s="3">
        <f t="shared" si="10"/>
        <v>4.2846759402492426E-2</v>
      </c>
      <c r="I118" s="3">
        <f t="shared" si="10"/>
        <v>4.2846227123594718E-2</v>
      </c>
      <c r="J118" s="3">
        <f t="shared" si="10"/>
        <v>4.2840904698287344E-2</v>
      </c>
      <c r="K118" s="3">
        <f t="shared" si="10"/>
        <v>4.2787716795464947E-2</v>
      </c>
      <c r="L118" s="3">
        <f t="shared" si="10"/>
        <v>4.2259456139423959E-2</v>
      </c>
      <c r="M118" s="3">
        <f t="shared" si="10"/>
        <v>3.7322593362412504E-2</v>
      </c>
      <c r="N118" s="3">
        <f t="shared" si="10"/>
        <v>1.077583439244474E-2</v>
      </c>
      <c r="O118" s="3">
        <f t="shared" si="10"/>
        <v>4.3375237005363673E-8</v>
      </c>
      <c r="P118" s="3">
        <f t="shared" si="10"/>
        <v>4.8434116891799557E-62</v>
      </c>
      <c r="Q118" s="3">
        <f t="shared" si="10"/>
        <v>0</v>
      </c>
      <c r="R118" s="3">
        <f t="shared" si="10"/>
        <v>0</v>
      </c>
      <c r="S118" s="3">
        <f t="shared" si="10"/>
        <v>0</v>
      </c>
      <c r="T118" s="3">
        <f t="shared" si="10"/>
        <v>0</v>
      </c>
      <c r="U118" s="3">
        <f t="shared" si="10"/>
        <v>0</v>
      </c>
      <c r="V118" s="3">
        <f t="shared" si="10"/>
        <v>0</v>
      </c>
      <c r="W118" s="3">
        <f t="shared" si="10"/>
        <v>0</v>
      </c>
      <c r="X118" s="3">
        <f t="shared" si="10"/>
        <v>0</v>
      </c>
      <c r="Y118" s="3">
        <f t="shared" si="10"/>
        <v>0</v>
      </c>
      <c r="Z118" s="3">
        <f t="shared" si="10"/>
        <v>0</v>
      </c>
      <c r="AA118" s="3">
        <f t="shared" si="10"/>
        <v>0</v>
      </c>
      <c r="AB118" s="3">
        <f t="shared" si="10"/>
        <v>0</v>
      </c>
      <c r="AC118" s="3">
        <f t="shared" si="10"/>
        <v>0</v>
      </c>
      <c r="AD118" s="3">
        <f t="shared" si="10"/>
        <v>0</v>
      </c>
      <c r="AE118" s="3">
        <f t="shared" si="10"/>
        <v>0</v>
      </c>
      <c r="AF118" s="3">
        <f t="shared" si="10"/>
        <v>0</v>
      </c>
      <c r="AG118" s="3">
        <f t="shared" si="10"/>
        <v>0</v>
      </c>
      <c r="AH118" s="3">
        <f t="shared" si="10"/>
        <v>0</v>
      </c>
      <c r="AI118" s="3">
        <f t="shared" si="10"/>
        <v>0</v>
      </c>
      <c r="AJ118" s="3">
        <f t="shared" si="10"/>
        <v>0</v>
      </c>
    </row>
    <row r="119" spans="1:36" x14ac:dyDescent="0.25">
      <c r="A119" s="3">
        <v>8.03104303120212E-7</v>
      </c>
      <c r="B119" s="105">
        <v>3.2842933135853528E-2</v>
      </c>
      <c r="C119" s="18">
        <f t="shared" si="9"/>
        <v>3.7164291060626124E-2</v>
      </c>
      <c r="D119" s="17"/>
      <c r="E119" s="11"/>
      <c r="F119" s="3">
        <f t="shared" si="11"/>
        <v>3.7164291014350329E-2</v>
      </c>
      <c r="G119" s="3">
        <f t="shared" si="10"/>
        <v>3.7164290597868167E-2</v>
      </c>
      <c r="H119" s="3">
        <f t="shared" si="10"/>
        <v>3.7164286433046791E-2</v>
      </c>
      <c r="I119" s="3">
        <f t="shared" si="10"/>
        <v>3.7164244784858733E-2</v>
      </c>
      <c r="J119" s="3">
        <f t="shared" si="10"/>
        <v>3.7163828305545141E-2</v>
      </c>
      <c r="K119" s="3">
        <f t="shared" si="10"/>
        <v>3.7159663769099675E-2</v>
      </c>
      <c r="L119" s="3">
        <f t="shared" si="10"/>
        <v>3.7118044063045905E-2</v>
      </c>
      <c r="M119" s="3">
        <f t="shared" si="10"/>
        <v>3.6704402235393813E-2</v>
      </c>
      <c r="N119" s="3">
        <f t="shared" si="10"/>
        <v>3.2813222363863095E-2</v>
      </c>
      <c r="O119" s="3">
        <f t="shared" si="10"/>
        <v>1.0699319135432452E-2</v>
      </c>
      <c r="P119" s="3">
        <f t="shared" si="10"/>
        <v>1.4535458739466153E-7</v>
      </c>
      <c r="Q119" s="3">
        <f t="shared" si="10"/>
        <v>3.1128253345859657E-56</v>
      </c>
      <c r="R119" s="3">
        <f t="shared" si="10"/>
        <v>0</v>
      </c>
      <c r="S119" s="3">
        <f t="shared" si="10"/>
        <v>0</v>
      </c>
      <c r="T119" s="3">
        <f t="shared" si="10"/>
        <v>0</v>
      </c>
      <c r="U119" s="3">
        <f t="shared" si="10"/>
        <v>0</v>
      </c>
      <c r="V119" s="3">
        <f t="shared" si="10"/>
        <v>0</v>
      </c>
      <c r="W119" s="3">
        <f t="shared" si="10"/>
        <v>0</v>
      </c>
      <c r="X119" s="3">
        <f t="shared" si="10"/>
        <v>0</v>
      </c>
      <c r="Y119" s="3">
        <f t="shared" si="10"/>
        <v>0</v>
      </c>
      <c r="Z119" s="3">
        <f t="shared" si="10"/>
        <v>0</v>
      </c>
      <c r="AA119" s="3">
        <f t="shared" si="10"/>
        <v>0</v>
      </c>
      <c r="AB119" s="3">
        <f t="shared" si="10"/>
        <v>0</v>
      </c>
      <c r="AC119" s="3">
        <f t="shared" si="10"/>
        <v>0</v>
      </c>
      <c r="AD119" s="3">
        <f t="shared" si="10"/>
        <v>0</v>
      </c>
      <c r="AE119" s="3">
        <f t="shared" si="10"/>
        <v>0</v>
      </c>
      <c r="AF119" s="3">
        <f t="shared" si="10"/>
        <v>0</v>
      </c>
      <c r="AG119" s="3">
        <f t="shared" si="10"/>
        <v>0</v>
      </c>
      <c r="AH119" s="3">
        <f t="shared" si="10"/>
        <v>0</v>
      </c>
      <c r="AI119" s="3">
        <f t="shared" si="10"/>
        <v>0</v>
      </c>
      <c r="AJ119" s="3">
        <f t="shared" si="10"/>
        <v>0</v>
      </c>
    </row>
    <row r="120" spans="1:36" x14ac:dyDescent="0.25">
      <c r="A120" s="3">
        <v>8.9027742702096099E-6</v>
      </c>
      <c r="B120" s="105">
        <v>2.6850276051620468E-2</v>
      </c>
      <c r="C120" s="18">
        <f t="shared" si="9"/>
        <v>3.0383141180263203E-2</v>
      </c>
      <c r="D120" s="17"/>
      <c r="E120" s="11"/>
      <c r="F120" s="3">
        <f t="shared" si="11"/>
        <v>3.0383141176850433E-2</v>
      </c>
      <c r="G120" s="3">
        <f t="shared" ref="G120:AJ128" si="12">$C120*EXP(-G$108/$A120)</f>
        <v>3.0383141146135481E-2</v>
      </c>
      <c r="H120" s="3">
        <f t="shared" si="12"/>
        <v>3.0383140838985977E-2</v>
      </c>
      <c r="I120" s="3">
        <f t="shared" si="12"/>
        <v>3.0383137767491124E-2</v>
      </c>
      <c r="J120" s="3">
        <f t="shared" si="12"/>
        <v>3.038310705255964E-2</v>
      </c>
      <c r="K120" s="3">
        <f t="shared" si="12"/>
        <v>3.0382799904952608E-2</v>
      </c>
      <c r="L120" s="3">
        <f t="shared" si="12"/>
        <v>3.0379728599652274E-2</v>
      </c>
      <c r="M120" s="3">
        <f t="shared" si="12"/>
        <v>3.0349032617264269E-2</v>
      </c>
      <c r="N120" s="3">
        <f t="shared" si="12"/>
        <v>3.0043773487043932E-2</v>
      </c>
      <c r="O120" s="3">
        <f t="shared" si="12"/>
        <v>2.7155058639217172E-2</v>
      </c>
      <c r="P120" s="3">
        <f t="shared" si="12"/>
        <v>9.8812845234585254E-3</v>
      </c>
      <c r="Q120" s="3">
        <f t="shared" si="12"/>
        <v>4.0219808769275393E-7</v>
      </c>
      <c r="R120" s="3">
        <f t="shared" si="12"/>
        <v>5.0200260245583178E-51</v>
      </c>
      <c r="S120" s="3">
        <f t="shared" si="12"/>
        <v>0</v>
      </c>
      <c r="T120" s="3">
        <f t="shared" si="12"/>
        <v>0</v>
      </c>
      <c r="U120" s="3">
        <f t="shared" si="12"/>
        <v>0</v>
      </c>
      <c r="V120" s="3">
        <f t="shared" si="12"/>
        <v>0</v>
      </c>
      <c r="W120" s="3">
        <f t="shared" si="12"/>
        <v>0</v>
      </c>
      <c r="X120" s="3">
        <f t="shared" si="12"/>
        <v>0</v>
      </c>
      <c r="Y120" s="3">
        <f t="shared" si="12"/>
        <v>0</v>
      </c>
      <c r="Z120" s="3">
        <f t="shared" si="12"/>
        <v>0</v>
      </c>
      <c r="AA120" s="3">
        <f t="shared" si="12"/>
        <v>0</v>
      </c>
      <c r="AB120" s="3">
        <f t="shared" si="12"/>
        <v>0</v>
      </c>
      <c r="AC120" s="3">
        <f t="shared" si="12"/>
        <v>0</v>
      </c>
      <c r="AD120" s="3">
        <f t="shared" si="12"/>
        <v>0</v>
      </c>
      <c r="AE120" s="3">
        <f t="shared" si="12"/>
        <v>0</v>
      </c>
      <c r="AF120" s="3">
        <f t="shared" si="12"/>
        <v>0</v>
      </c>
      <c r="AG120" s="3">
        <f t="shared" si="12"/>
        <v>0</v>
      </c>
      <c r="AH120" s="3">
        <f t="shared" si="12"/>
        <v>0</v>
      </c>
      <c r="AI120" s="3">
        <f t="shared" si="12"/>
        <v>0</v>
      </c>
      <c r="AJ120" s="3">
        <f t="shared" si="12"/>
        <v>0</v>
      </c>
    </row>
    <row r="121" spans="1:36" x14ac:dyDescent="0.25">
      <c r="A121" s="3">
        <v>9.86912775817142E-5</v>
      </c>
      <c r="B121" s="105">
        <v>2.4864640365985843E-2</v>
      </c>
      <c r="C121" s="18">
        <f t="shared" si="9"/>
        <v>2.8136242516978716E-2</v>
      </c>
      <c r="D121" s="17"/>
      <c r="E121" s="11"/>
      <c r="F121" s="3">
        <f t="shared" si="11"/>
        <v>2.8136242516693624E-2</v>
      </c>
      <c r="G121" s="3">
        <f t="shared" si="12"/>
        <v>2.8136242514127781E-2</v>
      </c>
      <c r="H121" s="3">
        <f t="shared" si="12"/>
        <v>2.8136242488469364E-2</v>
      </c>
      <c r="I121" s="3">
        <f t="shared" si="12"/>
        <v>2.8136242231885211E-2</v>
      </c>
      <c r="J121" s="3">
        <f t="shared" si="12"/>
        <v>2.813623966604378E-2</v>
      </c>
      <c r="K121" s="3">
        <f t="shared" si="12"/>
        <v>2.8136214007642379E-2</v>
      </c>
      <c r="L121" s="3">
        <f t="shared" si="12"/>
        <v>2.8135957424915262E-2</v>
      </c>
      <c r="M121" s="3">
        <f t="shared" si="12"/>
        <v>2.8133391726332675E-2</v>
      </c>
      <c r="N121" s="3">
        <f t="shared" si="12"/>
        <v>2.8107747605022944E-2</v>
      </c>
      <c r="O121" s="3">
        <f t="shared" si="12"/>
        <v>2.7852588513416612E-2</v>
      </c>
      <c r="P121" s="3">
        <f t="shared" si="12"/>
        <v>2.5424987174826157E-2</v>
      </c>
      <c r="Q121" s="3">
        <f t="shared" si="12"/>
        <v>1.0214392383452064E-2</v>
      </c>
      <c r="R121" s="3">
        <f t="shared" si="12"/>
        <v>1.1187433930451138E-6</v>
      </c>
      <c r="S121" s="3">
        <f t="shared" si="12"/>
        <v>2.7791369418604227E-46</v>
      </c>
      <c r="T121" s="3">
        <f t="shared" si="12"/>
        <v>0</v>
      </c>
      <c r="U121" s="3">
        <f t="shared" si="12"/>
        <v>0</v>
      </c>
      <c r="V121" s="3">
        <f t="shared" si="12"/>
        <v>0</v>
      </c>
      <c r="W121" s="3">
        <f t="shared" si="12"/>
        <v>0</v>
      </c>
      <c r="X121" s="3">
        <f t="shared" si="12"/>
        <v>0</v>
      </c>
      <c r="Y121" s="3">
        <f t="shared" si="12"/>
        <v>0</v>
      </c>
      <c r="Z121" s="3">
        <f t="shared" si="12"/>
        <v>0</v>
      </c>
      <c r="AA121" s="3">
        <f t="shared" si="12"/>
        <v>0</v>
      </c>
      <c r="AB121" s="3">
        <f t="shared" si="12"/>
        <v>0</v>
      </c>
      <c r="AC121" s="3">
        <f t="shared" si="12"/>
        <v>0</v>
      </c>
      <c r="AD121" s="3">
        <f t="shared" si="12"/>
        <v>0</v>
      </c>
      <c r="AE121" s="3">
        <f t="shared" si="12"/>
        <v>0</v>
      </c>
      <c r="AF121" s="3">
        <f t="shared" si="12"/>
        <v>0</v>
      </c>
      <c r="AG121" s="3">
        <f t="shared" si="12"/>
        <v>0</v>
      </c>
      <c r="AH121" s="3">
        <f t="shared" si="12"/>
        <v>0</v>
      </c>
      <c r="AI121" s="3">
        <f t="shared" si="12"/>
        <v>0</v>
      </c>
      <c r="AJ121" s="3">
        <f t="shared" si="12"/>
        <v>0</v>
      </c>
    </row>
    <row r="122" spans="1:36" x14ac:dyDescent="0.25">
      <c r="A122" s="3">
        <v>1.0940374286813801E-3</v>
      </c>
      <c r="B122" s="105">
        <v>2.7127039330089989E-2</v>
      </c>
      <c r="C122" s="18">
        <f t="shared" si="9"/>
        <v>3.0696319999992488E-2</v>
      </c>
      <c r="D122" s="17"/>
      <c r="E122" s="11"/>
      <c r="F122" s="3">
        <f t="shared" si="11"/>
        <v>3.069631999996443E-2</v>
      </c>
      <c r="G122" s="3">
        <f t="shared" si="12"/>
        <v>3.069631999971191E-2</v>
      </c>
      <c r="H122" s="3">
        <f t="shared" si="12"/>
        <v>3.0696319997186704E-2</v>
      </c>
      <c r="I122" s="3">
        <f t="shared" si="12"/>
        <v>3.0696319971934654E-2</v>
      </c>
      <c r="J122" s="3">
        <f t="shared" si="12"/>
        <v>3.0696319719414153E-2</v>
      </c>
      <c r="K122" s="3">
        <f t="shared" si="12"/>
        <v>3.0696317194209267E-2</v>
      </c>
      <c r="L122" s="3">
        <f t="shared" si="12"/>
        <v>3.0696291942171827E-2</v>
      </c>
      <c r="M122" s="3">
        <f t="shared" si="12"/>
        <v>3.0696039422939945E-2</v>
      </c>
      <c r="N122" s="3">
        <f t="shared" si="12"/>
        <v>3.0693514344870793E-2</v>
      </c>
      <c r="O122" s="3">
        <f t="shared" si="12"/>
        <v>3.0668274985670072E-2</v>
      </c>
      <c r="P122" s="3">
        <f t="shared" si="12"/>
        <v>3.0417020073937363E-2</v>
      </c>
      <c r="Q122" s="3">
        <f t="shared" si="12"/>
        <v>2.8014948049994326E-2</v>
      </c>
      <c r="R122" s="3">
        <f t="shared" si="12"/>
        <v>1.2306126984885415E-2</v>
      </c>
      <c r="S122" s="3">
        <f t="shared" si="12"/>
        <v>3.2918277305782935E-6</v>
      </c>
      <c r="T122" s="3">
        <f t="shared" si="12"/>
        <v>6.1743916222160592E-42</v>
      </c>
      <c r="U122" s="3">
        <f t="shared" si="12"/>
        <v>0</v>
      </c>
      <c r="V122" s="3">
        <f t="shared" si="12"/>
        <v>0</v>
      </c>
      <c r="W122" s="3">
        <f t="shared" si="12"/>
        <v>0</v>
      </c>
      <c r="X122" s="3">
        <f t="shared" si="12"/>
        <v>0</v>
      </c>
      <c r="Y122" s="3">
        <f t="shared" si="12"/>
        <v>0</v>
      </c>
      <c r="Z122" s="3">
        <f t="shared" si="12"/>
        <v>0</v>
      </c>
      <c r="AA122" s="3">
        <f t="shared" si="12"/>
        <v>0</v>
      </c>
      <c r="AB122" s="3">
        <f t="shared" si="12"/>
        <v>0</v>
      </c>
      <c r="AC122" s="3">
        <f t="shared" si="12"/>
        <v>0</v>
      </c>
      <c r="AD122" s="3">
        <f t="shared" si="12"/>
        <v>0</v>
      </c>
      <c r="AE122" s="3">
        <f t="shared" si="12"/>
        <v>0</v>
      </c>
      <c r="AF122" s="3">
        <f t="shared" si="12"/>
        <v>0</v>
      </c>
      <c r="AG122" s="3">
        <f t="shared" si="12"/>
        <v>0</v>
      </c>
      <c r="AH122" s="3">
        <f t="shared" si="12"/>
        <v>0</v>
      </c>
      <c r="AI122" s="3">
        <f t="shared" si="12"/>
        <v>0</v>
      </c>
      <c r="AJ122" s="3">
        <f t="shared" si="12"/>
        <v>0</v>
      </c>
    </row>
    <row r="123" spans="1:36" x14ac:dyDescent="0.25">
      <c r="A123" s="3">
        <v>1.2127899493091E-2</v>
      </c>
      <c r="B123" s="105">
        <v>2.2926741057701545E-2</v>
      </c>
      <c r="C123" s="18">
        <f t="shared" si="9"/>
        <v>2.5943361216110947E-2</v>
      </c>
      <c r="D123" s="17"/>
      <c r="E123" s="11"/>
      <c r="F123" s="3">
        <f t="shared" si="11"/>
        <v>2.5943361216108806E-2</v>
      </c>
      <c r="G123" s="3">
        <f t="shared" si="12"/>
        <v>2.5943361216089554E-2</v>
      </c>
      <c r="H123" s="3">
        <f t="shared" si="12"/>
        <v>2.5943361215897034E-2</v>
      </c>
      <c r="I123" s="3">
        <f t="shared" si="12"/>
        <v>2.59433612139718E-2</v>
      </c>
      <c r="J123" s="3">
        <f t="shared" si="12"/>
        <v>2.5943361194719475E-2</v>
      </c>
      <c r="K123" s="3">
        <f t="shared" si="12"/>
        <v>2.5943361002196238E-2</v>
      </c>
      <c r="L123" s="3">
        <f t="shared" si="12"/>
        <v>2.5943359076963921E-2</v>
      </c>
      <c r="M123" s="3">
        <f t="shared" si="12"/>
        <v>2.5943339824648613E-2</v>
      </c>
      <c r="N123" s="3">
        <f t="shared" si="12"/>
        <v>2.5943147302281318E-2</v>
      </c>
      <c r="O123" s="3">
        <f t="shared" si="12"/>
        <v>2.5941222157184318E-2</v>
      </c>
      <c r="P123" s="3">
        <f t="shared" si="12"/>
        <v>2.5921978561650127E-2</v>
      </c>
      <c r="Q123" s="3">
        <f t="shared" si="12"/>
        <v>2.5730325997270109E-2</v>
      </c>
      <c r="R123" s="3">
        <f t="shared" si="12"/>
        <v>2.3890030496775627E-2</v>
      </c>
      <c r="S123" s="3">
        <f t="shared" si="12"/>
        <v>1.1374461867103636E-2</v>
      </c>
      <c r="T123" s="3">
        <f t="shared" si="12"/>
        <v>6.8088287031015241E-6</v>
      </c>
      <c r="U123" s="3">
        <f t="shared" si="12"/>
        <v>4.02242449498822E-38</v>
      </c>
      <c r="V123" s="3">
        <f t="shared" si="12"/>
        <v>0</v>
      </c>
      <c r="W123" s="3">
        <f t="shared" si="12"/>
        <v>0</v>
      </c>
      <c r="X123" s="3">
        <f t="shared" si="12"/>
        <v>0</v>
      </c>
      <c r="Y123" s="3">
        <f t="shared" si="12"/>
        <v>0</v>
      </c>
      <c r="Z123" s="3">
        <f t="shared" si="12"/>
        <v>0</v>
      </c>
      <c r="AA123" s="3">
        <f t="shared" si="12"/>
        <v>0</v>
      </c>
      <c r="AB123" s="3">
        <f t="shared" si="12"/>
        <v>0</v>
      </c>
      <c r="AC123" s="3">
        <f t="shared" si="12"/>
        <v>0</v>
      </c>
      <c r="AD123" s="3">
        <f t="shared" si="12"/>
        <v>0</v>
      </c>
      <c r="AE123" s="3">
        <f t="shared" si="12"/>
        <v>0</v>
      </c>
      <c r="AF123" s="3">
        <f t="shared" si="12"/>
        <v>0</v>
      </c>
      <c r="AG123" s="3">
        <f t="shared" si="12"/>
        <v>0</v>
      </c>
      <c r="AH123" s="3">
        <f t="shared" si="12"/>
        <v>0</v>
      </c>
      <c r="AI123" s="3">
        <f t="shared" si="12"/>
        <v>0</v>
      </c>
      <c r="AJ123" s="3">
        <f t="shared" si="12"/>
        <v>0</v>
      </c>
    </row>
    <row r="124" spans="1:36" x14ac:dyDescent="0.25">
      <c r="A124" s="3">
        <v>0.13444324870292301</v>
      </c>
      <c r="B124" s="105">
        <v>2.7531774654608477E-2</v>
      </c>
      <c r="C124" s="18">
        <f t="shared" si="9"/>
        <v>3.1154308978647429E-2</v>
      </c>
      <c r="D124" s="17"/>
      <c r="E124" s="11"/>
      <c r="F124" s="3">
        <f t="shared" si="11"/>
        <v>3.1154308978647197E-2</v>
      </c>
      <c r="G124" s="3">
        <f t="shared" si="12"/>
        <v>3.1154308978645111E-2</v>
      </c>
      <c r="H124" s="3">
        <f t="shared" si="12"/>
        <v>3.1154308978624257E-2</v>
      </c>
      <c r="I124" s="3">
        <f t="shared" si="12"/>
        <v>3.1154308978415701E-2</v>
      </c>
      <c r="J124" s="3">
        <f t="shared" si="12"/>
        <v>3.1154308976330147E-2</v>
      </c>
      <c r="K124" s="3">
        <f t="shared" si="12"/>
        <v>3.1154308955474597E-2</v>
      </c>
      <c r="L124" s="3">
        <f t="shared" si="12"/>
        <v>3.1154308746919102E-2</v>
      </c>
      <c r="M124" s="3">
        <f t="shared" si="12"/>
        <v>3.1154306661364255E-2</v>
      </c>
      <c r="N124" s="3">
        <f t="shared" si="12"/>
        <v>3.1154285805823436E-2</v>
      </c>
      <c r="O124" s="3">
        <f t="shared" si="12"/>
        <v>3.1154077251183125E-2</v>
      </c>
      <c r="P124" s="3">
        <f t="shared" si="12"/>
        <v>3.1151991781564921E-2</v>
      </c>
      <c r="Q124" s="3">
        <f t="shared" si="12"/>
        <v>3.1131144761972394E-2</v>
      </c>
      <c r="R124" s="3">
        <f t="shared" si="12"/>
        <v>3.0923440326999001E-2</v>
      </c>
      <c r="S124" s="3">
        <f t="shared" si="12"/>
        <v>2.8921108858032285E-2</v>
      </c>
      <c r="T124" s="3">
        <f t="shared" si="12"/>
        <v>1.4807655304656178E-2</v>
      </c>
      <c r="U124" s="3">
        <f t="shared" si="12"/>
        <v>1.8331578279926763E-5</v>
      </c>
      <c r="V124" s="3">
        <f t="shared" si="12"/>
        <v>1.5500134684264848E-34</v>
      </c>
      <c r="W124" s="3">
        <f t="shared" si="12"/>
        <v>0</v>
      </c>
      <c r="X124" s="3">
        <f t="shared" si="12"/>
        <v>0</v>
      </c>
      <c r="Y124" s="3">
        <f t="shared" si="12"/>
        <v>0</v>
      </c>
      <c r="Z124" s="3">
        <f t="shared" si="12"/>
        <v>0</v>
      </c>
      <c r="AA124" s="3">
        <f t="shared" si="12"/>
        <v>0</v>
      </c>
      <c r="AB124" s="3">
        <f t="shared" si="12"/>
        <v>0</v>
      </c>
      <c r="AC124" s="3">
        <f t="shared" si="12"/>
        <v>0</v>
      </c>
      <c r="AD124" s="3">
        <f t="shared" si="12"/>
        <v>0</v>
      </c>
      <c r="AE124" s="3">
        <f t="shared" si="12"/>
        <v>0</v>
      </c>
      <c r="AF124" s="3">
        <f t="shared" si="12"/>
        <v>0</v>
      </c>
      <c r="AG124" s="3">
        <f t="shared" si="12"/>
        <v>0</v>
      </c>
      <c r="AH124" s="3">
        <f t="shared" si="12"/>
        <v>0</v>
      </c>
      <c r="AI124" s="3">
        <f t="shared" si="12"/>
        <v>0</v>
      </c>
      <c r="AJ124" s="3">
        <f t="shared" si="12"/>
        <v>0</v>
      </c>
    </row>
    <row r="125" spans="1:36" x14ac:dyDescent="0.25">
      <c r="A125" s="3">
        <v>1.49036419143257</v>
      </c>
      <c r="B125" s="105">
        <v>3.1979641326625147E-2</v>
      </c>
      <c r="C125" s="18">
        <f t="shared" si="9"/>
        <v>3.6187410343678422E-2</v>
      </c>
      <c r="D125" s="17"/>
      <c r="E125" s="11"/>
      <c r="F125" s="3">
        <f t="shared" si="11"/>
        <v>3.6187410343678401E-2</v>
      </c>
      <c r="G125" s="3">
        <f t="shared" si="12"/>
        <v>3.6187410343678179E-2</v>
      </c>
      <c r="H125" s="3">
        <f t="shared" si="12"/>
        <v>3.6187410343675994E-2</v>
      </c>
      <c r="I125" s="3">
        <f t="shared" si="12"/>
        <v>3.6187410343654143E-2</v>
      </c>
      <c r="J125" s="3">
        <f t="shared" si="12"/>
        <v>3.6187410343435616E-2</v>
      </c>
      <c r="K125" s="3">
        <f t="shared" si="12"/>
        <v>3.618741034125033E-2</v>
      </c>
      <c r="L125" s="3">
        <f t="shared" si="12"/>
        <v>3.6187410319397505E-2</v>
      </c>
      <c r="M125" s="3">
        <f t="shared" si="12"/>
        <v>3.6187410100869247E-2</v>
      </c>
      <c r="N125" s="3">
        <f t="shared" si="12"/>
        <v>3.6187407915586729E-2</v>
      </c>
      <c r="O125" s="3">
        <f t="shared" si="12"/>
        <v>3.618738606276882E-2</v>
      </c>
      <c r="P125" s="3">
        <f t="shared" si="12"/>
        <v>3.6187167535315555E-2</v>
      </c>
      <c r="Q125" s="3">
        <f t="shared" si="12"/>
        <v>3.6184982333361683E-2</v>
      </c>
      <c r="R125" s="3">
        <f t="shared" si="12"/>
        <v>3.6163137570078767E-2</v>
      </c>
      <c r="S125" s="3">
        <f t="shared" si="12"/>
        <v>3.594541394414285E-2</v>
      </c>
      <c r="T125" s="3">
        <f t="shared" si="12"/>
        <v>3.383898648534605E-2</v>
      </c>
      <c r="U125" s="3">
        <f t="shared" si="12"/>
        <v>1.8499326775391081E-2</v>
      </c>
      <c r="V125" s="3">
        <f t="shared" si="12"/>
        <v>4.411047082676482E-5</v>
      </c>
      <c r="W125" s="3">
        <f t="shared" si="12"/>
        <v>2.6205918620830798E-31</v>
      </c>
      <c r="X125" s="3">
        <f t="shared" si="12"/>
        <v>1.4354112135261763E-293</v>
      </c>
      <c r="Y125" s="3">
        <f t="shared" si="12"/>
        <v>0</v>
      </c>
      <c r="Z125" s="3">
        <f t="shared" si="12"/>
        <v>0</v>
      </c>
      <c r="AA125" s="3">
        <f t="shared" si="12"/>
        <v>0</v>
      </c>
      <c r="AB125" s="3">
        <f t="shared" si="12"/>
        <v>0</v>
      </c>
      <c r="AC125" s="3">
        <f t="shared" si="12"/>
        <v>0</v>
      </c>
      <c r="AD125" s="3">
        <f t="shared" si="12"/>
        <v>0</v>
      </c>
      <c r="AE125" s="3">
        <f t="shared" si="12"/>
        <v>0</v>
      </c>
      <c r="AF125" s="3">
        <f t="shared" si="12"/>
        <v>0</v>
      </c>
      <c r="AG125" s="3">
        <f t="shared" si="12"/>
        <v>0</v>
      </c>
      <c r="AH125" s="3">
        <f t="shared" si="12"/>
        <v>0</v>
      </c>
      <c r="AI125" s="3">
        <f t="shared" si="12"/>
        <v>0</v>
      </c>
      <c r="AJ125" s="3">
        <f t="shared" si="12"/>
        <v>0</v>
      </c>
    </row>
    <row r="126" spans="1:36" x14ac:dyDescent="0.25">
      <c r="A126" s="3">
        <v>16.521360830937301</v>
      </c>
      <c r="B126" s="105">
        <v>3.5662570391382362E-2</v>
      </c>
      <c r="C126" s="18">
        <f t="shared" si="9"/>
        <v>4.0354926294586486E-2</v>
      </c>
      <c r="D126" s="17"/>
      <c r="E126" s="11"/>
      <c r="F126" s="3">
        <f t="shared" si="11"/>
        <v>4.035492629458648E-2</v>
      </c>
      <c r="G126" s="3">
        <f t="shared" si="12"/>
        <v>4.0354926294586466E-2</v>
      </c>
      <c r="H126" s="3">
        <f t="shared" si="12"/>
        <v>4.0354926294586237E-2</v>
      </c>
      <c r="I126" s="3">
        <f t="shared" si="12"/>
        <v>4.0354926294584044E-2</v>
      </c>
      <c r="J126" s="3">
        <f t="shared" si="12"/>
        <v>4.0354926294562062E-2</v>
      </c>
      <c r="K126" s="3">
        <f t="shared" si="12"/>
        <v>4.0354926294342224E-2</v>
      </c>
      <c r="L126" s="3">
        <f t="shared" si="12"/>
        <v>4.0354926292143899E-2</v>
      </c>
      <c r="M126" s="3">
        <f t="shared" si="12"/>
        <v>4.0354926270160574E-2</v>
      </c>
      <c r="N126" s="3">
        <f t="shared" si="12"/>
        <v>4.0354926050327394E-2</v>
      </c>
      <c r="O126" s="3">
        <f t="shared" si="12"/>
        <v>4.0354923851995621E-2</v>
      </c>
      <c r="P126" s="3">
        <f t="shared" si="12"/>
        <v>4.035490186868447E-2</v>
      </c>
      <c r="Q126" s="3">
        <f t="shared" si="12"/>
        <v>4.0354682036231632E-2</v>
      </c>
      <c r="R126" s="3">
        <f t="shared" si="12"/>
        <v>4.035248377756645E-2</v>
      </c>
      <c r="S126" s="3">
        <f t="shared" si="12"/>
        <v>4.0330507775908506E-2</v>
      </c>
      <c r="T126" s="3">
        <f t="shared" si="12"/>
        <v>4.0111404933397168E-2</v>
      </c>
      <c r="U126" s="3">
        <f t="shared" si="12"/>
        <v>3.7984788412625453E-2</v>
      </c>
      <c r="V126" s="3">
        <f t="shared" si="12"/>
        <v>2.2030689518215015E-2</v>
      </c>
      <c r="W126" s="3">
        <f t="shared" si="12"/>
        <v>9.4888126858228217E-5</v>
      </c>
      <c r="X126" s="3">
        <f t="shared" si="12"/>
        <v>2.0847294870474648E-28</v>
      </c>
      <c r="Y126" s="3">
        <f t="shared" si="12"/>
        <v>5.4629605762789606E-265</v>
      </c>
      <c r="Z126" s="3">
        <f t="shared" si="12"/>
        <v>0</v>
      </c>
      <c r="AA126" s="3">
        <f t="shared" si="12"/>
        <v>0</v>
      </c>
      <c r="AB126" s="3">
        <f t="shared" si="12"/>
        <v>0</v>
      </c>
      <c r="AC126" s="3">
        <f t="shared" si="12"/>
        <v>0</v>
      </c>
      <c r="AD126" s="3">
        <f t="shared" si="12"/>
        <v>0</v>
      </c>
      <c r="AE126" s="3">
        <f t="shared" si="12"/>
        <v>0</v>
      </c>
      <c r="AF126" s="3">
        <f t="shared" si="12"/>
        <v>0</v>
      </c>
      <c r="AG126" s="3">
        <f t="shared" si="12"/>
        <v>0</v>
      </c>
      <c r="AH126" s="3">
        <f t="shared" si="12"/>
        <v>0</v>
      </c>
      <c r="AI126" s="3">
        <f t="shared" si="12"/>
        <v>0</v>
      </c>
      <c r="AJ126" s="3">
        <f t="shared" si="12"/>
        <v>0</v>
      </c>
    </row>
    <row r="127" spans="1:36" x14ac:dyDescent="0.25">
      <c r="A127" s="3">
        <v>183.146753843879</v>
      </c>
      <c r="B127" s="105">
        <v>3.864077928386371E-2</v>
      </c>
      <c r="C127" s="18">
        <f t="shared" si="9"/>
        <v>4.3724997465199839E-2</v>
      </c>
      <c r="D127" s="17"/>
      <c r="E127" s="11"/>
      <c r="F127" s="3">
        <f t="shared" si="11"/>
        <v>4.3724997465199839E-2</v>
      </c>
      <c r="G127" s="3">
        <f t="shared" si="12"/>
        <v>4.3724997465199839E-2</v>
      </c>
      <c r="H127" s="3">
        <f t="shared" si="12"/>
        <v>4.3724997465199818E-2</v>
      </c>
      <c r="I127" s="3">
        <f t="shared" si="12"/>
        <v>4.3724997465199603E-2</v>
      </c>
      <c r="J127" s="3">
        <f t="shared" si="12"/>
        <v>4.3724997465197452E-2</v>
      </c>
      <c r="K127" s="3">
        <f t="shared" si="12"/>
        <v>4.3724997465175962E-2</v>
      </c>
      <c r="L127" s="3">
        <f t="shared" si="12"/>
        <v>4.3724997464961099E-2</v>
      </c>
      <c r="M127" s="3">
        <f t="shared" si="12"/>
        <v>4.3724997462812408E-2</v>
      </c>
      <c r="N127" s="3">
        <f t="shared" si="12"/>
        <v>4.372499744132554E-2</v>
      </c>
      <c r="O127" s="3">
        <f t="shared" si="12"/>
        <v>4.3724997226456883E-2</v>
      </c>
      <c r="P127" s="3">
        <f t="shared" si="12"/>
        <v>4.3724995077770341E-2</v>
      </c>
      <c r="Q127" s="3">
        <f t="shared" si="12"/>
        <v>4.3724973590910717E-2</v>
      </c>
      <c r="R127" s="3">
        <f t="shared" si="12"/>
        <v>4.3724758722895232E-2</v>
      </c>
      <c r="S127" s="3">
        <f t="shared" si="12"/>
        <v>4.3722610100812839E-2</v>
      </c>
      <c r="T127" s="3">
        <f t="shared" si="12"/>
        <v>4.3701129686179882E-2</v>
      </c>
      <c r="U127" s="3">
        <f t="shared" si="12"/>
        <v>4.3486905104643481E-2</v>
      </c>
      <c r="V127" s="3">
        <f t="shared" si="12"/>
        <v>4.1401575703708067E-2</v>
      </c>
      <c r="W127" s="3">
        <f t="shared" si="12"/>
        <v>2.5327980656820921E-2</v>
      </c>
      <c r="X127" s="3">
        <f t="shared" si="12"/>
        <v>1.8596770077623472E-4</v>
      </c>
      <c r="Y127" s="3">
        <f t="shared" si="12"/>
        <v>8.4685114682756682E-26</v>
      </c>
      <c r="Z127" s="3">
        <f t="shared" si="12"/>
        <v>3.247152333982657E-239</v>
      </c>
      <c r="AA127" s="3">
        <f t="shared" si="12"/>
        <v>0</v>
      </c>
      <c r="AB127" s="3">
        <f t="shared" si="12"/>
        <v>0</v>
      </c>
      <c r="AC127" s="3">
        <f t="shared" si="12"/>
        <v>0</v>
      </c>
      <c r="AD127" s="3">
        <f t="shared" si="12"/>
        <v>0</v>
      </c>
      <c r="AE127" s="3">
        <f t="shared" si="12"/>
        <v>0</v>
      </c>
      <c r="AF127" s="3">
        <f t="shared" si="12"/>
        <v>0</v>
      </c>
      <c r="AG127" s="3">
        <f t="shared" si="12"/>
        <v>0</v>
      </c>
      <c r="AH127" s="3">
        <f t="shared" si="12"/>
        <v>0</v>
      </c>
      <c r="AI127" s="3">
        <f t="shared" si="12"/>
        <v>0</v>
      </c>
      <c r="AJ127" s="3">
        <f t="shared" si="12"/>
        <v>0</v>
      </c>
    </row>
    <row r="128" spans="1:36" x14ac:dyDescent="0.25">
      <c r="A128" s="3">
        <v>2030.26456396616</v>
      </c>
      <c r="B128" s="105">
        <v>4.3112037047830579E-2</v>
      </c>
      <c r="C128" s="18">
        <f t="shared" si="9"/>
        <v>4.8784567640000866E-2</v>
      </c>
      <c r="D128" s="17"/>
      <c r="E128" s="11"/>
      <c r="F128" s="3">
        <f t="shared" si="11"/>
        <v>4.8784567640000866E-2</v>
      </c>
      <c r="G128" s="3">
        <f t="shared" si="12"/>
        <v>4.8784567640000866E-2</v>
      </c>
      <c r="H128" s="3">
        <f t="shared" si="12"/>
        <v>4.8784567640000866E-2</v>
      </c>
      <c r="I128" s="3">
        <f t="shared" si="12"/>
        <v>4.8784567640000845E-2</v>
      </c>
      <c r="J128" s="3">
        <f t="shared" si="12"/>
        <v>4.878456764000063E-2</v>
      </c>
      <c r="K128" s="3">
        <f t="shared" si="12"/>
        <v>4.8784567639998458E-2</v>
      </c>
      <c r="L128" s="3">
        <f t="shared" si="12"/>
        <v>4.8784567639976836E-2</v>
      </c>
      <c r="M128" s="3">
        <f t="shared" si="12"/>
        <v>4.8784567639760579E-2</v>
      </c>
      <c r="N128" s="3">
        <f t="shared" si="12"/>
        <v>4.8784567637597996E-2</v>
      </c>
      <c r="O128" s="3">
        <f t="shared" si="12"/>
        <v>4.8784567615972191E-2</v>
      </c>
      <c r="P128" s="3">
        <f t="shared" si="12"/>
        <v>4.878456739971411E-2</v>
      </c>
      <c r="Q128" s="3">
        <f t="shared" si="12"/>
        <v>4.8784565237133412E-2</v>
      </c>
      <c r="R128" s="3">
        <f t="shared" si="12"/>
        <v>4.8784543611331652E-2</v>
      </c>
      <c r="S128" s="3">
        <f t="shared" si="12"/>
        <v>4.8784327353841306E-2</v>
      </c>
      <c r="T128" s="3">
        <f t="shared" si="12"/>
        <v>4.8782164831662887E-2</v>
      </c>
      <c r="U128" s="3">
        <f t="shared" si="12"/>
        <v>4.8760544881518861E-2</v>
      </c>
      <c r="V128" s="3">
        <f t="shared" ref="G128:AJ136" si="13">$C128*EXP(-V$108/$A128)</f>
        <v>4.8544871680471953E-2</v>
      </c>
      <c r="W128" s="3">
        <f t="shared" si="13"/>
        <v>4.6439916621855114E-2</v>
      </c>
      <c r="X128" s="3">
        <f t="shared" si="13"/>
        <v>2.9810699738240194E-2</v>
      </c>
      <c r="Y128" s="3">
        <f t="shared" si="13"/>
        <v>3.5414373160189122E-4</v>
      </c>
      <c r="Z128" s="3">
        <f t="shared" si="13"/>
        <v>1.982683754396648E-23</v>
      </c>
      <c r="AA128" s="3">
        <f t="shared" si="13"/>
        <v>5.997804945033026E-216</v>
      </c>
      <c r="AB128" s="3">
        <f t="shared" si="13"/>
        <v>0</v>
      </c>
      <c r="AC128" s="3">
        <f t="shared" si="13"/>
        <v>0</v>
      </c>
      <c r="AD128" s="3">
        <f t="shared" si="13"/>
        <v>0</v>
      </c>
      <c r="AE128" s="3">
        <f t="shared" si="13"/>
        <v>0</v>
      </c>
      <c r="AF128" s="3">
        <f t="shared" si="13"/>
        <v>0</v>
      </c>
      <c r="AG128" s="3">
        <f t="shared" si="13"/>
        <v>0</v>
      </c>
      <c r="AH128" s="3">
        <f t="shared" si="13"/>
        <v>0</v>
      </c>
      <c r="AI128" s="3">
        <f t="shared" si="13"/>
        <v>0</v>
      </c>
      <c r="AJ128" s="3">
        <f t="shared" si="13"/>
        <v>0</v>
      </c>
    </row>
    <row r="129" spans="1:36" x14ac:dyDescent="0.25">
      <c r="A129" s="3">
        <v>22506.400540467101</v>
      </c>
      <c r="B129" s="105">
        <v>4.6353942873043022E-2</v>
      </c>
      <c r="C129" s="18">
        <f t="shared" si="9"/>
        <v>5.2453032060671236E-2</v>
      </c>
      <c r="D129" s="17"/>
      <c r="E129" s="11"/>
      <c r="F129" s="3">
        <f t="shared" si="11"/>
        <v>5.2453032060671236E-2</v>
      </c>
      <c r="G129" s="3">
        <f t="shared" si="13"/>
        <v>5.2453032060671236E-2</v>
      </c>
      <c r="H129" s="3">
        <f t="shared" si="13"/>
        <v>5.2453032060671236E-2</v>
      </c>
      <c r="I129" s="3">
        <f t="shared" si="13"/>
        <v>5.2453032060671236E-2</v>
      </c>
      <c r="J129" s="3">
        <f t="shared" si="13"/>
        <v>5.2453032060671215E-2</v>
      </c>
      <c r="K129" s="3">
        <f t="shared" si="13"/>
        <v>5.2453032060671E-2</v>
      </c>
      <c r="L129" s="3">
        <f t="shared" si="13"/>
        <v>5.2453032060668904E-2</v>
      </c>
      <c r="M129" s="3">
        <f t="shared" si="13"/>
        <v>5.2453032060647928E-2</v>
      </c>
      <c r="N129" s="3">
        <f t="shared" si="13"/>
        <v>5.2453032060438172E-2</v>
      </c>
      <c r="O129" s="3">
        <f t="shared" si="13"/>
        <v>5.2453032058340655E-2</v>
      </c>
      <c r="P129" s="3">
        <f t="shared" si="13"/>
        <v>5.2453032037365406E-2</v>
      </c>
      <c r="Q129" s="3">
        <f t="shared" si="13"/>
        <v>5.2453031827612948E-2</v>
      </c>
      <c r="R129" s="3">
        <f t="shared" si="13"/>
        <v>5.2453029730088398E-2</v>
      </c>
      <c r="S129" s="3">
        <f t="shared" si="13"/>
        <v>5.2453008754847492E-2</v>
      </c>
      <c r="T129" s="3">
        <f t="shared" si="13"/>
        <v>5.2452799002899793E-2</v>
      </c>
      <c r="U129" s="3">
        <f t="shared" si="13"/>
        <v>5.2450701529554444E-2</v>
      </c>
      <c r="V129" s="3">
        <f t="shared" si="13"/>
        <v>5.2429731408584465E-2</v>
      </c>
      <c r="W129" s="3">
        <f t="shared" si="13"/>
        <v>5.2220490765508984E-2</v>
      </c>
      <c r="X129" s="3">
        <f t="shared" si="13"/>
        <v>5.0173466780009821E-2</v>
      </c>
      <c r="Y129" s="3">
        <f t="shared" si="13"/>
        <v>3.3636106620318358E-2</v>
      </c>
      <c r="Z129" s="3">
        <f t="shared" si="13"/>
        <v>6.1676798816428342E-4</v>
      </c>
      <c r="AA129" s="3">
        <f t="shared" si="13"/>
        <v>2.6502257328715457E-21</v>
      </c>
      <c r="AB129" s="3">
        <f t="shared" si="13"/>
        <v>5.6871316987354566E-195</v>
      </c>
      <c r="AC129" s="3">
        <f t="shared" si="13"/>
        <v>0</v>
      </c>
      <c r="AD129" s="3">
        <f t="shared" si="13"/>
        <v>0</v>
      </c>
      <c r="AE129" s="3">
        <f t="shared" si="13"/>
        <v>0</v>
      </c>
      <c r="AF129" s="3">
        <f t="shared" si="13"/>
        <v>0</v>
      </c>
      <c r="AG129" s="3">
        <f t="shared" si="13"/>
        <v>0</v>
      </c>
      <c r="AH129" s="3">
        <f t="shared" si="13"/>
        <v>0</v>
      </c>
      <c r="AI129" s="3">
        <f t="shared" si="13"/>
        <v>0</v>
      </c>
      <c r="AJ129" s="3">
        <f t="shared" si="13"/>
        <v>0</v>
      </c>
    </row>
    <row r="130" spans="1:36" x14ac:dyDescent="0.25">
      <c r="A130" s="3">
        <v>249493.62476110301</v>
      </c>
      <c r="B130" s="105">
        <v>6.5988089067232109E-2</v>
      </c>
      <c r="C130" s="18">
        <f t="shared" si="9"/>
        <v>7.4670570331975966E-2</v>
      </c>
      <c r="D130" s="17"/>
      <c r="E130" s="11"/>
      <c r="F130" s="3">
        <f t="shared" si="11"/>
        <v>7.4670570331975966E-2</v>
      </c>
      <c r="G130" s="3">
        <f t="shared" si="13"/>
        <v>7.4670570331975966E-2</v>
      </c>
      <c r="H130" s="3">
        <f t="shared" si="13"/>
        <v>7.4670570331975966E-2</v>
      </c>
      <c r="I130" s="3">
        <f t="shared" si="13"/>
        <v>7.4670570331975966E-2</v>
      </c>
      <c r="J130" s="3">
        <f t="shared" si="13"/>
        <v>7.4670570331975966E-2</v>
      </c>
      <c r="K130" s="3">
        <f t="shared" si="13"/>
        <v>7.4670570331975938E-2</v>
      </c>
      <c r="L130" s="3">
        <f t="shared" si="13"/>
        <v>7.4670570331975661E-2</v>
      </c>
      <c r="M130" s="3">
        <f t="shared" si="13"/>
        <v>7.4670570331972969E-2</v>
      </c>
      <c r="N130" s="3">
        <f t="shared" si="13"/>
        <v>7.4670570331946046E-2</v>
      </c>
      <c r="O130" s="3">
        <f t="shared" si="13"/>
        <v>7.4670570331676678E-2</v>
      </c>
      <c r="P130" s="3">
        <f t="shared" si="13"/>
        <v>7.4670570328983082E-2</v>
      </c>
      <c r="Q130" s="3">
        <f t="shared" si="13"/>
        <v>7.4670570302047115E-2</v>
      </c>
      <c r="R130" s="3">
        <f t="shared" si="13"/>
        <v>7.4670570032687483E-2</v>
      </c>
      <c r="S130" s="3">
        <f t="shared" si="13"/>
        <v>7.4670567339091123E-2</v>
      </c>
      <c r="T130" s="3">
        <f t="shared" si="13"/>
        <v>7.4670540403132923E-2</v>
      </c>
      <c r="U130" s="3">
        <f t="shared" si="13"/>
        <v>7.4670271044085301E-2</v>
      </c>
      <c r="V130" s="3">
        <f t="shared" si="13"/>
        <v>7.4667577507049845E-2</v>
      </c>
      <c r="W130" s="3">
        <f t="shared" si="13"/>
        <v>7.4640647480048172E-2</v>
      </c>
      <c r="X130" s="3">
        <f t="shared" si="13"/>
        <v>7.4371880832841269E-2</v>
      </c>
      <c r="Y130" s="3">
        <f t="shared" si="13"/>
        <v>7.1736871233625196E-2</v>
      </c>
      <c r="Z130" s="3">
        <f t="shared" si="13"/>
        <v>5.0012561220047637E-2</v>
      </c>
      <c r="AA130" s="3">
        <f t="shared" si="13"/>
        <v>1.3565810427005498E-3</v>
      </c>
      <c r="AB130" s="3">
        <f t="shared" si="13"/>
        <v>2.9249080769220511E-19</v>
      </c>
      <c r="AC130" s="3">
        <f t="shared" si="13"/>
        <v>6.3500479015041952E-176</v>
      </c>
      <c r="AD130" s="3">
        <f t="shared" si="13"/>
        <v>0</v>
      </c>
      <c r="AE130" s="3">
        <f t="shared" si="13"/>
        <v>0</v>
      </c>
      <c r="AF130" s="3">
        <f t="shared" si="13"/>
        <v>0</v>
      </c>
      <c r="AG130" s="3">
        <f t="shared" si="13"/>
        <v>0</v>
      </c>
      <c r="AH130" s="3">
        <f t="shared" si="13"/>
        <v>0</v>
      </c>
      <c r="AI130" s="3">
        <f t="shared" si="13"/>
        <v>0</v>
      </c>
      <c r="AJ130" s="3">
        <f t="shared" si="13"/>
        <v>0</v>
      </c>
    </row>
    <row r="131" spans="1:36" x14ac:dyDescent="0.25">
      <c r="A131" s="3">
        <v>2765749.6224023802</v>
      </c>
      <c r="B131" s="105">
        <v>1.0050137533840672E-2</v>
      </c>
      <c r="C131" s="18">
        <f t="shared" si="9"/>
        <v>1.1372499373365461E-2</v>
      </c>
      <c r="D131" s="17"/>
      <c r="E131" s="11"/>
      <c r="F131" s="3">
        <f t="shared" si="11"/>
        <v>1.1372499373365461E-2</v>
      </c>
      <c r="G131" s="3">
        <f t="shared" si="13"/>
        <v>1.1372499373365461E-2</v>
      </c>
      <c r="H131" s="3">
        <f t="shared" si="13"/>
        <v>1.1372499373365461E-2</v>
      </c>
      <c r="I131" s="3">
        <f t="shared" si="13"/>
        <v>1.1372499373365461E-2</v>
      </c>
      <c r="J131" s="3">
        <f t="shared" si="13"/>
        <v>1.1372499373365461E-2</v>
      </c>
      <c r="K131" s="3">
        <f t="shared" si="13"/>
        <v>1.1372499373365461E-2</v>
      </c>
      <c r="L131" s="3">
        <f t="shared" si="13"/>
        <v>1.1372499373365458E-2</v>
      </c>
      <c r="M131" s="3">
        <f t="shared" si="13"/>
        <v>1.137249937336542E-2</v>
      </c>
      <c r="N131" s="3">
        <f t="shared" si="13"/>
        <v>1.137249937336505E-2</v>
      </c>
      <c r="O131" s="3">
        <f t="shared" si="13"/>
        <v>1.1372499373361348E-2</v>
      </c>
      <c r="P131" s="3">
        <f t="shared" si="13"/>
        <v>1.1372499373324341E-2</v>
      </c>
      <c r="Q131" s="3">
        <f t="shared" si="13"/>
        <v>1.1372499372954271E-2</v>
      </c>
      <c r="R131" s="3">
        <f t="shared" si="13"/>
        <v>1.1372499369253556E-2</v>
      </c>
      <c r="S131" s="3">
        <f t="shared" si="13"/>
        <v>1.1372499332246412E-2</v>
      </c>
      <c r="T131" s="3">
        <f t="shared" si="13"/>
        <v>1.137249896217498E-2</v>
      </c>
      <c r="U131" s="3">
        <f t="shared" si="13"/>
        <v>1.1372495261461323E-2</v>
      </c>
      <c r="V131" s="3">
        <f t="shared" si="13"/>
        <v>1.1372458254390982E-2</v>
      </c>
      <c r="W131" s="3">
        <f t="shared" si="13"/>
        <v>1.1372088190310839E-2</v>
      </c>
      <c r="X131" s="3">
        <f t="shared" si="13"/>
        <v>1.1368388211756113E-2</v>
      </c>
      <c r="Y131" s="3">
        <f t="shared" si="13"/>
        <v>1.133145457121363E-2</v>
      </c>
      <c r="Z131" s="3">
        <f t="shared" si="13"/>
        <v>1.0968653715232497E-2</v>
      </c>
      <c r="AA131" s="3">
        <f t="shared" si="13"/>
        <v>7.9219110985578774E-3</v>
      </c>
      <c r="AB131" s="3">
        <f t="shared" si="13"/>
        <v>3.0591188444139503E-4</v>
      </c>
      <c r="AC131" s="3">
        <f t="shared" si="13"/>
        <v>2.2555902001403515E-18</v>
      </c>
      <c r="AD131" s="3">
        <f t="shared" si="13"/>
        <v>1.0712693913012596E-159</v>
      </c>
      <c r="AE131" s="3">
        <f t="shared" si="13"/>
        <v>0</v>
      </c>
      <c r="AF131" s="3">
        <f t="shared" si="13"/>
        <v>0</v>
      </c>
      <c r="AG131" s="3">
        <f t="shared" si="13"/>
        <v>0</v>
      </c>
      <c r="AH131" s="3">
        <f t="shared" si="13"/>
        <v>0</v>
      </c>
      <c r="AI131" s="3">
        <f t="shared" si="13"/>
        <v>0</v>
      </c>
      <c r="AJ131" s="3">
        <f t="shared" si="13"/>
        <v>0</v>
      </c>
    </row>
    <row r="132" spans="1:36" x14ac:dyDescent="0.25">
      <c r="A132" s="3">
        <f>10000000</f>
        <v>10000000</v>
      </c>
      <c r="B132" s="105">
        <v>6.6917292603996412E-2</v>
      </c>
      <c r="C132" s="18">
        <f t="shared" si="9"/>
        <v>7.5722035210341931E-2</v>
      </c>
      <c r="D132" s="17"/>
      <c r="E132" s="11"/>
      <c r="F132" s="3">
        <f t="shared" si="11"/>
        <v>7.5722035210341931E-2</v>
      </c>
      <c r="G132" s="3">
        <f t="shared" si="13"/>
        <v>7.5722035210341931E-2</v>
      </c>
      <c r="H132" s="3">
        <f t="shared" si="13"/>
        <v>7.5722035210341931E-2</v>
      </c>
      <c r="I132" s="3">
        <f t="shared" si="13"/>
        <v>7.5722035210341931E-2</v>
      </c>
      <c r="J132" s="3">
        <f t="shared" si="13"/>
        <v>7.5722035210341931E-2</v>
      </c>
      <c r="K132" s="3">
        <f t="shared" si="13"/>
        <v>7.5722035210341931E-2</v>
      </c>
      <c r="L132" s="3">
        <f t="shared" si="13"/>
        <v>7.5722035210341918E-2</v>
      </c>
      <c r="M132" s="3">
        <f t="shared" si="13"/>
        <v>7.5722035210341862E-2</v>
      </c>
      <c r="N132" s="3">
        <f t="shared" si="13"/>
        <v>7.5722035210341168E-2</v>
      </c>
      <c r="O132" s="3">
        <f t="shared" si="13"/>
        <v>7.5722035210334354E-2</v>
      </c>
      <c r="P132" s="3">
        <f t="shared" si="13"/>
        <v>7.5722035210266214E-2</v>
      </c>
      <c r="Q132" s="3">
        <f t="shared" si="13"/>
        <v>7.5722035209584718E-2</v>
      </c>
      <c r="R132" s="3">
        <f t="shared" si="13"/>
        <v>7.5722035202769725E-2</v>
      </c>
      <c r="S132" s="3">
        <f t="shared" si="13"/>
        <v>7.5722035134619892E-2</v>
      </c>
      <c r="T132" s="3">
        <f t="shared" si="13"/>
        <v>7.5722034453121589E-2</v>
      </c>
      <c r="U132" s="3">
        <f t="shared" si="13"/>
        <v>7.5722027638138789E-2</v>
      </c>
      <c r="V132" s="3">
        <f t="shared" si="13"/>
        <v>7.5721959488344578E-2</v>
      </c>
      <c r="W132" s="3">
        <f t="shared" si="13"/>
        <v>7.5721277993775912E-2</v>
      </c>
      <c r="X132" s="3">
        <f t="shared" si="13"/>
        <v>7.5714463385418457E-2</v>
      </c>
      <c r="Y132" s="3">
        <f t="shared" si="13"/>
        <v>7.564635102353201E-2</v>
      </c>
      <c r="Z132" s="3">
        <f t="shared" si="13"/>
        <v>7.4968588371147685E-2</v>
      </c>
      <c r="AA132" s="3">
        <f t="shared" si="13"/>
        <v>6.8516130828153804E-2</v>
      </c>
      <c r="AB132" s="3">
        <f t="shared" si="13"/>
        <v>2.7856579997544869E-2</v>
      </c>
      <c r="AC132" s="3">
        <f t="shared" si="13"/>
        <v>3.4377750800219286E-6</v>
      </c>
      <c r="AD132" s="3">
        <f t="shared" si="13"/>
        <v>2.8169172404139688E-45</v>
      </c>
      <c r="AE132" s="3">
        <f t="shared" si="13"/>
        <v>0</v>
      </c>
      <c r="AF132" s="3">
        <f t="shared" si="13"/>
        <v>0</v>
      </c>
      <c r="AG132" s="3">
        <f t="shared" si="13"/>
        <v>0</v>
      </c>
      <c r="AH132" s="3">
        <f t="shared" si="13"/>
        <v>0</v>
      </c>
      <c r="AI132" s="3">
        <f t="shared" si="13"/>
        <v>0</v>
      </c>
      <c r="AJ132" s="3">
        <f t="shared" si="13"/>
        <v>0</v>
      </c>
    </row>
    <row r="133" spans="1:36" x14ac:dyDescent="0.25">
      <c r="A133" s="3">
        <f t="shared" ref="A133:A141" si="14">A132*10</f>
        <v>100000000</v>
      </c>
      <c r="B133" s="105">
        <v>1.1251168791033127E-2</v>
      </c>
      <c r="C133" s="18">
        <f t="shared" si="9"/>
        <v>1.273155811000683E-2</v>
      </c>
      <c r="D133" s="17"/>
      <c r="E133" s="11"/>
      <c r="F133" s="3">
        <f t="shared" si="11"/>
        <v>1.273155811000683E-2</v>
      </c>
      <c r="G133" s="3">
        <f t="shared" si="13"/>
        <v>1.273155811000683E-2</v>
      </c>
      <c r="H133" s="3">
        <f t="shared" si="13"/>
        <v>1.273155811000683E-2</v>
      </c>
      <c r="I133" s="3">
        <f t="shared" si="13"/>
        <v>1.273155811000683E-2</v>
      </c>
      <c r="J133" s="3">
        <f t="shared" si="13"/>
        <v>1.273155811000683E-2</v>
      </c>
      <c r="K133" s="3">
        <f t="shared" si="13"/>
        <v>1.273155811000683E-2</v>
      </c>
      <c r="L133" s="3">
        <f t="shared" si="13"/>
        <v>1.273155811000683E-2</v>
      </c>
      <c r="M133" s="3">
        <f t="shared" si="13"/>
        <v>1.2731558110006829E-2</v>
      </c>
      <c r="N133" s="3">
        <f t="shared" si="13"/>
        <v>1.2731558110006818E-2</v>
      </c>
      <c r="O133" s="3">
        <f t="shared" si="13"/>
        <v>1.2731558110006704E-2</v>
      </c>
      <c r="P133" s="3">
        <f t="shared" si="13"/>
        <v>1.2731558110005557E-2</v>
      </c>
      <c r="Q133" s="3">
        <f t="shared" si="13"/>
        <v>1.2731558109994099E-2</v>
      </c>
      <c r="R133" s="3">
        <f t="shared" si="13"/>
        <v>1.2731558109879516E-2</v>
      </c>
      <c r="S133" s="3">
        <f t="shared" si="13"/>
        <v>1.2731558108733675E-2</v>
      </c>
      <c r="T133" s="3">
        <f t="shared" si="13"/>
        <v>1.2731558097275273E-2</v>
      </c>
      <c r="U133" s="3">
        <f t="shared" si="13"/>
        <v>1.2731557982691251E-2</v>
      </c>
      <c r="V133" s="3">
        <f t="shared" si="13"/>
        <v>1.2731556836851083E-2</v>
      </c>
      <c r="W133" s="3">
        <f t="shared" si="13"/>
        <v>1.2731545378455087E-2</v>
      </c>
      <c r="X133" s="3">
        <f t="shared" si="13"/>
        <v>1.2731430795062306E-2</v>
      </c>
      <c r="Y133" s="3">
        <f t="shared" si="13"/>
        <v>1.2730285017851499E-2</v>
      </c>
      <c r="Z133" s="3">
        <f t="shared" si="13"/>
        <v>1.2718832915554482E-2</v>
      </c>
      <c r="AA133" s="3">
        <f t="shared" si="13"/>
        <v>1.2604876990180135E-2</v>
      </c>
      <c r="AB133" s="3">
        <f t="shared" si="13"/>
        <v>1.1519990167833361E-2</v>
      </c>
      <c r="AC133" s="3">
        <f t="shared" si="13"/>
        <v>4.6836784827510572E-3</v>
      </c>
      <c r="AD133" s="3">
        <f t="shared" si="13"/>
        <v>5.7801184396130456E-7</v>
      </c>
      <c r="AE133" s="3">
        <f t="shared" si="13"/>
        <v>4.7362363462349654E-46</v>
      </c>
      <c r="AF133" s="3">
        <f t="shared" si="13"/>
        <v>0</v>
      </c>
      <c r="AG133" s="3">
        <f t="shared" si="13"/>
        <v>0</v>
      </c>
      <c r="AH133" s="3">
        <f t="shared" si="13"/>
        <v>0</v>
      </c>
      <c r="AI133" s="3">
        <f t="shared" si="13"/>
        <v>0</v>
      </c>
      <c r="AJ133" s="3">
        <f t="shared" si="13"/>
        <v>0</v>
      </c>
    </row>
    <row r="134" spans="1:36" x14ac:dyDescent="0.25">
      <c r="A134" s="3">
        <f t="shared" si="14"/>
        <v>1000000000</v>
      </c>
      <c r="B134" s="105">
        <v>2.8074905174620482E-2</v>
      </c>
      <c r="C134" s="18">
        <f t="shared" si="9"/>
        <v>3.176890270711074E-2</v>
      </c>
      <c r="D134" s="17"/>
      <c r="E134" s="11"/>
      <c r="F134" s="3">
        <f t="shared" si="11"/>
        <v>3.176890270711074E-2</v>
      </c>
      <c r="G134" s="3">
        <f t="shared" si="13"/>
        <v>3.176890270711074E-2</v>
      </c>
      <c r="H134" s="3">
        <f t="shared" si="13"/>
        <v>3.176890270711074E-2</v>
      </c>
      <c r="I134" s="3">
        <f t="shared" si="13"/>
        <v>3.176890270711074E-2</v>
      </c>
      <c r="J134" s="3">
        <f t="shared" si="13"/>
        <v>3.176890270711074E-2</v>
      </c>
      <c r="K134" s="3">
        <f t="shared" si="13"/>
        <v>3.176890270711074E-2</v>
      </c>
      <c r="L134" s="3">
        <f t="shared" si="13"/>
        <v>3.176890270711074E-2</v>
      </c>
      <c r="M134" s="3">
        <f t="shared" si="13"/>
        <v>3.176890270711074E-2</v>
      </c>
      <c r="N134" s="3">
        <f t="shared" si="13"/>
        <v>3.1768902707110733E-2</v>
      </c>
      <c r="O134" s="3">
        <f t="shared" si="13"/>
        <v>3.1768902707110705E-2</v>
      </c>
      <c r="P134" s="3">
        <f t="shared" si="13"/>
        <v>3.176890270711042E-2</v>
      </c>
      <c r="Q134" s="3">
        <f t="shared" si="13"/>
        <v>3.1768902707107562E-2</v>
      </c>
      <c r="R134" s="3">
        <f t="shared" si="13"/>
        <v>3.1768902707078973E-2</v>
      </c>
      <c r="S134" s="3">
        <f t="shared" si="13"/>
        <v>3.1768902706793049E-2</v>
      </c>
      <c r="T134" s="3">
        <f t="shared" si="13"/>
        <v>3.176890270393385E-2</v>
      </c>
      <c r="U134" s="3">
        <f t="shared" si="13"/>
        <v>3.176890267534184E-2</v>
      </c>
      <c r="V134" s="3">
        <f t="shared" si="13"/>
        <v>3.1768902389421712E-2</v>
      </c>
      <c r="W134" s="3">
        <f t="shared" si="13"/>
        <v>3.1768899530220628E-2</v>
      </c>
      <c r="X134" s="3">
        <f t="shared" si="13"/>
        <v>3.176887093822392E-2</v>
      </c>
      <c r="Y134" s="3">
        <f t="shared" si="13"/>
        <v>3.1768585019672106E-2</v>
      </c>
      <c r="Z134" s="3">
        <f t="shared" si="13"/>
        <v>3.1765725975679247E-2</v>
      </c>
      <c r="AA134" s="3">
        <f t="shared" si="13"/>
        <v>3.1737149683561491E-2</v>
      </c>
      <c r="AB134" s="3">
        <f t="shared" si="13"/>
        <v>3.1452796843568484E-2</v>
      </c>
      <c r="AC134" s="3">
        <f t="shared" si="13"/>
        <v>2.8745691899337688E-2</v>
      </c>
      <c r="AD134" s="3">
        <f t="shared" si="13"/>
        <v>1.168712617452182E-2</v>
      </c>
      <c r="AE134" s="3">
        <f t="shared" si="13"/>
        <v>1.4423059515340424E-6</v>
      </c>
      <c r="AF134" s="3">
        <f t="shared" si="13"/>
        <v>1.1818273174526597E-45</v>
      </c>
      <c r="AG134" s="3">
        <f t="shared" si="13"/>
        <v>0</v>
      </c>
      <c r="AH134" s="3">
        <f t="shared" si="13"/>
        <v>0</v>
      </c>
      <c r="AI134" s="3">
        <f t="shared" si="13"/>
        <v>0</v>
      </c>
      <c r="AJ134" s="3">
        <f t="shared" si="13"/>
        <v>0</v>
      </c>
    </row>
    <row r="135" spans="1:36" x14ac:dyDescent="0.25">
      <c r="A135" s="3">
        <f t="shared" si="14"/>
        <v>10000000000</v>
      </c>
      <c r="B135" s="105">
        <v>0</v>
      </c>
      <c r="C135" s="18">
        <f t="shared" si="9"/>
        <v>0</v>
      </c>
      <c r="D135" s="17"/>
      <c r="E135" s="11"/>
      <c r="F135" s="3">
        <f t="shared" si="11"/>
        <v>0</v>
      </c>
      <c r="G135" s="3">
        <f t="shared" si="13"/>
        <v>0</v>
      </c>
      <c r="H135" s="3">
        <f t="shared" si="13"/>
        <v>0</v>
      </c>
      <c r="I135" s="3">
        <f t="shared" si="13"/>
        <v>0</v>
      </c>
      <c r="J135" s="3">
        <f t="shared" si="13"/>
        <v>0</v>
      </c>
      <c r="K135" s="3">
        <f t="shared" si="13"/>
        <v>0</v>
      </c>
      <c r="L135" s="3">
        <f t="shared" si="13"/>
        <v>0</v>
      </c>
      <c r="M135" s="3">
        <f t="shared" si="13"/>
        <v>0</v>
      </c>
      <c r="N135" s="3">
        <f t="shared" si="13"/>
        <v>0</v>
      </c>
      <c r="O135" s="3">
        <f t="shared" si="13"/>
        <v>0</v>
      </c>
      <c r="P135" s="3">
        <f t="shared" si="13"/>
        <v>0</v>
      </c>
      <c r="Q135" s="3">
        <f t="shared" si="13"/>
        <v>0</v>
      </c>
      <c r="R135" s="3">
        <f t="shared" si="13"/>
        <v>0</v>
      </c>
      <c r="S135" s="3">
        <f t="shared" si="13"/>
        <v>0</v>
      </c>
      <c r="T135" s="3">
        <f t="shared" si="13"/>
        <v>0</v>
      </c>
      <c r="U135" s="3">
        <f t="shared" si="13"/>
        <v>0</v>
      </c>
      <c r="V135" s="3">
        <f t="shared" si="13"/>
        <v>0</v>
      </c>
      <c r="W135" s="3">
        <f t="shared" si="13"/>
        <v>0</v>
      </c>
      <c r="X135" s="3">
        <f t="shared" si="13"/>
        <v>0</v>
      </c>
      <c r="Y135" s="3">
        <f t="shared" si="13"/>
        <v>0</v>
      </c>
      <c r="Z135" s="3">
        <f t="shared" si="13"/>
        <v>0</v>
      </c>
      <c r="AA135" s="3">
        <f t="shared" si="13"/>
        <v>0</v>
      </c>
      <c r="AB135" s="3">
        <f t="shared" si="13"/>
        <v>0</v>
      </c>
      <c r="AC135" s="3">
        <f t="shared" si="13"/>
        <v>0</v>
      </c>
      <c r="AD135" s="3">
        <f t="shared" si="13"/>
        <v>0</v>
      </c>
      <c r="AE135" s="3">
        <f t="shared" si="13"/>
        <v>0</v>
      </c>
      <c r="AF135" s="3">
        <f t="shared" si="13"/>
        <v>0</v>
      </c>
      <c r="AG135" s="3">
        <f t="shared" si="13"/>
        <v>0</v>
      </c>
      <c r="AH135" s="3">
        <f t="shared" si="13"/>
        <v>0</v>
      </c>
      <c r="AI135" s="3">
        <f t="shared" si="13"/>
        <v>0</v>
      </c>
      <c r="AJ135" s="3">
        <f t="shared" si="13"/>
        <v>0</v>
      </c>
    </row>
    <row r="136" spans="1:36" x14ac:dyDescent="0.25">
      <c r="A136" s="3">
        <f t="shared" si="14"/>
        <v>100000000000</v>
      </c>
      <c r="B136" s="105">
        <v>0</v>
      </c>
      <c r="C136" s="18">
        <f t="shared" si="9"/>
        <v>0</v>
      </c>
      <c r="D136" s="17"/>
      <c r="E136" s="11"/>
      <c r="F136" s="3">
        <f t="shared" si="11"/>
        <v>0</v>
      </c>
      <c r="G136" s="3">
        <f t="shared" si="13"/>
        <v>0</v>
      </c>
      <c r="H136" s="3">
        <f t="shared" si="13"/>
        <v>0</v>
      </c>
      <c r="I136" s="3">
        <f t="shared" si="13"/>
        <v>0</v>
      </c>
      <c r="J136" s="3">
        <f t="shared" si="13"/>
        <v>0</v>
      </c>
      <c r="K136" s="3">
        <f t="shared" si="13"/>
        <v>0</v>
      </c>
      <c r="L136" s="3">
        <f t="shared" si="13"/>
        <v>0</v>
      </c>
      <c r="M136" s="3">
        <f t="shared" si="13"/>
        <v>0</v>
      </c>
      <c r="N136" s="3">
        <f t="shared" si="13"/>
        <v>0</v>
      </c>
      <c r="O136" s="3">
        <f t="shared" si="13"/>
        <v>0</v>
      </c>
      <c r="P136" s="3">
        <f t="shared" si="13"/>
        <v>0</v>
      </c>
      <c r="Q136" s="3">
        <f t="shared" si="13"/>
        <v>0</v>
      </c>
      <c r="R136" s="3">
        <f t="shared" si="13"/>
        <v>0</v>
      </c>
      <c r="S136" s="3">
        <f t="shared" si="13"/>
        <v>0</v>
      </c>
      <c r="T136" s="3">
        <f t="shared" si="13"/>
        <v>0</v>
      </c>
      <c r="U136" s="3">
        <f t="shared" si="13"/>
        <v>0</v>
      </c>
      <c r="V136" s="3">
        <f t="shared" si="13"/>
        <v>0</v>
      </c>
      <c r="W136" s="3">
        <f t="shared" si="13"/>
        <v>0</v>
      </c>
      <c r="X136" s="3">
        <f t="shared" si="13"/>
        <v>0</v>
      </c>
      <c r="Y136" s="3">
        <f t="shared" si="13"/>
        <v>0</v>
      </c>
      <c r="Z136" s="3">
        <f t="shared" si="13"/>
        <v>0</v>
      </c>
      <c r="AA136" s="3">
        <f t="shared" si="13"/>
        <v>0</v>
      </c>
      <c r="AB136" s="3">
        <f t="shared" si="13"/>
        <v>0</v>
      </c>
      <c r="AC136" s="3">
        <f t="shared" si="13"/>
        <v>0</v>
      </c>
      <c r="AD136" s="3">
        <f t="shared" si="13"/>
        <v>0</v>
      </c>
      <c r="AE136" s="3">
        <f t="shared" si="13"/>
        <v>0</v>
      </c>
      <c r="AF136" s="3">
        <f t="shared" si="13"/>
        <v>0</v>
      </c>
      <c r="AG136" s="3">
        <f t="shared" si="13"/>
        <v>0</v>
      </c>
      <c r="AH136" s="3">
        <f t="shared" si="13"/>
        <v>0</v>
      </c>
      <c r="AI136" s="3">
        <f t="shared" si="13"/>
        <v>0</v>
      </c>
      <c r="AJ136" s="3">
        <f t="shared" si="13"/>
        <v>0</v>
      </c>
    </row>
    <row r="137" spans="1:36" x14ac:dyDescent="0.25">
      <c r="A137" s="3">
        <f t="shared" si="14"/>
        <v>1000000000000</v>
      </c>
      <c r="B137" s="105">
        <v>0</v>
      </c>
      <c r="C137" s="18">
        <f t="shared" si="9"/>
        <v>0</v>
      </c>
      <c r="D137" s="17"/>
      <c r="E137" s="11"/>
      <c r="F137" s="3">
        <f t="shared" si="11"/>
        <v>0</v>
      </c>
      <c r="G137" s="3">
        <f t="shared" ref="G137:AJ141" si="15">$C137*EXP(-G$108/$A137)</f>
        <v>0</v>
      </c>
      <c r="H137" s="3">
        <f t="shared" si="15"/>
        <v>0</v>
      </c>
      <c r="I137" s="3">
        <f t="shared" si="15"/>
        <v>0</v>
      </c>
      <c r="J137" s="3">
        <f t="shared" si="15"/>
        <v>0</v>
      </c>
      <c r="K137" s="3">
        <f t="shared" si="15"/>
        <v>0</v>
      </c>
      <c r="L137" s="3">
        <f t="shared" si="15"/>
        <v>0</v>
      </c>
      <c r="M137" s="3">
        <f t="shared" si="15"/>
        <v>0</v>
      </c>
      <c r="N137" s="3">
        <f t="shared" si="15"/>
        <v>0</v>
      </c>
      <c r="O137" s="3">
        <f t="shared" si="15"/>
        <v>0</v>
      </c>
      <c r="P137" s="3">
        <f t="shared" si="15"/>
        <v>0</v>
      </c>
      <c r="Q137" s="3">
        <f t="shared" si="15"/>
        <v>0</v>
      </c>
      <c r="R137" s="3">
        <f t="shared" si="15"/>
        <v>0</v>
      </c>
      <c r="S137" s="3">
        <f t="shared" si="15"/>
        <v>0</v>
      </c>
      <c r="T137" s="3">
        <f t="shared" si="15"/>
        <v>0</v>
      </c>
      <c r="U137" s="3">
        <f t="shared" si="15"/>
        <v>0</v>
      </c>
      <c r="V137" s="3">
        <f t="shared" si="15"/>
        <v>0</v>
      </c>
      <c r="W137" s="3">
        <f t="shared" si="15"/>
        <v>0</v>
      </c>
      <c r="X137" s="3">
        <f t="shared" si="15"/>
        <v>0</v>
      </c>
      <c r="Y137" s="3">
        <f t="shared" si="15"/>
        <v>0</v>
      </c>
      <c r="Z137" s="3">
        <f t="shared" si="15"/>
        <v>0</v>
      </c>
      <c r="AA137" s="3">
        <f t="shared" si="15"/>
        <v>0</v>
      </c>
      <c r="AB137" s="3">
        <f t="shared" si="15"/>
        <v>0</v>
      </c>
      <c r="AC137" s="3">
        <f t="shared" si="15"/>
        <v>0</v>
      </c>
      <c r="AD137" s="3">
        <f t="shared" si="15"/>
        <v>0</v>
      </c>
      <c r="AE137" s="3">
        <f t="shared" si="15"/>
        <v>0</v>
      </c>
      <c r="AF137" s="3">
        <f t="shared" si="15"/>
        <v>0</v>
      </c>
      <c r="AG137" s="3">
        <f t="shared" si="15"/>
        <v>0</v>
      </c>
      <c r="AH137" s="3">
        <f t="shared" si="15"/>
        <v>0</v>
      </c>
      <c r="AI137" s="3">
        <f t="shared" si="15"/>
        <v>0</v>
      </c>
      <c r="AJ137" s="3">
        <f t="shared" si="15"/>
        <v>0</v>
      </c>
    </row>
    <row r="138" spans="1:36" x14ac:dyDescent="0.25">
      <c r="A138" s="3">
        <f t="shared" si="14"/>
        <v>10000000000000</v>
      </c>
      <c r="B138" s="105">
        <v>0</v>
      </c>
      <c r="C138" s="18">
        <f t="shared" si="9"/>
        <v>0</v>
      </c>
      <c r="D138" s="17"/>
      <c r="E138" s="11"/>
      <c r="F138" s="3">
        <f t="shared" si="11"/>
        <v>0</v>
      </c>
      <c r="G138" s="3">
        <f t="shared" si="15"/>
        <v>0</v>
      </c>
      <c r="H138" s="3">
        <f t="shared" si="15"/>
        <v>0</v>
      </c>
      <c r="I138" s="3">
        <f t="shared" si="15"/>
        <v>0</v>
      </c>
      <c r="J138" s="3">
        <f t="shared" si="15"/>
        <v>0</v>
      </c>
      <c r="K138" s="3">
        <f t="shared" si="15"/>
        <v>0</v>
      </c>
      <c r="L138" s="3">
        <f t="shared" si="15"/>
        <v>0</v>
      </c>
      <c r="M138" s="3">
        <f t="shared" si="15"/>
        <v>0</v>
      </c>
      <c r="N138" s="3">
        <f t="shared" si="15"/>
        <v>0</v>
      </c>
      <c r="O138" s="3">
        <f t="shared" si="15"/>
        <v>0</v>
      </c>
      <c r="P138" s="3">
        <f t="shared" si="15"/>
        <v>0</v>
      </c>
      <c r="Q138" s="3">
        <f t="shared" si="15"/>
        <v>0</v>
      </c>
      <c r="R138" s="3">
        <f t="shared" si="15"/>
        <v>0</v>
      </c>
      <c r="S138" s="3">
        <f t="shared" si="15"/>
        <v>0</v>
      </c>
      <c r="T138" s="3">
        <f t="shared" si="15"/>
        <v>0</v>
      </c>
      <c r="U138" s="3">
        <f t="shared" si="15"/>
        <v>0</v>
      </c>
      <c r="V138" s="3">
        <f t="shared" si="15"/>
        <v>0</v>
      </c>
      <c r="W138" s="3">
        <f t="shared" si="15"/>
        <v>0</v>
      </c>
      <c r="X138" s="3">
        <f t="shared" si="15"/>
        <v>0</v>
      </c>
      <c r="Y138" s="3">
        <f t="shared" si="15"/>
        <v>0</v>
      </c>
      <c r="Z138" s="3">
        <f t="shared" si="15"/>
        <v>0</v>
      </c>
      <c r="AA138" s="3">
        <f t="shared" si="15"/>
        <v>0</v>
      </c>
      <c r="AB138" s="3">
        <f t="shared" si="15"/>
        <v>0</v>
      </c>
      <c r="AC138" s="3">
        <f t="shared" si="15"/>
        <v>0</v>
      </c>
      <c r="AD138" s="3">
        <f t="shared" si="15"/>
        <v>0</v>
      </c>
      <c r="AE138" s="3">
        <f t="shared" si="15"/>
        <v>0</v>
      </c>
      <c r="AF138" s="3">
        <f t="shared" si="15"/>
        <v>0</v>
      </c>
      <c r="AG138" s="3">
        <f t="shared" si="15"/>
        <v>0</v>
      </c>
      <c r="AH138" s="3">
        <f t="shared" si="15"/>
        <v>0</v>
      </c>
      <c r="AI138" s="3">
        <f t="shared" si="15"/>
        <v>0</v>
      </c>
      <c r="AJ138" s="3">
        <f t="shared" si="15"/>
        <v>0</v>
      </c>
    </row>
    <row r="139" spans="1:36" x14ac:dyDescent="0.25">
      <c r="A139" s="3">
        <f t="shared" si="14"/>
        <v>100000000000000</v>
      </c>
      <c r="B139" s="105">
        <v>0</v>
      </c>
      <c r="C139" s="18">
        <f t="shared" si="9"/>
        <v>0</v>
      </c>
      <c r="D139" s="17"/>
      <c r="E139" s="11"/>
      <c r="F139" s="3">
        <f t="shared" si="11"/>
        <v>0</v>
      </c>
      <c r="G139" s="3">
        <f t="shared" si="15"/>
        <v>0</v>
      </c>
      <c r="H139" s="3">
        <f t="shared" si="15"/>
        <v>0</v>
      </c>
      <c r="I139" s="3">
        <f t="shared" si="15"/>
        <v>0</v>
      </c>
      <c r="J139" s="3">
        <f t="shared" si="15"/>
        <v>0</v>
      </c>
      <c r="K139" s="3">
        <f t="shared" si="15"/>
        <v>0</v>
      </c>
      <c r="L139" s="3">
        <f t="shared" si="15"/>
        <v>0</v>
      </c>
      <c r="M139" s="3">
        <f t="shared" si="15"/>
        <v>0</v>
      </c>
      <c r="N139" s="3">
        <f t="shared" si="15"/>
        <v>0</v>
      </c>
      <c r="O139" s="3">
        <f t="shared" si="15"/>
        <v>0</v>
      </c>
      <c r="P139" s="3">
        <f t="shared" si="15"/>
        <v>0</v>
      </c>
      <c r="Q139" s="3">
        <f t="shared" si="15"/>
        <v>0</v>
      </c>
      <c r="R139" s="3">
        <f t="shared" si="15"/>
        <v>0</v>
      </c>
      <c r="S139" s="3">
        <f t="shared" si="15"/>
        <v>0</v>
      </c>
      <c r="T139" s="3">
        <f t="shared" si="15"/>
        <v>0</v>
      </c>
      <c r="U139" s="3">
        <f t="shared" si="15"/>
        <v>0</v>
      </c>
      <c r="V139" s="3">
        <f t="shared" si="15"/>
        <v>0</v>
      </c>
      <c r="W139" s="3">
        <f t="shared" si="15"/>
        <v>0</v>
      </c>
      <c r="X139" s="3">
        <f t="shared" si="15"/>
        <v>0</v>
      </c>
      <c r="Y139" s="3">
        <f t="shared" si="15"/>
        <v>0</v>
      </c>
      <c r="Z139" s="3">
        <f t="shared" si="15"/>
        <v>0</v>
      </c>
      <c r="AA139" s="3">
        <f t="shared" si="15"/>
        <v>0</v>
      </c>
      <c r="AB139" s="3">
        <f t="shared" si="15"/>
        <v>0</v>
      </c>
      <c r="AC139" s="3">
        <f t="shared" si="15"/>
        <v>0</v>
      </c>
      <c r="AD139" s="3">
        <f t="shared" si="15"/>
        <v>0</v>
      </c>
      <c r="AE139" s="3">
        <f t="shared" si="15"/>
        <v>0</v>
      </c>
      <c r="AF139" s="3">
        <f t="shared" si="15"/>
        <v>0</v>
      </c>
      <c r="AG139" s="3">
        <f t="shared" si="15"/>
        <v>0</v>
      </c>
      <c r="AH139" s="3">
        <f t="shared" si="15"/>
        <v>0</v>
      </c>
      <c r="AI139" s="3">
        <f t="shared" si="15"/>
        <v>0</v>
      </c>
      <c r="AJ139" s="3">
        <f t="shared" si="15"/>
        <v>0</v>
      </c>
    </row>
    <row r="140" spans="1:36" x14ac:dyDescent="0.25">
      <c r="A140" s="3">
        <f t="shared" si="14"/>
        <v>1000000000000000</v>
      </c>
      <c r="B140" s="105">
        <v>0</v>
      </c>
      <c r="C140" s="18">
        <f t="shared" si="9"/>
        <v>0</v>
      </c>
      <c r="D140" s="17"/>
      <c r="E140" s="11"/>
      <c r="F140" s="3">
        <f t="shared" si="11"/>
        <v>0</v>
      </c>
      <c r="G140" s="3">
        <f t="shared" si="15"/>
        <v>0</v>
      </c>
      <c r="H140" s="3">
        <f t="shared" si="15"/>
        <v>0</v>
      </c>
      <c r="I140" s="3">
        <f t="shared" si="15"/>
        <v>0</v>
      </c>
      <c r="J140" s="3">
        <f t="shared" si="15"/>
        <v>0</v>
      </c>
      <c r="K140" s="3">
        <f t="shared" si="15"/>
        <v>0</v>
      </c>
      <c r="L140" s="3">
        <f t="shared" si="15"/>
        <v>0</v>
      </c>
      <c r="M140" s="3">
        <f t="shared" si="15"/>
        <v>0</v>
      </c>
      <c r="N140" s="3">
        <f t="shared" si="15"/>
        <v>0</v>
      </c>
      <c r="O140" s="3">
        <f t="shared" si="15"/>
        <v>0</v>
      </c>
      <c r="P140" s="3">
        <f t="shared" si="15"/>
        <v>0</v>
      </c>
      <c r="Q140" s="3">
        <f t="shared" si="15"/>
        <v>0</v>
      </c>
      <c r="R140" s="3">
        <f t="shared" si="15"/>
        <v>0</v>
      </c>
      <c r="S140" s="3">
        <f t="shared" si="15"/>
        <v>0</v>
      </c>
      <c r="T140" s="3">
        <f t="shared" si="15"/>
        <v>0</v>
      </c>
      <c r="U140" s="3">
        <f t="shared" si="15"/>
        <v>0</v>
      </c>
      <c r="V140" s="3">
        <f t="shared" si="15"/>
        <v>0</v>
      </c>
      <c r="W140" s="3">
        <f t="shared" si="15"/>
        <v>0</v>
      </c>
      <c r="X140" s="3">
        <f t="shared" si="15"/>
        <v>0</v>
      </c>
      <c r="Y140" s="3">
        <f t="shared" si="15"/>
        <v>0</v>
      </c>
      <c r="Z140" s="3">
        <f t="shared" si="15"/>
        <v>0</v>
      </c>
      <c r="AA140" s="3">
        <f t="shared" si="15"/>
        <v>0</v>
      </c>
      <c r="AB140" s="3">
        <f t="shared" si="15"/>
        <v>0</v>
      </c>
      <c r="AC140" s="3">
        <f t="shared" si="15"/>
        <v>0</v>
      </c>
      <c r="AD140" s="3">
        <f t="shared" si="15"/>
        <v>0</v>
      </c>
      <c r="AE140" s="3">
        <f t="shared" si="15"/>
        <v>0</v>
      </c>
      <c r="AF140" s="3">
        <f t="shared" si="15"/>
        <v>0</v>
      </c>
      <c r="AG140" s="3">
        <f t="shared" si="15"/>
        <v>0</v>
      </c>
      <c r="AH140" s="3">
        <f t="shared" si="15"/>
        <v>0</v>
      </c>
      <c r="AI140" s="3">
        <f t="shared" si="15"/>
        <v>0</v>
      </c>
      <c r="AJ140" s="3">
        <f t="shared" si="15"/>
        <v>0</v>
      </c>
    </row>
    <row r="141" spans="1:36" x14ac:dyDescent="0.25">
      <c r="A141" s="3">
        <f t="shared" si="14"/>
        <v>1E+16</v>
      </c>
      <c r="B141" s="105">
        <v>0</v>
      </c>
      <c r="C141" s="18">
        <f t="shared" si="9"/>
        <v>0</v>
      </c>
      <c r="D141" s="17"/>
      <c r="E141" s="11"/>
      <c r="F141" s="3">
        <f t="shared" si="11"/>
        <v>0</v>
      </c>
      <c r="G141" s="3">
        <f t="shared" si="15"/>
        <v>0</v>
      </c>
      <c r="H141" s="3">
        <f t="shared" si="15"/>
        <v>0</v>
      </c>
      <c r="I141" s="3">
        <f t="shared" si="15"/>
        <v>0</v>
      </c>
      <c r="J141" s="3">
        <f t="shared" si="15"/>
        <v>0</v>
      </c>
      <c r="K141" s="3">
        <f t="shared" si="15"/>
        <v>0</v>
      </c>
      <c r="L141" s="3">
        <f t="shared" si="15"/>
        <v>0</v>
      </c>
      <c r="M141" s="3">
        <f t="shared" si="15"/>
        <v>0</v>
      </c>
      <c r="N141" s="3">
        <f t="shared" si="15"/>
        <v>0</v>
      </c>
      <c r="O141" s="3">
        <f t="shared" si="15"/>
        <v>0</v>
      </c>
      <c r="P141" s="3">
        <f t="shared" si="15"/>
        <v>0</v>
      </c>
      <c r="Q141" s="3">
        <f t="shared" si="15"/>
        <v>0</v>
      </c>
      <c r="R141" s="3">
        <f t="shared" si="15"/>
        <v>0</v>
      </c>
      <c r="S141" s="3">
        <f t="shared" si="15"/>
        <v>0</v>
      </c>
      <c r="T141" s="3">
        <f t="shared" si="15"/>
        <v>0</v>
      </c>
      <c r="U141" s="3">
        <f t="shared" si="15"/>
        <v>0</v>
      </c>
      <c r="V141" s="3">
        <f t="shared" si="15"/>
        <v>0</v>
      </c>
      <c r="W141" s="3">
        <f t="shared" si="15"/>
        <v>0</v>
      </c>
      <c r="X141" s="3">
        <f t="shared" si="15"/>
        <v>0</v>
      </c>
      <c r="Y141" s="3">
        <f t="shared" si="15"/>
        <v>0</v>
      </c>
      <c r="Z141" s="3">
        <f t="shared" si="15"/>
        <v>0</v>
      </c>
      <c r="AA141" s="3">
        <f t="shared" si="15"/>
        <v>0</v>
      </c>
      <c r="AB141" s="3">
        <f t="shared" si="15"/>
        <v>0</v>
      </c>
      <c r="AC141" s="3">
        <f t="shared" si="15"/>
        <v>0</v>
      </c>
      <c r="AD141" s="3">
        <f t="shared" si="15"/>
        <v>0</v>
      </c>
      <c r="AE141" s="3">
        <f t="shared" si="15"/>
        <v>0</v>
      </c>
      <c r="AF141" s="3">
        <f t="shared" si="15"/>
        <v>0</v>
      </c>
      <c r="AG141" s="3">
        <f t="shared" si="15"/>
        <v>0</v>
      </c>
      <c r="AH141" s="3">
        <f t="shared" si="15"/>
        <v>0</v>
      </c>
      <c r="AI141" s="3">
        <f t="shared" si="15"/>
        <v>0</v>
      </c>
      <c r="AJ141" s="3">
        <f t="shared" si="15"/>
        <v>0</v>
      </c>
    </row>
    <row r="142" spans="1:36" x14ac:dyDescent="0.25">
      <c r="A142" s="11"/>
      <c r="B142" s="123">
        <f>SUM(B110:B141)</f>
        <v>0.88372284788849698</v>
      </c>
      <c r="C142" s="18">
        <f>SUM(C110:C141)</f>
        <v>1</v>
      </c>
      <c r="D142" s="11"/>
      <c r="E142" s="11"/>
      <c r="F142" s="3">
        <f t="shared" ref="F142:AJ142" si="16">F109-F110</f>
        <v>-6.9827601536098882</v>
      </c>
      <c r="G142" s="3">
        <f t="shared" si="16"/>
        <v>-6.9822688928279604</v>
      </c>
      <c r="H142" s="3">
        <f t="shared" si="16"/>
        <v>-6.9773563181479403</v>
      </c>
      <c r="I142" s="3">
        <f t="shared" si="16"/>
        <v>-6.9282338839630029</v>
      </c>
      <c r="J142" s="3">
        <f t="shared" si="16"/>
        <v>-6.4373406375789273</v>
      </c>
      <c r="K142" s="3">
        <f t="shared" si="16"/>
        <v>-1.5613513559965213</v>
      </c>
      <c r="L142" s="3">
        <f t="shared" si="16"/>
        <v>44.064413512222927</v>
      </c>
      <c r="M142" s="3">
        <f t="shared" si="16"/>
        <v>-9.1373966342689528</v>
      </c>
      <c r="N142" s="3">
        <f t="shared" si="16"/>
        <v>1.4496526786188042</v>
      </c>
      <c r="O142" s="3">
        <f t="shared" si="16"/>
        <v>-1.3779041184407106</v>
      </c>
      <c r="P142" s="3">
        <f t="shared" si="16"/>
        <v>2.258494437720401</v>
      </c>
      <c r="Q142" s="3">
        <f t="shared" si="16"/>
        <v>-3.2614485978565426</v>
      </c>
      <c r="R142" s="3">
        <f t="shared" si="16"/>
        <v>4.0106979051561211</v>
      </c>
      <c r="S142" s="3">
        <f t="shared" si="16"/>
        <v>-4.2112981480886447</v>
      </c>
      <c r="T142" s="3">
        <f t="shared" si="16"/>
        <v>3.7886125239656394</v>
      </c>
      <c r="U142" s="3">
        <f t="shared" si="16"/>
        <v>-2.9289920630262714</v>
      </c>
      <c r="V142" s="3">
        <f t="shared" si="16"/>
        <v>1.9508242222682384</v>
      </c>
      <c r="W142" s="3">
        <f t="shared" si="16"/>
        <v>-1.1216494913146562</v>
      </c>
      <c r="X142" s="3">
        <f t="shared" si="16"/>
        <v>0.5578702481811888</v>
      </c>
      <c r="Y142" s="3">
        <f t="shared" si="16"/>
        <v>-0.24016649110626531</v>
      </c>
      <c r="Z142" s="3">
        <f t="shared" si="16"/>
        <v>8.973786266415118E-2</v>
      </c>
      <c r="AA142" s="3">
        <f t="shared" si="16"/>
        <v>-2.9230323653109735E-2</v>
      </c>
      <c r="AB142" s="3">
        <f t="shared" si="16"/>
        <v>1.2737213161926775E-2</v>
      </c>
      <c r="AC142" s="3">
        <f t="shared" si="16"/>
        <v>-1.3559844275505384E-2</v>
      </c>
      <c r="AD142" s="3">
        <f t="shared" si="16"/>
        <v>1.723742129195216E-2</v>
      </c>
      <c r="AE142" s="3">
        <f t="shared" si="16"/>
        <v>-1.3835291904456426E-2</v>
      </c>
      <c r="AF142" s="3">
        <f t="shared" si="16"/>
        <v>8.5791295794024336E-4</v>
      </c>
      <c r="AG142" s="3">
        <f t="shared" si="16"/>
        <v>8.5791295794024336E-4</v>
      </c>
      <c r="AH142" s="3">
        <f t="shared" si="16"/>
        <v>8.5791295794024336E-4</v>
      </c>
      <c r="AI142" s="3">
        <f t="shared" si="16"/>
        <v>8.5791295794024336E-4</v>
      </c>
      <c r="AJ142" s="3">
        <f t="shared" si="16"/>
        <v>8.5791295794024336E-4</v>
      </c>
    </row>
    <row r="143" spans="1:36" x14ac:dyDescent="0.25">
      <c r="A143" s="11"/>
      <c r="B143" s="11"/>
      <c r="C143" s="11"/>
      <c r="D143" s="11"/>
      <c r="E143" s="11"/>
      <c r="F143" s="57">
        <f t="shared" ref="F143:AJ143" si="17">F142/F110</f>
        <v>-9.1762816695510683E-4</v>
      </c>
      <c r="G143" s="57">
        <f t="shared" si="17"/>
        <v>-9.1756366794783141E-4</v>
      </c>
      <c r="H143" s="57">
        <f t="shared" si="17"/>
        <v>-9.1691868176799467E-4</v>
      </c>
      <c r="I143" s="57">
        <f t="shared" si="17"/>
        <v>-9.1046920909527876E-4</v>
      </c>
      <c r="J143" s="57">
        <f t="shared" si="17"/>
        <v>-8.4601337903094449E-4</v>
      </c>
      <c r="K143" s="57">
        <f t="shared" si="17"/>
        <v>-2.0532875659718964E-4</v>
      </c>
      <c r="L143" s="57">
        <f t="shared" si="17"/>
        <v>5.8297615391119141E-3</v>
      </c>
      <c r="M143" s="57">
        <f t="shared" si="17"/>
        <v>-1.2513214041717363E-3</v>
      </c>
      <c r="N143" s="57">
        <f t="shared" si="17"/>
        <v>2.0946521891057599E-4</v>
      </c>
      <c r="O143" s="57">
        <f t="shared" si="17"/>
        <v>-2.1025892017021515E-4</v>
      </c>
      <c r="P143" s="57">
        <f t="shared" si="17"/>
        <v>3.6188666379209059E-4</v>
      </c>
      <c r="Q143" s="57">
        <f t="shared" si="17"/>
        <v>-5.4735032067509493E-4</v>
      </c>
      <c r="R143" s="57">
        <f t="shared" si="17"/>
        <v>7.0692753893572113E-4</v>
      </c>
      <c r="S143" s="57">
        <f t="shared" si="17"/>
        <v>-7.8020045916905455E-4</v>
      </c>
      <c r="T143" s="57">
        <f t="shared" si="17"/>
        <v>7.4080813797002226E-4</v>
      </c>
      <c r="U143" s="57">
        <f t="shared" si="17"/>
        <v>-6.123668190373253E-4</v>
      </c>
      <c r="V143" s="57">
        <f t="shared" si="17"/>
        <v>4.4249823259719323E-4</v>
      </c>
      <c r="W143" s="57">
        <f t="shared" si="17"/>
        <v>-2.8061323724960883E-4</v>
      </c>
      <c r="X143" s="57">
        <f t="shared" si="17"/>
        <v>1.5728239630858021E-4</v>
      </c>
      <c r="Y143" s="57">
        <f t="shared" si="17"/>
        <v>-7.8780382185148588E-5</v>
      </c>
      <c r="Z143" s="57">
        <f t="shared" si="17"/>
        <v>3.6235571751073428E-5</v>
      </c>
      <c r="AA143" s="57">
        <f t="shared" si="17"/>
        <v>-1.5578427379360396E-5</v>
      </c>
      <c r="AB143" s="57">
        <f t="shared" si="17"/>
        <v>9.3879143147328779E-6</v>
      </c>
      <c r="AC143" s="57">
        <f t="shared" si="17"/>
        <v>-1.3940694720504892E-5</v>
      </c>
      <c r="AD143" s="57">
        <f t="shared" si="17"/>
        <v>2.2947835172691735E-5</v>
      </c>
      <c r="AE143" s="57">
        <f t="shared" si="17"/>
        <v>-2.188763846797882E-5</v>
      </c>
      <c r="AF143" s="57">
        <f t="shared" si="17"/>
        <v>1.3572626645782645E-6</v>
      </c>
      <c r="AG143" s="57">
        <f t="shared" si="17"/>
        <v>1.3572626645782645E-6</v>
      </c>
      <c r="AH143" s="57">
        <f t="shared" si="17"/>
        <v>1.3572626645782645E-6</v>
      </c>
      <c r="AI143" s="57">
        <f t="shared" si="17"/>
        <v>1.3572626645782645E-6</v>
      </c>
      <c r="AJ143" s="57">
        <f t="shared" si="17"/>
        <v>1.3572626645782645E-6</v>
      </c>
    </row>
    <row r="144" spans="1:36" x14ac:dyDescent="0.25">
      <c r="A144" s="13" t="s">
        <v>21</v>
      </c>
      <c r="B144" s="3">
        <f>STUTT!D8</f>
        <v>10187.300999999999</v>
      </c>
      <c r="C144" s="11"/>
      <c r="D144" s="11"/>
      <c r="E144" s="11" t="s">
        <v>24</v>
      </c>
      <c r="F144" s="20">
        <f t="shared" ref="F144:AJ144" si="18">(F109-F110)^2</f>
        <v>48.758939362841993</v>
      </c>
      <c r="G144" s="20">
        <f t="shared" si="18"/>
        <v>48.752078891752994</v>
      </c>
      <c r="H144" s="20">
        <f t="shared" si="18"/>
        <v>48.683501190398985</v>
      </c>
      <c r="I144" s="20">
        <f t="shared" si="18"/>
        <v>48.000424750893075</v>
      </c>
      <c r="J144" s="20">
        <f t="shared" si="18"/>
        <v>41.439354484225071</v>
      </c>
      <c r="K144" s="20">
        <f t="shared" si="18"/>
        <v>2.4378180568721759</v>
      </c>
      <c r="L144" s="20">
        <f t="shared" si="18"/>
        <v>1941.6725381761744</v>
      </c>
      <c r="M144" s="20">
        <f t="shared" si="18"/>
        <v>83.492017251949591</v>
      </c>
      <c r="N144" s="20">
        <f t="shared" si="18"/>
        <v>2.1014928886266739</v>
      </c>
      <c r="O144" s="20">
        <f t="shared" si="18"/>
        <v>1.8986197596158718</v>
      </c>
      <c r="P144" s="20">
        <f t="shared" si="18"/>
        <v>5.1007971252139903</v>
      </c>
      <c r="Q144" s="20">
        <f t="shared" si="18"/>
        <v>10.637046956460408</v>
      </c>
      <c r="R144" s="20">
        <f t="shared" si="18"/>
        <v>16.0856976864237</v>
      </c>
      <c r="S144" s="20">
        <f t="shared" si="18"/>
        <v>17.735032092094848</v>
      </c>
      <c r="T144" s="20">
        <f t="shared" si="18"/>
        <v>14.353584856749293</v>
      </c>
      <c r="U144" s="20">
        <f t="shared" si="18"/>
        <v>8.5789945052708934</v>
      </c>
      <c r="V144" s="20">
        <f t="shared" si="18"/>
        <v>3.8057151461884771</v>
      </c>
      <c r="W144" s="20">
        <f t="shared" si="18"/>
        <v>1.258097581366427</v>
      </c>
      <c r="X144" s="20">
        <f t="shared" si="18"/>
        <v>0.31121921380574119</v>
      </c>
      <c r="Y144" s="20">
        <f t="shared" si="18"/>
        <v>5.7679943450295812E-2</v>
      </c>
      <c r="Z144" s="20">
        <f t="shared" si="18"/>
        <v>8.052883995530058E-3</v>
      </c>
      <c r="AA144" s="20">
        <f t="shared" si="18"/>
        <v>8.5441182086554645E-4</v>
      </c>
      <c r="AB144" s="20">
        <f t="shared" si="18"/>
        <v>1.6223659913236068E-4</v>
      </c>
      <c r="AC144" s="20">
        <f t="shared" si="18"/>
        <v>1.8386937677595614E-4</v>
      </c>
      <c r="AD144" s="20">
        <f t="shared" si="18"/>
        <v>2.9712869279624568E-4</v>
      </c>
      <c r="AE144" s="20">
        <f t="shared" si="18"/>
        <v>1.9141530208151752E-4</v>
      </c>
      <c r="AF144" s="20">
        <f t="shared" si="18"/>
        <v>7.3601464340177779E-7</v>
      </c>
      <c r="AG144" s="20">
        <f t="shared" si="18"/>
        <v>7.3601464340177779E-7</v>
      </c>
      <c r="AH144" s="20">
        <f t="shared" si="18"/>
        <v>7.3601464340177779E-7</v>
      </c>
      <c r="AI144" s="20">
        <f t="shared" si="18"/>
        <v>7.3601464340177779E-7</v>
      </c>
      <c r="AJ144" s="20">
        <f t="shared" si="18"/>
        <v>7.3601464340177779E-7</v>
      </c>
    </row>
    <row r="145" spans="1:36" x14ac:dyDescent="0.25">
      <c r="A145" s="13"/>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row>
    <row r="146" spans="1:36" x14ac:dyDescent="0.25">
      <c r="A146" s="11"/>
      <c r="B146" s="11"/>
      <c r="C146" s="11"/>
      <c r="D146" s="11"/>
      <c r="E146" s="131" t="s">
        <v>25</v>
      </c>
      <c r="F146" s="131"/>
      <c r="G146" s="104">
        <f>SUM(F144:AJ144)</f>
        <v>2345.1703955462344</v>
      </c>
      <c r="H146" s="11"/>
      <c r="I146" s="3">
        <f>G146+C216</f>
        <v>2345.1703955462344</v>
      </c>
      <c r="J146" s="11"/>
      <c r="K146" s="3">
        <f>SUM(Z144:AJ144)</f>
        <v>9.7456258603986975E-3</v>
      </c>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row>
    <row r="147" spans="1:36" x14ac:dyDescent="0.25">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row>
    <row r="148" spans="1:36" x14ac:dyDescent="0.25">
      <c r="A148" s="11"/>
      <c r="B148" s="11"/>
      <c r="C148" s="11"/>
      <c r="D148" s="11"/>
      <c r="E148" s="30" t="s">
        <v>30</v>
      </c>
      <c r="F148" s="31">
        <f t="shared" ref="F148:AJ148" si="19">ABS(F110-F109)/F109</f>
        <v>9.1847098179853614E-4</v>
      </c>
      <c r="G148" s="31">
        <f t="shared" si="19"/>
        <v>9.1840636426008854E-4</v>
      </c>
      <c r="H148" s="31">
        <f t="shared" si="19"/>
        <v>9.1776019323455444E-4</v>
      </c>
      <c r="I148" s="31">
        <f t="shared" si="19"/>
        <v>9.1129891870103793E-4</v>
      </c>
      <c r="J148" s="31">
        <f t="shared" si="19"/>
        <v>8.4672972370562261E-4</v>
      </c>
      <c r="K148" s="31">
        <f t="shared" si="19"/>
        <v>2.053709251538927E-4</v>
      </c>
      <c r="L148" s="31">
        <f t="shared" si="19"/>
        <v>5.7959724021202788E-3</v>
      </c>
      <c r="M148" s="31">
        <f t="shared" si="19"/>
        <v>1.2528891712087248E-3</v>
      </c>
      <c r="N148" s="31">
        <f t="shared" si="19"/>
        <v>2.0942135242114655E-4</v>
      </c>
      <c r="O148" s="31">
        <f t="shared" si="19"/>
        <v>2.103031382809785E-4</v>
      </c>
      <c r="P148" s="31">
        <f t="shared" si="19"/>
        <v>3.6175574921090101E-4</v>
      </c>
      <c r="Q148" s="31">
        <f t="shared" si="19"/>
        <v>5.4765007712042452E-4</v>
      </c>
      <c r="R148" s="31">
        <f t="shared" si="19"/>
        <v>7.0642814542544062E-4</v>
      </c>
      <c r="S148" s="31">
        <f t="shared" si="19"/>
        <v>7.8080964721433479E-4</v>
      </c>
      <c r="T148" s="31">
        <f t="shared" si="19"/>
        <v>7.4025974752484427E-4</v>
      </c>
      <c r="U148" s="31">
        <f t="shared" si="19"/>
        <v>6.1274204193243387E-4</v>
      </c>
      <c r="V148" s="31">
        <f t="shared" si="19"/>
        <v>4.423025145162465E-4</v>
      </c>
      <c r="W148" s="31">
        <f t="shared" si="19"/>
        <v>2.806920031412804E-4</v>
      </c>
      <c r="X148" s="31">
        <f t="shared" si="19"/>
        <v>1.5725766244659273E-4</v>
      </c>
      <c r="Y148" s="31">
        <f t="shared" si="19"/>
        <v>7.8786589022742867E-5</v>
      </c>
      <c r="Z148" s="31">
        <f t="shared" si="19"/>
        <v>3.6234258781989482E-5</v>
      </c>
      <c r="AA148" s="31">
        <f t="shared" si="19"/>
        <v>1.5578670070540757E-5</v>
      </c>
      <c r="AB148" s="31">
        <f t="shared" si="19"/>
        <v>9.3878261826250735E-6</v>
      </c>
      <c r="AC148" s="31">
        <f t="shared" si="19"/>
        <v>1.3940889066183498E-5</v>
      </c>
      <c r="AD148" s="31">
        <f t="shared" si="19"/>
        <v>2.2947308581636747E-5</v>
      </c>
      <c r="AE148" s="31">
        <f t="shared" si="19"/>
        <v>2.1888117547182435E-5</v>
      </c>
      <c r="AF148" s="31">
        <f t="shared" si="19"/>
        <v>1.3572608224188242E-6</v>
      </c>
      <c r="AG148" s="31">
        <f t="shared" si="19"/>
        <v>1.3572608224188242E-6</v>
      </c>
      <c r="AH148" s="31">
        <f t="shared" si="19"/>
        <v>1.3572608224188242E-6</v>
      </c>
      <c r="AI148" s="31">
        <f t="shared" si="19"/>
        <v>1.3572608224188242E-6</v>
      </c>
      <c r="AJ148" s="31">
        <f t="shared" si="19"/>
        <v>1.3572608224188242E-6</v>
      </c>
    </row>
    <row r="149" spans="1:36" x14ac:dyDescent="0.25">
      <c r="A149" s="11"/>
      <c r="B149" s="11"/>
      <c r="C149" s="11"/>
      <c r="D149" s="11"/>
      <c r="E149" s="13" t="s">
        <v>31</v>
      </c>
      <c r="F149" s="32">
        <f>AVERAGE(F148:AJ148)</f>
        <v>5.4909905557362431E-4</v>
      </c>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row>
    <row r="150" spans="1:36" x14ac:dyDescent="0.25">
      <c r="A150" s="42"/>
      <c r="B150" s="15"/>
      <c r="C150" s="15"/>
      <c r="D150" s="15"/>
      <c r="E150" s="11"/>
      <c r="F150" s="60">
        <f>AVERAGE(S148:X148)</f>
        <v>5.0234393612928882E-4</v>
      </c>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row>
    <row r="151" spans="1:36" x14ac:dyDescent="0.25">
      <c r="A151" s="11"/>
      <c r="B151" s="11"/>
      <c r="C151" s="11"/>
      <c r="D151" s="11"/>
      <c r="E151" s="11"/>
      <c r="F151" s="57"/>
      <c r="G151" s="57"/>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c r="AE151" s="57"/>
      <c r="AF151" s="57"/>
      <c r="AG151" s="57"/>
      <c r="AH151" s="57"/>
      <c r="AI151" s="57"/>
      <c r="AJ151" s="57"/>
    </row>
    <row r="152" spans="1:36" x14ac:dyDescent="0.25">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row>
  </sheetData>
  <mergeCells count="2">
    <mergeCell ref="A108:C108"/>
    <mergeCell ref="E146:F146"/>
  </mergeCells>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-11.303886857979826</v>
      </c>
      <c r="M1" s="54">
        <v>1</v>
      </c>
      <c r="N1" s="56">
        <f>INDEX($H$217:$P$217,1,Q1)</f>
        <v>0.10748456572624676</v>
      </c>
      <c r="O1" s="11"/>
      <c r="P1" s="55">
        <v>1</v>
      </c>
      <c r="Q1" s="11">
        <v>2</v>
      </c>
    </row>
    <row r="2" spans="1:17" x14ac:dyDescent="0.25">
      <c r="A2" s="11">
        <f>'Mastercurve bestimmen'!M119</f>
        <v>0</v>
      </c>
      <c r="B2" s="11">
        <f>'Mastercurve bestimmen'!N119</f>
        <v>-7.5777956808959219</v>
      </c>
      <c r="M2" s="54">
        <v>2</v>
      </c>
      <c r="N2" s="56">
        <f t="shared" ref="N2:N9" si="0">INDEX($H$217:$P$217,1,Q2)</f>
        <v>5.4883446569532301E-4</v>
      </c>
      <c r="O2" s="11"/>
      <c r="P2" s="55">
        <v>2</v>
      </c>
      <c r="Q2" s="11">
        <f>Q1+1</f>
        <v>3</v>
      </c>
    </row>
    <row r="3" spans="1:17" x14ac:dyDescent="0.25">
      <c r="A3" s="11">
        <f>'Mastercurve bestimmen'!M120</f>
        <v>25</v>
      </c>
      <c r="B3" s="11">
        <f>'Mastercurve bestimmen'!N120</f>
        <v>-5.0521057141647816</v>
      </c>
      <c r="M3" s="54">
        <v>3</v>
      </c>
      <c r="N3" s="56">
        <f t="shared" si="0"/>
        <v>1.5339339255846075E-6</v>
      </c>
      <c r="O3" s="11"/>
      <c r="P3" s="55">
        <v>3</v>
      </c>
      <c r="Q3" s="11">
        <f t="shared" ref="Q3:Q8" si="1">Q2+1</f>
        <v>4</v>
      </c>
    </row>
    <row r="4" spans="1:17" x14ac:dyDescent="0.25">
      <c r="A4" s="11">
        <f>'Mastercurve bestimmen'!M121</f>
        <v>50</v>
      </c>
      <c r="B4" s="11">
        <f>'Mastercurve bestimmen'!N121</f>
        <v>-2.836335034790062</v>
      </c>
      <c r="M4" s="54">
        <v>4</v>
      </c>
      <c r="N4" s="56">
        <f t="shared" si="0"/>
        <v>-6.525610659392276E-8</v>
      </c>
      <c r="O4" s="11"/>
      <c r="P4" s="55">
        <v>4</v>
      </c>
      <c r="Q4" s="11">
        <f t="shared" si="1"/>
        <v>5</v>
      </c>
    </row>
    <row r="5" spans="1:17" x14ac:dyDescent="0.25">
      <c r="A5" s="11">
        <f>'Mastercurve bestimmen'!M122</f>
        <v>80</v>
      </c>
      <c r="B5" s="11">
        <f>'Mastercurve bestimmen'!N122</f>
        <v>0</v>
      </c>
      <c r="M5" s="54">
        <v>5</v>
      </c>
      <c r="N5" s="56">
        <f t="shared" si="0"/>
        <v>3.3101419368462484E-10</v>
      </c>
      <c r="O5" s="11"/>
      <c r="P5" s="55">
        <v>5</v>
      </c>
      <c r="Q5" s="11">
        <f t="shared" si="1"/>
        <v>6</v>
      </c>
    </row>
    <row r="6" spans="1:17" x14ac:dyDescent="0.25">
      <c r="A6" s="11">
        <f>'Mastercurve bestimmen'!M123</f>
        <v>125</v>
      </c>
      <c r="B6" s="11">
        <f>'Mastercurve bestimmen'!N123</f>
        <v>5.9156966768868289</v>
      </c>
      <c r="M6" s="54">
        <v>6</v>
      </c>
      <c r="N6" s="56">
        <f t="shared" si="0"/>
        <v>6.5236505719254556E-12</v>
      </c>
      <c r="O6" s="11"/>
      <c r="P6" s="55">
        <v>6</v>
      </c>
      <c r="Q6" s="11">
        <f t="shared" si="1"/>
        <v>7</v>
      </c>
    </row>
    <row r="7" spans="1:17" x14ac:dyDescent="0.25">
      <c r="A7" s="11">
        <f>'Mastercurve bestimmen'!M124</f>
        <v>160</v>
      </c>
      <c r="B7" s="11">
        <f>'Mastercurve bestimmen'!N124</f>
        <v>11.695143522032865</v>
      </c>
      <c r="M7" s="54">
        <v>7</v>
      </c>
      <c r="N7" s="56">
        <f t="shared" si="0"/>
        <v>-3.6764110702996991E-14</v>
      </c>
      <c r="O7" s="11"/>
      <c r="P7" s="55">
        <v>7</v>
      </c>
      <c r="Q7" s="11">
        <f t="shared" si="1"/>
        <v>8</v>
      </c>
    </row>
    <row r="8" spans="1:17" x14ac:dyDescent="0.25">
      <c r="A8" s="11"/>
      <c r="B8" s="11"/>
      <c r="M8" s="54">
        <v>8</v>
      </c>
      <c r="N8" s="56">
        <f t="shared" si="0"/>
        <v>-3.3777797062589117E-16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-11.303886857979826</v>
      </c>
      <c r="E15" s="11">
        <f>A15-'Mastercurve bestimmen'!$B$2</f>
        <v>-120</v>
      </c>
      <c r="F15" s="11">
        <f>B15</f>
        <v>-11.303886857979826</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-11.236167274540021</v>
      </c>
      <c r="E16" s="11">
        <f>A16-'Mastercurve bestimmen'!$B$2</f>
        <v>-119</v>
      </c>
      <c r="F16" s="11">
        <f t="shared" ref="F16:F79" si="4">B16</f>
        <v>-11.236167274540021</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-11.168352258845102</v>
      </c>
      <c r="E17" s="11">
        <f>A17-'Mastercurve bestimmen'!$B$2</f>
        <v>-118</v>
      </c>
      <c r="F17" s="11">
        <f t="shared" si="4"/>
        <v>-11.168352258845102</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-11.10034637863996</v>
      </c>
      <c r="E18" s="11">
        <f>A18-'Mastercurve bestimmen'!$B$2</f>
        <v>-117</v>
      </c>
      <c r="F18" s="11">
        <f t="shared" si="4"/>
        <v>-11.10034637863996</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-11.032054201669483</v>
      </c>
      <c r="E19" s="11">
        <f>A19-'Mastercurve bestimmen'!$B$2</f>
        <v>-116</v>
      </c>
      <c r="F19" s="11">
        <f t="shared" si="4"/>
        <v>-11.032054201669483</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-10.963380295678558</v>
      </c>
      <c r="E20" s="11">
        <f>A20-'Mastercurve bestimmen'!$B$2</f>
        <v>-115</v>
      </c>
      <c r="F20" s="11">
        <f t="shared" si="4"/>
        <v>-10.963380295678558</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-10.894229228412076</v>
      </c>
      <c r="E21" s="11">
        <f>A21-'Mastercurve bestimmen'!$B$2</f>
        <v>-114</v>
      </c>
      <c r="F21" s="11">
        <f t="shared" si="4"/>
        <v>-10.894229228412076</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-10.824505567614924</v>
      </c>
      <c r="E22" s="11">
        <f>A22-'Mastercurve bestimmen'!$B$2</f>
        <v>-113</v>
      </c>
      <c r="F22" s="11">
        <f t="shared" si="4"/>
        <v>-10.824505567614924</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-10.754113881031987</v>
      </c>
      <c r="E23" s="11">
        <f>A23-'Mastercurve bestimmen'!$B$2</f>
        <v>-112</v>
      </c>
      <c r="F23" s="11">
        <f t="shared" si="4"/>
        <v>-10.754113881031987</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-10.682958736408157</v>
      </c>
      <c r="E24" s="11">
        <f>A24-'Mastercurve bestimmen'!$B$2</f>
        <v>-111</v>
      </c>
      <c r="F24" s="11">
        <f t="shared" si="4"/>
        <v>-10.682958736408157</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-10.610944701488322</v>
      </c>
      <c r="E25" s="11">
        <f>A25-'Mastercurve bestimmen'!$B$2</f>
        <v>-110</v>
      </c>
      <c r="F25" s="11">
        <f t="shared" si="4"/>
        <v>-10.610944701488322</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-10.537976344017366</v>
      </c>
      <c r="E26" s="11">
        <f>A26-'Mastercurve bestimmen'!$B$2</f>
        <v>-109</v>
      </c>
      <c r="F26" s="11">
        <f t="shared" si="4"/>
        <v>-10.537976344017366</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-10.463958231740182</v>
      </c>
      <c r="E27" s="11">
        <f>A27-'Mastercurve bestimmen'!$B$2</f>
        <v>-108</v>
      </c>
      <c r="F27" s="11">
        <f t="shared" si="4"/>
        <v>-10.463958231740182</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-10.388794932401657</v>
      </c>
      <c r="E28" s="11">
        <f>A28-'Mastercurve bestimmen'!$B$2</f>
        <v>-107</v>
      </c>
      <c r="F28" s="11">
        <f t="shared" si="4"/>
        <v>-10.388794932401657</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-10.312391013746678</v>
      </c>
      <c r="E29" s="11">
        <f>A29-'Mastercurve bestimmen'!$B$2</f>
        <v>-106</v>
      </c>
      <c r="F29" s="11">
        <f t="shared" si="4"/>
        <v>-10.312391013746678</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-10.234651043520135</v>
      </c>
      <c r="E30" s="11">
        <f>A30-'Mastercurve bestimmen'!$B$2</f>
        <v>-105</v>
      </c>
      <c r="F30" s="11">
        <f t="shared" si="4"/>
        <v>-10.234651043520135</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-10.155479589466914</v>
      </c>
      <c r="E31" s="11">
        <f>A31-'Mastercurve bestimmen'!$B$2</f>
        <v>-104</v>
      </c>
      <c r="F31" s="11">
        <f t="shared" si="4"/>
        <v>-10.155479589466914</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-10.074781219331904</v>
      </c>
      <c r="E32" s="11">
        <f>A32-'Mastercurve bestimmen'!$B$2</f>
        <v>-103</v>
      </c>
      <c r="F32" s="11">
        <f t="shared" si="4"/>
        <v>-10.074781219331904</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-9.9924605008599947</v>
      </c>
      <c r="E33" s="11">
        <f>A33-'Mastercurve bestimmen'!$B$2</f>
        <v>-102</v>
      </c>
      <c r="F33" s="11">
        <f t="shared" si="4"/>
        <v>-9.9924605008599947</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-9.9084220017960725</v>
      </c>
      <c r="E34" s="11">
        <f>A34-'Mastercurve bestimmen'!$B$2</f>
        <v>-101</v>
      </c>
      <c r="F34" s="11">
        <f t="shared" si="4"/>
        <v>-9.9084220017960725</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-9.8225702898850287</v>
      </c>
      <c r="E35" s="11">
        <f>A35-'Mastercurve bestimmen'!$B$2</f>
        <v>-100</v>
      </c>
      <c r="F35" s="11">
        <f t="shared" si="4"/>
        <v>-9.8225702898850287</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-9.7348099328717463</v>
      </c>
      <c r="E36" s="11">
        <f>A36-'Mastercurve bestimmen'!$B$2</f>
        <v>-99</v>
      </c>
      <c r="F36" s="11">
        <f t="shared" si="4"/>
        <v>-9.7348099328717463</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-9.6450454985011156</v>
      </c>
      <c r="E37" s="11">
        <f>A37-'Mastercurve bestimmen'!$B$2</f>
        <v>-98</v>
      </c>
      <c r="F37" s="11">
        <f t="shared" si="4"/>
        <v>-9.6450454985011156</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-9.5531815545180283</v>
      </c>
      <c r="E38" s="11">
        <f>A38-'Mastercurve bestimmen'!$B$2</f>
        <v>-97</v>
      </c>
      <c r="F38" s="11">
        <f t="shared" si="4"/>
        <v>-9.5531815545180283</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-9.4591226686673693</v>
      </c>
      <c r="E39" s="11">
        <f>A39-'Mastercurve bestimmen'!$B$2</f>
        <v>-96</v>
      </c>
      <c r="F39" s="11">
        <f t="shared" si="4"/>
        <v>-9.4591226686673693</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-9.3627734086940269</v>
      </c>
      <c r="E40" s="11">
        <f>A40-'Mastercurve bestimmen'!$B$2</f>
        <v>-95</v>
      </c>
      <c r="F40" s="11">
        <f t="shared" si="4"/>
        <v>-9.3627734086940269</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-9.2640383423428894</v>
      </c>
      <c r="E41" s="11">
        <f>A41-'Mastercurve bestimmen'!$B$2</f>
        <v>-94</v>
      </c>
      <c r="F41" s="11">
        <f t="shared" si="4"/>
        <v>-9.2640383423428894</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-9.1628220373588452</v>
      </c>
      <c r="E42" s="11">
        <f>A42-'Mastercurve bestimmen'!$B$2</f>
        <v>-93</v>
      </c>
      <c r="F42" s="11">
        <f t="shared" si="4"/>
        <v>-9.1628220373588452</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-9.0590290614867826</v>
      </c>
      <c r="E43" s="11">
        <f>A43-'Mastercurve bestimmen'!$B$2</f>
        <v>-92</v>
      </c>
      <c r="F43" s="11">
        <f t="shared" si="4"/>
        <v>-9.0590290614867826</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-8.9525639824715917</v>
      </c>
      <c r="E44" s="11">
        <f>A44-'Mastercurve bestimmen'!$B$2</f>
        <v>-91</v>
      </c>
      <c r="F44" s="11">
        <f t="shared" si="4"/>
        <v>-8.9525639824715917</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-8.8433313680581573</v>
      </c>
      <c r="E45" s="11">
        <f>A45-'Mastercurve bestimmen'!$B$2</f>
        <v>-90</v>
      </c>
      <c r="F45" s="11">
        <f t="shared" si="4"/>
        <v>-8.8433313680581573</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-8.7312357859913696</v>
      </c>
      <c r="E46" s="11">
        <f>A46-'Mastercurve bestimmen'!$B$2</f>
        <v>-89</v>
      </c>
      <c r="F46" s="11">
        <f t="shared" si="4"/>
        <v>-8.7312357859913696</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-8.6161818040161169</v>
      </c>
      <c r="E47" s="11">
        <f>A47-'Mastercurve bestimmen'!$B$2</f>
        <v>-88</v>
      </c>
      <c r="F47" s="11">
        <f t="shared" si="4"/>
        <v>-8.6161818040161169</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-8.4980739898772857</v>
      </c>
      <c r="E48" s="11">
        <f>A48-'Mastercurve bestimmen'!$B$2</f>
        <v>-87</v>
      </c>
      <c r="F48" s="11">
        <f t="shared" si="4"/>
        <v>-8.4980739898772857</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-8.3768169113197679</v>
      </c>
      <c r="E49" s="11">
        <f>A49-'Mastercurve bestimmen'!$B$2</f>
        <v>-86</v>
      </c>
      <c r="F49" s="11">
        <f t="shared" si="4"/>
        <v>-8.3768169113197679</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-8.2523151360884466</v>
      </c>
      <c r="E50" s="11">
        <f>A50-'Mastercurve bestimmen'!$B$2</f>
        <v>-85</v>
      </c>
      <c r="F50" s="11">
        <f t="shared" si="4"/>
        <v>-8.2523151360884466</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-8.1244732319282136</v>
      </c>
      <c r="E51" s="11">
        <f>A51-'Mastercurve bestimmen'!$B$2</f>
        <v>-84</v>
      </c>
      <c r="F51" s="11">
        <f t="shared" si="4"/>
        <v>-8.1244732319282136</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-7.9931957665839573</v>
      </c>
      <c r="E52" s="11">
        <f>A52-'Mastercurve bestimmen'!$B$2</f>
        <v>-83</v>
      </c>
      <c r="F52" s="11">
        <f t="shared" si="4"/>
        <v>-7.9931957665839573</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-7.858387307800565</v>
      </c>
      <c r="E53" s="11">
        <f>A53-'Mastercurve bestimmen'!$B$2</f>
        <v>-82</v>
      </c>
      <c r="F53" s="11">
        <f t="shared" si="4"/>
        <v>-7.858387307800565</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-7.7199524233229226</v>
      </c>
      <c r="E54" s="11">
        <f>A54-'Mastercurve bestimmen'!$B$2</f>
        <v>-81</v>
      </c>
      <c r="F54" s="11">
        <f t="shared" si="4"/>
        <v>-7.7199524233229226</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-7.5777956808959228</v>
      </c>
      <c r="E55" s="11">
        <f>A55-'Mastercurve bestimmen'!$B$2</f>
        <v>-80</v>
      </c>
      <c r="F55" s="11">
        <f t="shared" si="4"/>
        <v>-7.5777956808959228</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-7.4991824066091475</v>
      </c>
      <c r="E56" s="11">
        <f>A56-'Mastercurve bestimmen'!$B$2</f>
        <v>-79</v>
      </c>
      <c r="F56" s="11">
        <f t="shared" si="4"/>
        <v>-7.4991824066091475</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-7.4169767763301264</v>
      </c>
      <c r="E57" s="11">
        <f>A57-'Mastercurve bestimmen'!$B$2</f>
        <v>-78</v>
      </c>
      <c r="F57" s="11">
        <f t="shared" si="4"/>
        <v>-7.4169767763301264</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-7.3314037242710803</v>
      </c>
      <c r="E58" s="11">
        <f>A58-'Mastercurve bestimmen'!$B$2</f>
        <v>-77</v>
      </c>
      <c r="F58" s="11">
        <f t="shared" si="4"/>
        <v>-7.3314037242710803</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-7.242688184644229</v>
      </c>
      <c r="E59" s="11">
        <f>A59-'Mastercurve bestimmen'!$B$2</f>
        <v>-76</v>
      </c>
      <c r="F59" s="11">
        <f t="shared" si="4"/>
        <v>-7.242688184644229</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-7.1510550916617994</v>
      </c>
      <c r="E60" s="11">
        <f>A60-'Mastercurve bestimmen'!$B$2</f>
        <v>-75</v>
      </c>
      <c r="F60" s="11">
        <f t="shared" si="4"/>
        <v>-7.1510550916617994</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-7.0567293795360131</v>
      </c>
      <c r="E61" s="11">
        <f>A61-'Mastercurve bestimmen'!$B$2</f>
        <v>-74</v>
      </c>
      <c r="F61" s="11">
        <f t="shared" si="4"/>
        <v>-7.0567293795360131</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-6.9599359824790916</v>
      </c>
      <c r="E62" s="11">
        <f>A62-'Mastercurve bestimmen'!$B$2</f>
        <v>-73</v>
      </c>
      <c r="F62" s="11">
        <f t="shared" si="4"/>
        <v>-6.9599359824790916</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-6.860899834703261</v>
      </c>
      <c r="E63" s="11">
        <f>A63-'Mastercurve bestimmen'!$B$2</f>
        <v>-72</v>
      </c>
      <c r="F63" s="11">
        <f t="shared" si="4"/>
        <v>-6.860899834703261</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-6.759845870420742</v>
      </c>
      <c r="E64" s="11">
        <f>A64-'Mastercurve bestimmen'!$B$2</f>
        <v>-71</v>
      </c>
      <c r="F64" s="11">
        <f t="shared" si="4"/>
        <v>-6.759845870420742</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-6.656999023843758</v>
      </c>
      <c r="E65" s="11">
        <f>A65-'Mastercurve bestimmen'!$B$2</f>
        <v>-70</v>
      </c>
      <c r="F65" s="11">
        <f t="shared" si="4"/>
        <v>-6.656999023843758</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-6.5525842291845304</v>
      </c>
      <c r="E66" s="11">
        <f>A66-'Mastercurve bestimmen'!$B$2</f>
        <v>-69</v>
      </c>
      <c r="F66" s="11">
        <f t="shared" si="4"/>
        <v>-6.5525842291845304</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-6.4468264206552846</v>
      </c>
      <c r="E67" s="11">
        <f>A67-'Mastercurve bestimmen'!$B$2</f>
        <v>-68</v>
      </c>
      <c r="F67" s="11">
        <f t="shared" si="4"/>
        <v>-6.4468264206552846</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-6.3399505324682428</v>
      </c>
      <c r="E68" s="11">
        <f>A68-'Mastercurve bestimmen'!$B$2</f>
        <v>-67</v>
      </c>
      <c r="F68" s="11">
        <f t="shared" si="4"/>
        <v>-6.3399505324682428</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-6.2321814988356277</v>
      </c>
      <c r="E69" s="11">
        <f>A69-'Mastercurve bestimmen'!$B$2</f>
        <v>-66</v>
      </c>
      <c r="F69" s="11">
        <f t="shared" si="4"/>
        <v>-6.2321814988356277</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-6.1237442539696616</v>
      </c>
      <c r="E70" s="11">
        <f>A70-'Mastercurve bestimmen'!$B$2</f>
        <v>-65</v>
      </c>
      <c r="F70" s="11">
        <f t="shared" si="4"/>
        <v>-6.1237442539696616</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-6.0148637320825689</v>
      </c>
      <c r="E71" s="11">
        <f>A71-'Mastercurve bestimmen'!$B$2</f>
        <v>-64</v>
      </c>
      <c r="F71" s="11">
        <f t="shared" si="4"/>
        <v>-6.0148637320825689</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-5.905764867386571</v>
      </c>
      <c r="E72" s="11">
        <f>A72-'Mastercurve bestimmen'!$B$2</f>
        <v>-63</v>
      </c>
      <c r="F72" s="11">
        <f t="shared" si="4"/>
        <v>-5.905764867386571</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-5.7966725940938915</v>
      </c>
      <c r="E73" s="11">
        <f>A73-'Mastercurve bestimmen'!$B$2</f>
        <v>-62</v>
      </c>
      <c r="F73" s="11">
        <f t="shared" si="4"/>
        <v>-5.7966725940938915</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-5.6878118464167544</v>
      </c>
      <c r="E74" s="11">
        <f>A74-'Mastercurve bestimmen'!$B$2</f>
        <v>-61</v>
      </c>
      <c r="F74" s="11">
        <f t="shared" si="4"/>
        <v>-5.6878118464167544</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-5.5794075585673806</v>
      </c>
      <c r="E75" s="11">
        <f>A75-'Mastercurve bestimmen'!$B$2</f>
        <v>-60</v>
      </c>
      <c r="F75" s="11">
        <f t="shared" si="4"/>
        <v>-5.5794075585673806</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-5.4716846647579942</v>
      </c>
      <c r="E76" s="11">
        <f>A76-'Mastercurve bestimmen'!$B$2</f>
        <v>-59</v>
      </c>
      <c r="F76" s="11">
        <f t="shared" si="4"/>
        <v>-5.4716846647579942</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-5.3648680992008186</v>
      </c>
      <c r="E77" s="11">
        <f>A77-'Mastercurve bestimmen'!$B$2</f>
        <v>-58</v>
      </c>
      <c r="F77" s="11">
        <f t="shared" si="4"/>
        <v>-5.3648680992008186</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-5.2591827961080764</v>
      </c>
      <c r="E78" s="11">
        <f>A78-'Mastercurve bestimmen'!$B$2</f>
        <v>-57</v>
      </c>
      <c r="F78" s="11">
        <f t="shared" si="4"/>
        <v>-5.2591827961080764</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-5.154853689691989</v>
      </c>
      <c r="E79" s="11">
        <f>A79-'Mastercurve bestimmen'!$B$2</f>
        <v>-56</v>
      </c>
      <c r="F79" s="11">
        <f t="shared" si="4"/>
        <v>-5.154853689691989</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-5.0521057141647807</v>
      </c>
      <c r="E80" s="11">
        <f>A80-'Mastercurve bestimmen'!$B$2</f>
        <v>-55</v>
      </c>
      <c r="F80" s="11">
        <f t="shared" ref="F80:F143" si="10">B80</f>
        <v>-5.0521057141647807</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-4.9511113959690221</v>
      </c>
      <c r="E81" s="11">
        <f>A81-'Mastercurve bestimmen'!$B$2</f>
        <v>-54</v>
      </c>
      <c r="F81" s="11">
        <f t="shared" si="10"/>
        <v>-4.9511113959690221</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-4.8518336304686693</v>
      </c>
      <c r="E82" s="11">
        <f>A82-'Mastercurve bestimmen'!$B$2</f>
        <v>-53</v>
      </c>
      <c r="F82" s="11">
        <f t="shared" si="10"/>
        <v>-4.8518336304686693</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-4.7541829052580233</v>
      </c>
      <c r="E83" s="11">
        <f>A83-'Mastercurve bestimmen'!$B$2</f>
        <v>-52</v>
      </c>
      <c r="F83" s="11">
        <f t="shared" si="10"/>
        <v>-4.7541829052580233</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-4.6580697079313902</v>
      </c>
      <c r="E84" s="11">
        <f>A84-'Mastercurve bestimmen'!$B$2</f>
        <v>-51</v>
      </c>
      <c r="F84" s="11">
        <f t="shared" si="10"/>
        <v>-4.6580697079313902</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-4.5634045260830725</v>
      </c>
      <c r="E85" s="11">
        <f>A85-'Mastercurve bestimmen'!$B$2</f>
        <v>-50</v>
      </c>
      <c r="F85" s="11">
        <f t="shared" si="10"/>
        <v>-4.5634045260830725</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-4.4700978473073736</v>
      </c>
      <c r="E86" s="11">
        <f>A86-'Mastercurve bestimmen'!$B$2</f>
        <v>-49</v>
      </c>
      <c r="F86" s="11">
        <f t="shared" si="10"/>
        <v>-4.4700978473073736</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-4.378060159198597</v>
      </c>
      <c r="E87" s="11">
        <f>A87-'Mastercurve bestimmen'!$B$2</f>
        <v>-48</v>
      </c>
      <c r="F87" s="11">
        <f t="shared" si="10"/>
        <v>-4.378060159198597</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-4.2872019493510454</v>
      </c>
      <c r="E88" s="11">
        <f>A88-'Mastercurve bestimmen'!$B$2</f>
        <v>-47</v>
      </c>
      <c r="F88" s="11">
        <f t="shared" si="10"/>
        <v>-4.2872019493510454</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-4.1974337053590212</v>
      </c>
      <c r="E89" s="11">
        <f>A89-'Mastercurve bestimmen'!$B$2</f>
        <v>-46</v>
      </c>
      <c r="F89" s="11">
        <f t="shared" si="10"/>
        <v>-4.1974337053590212</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-4.1086659148168305</v>
      </c>
      <c r="E90" s="11">
        <f>A90-'Mastercurve bestimmen'!$B$2</f>
        <v>-45</v>
      </c>
      <c r="F90" s="11">
        <f t="shared" si="10"/>
        <v>-4.1086659148168305</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-4.0208090653187742</v>
      </c>
      <c r="E91" s="11">
        <f>A91-'Mastercurve bestimmen'!$B$2</f>
        <v>-44</v>
      </c>
      <c r="F91" s="11">
        <f t="shared" si="10"/>
        <v>-4.0208090653187742</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-3.9337736444591571</v>
      </c>
      <c r="E92" s="11">
        <f>A92-'Mastercurve bestimmen'!$B$2</f>
        <v>-43</v>
      </c>
      <c r="F92" s="11">
        <f t="shared" si="10"/>
        <v>-3.9337736444591571</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-3.8474701398322817</v>
      </c>
      <c r="E93" s="11">
        <f>A93-'Mastercurve bestimmen'!$B$2</f>
        <v>-42</v>
      </c>
      <c r="F93" s="11">
        <f t="shared" si="10"/>
        <v>-3.8474701398322817</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-3.7618090390324515</v>
      </c>
      <c r="E94" s="11">
        <f>A94-'Mastercurve bestimmen'!$B$2</f>
        <v>-41</v>
      </c>
      <c r="F94" s="11">
        <f t="shared" si="10"/>
        <v>-3.7618090390324515</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-3.6767008296539698</v>
      </c>
      <c r="E95" s="11">
        <f>A95-'Mastercurve bestimmen'!$B$2</f>
        <v>-40</v>
      </c>
      <c r="F95" s="11">
        <f t="shared" si="10"/>
        <v>-3.6767008296539698</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-3.5920559992911407</v>
      </c>
      <c r="E96" s="11">
        <f>A96-'Mastercurve bestimmen'!$B$2</f>
        <v>-39</v>
      </c>
      <c r="F96" s="11">
        <f t="shared" si="10"/>
        <v>-3.5920559992911407</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-3.5077850355382658</v>
      </c>
      <c r="E97" s="11">
        <f>A97-'Mastercurve bestimmen'!$B$2</f>
        <v>-38</v>
      </c>
      <c r="F97" s="11">
        <f t="shared" si="10"/>
        <v>-3.5077850355382658</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-3.4237984259896503</v>
      </c>
      <c r="E98" s="11">
        <f>A98-'Mastercurve bestimmen'!$B$2</f>
        <v>-37</v>
      </c>
      <c r="F98" s="11">
        <f t="shared" si="10"/>
        <v>-3.4237984259896503</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-3.3400066582395969</v>
      </c>
      <c r="E99" s="11">
        <f>A99-'Mastercurve bestimmen'!$B$2</f>
        <v>-36</v>
      </c>
      <c r="F99" s="11">
        <f t="shared" si="10"/>
        <v>-3.3400066582395969</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-3.2563202198824084</v>
      </c>
      <c r="E100" s="11">
        <f>A100-'Mastercurve bestimmen'!$B$2</f>
        <v>-35</v>
      </c>
      <c r="F100" s="11">
        <f t="shared" si="10"/>
        <v>-3.2563202198824084</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-3.1726495985123888</v>
      </c>
      <c r="E101" s="11">
        <f>A101-'Mastercurve bestimmen'!$B$2</f>
        <v>-34</v>
      </c>
      <c r="F101" s="11">
        <f t="shared" si="10"/>
        <v>-3.1726495985123888</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-3.0889052817238407</v>
      </c>
      <c r="E102" s="11">
        <f>A102-'Mastercurve bestimmen'!$B$2</f>
        <v>-33</v>
      </c>
      <c r="F102" s="11">
        <f t="shared" si="10"/>
        <v>-3.0889052817238407</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-3.004997757111068</v>
      </c>
      <c r="E103" s="11">
        <f>A103-'Mastercurve bestimmen'!$B$2</f>
        <v>-32</v>
      </c>
      <c r="F103" s="11">
        <f t="shared" si="10"/>
        <v>-3.004997757111068</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-2.9208375122683741</v>
      </c>
      <c r="E104" s="11">
        <f>A104-'Mastercurve bestimmen'!$B$2</f>
        <v>-31</v>
      </c>
      <c r="F104" s="11">
        <f t="shared" si="10"/>
        <v>-2.9208375122683741</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-2.836335034790062</v>
      </c>
      <c r="E105" s="11">
        <f>A105-'Mastercurve bestimmen'!$B$2</f>
        <v>-30</v>
      </c>
      <c r="F105" s="11">
        <f t="shared" si="10"/>
        <v>-2.836335034790062</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-2.7514119922333014</v>
      </c>
      <c r="E106" s="11">
        <f>A106-'Mastercurve bestimmen'!$B$2</f>
        <v>-29</v>
      </c>
      <c r="F106" s="11">
        <f t="shared" si="10"/>
        <v>-2.7514119922333014</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-2.6660347720067237</v>
      </c>
      <c r="E107" s="11">
        <f>A107-'Mastercurve bestimmen'!$B$2</f>
        <v>-28</v>
      </c>
      <c r="F107" s="11">
        <f t="shared" si="10"/>
        <v>-2.6660347720067237</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-2.580180941481828</v>
      </c>
      <c r="E108" s="11">
        <f>A108-'Mastercurve bestimmen'!$B$2</f>
        <v>-27</v>
      </c>
      <c r="F108" s="11">
        <f t="shared" si="10"/>
        <v>-2.580180941481828</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-2.4938280680301124</v>
      </c>
      <c r="E109" s="11">
        <f>A109-'Mastercurve bestimmen'!$B$2</f>
        <v>-26</v>
      </c>
      <c r="F109" s="11">
        <f t="shared" si="10"/>
        <v>-2.4938280680301124</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-2.406953719023075</v>
      </c>
      <c r="E110" s="11">
        <f>A110-'Mastercurve bestimmen'!$B$2</f>
        <v>-25</v>
      </c>
      <c r="F110" s="11">
        <f t="shared" si="10"/>
        <v>-2.406953719023075</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-2.3195354618322144</v>
      </c>
      <c r="E111" s="11">
        <f>A111-'Mastercurve bestimmen'!$B$2</f>
        <v>-24</v>
      </c>
      <c r="F111" s="11">
        <f t="shared" si="10"/>
        <v>-2.3195354618322144</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-2.2315508638290282</v>
      </c>
      <c r="E112" s="11">
        <f>A112-'Mastercurve bestimmen'!$B$2</f>
        <v>-23</v>
      </c>
      <c r="F112" s="11">
        <f t="shared" si="10"/>
        <v>-2.2315508638290282</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-2.1429774923850156</v>
      </c>
      <c r="E113" s="11">
        <f>A113-'Mastercurve bestimmen'!$B$2</f>
        <v>-22</v>
      </c>
      <c r="F113" s="11">
        <f t="shared" si="10"/>
        <v>-2.1429774923850156</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-2.0537929148716736</v>
      </c>
      <c r="E114" s="11">
        <f>A114-'Mastercurve bestimmen'!$B$2</f>
        <v>-21</v>
      </c>
      <c r="F114" s="11">
        <f t="shared" si="10"/>
        <v>-2.0537929148716736</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-1.9639746986605018</v>
      </c>
      <c r="E115" s="11">
        <f>A115-'Mastercurve bestimmen'!$B$2</f>
        <v>-20</v>
      </c>
      <c r="F115" s="11">
        <f t="shared" si="10"/>
        <v>-1.9639746986605018</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-1.8735004111229978</v>
      </c>
      <c r="E116" s="11">
        <f>A116-'Mastercurve bestimmen'!$B$2</f>
        <v>-19</v>
      </c>
      <c r="F116" s="11">
        <f t="shared" si="10"/>
        <v>-1.8735004111229978</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-1.78234761963066</v>
      </c>
      <c r="E117" s="11">
        <f>A117-'Mastercurve bestimmen'!$B$2</f>
        <v>-18</v>
      </c>
      <c r="F117" s="11">
        <f t="shared" si="10"/>
        <v>-1.78234761963066</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-1.6904938915549863</v>
      </c>
      <c r="E118" s="11">
        <f>A118-'Mastercurve bestimmen'!$B$2</f>
        <v>-17</v>
      </c>
      <c r="F118" s="11">
        <f t="shared" si="10"/>
        <v>-1.6904938915549863</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-1.5979167942674755</v>
      </c>
      <c r="E119" s="11">
        <f>A119-'Mastercurve bestimmen'!$B$2</f>
        <v>-16</v>
      </c>
      <c r="F119" s="11">
        <f t="shared" si="10"/>
        <v>-1.5979167942674755</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-1.5045938951396254</v>
      </c>
      <c r="E120" s="11">
        <f>A120-'Mastercurve bestimmen'!$B$2</f>
        <v>-15</v>
      </c>
      <c r="F120" s="11">
        <f t="shared" si="10"/>
        <v>-1.5045938951396254</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-1.4105027615429344</v>
      </c>
      <c r="E121" s="11">
        <f>A121-'Mastercurve bestimmen'!$B$2</f>
        <v>-14</v>
      </c>
      <c r="F121" s="11">
        <f t="shared" si="10"/>
        <v>-1.4105027615429344</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-1.3156209608489013</v>
      </c>
      <c r="E122" s="11">
        <f>A122-'Mastercurve bestimmen'!$B$2</f>
        <v>-13</v>
      </c>
      <c r="F122" s="11">
        <f t="shared" si="10"/>
        <v>-1.3156209608489013</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-1.2199260604290234</v>
      </c>
      <c r="E123" s="11">
        <f>A123-'Mastercurve bestimmen'!$B$2</f>
        <v>-12</v>
      </c>
      <c r="F123" s="11">
        <f t="shared" si="10"/>
        <v>-1.2199260604290234</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-1.1233956276547996</v>
      </c>
      <c r="E124" s="11">
        <f>A124-'Mastercurve bestimmen'!$B$2</f>
        <v>-11</v>
      </c>
      <c r="F124" s="11">
        <f t="shared" si="10"/>
        <v>-1.1233956276547996</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-1.0260072298977279</v>
      </c>
      <c r="E125" s="11">
        <f>A125-'Mastercurve bestimmen'!$B$2</f>
        <v>-10</v>
      </c>
      <c r="F125" s="11">
        <f t="shared" si="10"/>
        <v>-1.0260072298977279</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-0.92773843452930682</v>
      </c>
      <c r="E126" s="11">
        <f>A126-'Mastercurve bestimmen'!$B$2</f>
        <v>-9</v>
      </c>
      <c r="F126" s="11">
        <f t="shared" si="10"/>
        <v>-0.92773843452930682</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-0.82856680892103429</v>
      </c>
      <c r="E127" s="11">
        <f>A127-'Mastercurve bestimmen'!$B$2</f>
        <v>-8</v>
      </c>
      <c r="F127" s="11">
        <f t="shared" si="10"/>
        <v>-0.82856680892103429</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-0.72846992044440895</v>
      </c>
      <c r="E128" s="11">
        <f>A128-'Mastercurve bestimmen'!$B$2</f>
        <v>-7</v>
      </c>
      <c r="F128" s="11">
        <f t="shared" si="10"/>
        <v>-0.72846992044440895</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-0.62742533647092869</v>
      </c>
      <c r="E129" s="11">
        <f>A129-'Mastercurve bestimmen'!$B$2</f>
        <v>-6</v>
      </c>
      <c r="F129" s="11">
        <f t="shared" si="10"/>
        <v>-0.62742533647092869</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-0.52541062437209196</v>
      </c>
      <c r="E130" s="11">
        <f>A130-'Mastercurve bestimmen'!$B$2</f>
        <v>-5</v>
      </c>
      <c r="F130" s="11">
        <f t="shared" si="10"/>
        <v>-0.52541062437209196</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-0.42240335151939701</v>
      </c>
      <c r="E131" s="11">
        <f>A131-'Mastercurve bestimmen'!$B$2</f>
        <v>-4</v>
      </c>
      <c r="F131" s="11">
        <f t="shared" si="10"/>
        <v>-0.42240335151939701</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-0.31838108528434211</v>
      </c>
      <c r="E132" s="11">
        <f>A132-'Mastercurve bestimmen'!$B$2</f>
        <v>-3</v>
      </c>
      <c r="F132" s="11">
        <f t="shared" si="10"/>
        <v>-0.31838108528434211</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-0.21332139303842546</v>
      </c>
      <c r="E133" s="11">
        <f>A133-'Mastercurve bestimmen'!$B$2</f>
        <v>-2</v>
      </c>
      <c r="F133" s="11">
        <f t="shared" si="10"/>
        <v>-0.21332139303842546</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-0.10720184215314536</v>
      </c>
      <c r="E134" s="11">
        <f>A134-'Mastercurve bestimmen'!$B$2</f>
        <v>-1</v>
      </c>
      <c r="F134" s="11">
        <f t="shared" si="10"/>
        <v>-0.10720184215314536</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-2.7755575615628914E-17</v>
      </c>
      <c r="E135" s="11">
        <f>A135-'Mastercurve bestimmen'!$B$2</f>
        <v>0</v>
      </c>
      <c r="F135" s="11">
        <f t="shared" si="10"/>
        <v>-2.7755575615628914E-17</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0.10830226094385086</v>
      </c>
      <c r="E136" s="11">
        <f>A136-'Mastercurve bestimmen'!$B$2</f>
        <v>1</v>
      </c>
      <c r="F136" s="11">
        <f t="shared" si="10"/>
        <v>0.10830226094385086</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0.2177058477786015</v>
      </c>
      <c r="E137" s="11">
        <f>A137-'Mastercurve bestimmen'!$B$2</f>
        <v>2</v>
      </c>
      <c r="F137" s="11">
        <f t="shared" si="10"/>
        <v>0.2177058477786015</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0.32820736249878507</v>
      </c>
      <c r="E138" s="11">
        <f>A138-'Mastercurve bestimmen'!$B$2</f>
        <v>3</v>
      </c>
      <c r="F138" s="11">
        <f t="shared" si="10"/>
        <v>0.32820736249878507</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0.43980340709893445</v>
      </c>
      <c r="E139" s="11">
        <f>A139-'Mastercurve bestimmen'!$B$2</f>
        <v>4</v>
      </c>
      <c r="F139" s="11">
        <f t="shared" si="10"/>
        <v>0.43980340709893445</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0.55249058357358261</v>
      </c>
      <c r="E140" s="11">
        <f>A140-'Mastercurve bestimmen'!$B$2</f>
        <v>5</v>
      </c>
      <c r="F140" s="11">
        <f t="shared" si="10"/>
        <v>0.55249058357358261</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0.66626549391726242</v>
      </c>
      <c r="E141" s="11">
        <f>A141-'Mastercurve bestimmen'!$B$2</f>
        <v>6</v>
      </c>
      <c r="F141" s="11">
        <f t="shared" si="10"/>
        <v>0.66626549391726242</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0.78112474012450694</v>
      </c>
      <c r="E142" s="11">
        <f>A142-'Mastercurve bestimmen'!$B$2</f>
        <v>7</v>
      </c>
      <c r="F142" s="11">
        <f t="shared" si="10"/>
        <v>0.78112474012450694</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0.89706492418984918</v>
      </c>
      <c r="E143" s="11">
        <f>A143-'Mastercurve bestimmen'!$B$2</f>
        <v>8</v>
      </c>
      <c r="F143" s="11">
        <f t="shared" si="10"/>
        <v>0.89706492418984918</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1.014082648107822</v>
      </c>
      <c r="E144" s="11">
        <f>A144-'Mastercurve bestimmen'!$B$2</f>
        <v>9</v>
      </c>
      <c r="F144" s="11">
        <f t="shared" ref="F144:F207" si="15">B144</f>
        <v>1.014082648107822</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1.1321745138729582</v>
      </c>
      <c r="E145" s="11">
        <f>A145-'Mastercurve bestimmen'!$B$2</f>
        <v>10</v>
      </c>
      <c r="F145" s="11">
        <f t="shared" si="15"/>
        <v>1.1321745138729582</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1.251337123479791</v>
      </c>
      <c r="E146" s="11">
        <f>A146-'Mastercurve bestimmen'!$B$2</f>
        <v>11</v>
      </c>
      <c r="F146" s="11">
        <f t="shared" si="15"/>
        <v>1.251337123479791</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1.3715670789228533</v>
      </c>
      <c r="E147" s="11">
        <f>A147-'Mastercurve bestimmen'!$B$2</f>
        <v>12</v>
      </c>
      <c r="F147" s="11">
        <f t="shared" si="15"/>
        <v>1.3715670789228533</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1.4928609821966778</v>
      </c>
      <c r="E148" s="11">
        <f>A148-'Mastercurve bestimmen'!$B$2</f>
        <v>13</v>
      </c>
      <c r="F148" s="11">
        <f t="shared" si="15"/>
        <v>1.4928609821966778</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1.6152154352957981</v>
      </c>
      <c r="E149" s="11">
        <f>A149-'Mastercurve bestimmen'!$B$2</f>
        <v>14</v>
      </c>
      <c r="F149" s="11">
        <f t="shared" si="15"/>
        <v>1.6152154352957981</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1.7386270402147463</v>
      </c>
      <c r="E150" s="11">
        <f>A150-'Mastercurve bestimmen'!$B$2</f>
        <v>15</v>
      </c>
      <c r="F150" s="11">
        <f t="shared" si="15"/>
        <v>1.7386270402147463</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1.8630923989480559</v>
      </c>
      <c r="E151" s="11">
        <f>A151-'Mastercurve bestimmen'!$B$2</f>
        <v>16</v>
      </c>
      <c r="F151" s="11">
        <f t="shared" si="15"/>
        <v>1.8630923989480559</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1.98860811349026</v>
      </c>
      <c r="E152" s="11">
        <f>A152-'Mastercurve bestimmen'!$B$2</f>
        <v>17</v>
      </c>
      <c r="F152" s="11">
        <f t="shared" si="15"/>
        <v>1.98860811349026</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2.115170785835891</v>
      </c>
      <c r="E153" s="11">
        <f>A153-'Mastercurve bestimmen'!$B$2</f>
        <v>18</v>
      </c>
      <c r="F153" s="11">
        <f t="shared" si="15"/>
        <v>2.115170785835891</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2.2427770179794821</v>
      </c>
      <c r="E154" s="11">
        <f>A154-'Mastercurve bestimmen'!$B$2</f>
        <v>19</v>
      </c>
      <c r="F154" s="11">
        <f t="shared" si="15"/>
        <v>2.2427770179794821</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2.3714234119155666</v>
      </c>
      <c r="E155" s="11">
        <f>A155-'Mastercurve bestimmen'!$B$2</f>
        <v>20</v>
      </c>
      <c r="F155" s="11">
        <f t="shared" si="15"/>
        <v>2.3714234119155666</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2.5011065696386767</v>
      </c>
      <c r="E156" s="11">
        <f>A156-'Mastercurve bestimmen'!$B$2</f>
        <v>21</v>
      </c>
      <c r="F156" s="11">
        <f t="shared" si="15"/>
        <v>2.5011065696386767</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2.6318230931433462</v>
      </c>
      <c r="E157" s="11">
        <f>A157-'Mastercurve bestimmen'!$B$2</f>
        <v>22</v>
      </c>
      <c r="F157" s="11">
        <f t="shared" si="15"/>
        <v>2.6318230931433462</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2.7635695844241077</v>
      </c>
      <c r="E158" s="11">
        <f>A158-'Mastercurve bestimmen'!$B$2</f>
        <v>23</v>
      </c>
      <c r="F158" s="11">
        <f t="shared" si="15"/>
        <v>2.7635695844241077</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2.8963426454754937</v>
      </c>
      <c r="E159" s="11">
        <f>A159-'Mastercurve bestimmen'!$B$2</f>
        <v>24</v>
      </c>
      <c r="F159" s="11">
        <f t="shared" si="15"/>
        <v>2.8963426454754937</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3.0301388782920378</v>
      </c>
      <c r="E160" s="11">
        <f>A160-'Mastercurve bestimmen'!$B$2</f>
        <v>25</v>
      </c>
      <c r="F160" s="11">
        <f t="shared" si="15"/>
        <v>3.0301388782920378</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3.1649548848682727</v>
      </c>
      <c r="E161" s="11">
        <f>A161-'Mastercurve bestimmen'!$B$2</f>
        <v>26</v>
      </c>
      <c r="F161" s="11">
        <f t="shared" si="15"/>
        <v>3.1649548848682727</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3.3007872671987322</v>
      </c>
      <c r="E162" s="11">
        <f>A162-'Mastercurve bestimmen'!$B$2</f>
        <v>27</v>
      </c>
      <c r="F162" s="11">
        <f t="shared" si="15"/>
        <v>3.3007872671987322</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3.4376326272779476</v>
      </c>
      <c r="E163" s="11">
        <f>A163-'Mastercurve bestimmen'!$B$2</f>
        <v>28</v>
      </c>
      <c r="F163" s="11">
        <f t="shared" si="15"/>
        <v>3.4376326272779476</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3.5754875671004527</v>
      </c>
      <c r="E164" s="11">
        <f>A164-'Mastercurve bestimmen'!$B$2</f>
        <v>29</v>
      </c>
      <c r="F164" s="11">
        <f t="shared" si="15"/>
        <v>3.5754875671004527</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3.7143486886607806</v>
      </c>
      <c r="E165" s="11">
        <f>A165-'Mastercurve bestimmen'!$B$2</f>
        <v>30</v>
      </c>
      <c r="F165" s="11">
        <f t="shared" si="15"/>
        <v>3.7143486886607806</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3.8542125939534642</v>
      </c>
      <c r="E166" s="11">
        <f>A166-'Mastercurve bestimmen'!$B$2</f>
        <v>31</v>
      </c>
      <c r="F166" s="11">
        <f t="shared" si="15"/>
        <v>3.8542125939534642</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3.9950758849730361</v>
      </c>
      <c r="E167" s="11">
        <f>A167-'Mastercurve bestimmen'!$B$2</f>
        <v>32</v>
      </c>
      <c r="F167" s="11">
        <f t="shared" si="15"/>
        <v>3.9950758849730361</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4.1369351637140301</v>
      </c>
      <c r="E168" s="11">
        <f>A168-'Mastercurve bestimmen'!$B$2</f>
        <v>33</v>
      </c>
      <c r="F168" s="11">
        <f t="shared" si="15"/>
        <v>4.1369351637140301</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4.2797870321709786</v>
      </c>
      <c r="E169" s="11">
        <f>A169-'Mastercurve bestimmen'!$B$2</f>
        <v>34</v>
      </c>
      <c r="F169" s="11">
        <f t="shared" si="15"/>
        <v>4.2797870321709786</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4.4236280923384133</v>
      </c>
      <c r="E170" s="11">
        <f>A170-'Mastercurve bestimmen'!$B$2</f>
        <v>35</v>
      </c>
      <c r="F170" s="11">
        <f t="shared" si="15"/>
        <v>4.4236280923384133</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4.5684549462108697</v>
      </c>
      <c r="E171" s="11">
        <f>A171-'Mastercurve bestimmen'!$B$2</f>
        <v>36</v>
      </c>
      <c r="F171" s="11">
        <f t="shared" si="15"/>
        <v>4.5684549462108697</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4.7142641957828788</v>
      </c>
      <c r="E172" s="11">
        <f>A172-'Mastercurve bestimmen'!$B$2</f>
        <v>37</v>
      </c>
      <c r="F172" s="11">
        <f t="shared" si="15"/>
        <v>4.7142641957828788</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4.8610524430489752</v>
      </c>
      <c r="E173" s="11">
        <f>A173-'Mastercurve bestimmen'!$B$2</f>
        <v>38</v>
      </c>
      <c r="F173" s="11">
        <f t="shared" si="15"/>
        <v>4.8610524430489752</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5.008816290003689</v>
      </c>
      <c r="E174" s="11">
        <f>A174-'Mastercurve bestimmen'!$B$2</f>
        <v>39</v>
      </c>
      <c r="F174" s="11">
        <f t="shared" si="15"/>
        <v>5.008816290003689</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5.1575523386415565</v>
      </c>
      <c r="E175" s="11">
        <f>A175-'Mastercurve bestimmen'!$B$2</f>
        <v>40</v>
      </c>
      <c r="F175" s="11">
        <f t="shared" si="15"/>
        <v>5.1575523386415565</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5.3072571909571087</v>
      </c>
      <c r="E176" s="11">
        <f>A176-'Mastercurve bestimmen'!$B$2</f>
        <v>41</v>
      </c>
      <c r="F176" s="11">
        <f t="shared" si="15"/>
        <v>5.3072571909571087</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5.4579274489448792</v>
      </c>
      <c r="E177" s="11">
        <f>A177-'Mastercurve bestimmen'!$B$2</f>
        <v>42</v>
      </c>
      <c r="F177" s="11">
        <f t="shared" si="15"/>
        <v>5.4579274489448792</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5.6095597145994009</v>
      </c>
      <c r="E178" s="11">
        <f>A178-'Mastercurve bestimmen'!$B$2</f>
        <v>43</v>
      </c>
      <c r="F178" s="11">
        <f t="shared" si="15"/>
        <v>5.6095597145994009</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5.7621505899152066</v>
      </c>
      <c r="E179" s="11">
        <f>A179-'Mastercurve bestimmen'!$B$2</f>
        <v>44</v>
      </c>
      <c r="F179" s="11">
        <f t="shared" si="15"/>
        <v>5.7621505899152066</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5.9156966768868289</v>
      </c>
      <c r="E180" s="11">
        <f>A180-'Mastercurve bestimmen'!$B$2</f>
        <v>45</v>
      </c>
      <c r="F180" s="11">
        <f t="shared" si="15"/>
        <v>5.9156966768868289</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6.0701906113970923</v>
      </c>
      <c r="E181" s="11">
        <f>A181-'Mastercurve bestimmen'!$B$2</f>
        <v>46</v>
      </c>
      <c r="F181" s="11">
        <f t="shared" si="15"/>
        <v>6.0701906113970923</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6.2256091648819813</v>
      </c>
      <c r="E182" s="11">
        <f>A182-'Mastercurve bestimmen'!$B$2</f>
        <v>47</v>
      </c>
      <c r="F182" s="11">
        <f t="shared" si="15"/>
        <v>6.2256091648819813</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6.3819251426657715</v>
      </c>
      <c r="E183" s="11">
        <f>A183-'Mastercurve bestimmen'!$B$2</f>
        <v>48</v>
      </c>
      <c r="F183" s="11">
        <f t="shared" si="15"/>
        <v>6.3819251426657715</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6.5391113500727371</v>
      </c>
      <c r="E184" s="11">
        <f>A184-'Mastercurve bestimmen'!$B$2</f>
        <v>49</v>
      </c>
      <c r="F184" s="11">
        <f t="shared" si="15"/>
        <v>6.5391113500727371</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6.6971405924271572</v>
      </c>
      <c r="E185" s="11">
        <f>A185-'Mastercurve bestimmen'!$B$2</f>
        <v>50</v>
      </c>
      <c r="F185" s="11">
        <f t="shared" si="15"/>
        <v>6.6971405924271572</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6.8559856750533061</v>
      </c>
      <c r="E186" s="11">
        <f>A186-'Mastercurve bestimmen'!$B$2</f>
        <v>51</v>
      </c>
      <c r="F186" s="11">
        <f t="shared" si="15"/>
        <v>6.8559856750533061</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7.0156194032754593</v>
      </c>
      <c r="E187" s="11">
        <f>A187-'Mastercurve bestimmen'!$B$2</f>
        <v>52</v>
      </c>
      <c r="F187" s="11">
        <f t="shared" si="15"/>
        <v>7.0156194032754593</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7.1760145824178911</v>
      </c>
      <c r="E188" s="11">
        <f>A188-'Mastercurve bestimmen'!$B$2</f>
        <v>53</v>
      </c>
      <c r="F188" s="11">
        <f t="shared" si="15"/>
        <v>7.1760145824178911</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7.3371440178048806</v>
      </c>
      <c r="E189" s="11">
        <f>A189-'Mastercurve bestimmen'!$B$2</f>
        <v>54</v>
      </c>
      <c r="F189" s="11">
        <f t="shared" si="15"/>
        <v>7.3371440178048806</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7.4989805147607003</v>
      </c>
      <c r="E190" s="11">
        <f>A190-'Mastercurve bestimmen'!$B$2</f>
        <v>55</v>
      </c>
      <c r="F190" s="11">
        <f t="shared" si="15"/>
        <v>7.4989805147607003</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7.6614968786096274</v>
      </c>
      <c r="E191" s="11">
        <f>A191-'Mastercurve bestimmen'!$B$2</f>
        <v>56</v>
      </c>
      <c r="F191" s="11">
        <f t="shared" si="15"/>
        <v>7.6614968786096274</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7.8246659146759363</v>
      </c>
      <c r="E192" s="11">
        <f>A192-'Mastercurve bestimmen'!$B$2</f>
        <v>57</v>
      </c>
      <c r="F192" s="11">
        <f t="shared" si="15"/>
        <v>7.8246659146759363</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7.9884604282839042</v>
      </c>
      <c r="E193" s="11">
        <f>A193-'Mastercurve bestimmen'!$B$2</f>
        <v>58</v>
      </c>
      <c r="F193" s="11">
        <f t="shared" si="15"/>
        <v>7.9884604282839042</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8.1528532247578074</v>
      </c>
      <c r="E194" s="11">
        <f>A194-'Mastercurve bestimmen'!$B$2</f>
        <v>59</v>
      </c>
      <c r="F194" s="11">
        <f t="shared" si="15"/>
        <v>8.1528532247578074</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8.3178171094219202</v>
      </c>
      <c r="E195" s="11">
        <f>A195-'Mastercurve bestimmen'!$B$2</f>
        <v>60</v>
      </c>
      <c r="F195" s="11">
        <f t="shared" si="15"/>
        <v>8.3178171094219202</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8.4833248876005172</v>
      </c>
      <c r="E196" s="11">
        <f>A196-'Mastercurve bestimmen'!$B$2</f>
        <v>61</v>
      </c>
      <c r="F196" s="11">
        <f t="shared" si="15"/>
        <v>8.4833248876005172</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8.6493493646178781</v>
      </c>
      <c r="E197" s="11">
        <f>A197-'Mastercurve bestimmen'!$B$2</f>
        <v>62</v>
      </c>
      <c r="F197" s="11">
        <f t="shared" si="15"/>
        <v>8.6493493646178781</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8.8158633457982738</v>
      </c>
      <c r="E198" s="11">
        <f>A198-'Mastercurve bestimmen'!$B$2</f>
        <v>63</v>
      </c>
      <c r="F198" s="11">
        <f t="shared" si="15"/>
        <v>8.8158633457982738</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8.9828396364659842</v>
      </c>
      <c r="E199" s="11">
        <f>A199-'Mastercurve bestimmen'!$B$2</f>
        <v>64</v>
      </c>
      <c r="F199" s="11">
        <f t="shared" si="15"/>
        <v>8.9828396364659842</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9.1502510419452818</v>
      </c>
      <c r="E200" s="11">
        <f>A200-'Mastercurve bestimmen'!$B$2</f>
        <v>65</v>
      </c>
      <c r="F200" s="11">
        <f t="shared" si="15"/>
        <v>9.1502510419452818</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9.318070367560443</v>
      </c>
      <c r="E201" s="11">
        <f>A201-'Mastercurve bestimmen'!$B$2</f>
        <v>66</v>
      </c>
      <c r="F201" s="11">
        <f t="shared" si="15"/>
        <v>9.318070367560443</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9.4862704186357458</v>
      </c>
      <c r="E202" s="11">
        <f>A202-'Mastercurve bestimmen'!$B$2</f>
        <v>67</v>
      </c>
      <c r="F202" s="11">
        <f t="shared" si="15"/>
        <v>9.4862704186357458</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9.6548240004954646</v>
      </c>
      <c r="E203" s="11">
        <f>A203-'Mastercurve bestimmen'!$B$2</f>
        <v>68</v>
      </c>
      <c r="F203" s="11">
        <f t="shared" si="15"/>
        <v>9.6548240004954646</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9.8237039184638721</v>
      </c>
      <c r="E204" s="11">
        <f>A204-'Mastercurve bestimmen'!$B$2</f>
        <v>69</v>
      </c>
      <c r="F204" s="11">
        <f t="shared" si="15"/>
        <v>9.8237039184638721</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9.9928829778652499</v>
      </c>
      <c r="E205" s="11">
        <f>A205-'Mastercurve bestimmen'!$B$2</f>
        <v>70</v>
      </c>
      <c r="F205" s="11">
        <f t="shared" si="15"/>
        <v>9.9928829778652499</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10.162333984023869</v>
      </c>
      <c r="E206" s="11">
        <f>A206-'Mastercurve bestimmen'!$B$2</f>
        <v>71</v>
      </c>
      <c r="F206" s="11">
        <f t="shared" si="15"/>
        <v>10.162333984023869</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10.332029742264009</v>
      </c>
      <c r="E207" s="11">
        <f>A207-'Mastercurve bestimmen'!$B$2</f>
        <v>72</v>
      </c>
      <c r="F207" s="11">
        <f t="shared" si="15"/>
        <v>10.332029742264009</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10.501943057909939</v>
      </c>
      <c r="E208" s="11">
        <f>A208-'Mastercurve bestimmen'!$B$2</f>
        <v>73</v>
      </c>
      <c r="F208" s="11">
        <f t="shared" ref="F208:F215" si="21">B208</f>
        <v>10.501943057909939</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10.672046736285942</v>
      </c>
      <c r="E209" s="11">
        <f>A209-'Mastercurve bestimmen'!$B$2</f>
        <v>74</v>
      </c>
      <c r="F209" s="11">
        <f t="shared" si="21"/>
        <v>10.672046736285942</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10.84231358271629</v>
      </c>
      <c r="E210" s="11">
        <f>A210-'Mastercurve bestimmen'!$B$2</f>
        <v>75</v>
      </c>
      <c r="F210" s="11">
        <f t="shared" si="21"/>
        <v>10.84231358271629</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11.01271640252526</v>
      </c>
      <c r="E211" s="11">
        <f>A211-'Mastercurve bestimmen'!$B$2</f>
        <v>76</v>
      </c>
      <c r="F211" s="11">
        <f t="shared" si="21"/>
        <v>11.01271640252526</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11.183228001037126</v>
      </c>
      <c r="E212" s="11">
        <f>A212-'Mastercurve bestimmen'!$B$2</f>
        <v>77</v>
      </c>
      <c r="F212" s="11">
        <f t="shared" si="21"/>
        <v>11.183228001037126</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11.353821183576164</v>
      </c>
      <c r="E213" s="11">
        <f>A213-'Mastercurve bestimmen'!$B$2</f>
        <v>78</v>
      </c>
      <c r="F213" s="11">
        <f t="shared" si="21"/>
        <v>11.353821183576164</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11.524468755466653</v>
      </c>
      <c r="E214" s="11">
        <f>A214-'Mastercurve bestimmen'!$B$2</f>
        <v>79</v>
      </c>
      <c r="F214" s="11">
        <f t="shared" si="21"/>
        <v>11.524468755466653</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11.695143522032865</v>
      </c>
      <c r="E215" s="11">
        <f>A215-'Mastercurve bestimmen'!$B$2</f>
        <v>80</v>
      </c>
      <c r="F215" s="11">
        <f t="shared" si="21"/>
        <v>11.695143522032865</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0.10748456572624676</v>
      </c>
      <c r="J217" s="98">
        <v>5.4883446569532301E-4</v>
      </c>
      <c r="K217" s="98">
        <v>1.5339339255846075E-6</v>
      </c>
      <c r="L217" s="98">
        <v>-6.525610659392276E-8</v>
      </c>
      <c r="M217" s="98">
        <v>3.3101419368462484E-10</v>
      </c>
      <c r="N217" s="98">
        <v>6.5236505719254556E-12</v>
      </c>
      <c r="O217" s="98">
        <v>-3.6764110702996991E-14</v>
      </c>
      <c r="P217" s="98">
        <v>-3.3777797062589117E-16</v>
      </c>
    </row>
    <row r="218" spans="1:16" x14ac:dyDescent="0.25">
      <c r="G218" s="11"/>
      <c r="H218" s="11">
        <v>0</v>
      </c>
      <c r="I218" s="11">
        <v>2.3385019811158599E-4</v>
      </c>
      <c r="J218" s="11">
        <v>4.3558212283567824E-6</v>
      </c>
      <c r="K218" s="3">
        <v>2.213175072658246E-7</v>
      </c>
      <c r="L218" s="3">
        <v>2.0151617343976511E-9</v>
      </c>
      <c r="M218" s="3">
        <v>6.3276455793599189E-11</v>
      </c>
      <c r="N218" s="3">
        <v>3.477107737817296E-13</v>
      </c>
      <c r="O218" s="11">
        <v>5.5913917408811237E-15</v>
      </c>
      <c r="P218" s="11">
        <v>3.4001178107228395E-17</v>
      </c>
    </row>
    <row r="219" spans="1:16" x14ac:dyDescent="0.25">
      <c r="G219" s="11"/>
      <c r="H219" s="11">
        <v>0.99998708942256131</v>
      </c>
      <c r="I219" s="11">
        <v>2.4192910399994699E-2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-11.284840730906536</v>
      </c>
      <c r="G222">
        <f>F15</f>
        <v>-11.303886857979826</v>
      </c>
    </row>
    <row r="223" spans="1:16" x14ac:dyDescent="0.25">
      <c r="E223" s="11">
        <f t="shared" ref="E223:E286" si="25">E16</f>
        <v>-119</v>
      </c>
      <c r="F223" s="11">
        <f t="shared" ref="F223:F286" si="26">$H$217*0+E223*$I$217+E223^2*$J$217+E223^3*$K$217+E223^4*$L$217+E223^5*$M$217+E223^6*$N$217+E223^7*$O$217+E223^8*$P$217</f>
        <v>-11.222766940104096</v>
      </c>
      <c r="G223" s="11">
        <f t="shared" ref="G223:G286" si="27">F16</f>
        <v>-11.236167274540021</v>
      </c>
    </row>
    <row r="224" spans="1:16" x14ac:dyDescent="0.25">
      <c r="E224" s="11">
        <f t="shared" si="25"/>
        <v>-118</v>
      </c>
      <c r="F224" s="11">
        <f t="shared" si="26"/>
        <v>-11.160560716900703</v>
      </c>
      <c r="G224" s="11">
        <f t="shared" si="27"/>
        <v>-11.168352258845102</v>
      </c>
    </row>
    <row r="225" spans="5:7" x14ac:dyDescent="0.25">
      <c r="E225" s="11">
        <f t="shared" si="25"/>
        <v>-117</v>
      </c>
      <c r="F225" s="11">
        <f t="shared" si="26"/>
        <v>-11.097921207184015</v>
      </c>
      <c r="G225" s="11">
        <f t="shared" si="27"/>
        <v>-11.10034637863996</v>
      </c>
    </row>
    <row r="226" spans="5:7" x14ac:dyDescent="0.25">
      <c r="E226" s="11">
        <f t="shared" si="25"/>
        <v>-116</v>
      </c>
      <c r="F226" s="11">
        <f t="shared" si="26"/>
        <v>-11.034580400178923</v>
      </c>
      <c r="G226" s="11">
        <f t="shared" si="27"/>
        <v>-11.032054201669483</v>
      </c>
    </row>
    <row r="227" spans="5:7" x14ac:dyDescent="0.25">
      <c r="E227" s="11">
        <f t="shared" si="25"/>
        <v>-115</v>
      </c>
      <c r="F227" s="11">
        <f t="shared" si="26"/>
        <v>-10.970301237161836</v>
      </c>
      <c r="G227" s="11">
        <f t="shared" si="27"/>
        <v>-10.963380295678558</v>
      </c>
    </row>
    <row r="228" spans="5:7" x14ac:dyDescent="0.25">
      <c r="E228" s="11">
        <f t="shared" si="25"/>
        <v>-114</v>
      </c>
      <c r="F228" s="11">
        <f t="shared" si="26"/>
        <v>-10.904875787018931</v>
      </c>
      <c r="G228" s="11">
        <f t="shared" si="27"/>
        <v>-10.894229228412076</v>
      </c>
    </row>
    <row r="229" spans="5:7" x14ac:dyDescent="0.25">
      <c r="E229" s="11">
        <f t="shared" si="25"/>
        <v>-113</v>
      </c>
      <c r="F229" s="11">
        <f t="shared" si="26"/>
        <v>-10.838123487247026</v>
      </c>
      <c r="G229" s="11">
        <f t="shared" si="27"/>
        <v>-10.824505567614924</v>
      </c>
    </row>
    <row r="230" spans="5:7" x14ac:dyDescent="0.25">
      <c r="E230" s="11">
        <f t="shared" si="25"/>
        <v>-112</v>
      </c>
      <c r="F230" s="11">
        <f t="shared" si="26"/>
        <v>-10.769889449009366</v>
      </c>
      <c r="G230" s="11">
        <f t="shared" si="27"/>
        <v>-10.754113881031987</v>
      </c>
    </row>
    <row r="231" spans="5:7" x14ac:dyDescent="0.25">
      <c r="E231" s="11">
        <f t="shared" si="25"/>
        <v>-111</v>
      </c>
      <c r="F231" s="11">
        <f t="shared" si="26"/>
        <v>-10.70004282487224</v>
      </c>
      <c r="G231" s="11">
        <f t="shared" si="27"/>
        <v>-10.682958736408157</v>
      </c>
    </row>
    <row r="232" spans="5:7" x14ac:dyDescent="0.25">
      <c r="E232" s="11">
        <f t="shared" si="25"/>
        <v>-110</v>
      </c>
      <c r="F232" s="11">
        <f t="shared" si="26"/>
        <v>-10.628475237861862</v>
      </c>
      <c r="G232" s="11">
        <f t="shared" si="27"/>
        <v>-10.610944701488322</v>
      </c>
    </row>
    <row r="233" spans="5:7" x14ac:dyDescent="0.25">
      <c r="E233" s="11">
        <f t="shared" si="25"/>
        <v>-109</v>
      </c>
      <c r="F233" s="11">
        <f t="shared" si="26"/>
        <v>-10.555099270494736</v>
      </c>
      <c r="G233" s="11">
        <f t="shared" si="27"/>
        <v>-10.537976344017366</v>
      </c>
    </row>
    <row r="234" spans="5:7" x14ac:dyDescent="0.25">
      <c r="E234" s="11">
        <f t="shared" si="25"/>
        <v>-108</v>
      </c>
      <c r="F234" s="11">
        <f t="shared" si="26"/>
        <v>-10.479847012448198</v>
      </c>
      <c r="G234" s="11">
        <f t="shared" si="27"/>
        <v>-10.463958231740182</v>
      </c>
    </row>
    <row r="235" spans="5:7" x14ac:dyDescent="0.25">
      <c r="E235" s="11">
        <f t="shared" si="25"/>
        <v>-107</v>
      </c>
      <c r="F235" s="11">
        <f t="shared" si="26"/>
        <v>-10.402668665551484</v>
      </c>
      <c r="G235" s="11">
        <f t="shared" si="27"/>
        <v>-10.388794932401657</v>
      </c>
    </row>
    <row r="236" spans="5:7" x14ac:dyDescent="0.25">
      <c r="E236" s="11">
        <f t="shared" si="25"/>
        <v>-106</v>
      </c>
      <c r="F236" s="11">
        <f t="shared" si="26"/>
        <v>-10.323531204791431</v>
      </c>
      <c r="G236" s="11">
        <f t="shared" si="27"/>
        <v>-10.312391013746678</v>
      </c>
    </row>
    <row r="237" spans="5:7" x14ac:dyDescent="0.25">
      <c r="E237" s="11">
        <f t="shared" si="25"/>
        <v>-105</v>
      </c>
      <c r="F237" s="11">
        <f t="shared" si="26"/>
        <v>-10.242417094040228</v>
      </c>
      <c r="G237" s="11">
        <f t="shared" si="27"/>
        <v>-10.234651043520135</v>
      </c>
    </row>
    <row r="238" spans="5:7" x14ac:dyDescent="0.25">
      <c r="E238" s="11">
        <f t="shared" si="25"/>
        <v>-104</v>
      </c>
      <c r="F238" s="11">
        <f t="shared" si="26"/>
        <v>-10.15932305522665</v>
      </c>
      <c r="G238" s="11">
        <f t="shared" si="27"/>
        <v>-10.155479589466914</v>
      </c>
    </row>
    <row r="239" spans="5:7" x14ac:dyDescent="0.25">
      <c r="E239" s="11">
        <f t="shared" si="25"/>
        <v>-103</v>
      </c>
      <c r="F239" s="11">
        <f t="shared" si="26"/>
        <v>-10.074258889685435</v>
      </c>
      <c r="G239" s="11">
        <f t="shared" si="27"/>
        <v>-10.074781219331904</v>
      </c>
    </row>
    <row r="240" spans="5:7" x14ac:dyDescent="0.25">
      <c r="E240" s="11">
        <f t="shared" si="25"/>
        <v>-102</v>
      </c>
      <c r="F240" s="11">
        <f t="shared" si="26"/>
        <v>-9.9872463504334039</v>
      </c>
      <c r="G240" s="11">
        <f t="shared" si="27"/>
        <v>-9.9924605008599947</v>
      </c>
    </row>
    <row r="241" spans="5:7" x14ac:dyDescent="0.25">
      <c r="E241" s="11">
        <f t="shared" si="25"/>
        <v>-101</v>
      </c>
      <c r="F241" s="11">
        <f t="shared" si="26"/>
        <v>-9.8983180641343367</v>
      </c>
      <c r="G241" s="11">
        <f t="shared" si="27"/>
        <v>-9.9084220017960725</v>
      </c>
    </row>
    <row r="242" spans="5:7" x14ac:dyDescent="0.25">
      <c r="E242" s="11">
        <f t="shared" si="25"/>
        <v>-100</v>
      </c>
      <c r="F242" s="11">
        <f t="shared" si="26"/>
        <v>-9.8075165015283368</v>
      </c>
      <c r="G242" s="11">
        <f t="shared" si="27"/>
        <v>-9.8225702898850287</v>
      </c>
    </row>
    <row r="243" spans="5:7" x14ac:dyDescent="0.25">
      <c r="E243" s="11">
        <f t="shared" si="25"/>
        <v>-99</v>
      </c>
      <c r="F243" s="11">
        <f t="shared" si="26"/>
        <v>-9.7148929951149849</v>
      </c>
      <c r="G243" s="11">
        <f t="shared" si="27"/>
        <v>-9.7348099328717463</v>
      </c>
    </row>
    <row r="244" spans="5:7" x14ac:dyDescent="0.25">
      <c r="E244" s="11">
        <f t="shared" si="25"/>
        <v>-98</v>
      </c>
      <c r="F244" s="11">
        <f t="shared" si="26"/>
        <v>-9.6205068028932601</v>
      </c>
      <c r="G244" s="11">
        <f t="shared" si="27"/>
        <v>-9.6450454985011156</v>
      </c>
    </row>
    <row r="245" spans="5:7" x14ac:dyDescent="0.25">
      <c r="E245" s="11">
        <f t="shared" si="25"/>
        <v>-97</v>
      </c>
      <c r="F245" s="11">
        <f t="shared" si="26"/>
        <v>-9.5244242169747153</v>
      </c>
      <c r="G245" s="11">
        <f t="shared" si="27"/>
        <v>-9.5531815545180283</v>
      </c>
    </row>
    <row r="246" spans="5:7" x14ac:dyDescent="0.25">
      <c r="E246" s="11">
        <f t="shared" si="25"/>
        <v>-96</v>
      </c>
      <c r="F246" s="11">
        <f t="shared" si="26"/>
        <v>-9.4267177159001978</v>
      </c>
      <c r="G246" s="11">
        <f t="shared" si="27"/>
        <v>-9.4591226686673693</v>
      </c>
    </row>
    <row r="247" spans="5:7" x14ac:dyDescent="0.25">
      <c r="E247" s="11">
        <f t="shared" si="25"/>
        <v>-95</v>
      </c>
      <c r="F247" s="11">
        <f t="shared" si="26"/>
        <v>-9.3274651595038023</v>
      </c>
      <c r="G247" s="11">
        <f t="shared" si="27"/>
        <v>-9.3627734086940269</v>
      </c>
    </row>
    <row r="248" spans="5:7" x14ac:dyDescent="0.25">
      <c r="E248" s="11">
        <f t="shared" si="25"/>
        <v>-94</v>
      </c>
      <c r="F248" s="11">
        <f t="shared" si="26"/>
        <v>-9.2267490251815616</v>
      </c>
      <c r="G248" s="11">
        <f t="shared" si="27"/>
        <v>-9.2640383423428894</v>
      </c>
    </row>
    <row r="249" spans="5:7" x14ac:dyDescent="0.25">
      <c r="E249" s="11">
        <f t="shared" si="25"/>
        <v>-93</v>
      </c>
      <c r="F249" s="11">
        <f t="shared" si="26"/>
        <v>-9.1246556844358331</v>
      </c>
      <c r="G249" s="11">
        <f t="shared" si="27"/>
        <v>-9.1628220373588452</v>
      </c>
    </row>
    <row r="250" spans="5:7" x14ac:dyDescent="0.25">
      <c r="E250" s="11">
        <f t="shared" si="25"/>
        <v>-92</v>
      </c>
      <c r="F250" s="11">
        <f t="shared" si="26"/>
        <v>-9.021274718580143</v>
      </c>
      <c r="G250" s="11">
        <f t="shared" si="27"/>
        <v>-9.0590290614867826</v>
      </c>
    </row>
    <row r="251" spans="5:7" x14ac:dyDescent="0.25">
      <c r="E251" s="11">
        <f t="shared" si="25"/>
        <v>-91</v>
      </c>
      <c r="F251" s="11">
        <f t="shared" si="26"/>
        <v>-8.9166982725026305</v>
      </c>
      <c r="G251" s="11">
        <f t="shared" si="27"/>
        <v>-8.9525639824715917</v>
      </c>
    </row>
    <row r="252" spans="5:7" x14ac:dyDescent="0.25">
      <c r="E252" s="11">
        <f t="shared" si="25"/>
        <v>-90</v>
      </c>
      <c r="F252" s="11">
        <f t="shared" si="26"/>
        <v>-8.8110204454001142</v>
      </c>
      <c r="G252" s="11">
        <f t="shared" si="27"/>
        <v>-8.8433313680581573</v>
      </c>
    </row>
    <row r="253" spans="5:7" x14ac:dyDescent="0.25">
      <c r="E253" s="11">
        <f t="shared" si="25"/>
        <v>-89</v>
      </c>
      <c r="F253" s="11">
        <f t="shared" si="26"/>
        <v>-8.7043367174082089</v>
      </c>
      <c r="G253" s="11">
        <f t="shared" si="27"/>
        <v>-8.7312357859913696</v>
      </c>
    </row>
    <row r="254" spans="5:7" x14ac:dyDescent="0.25">
      <c r="E254" s="11">
        <f t="shared" si="25"/>
        <v>-88</v>
      </c>
      <c r="F254" s="11">
        <f t="shared" si="26"/>
        <v>-8.5967434110666687</v>
      </c>
      <c r="G254" s="11">
        <f t="shared" si="27"/>
        <v>-8.6161818040161169</v>
      </c>
    </row>
    <row r="255" spans="5:7" x14ac:dyDescent="0.25">
      <c r="E255" s="11">
        <f t="shared" si="25"/>
        <v>-87</v>
      </c>
      <c r="F255" s="11">
        <f t="shared" si="26"/>
        <v>-8.4883371865727</v>
      </c>
      <c r="G255" s="11">
        <f t="shared" si="27"/>
        <v>-8.4980739898772857</v>
      </c>
    </row>
    <row r="256" spans="5:7" x14ac:dyDescent="0.25">
      <c r="E256" s="11">
        <f t="shared" si="25"/>
        <v>-86</v>
      </c>
      <c r="F256" s="11">
        <f t="shared" si="26"/>
        <v>-8.3792145697885978</v>
      </c>
      <c r="G256" s="11">
        <f t="shared" si="27"/>
        <v>-8.3768169113197679</v>
      </c>
    </row>
    <row r="257" spans="5:7" x14ac:dyDescent="0.25">
      <c r="E257" s="11">
        <f t="shared" si="25"/>
        <v>-85</v>
      </c>
      <c r="F257" s="11">
        <f t="shared" si="26"/>
        <v>-8.2694715119837312</v>
      </c>
      <c r="G257" s="11">
        <f t="shared" si="27"/>
        <v>-8.2523151360884466</v>
      </c>
    </row>
    <row r="258" spans="5:7" x14ac:dyDescent="0.25">
      <c r="E258" s="11">
        <f t="shared" si="25"/>
        <v>-84</v>
      </c>
      <c r="F258" s="11">
        <f t="shared" si="26"/>
        <v>-8.1592029803044621</v>
      </c>
      <c r="G258" s="11">
        <f t="shared" si="27"/>
        <v>-8.1244732319282136</v>
      </c>
    </row>
    <row r="259" spans="5:7" x14ac:dyDescent="0.25">
      <c r="E259" s="11">
        <f t="shared" si="25"/>
        <v>-83</v>
      </c>
      <c r="F259" s="11">
        <f t="shared" si="26"/>
        <v>-8.0485025779792281</v>
      </c>
      <c r="G259" s="11">
        <f t="shared" si="27"/>
        <v>-7.9931957665839573</v>
      </c>
    </row>
    <row r="260" spans="5:7" x14ac:dyDescent="0.25">
      <c r="E260" s="11">
        <f t="shared" si="25"/>
        <v>-82</v>
      </c>
      <c r="F260" s="11">
        <f t="shared" si="26"/>
        <v>-7.9374621932796581</v>
      </c>
      <c r="G260" s="11">
        <f t="shared" si="27"/>
        <v>-7.858387307800565</v>
      </c>
    </row>
    <row r="261" spans="5:7" x14ac:dyDescent="0.25">
      <c r="E261" s="11">
        <f t="shared" si="25"/>
        <v>-81</v>
      </c>
      <c r="F261" s="11">
        <f t="shared" si="26"/>
        <v>-7.8261716762721694</v>
      </c>
      <c r="G261" s="11">
        <f t="shared" si="27"/>
        <v>-7.7199524233229226</v>
      </c>
    </row>
    <row r="262" spans="5:7" x14ac:dyDescent="0.25">
      <c r="E262" s="11">
        <f t="shared" si="25"/>
        <v>-80</v>
      </c>
      <c r="F262" s="11">
        <f t="shared" si="26"/>
        <v>-7.7147185424081286</v>
      </c>
      <c r="G262" s="11">
        <f t="shared" si="27"/>
        <v>-7.5777956808959228</v>
      </c>
    </row>
    <row r="263" spans="5:7" x14ac:dyDescent="0.25">
      <c r="E263" s="11">
        <f t="shared" si="25"/>
        <v>-79</v>
      </c>
      <c r="F263" s="11">
        <f t="shared" si="26"/>
        <v>-7.6031877020143108</v>
      </c>
      <c r="G263" s="11">
        <f t="shared" si="27"/>
        <v>-7.4991824066091475</v>
      </c>
    </row>
    <row r="264" spans="5:7" x14ac:dyDescent="0.25">
      <c r="E264" s="11">
        <f t="shared" si="25"/>
        <v>-78</v>
      </c>
      <c r="F264" s="11">
        <f t="shared" si="26"/>
        <v>-7.4916612147589721</v>
      </c>
      <c r="G264" s="11">
        <f t="shared" si="27"/>
        <v>-7.4169767763301264</v>
      </c>
    </row>
    <row r="265" spans="5:7" x14ac:dyDescent="0.25">
      <c r="E265" s="11">
        <f t="shared" si="25"/>
        <v>-77</v>
      </c>
      <c r="F265" s="11">
        <f t="shared" si="26"/>
        <v>-7.3802180681824217</v>
      </c>
      <c r="G265" s="11">
        <f t="shared" si="27"/>
        <v>-7.3314037242710803</v>
      </c>
    </row>
    <row r="266" spans="5:7" x14ac:dyDescent="0.25">
      <c r="E266" s="11">
        <f t="shared" si="25"/>
        <v>-76</v>
      </c>
      <c r="F266" s="11">
        <f t="shared" si="26"/>
        <v>-7.2689339793947969</v>
      </c>
      <c r="G266" s="11">
        <f t="shared" si="27"/>
        <v>-7.242688184644229</v>
      </c>
    </row>
    <row r="267" spans="5:7" x14ac:dyDescent="0.25">
      <c r="E267" s="11">
        <f t="shared" si="25"/>
        <v>-75</v>
      </c>
      <c r="F267" s="11">
        <f t="shared" si="26"/>
        <v>-7.1578812190570522</v>
      </c>
      <c r="G267" s="11">
        <f t="shared" si="27"/>
        <v>-7.1510550916617994</v>
      </c>
    </row>
    <row r="268" spans="5:7" x14ac:dyDescent="0.25">
      <c r="E268" s="11">
        <f t="shared" si="25"/>
        <v>-74</v>
      </c>
      <c r="F268" s="11">
        <f t="shared" si="26"/>
        <v>-7.0471284567751109</v>
      </c>
      <c r="G268" s="11">
        <f t="shared" si="27"/>
        <v>-7.0567293795360131</v>
      </c>
    </row>
    <row r="269" spans="5:7" x14ac:dyDescent="0.25">
      <c r="E269" s="11">
        <f t="shared" si="25"/>
        <v>-73</v>
      </c>
      <c r="F269" s="11">
        <f t="shared" si="26"/>
        <v>-6.9367406270505025</v>
      </c>
      <c r="G269" s="11">
        <f t="shared" si="27"/>
        <v>-6.9599359824790916</v>
      </c>
    </row>
    <row r="270" spans="5:7" x14ac:dyDescent="0.25">
      <c r="E270" s="11">
        <f t="shared" si="25"/>
        <v>-72</v>
      </c>
      <c r="F270" s="11">
        <f t="shared" si="26"/>
        <v>-6.8267788149445821</v>
      </c>
      <c r="G270" s="11">
        <f t="shared" si="27"/>
        <v>-6.860899834703261</v>
      </c>
    </row>
    <row r="271" spans="5:7" x14ac:dyDescent="0.25">
      <c r="E271" s="11">
        <f t="shared" si="25"/>
        <v>-71</v>
      </c>
      <c r="F271" s="11">
        <f t="shared" si="26"/>
        <v>-6.7173001606269738</v>
      </c>
      <c r="G271" s="11">
        <f t="shared" si="27"/>
        <v>-6.759845870420742</v>
      </c>
    </row>
    <row r="272" spans="5:7" x14ac:dyDescent="0.25">
      <c r="E272" s="11">
        <f t="shared" si="25"/>
        <v>-70</v>
      </c>
      <c r="F272" s="11">
        <f t="shared" si="26"/>
        <v>-6.608357781992515</v>
      </c>
      <c r="G272" s="11">
        <f t="shared" si="27"/>
        <v>-6.656999023843758</v>
      </c>
    </row>
    <row r="273" spans="5:7" x14ac:dyDescent="0.25">
      <c r="E273" s="11">
        <f t="shared" si="25"/>
        <v>-69</v>
      </c>
      <c r="F273" s="11">
        <f t="shared" si="26"/>
        <v>-6.5000007145445977</v>
      </c>
      <c r="G273" s="11">
        <f t="shared" si="27"/>
        <v>-6.5525842291845304</v>
      </c>
    </row>
    <row r="274" spans="5:7" x14ac:dyDescent="0.25">
      <c r="E274" s="11">
        <f t="shared" si="25"/>
        <v>-68</v>
      </c>
      <c r="F274" s="11">
        <f t="shared" si="26"/>
        <v>-6.3922738677564395</v>
      </c>
      <c r="G274" s="11">
        <f t="shared" si="27"/>
        <v>-6.4468264206552846</v>
      </c>
    </row>
    <row r="275" spans="5:7" x14ac:dyDescent="0.25">
      <c r="E275" s="11">
        <f t="shared" si="25"/>
        <v>-67</v>
      </c>
      <c r="F275" s="11">
        <f t="shared" si="26"/>
        <v>-6.2852179971354092</v>
      </c>
      <c r="G275" s="11">
        <f t="shared" si="27"/>
        <v>-6.3399505324682428</v>
      </c>
    </row>
    <row r="276" spans="5:7" x14ac:dyDescent="0.25">
      <c r="E276" s="11">
        <f t="shared" si="25"/>
        <v>-66</v>
      </c>
      <c r="F276" s="11">
        <f t="shared" si="26"/>
        <v>-6.1788696912291607</v>
      </c>
      <c r="G276" s="11">
        <f t="shared" si="27"/>
        <v>-6.2321814988356277</v>
      </c>
    </row>
    <row r="277" spans="5:7" x14ac:dyDescent="0.25">
      <c r="E277" s="11">
        <f t="shared" si="25"/>
        <v>-65</v>
      </c>
      <c r="F277" s="11">
        <f t="shared" si="26"/>
        <v>-6.0732613728259608</v>
      </c>
      <c r="G277" s="11">
        <f t="shared" si="27"/>
        <v>-6.1237442539696616</v>
      </c>
    </row>
    <row r="278" spans="5:7" x14ac:dyDescent="0.25">
      <c r="E278" s="11">
        <f t="shared" si="25"/>
        <v>-64</v>
      </c>
      <c r="F278" s="11">
        <f t="shared" si="26"/>
        <v>-5.9684213136151998</v>
      </c>
      <c r="G278" s="11">
        <f t="shared" si="27"/>
        <v>-6.0148637320825689</v>
      </c>
    </row>
    <row r="279" spans="5:7" x14ac:dyDescent="0.25">
      <c r="E279" s="11">
        <f t="shared" si="25"/>
        <v>-63</v>
      </c>
      <c r="F279" s="11">
        <f t="shared" si="26"/>
        <v>-5.864373661587698</v>
      </c>
      <c r="G279" s="11">
        <f t="shared" si="27"/>
        <v>-5.905764867386571</v>
      </c>
    </row>
    <row r="280" spans="5:7" x14ac:dyDescent="0.25">
      <c r="E280" s="11">
        <f t="shared" si="25"/>
        <v>-62</v>
      </c>
      <c r="F280" s="11">
        <f t="shared" si="26"/>
        <v>-5.7611384804690404</v>
      </c>
      <c r="G280" s="11">
        <f t="shared" si="27"/>
        <v>-5.7966725940938915</v>
      </c>
    </row>
    <row r="281" spans="5:7" x14ac:dyDescent="0.25">
      <c r="E281" s="11">
        <f t="shared" si="25"/>
        <v>-61</v>
      </c>
      <c r="F281" s="11">
        <f t="shared" si="26"/>
        <v>-5.6587318004927987</v>
      </c>
      <c r="G281" s="11">
        <f t="shared" si="27"/>
        <v>-5.6878118464167544</v>
      </c>
    </row>
    <row r="282" spans="5:7" x14ac:dyDescent="0.25">
      <c r="E282" s="11">
        <f t="shared" si="25"/>
        <v>-60</v>
      </c>
      <c r="F282" s="11">
        <f t="shared" si="26"/>
        <v>-5.5571656798341031</v>
      </c>
      <c r="G282" s="11">
        <f t="shared" si="27"/>
        <v>-5.5794075585673806</v>
      </c>
    </row>
    <row r="283" spans="5:7" x14ac:dyDescent="0.25">
      <c r="E283" s="11">
        <f t="shared" si="25"/>
        <v>-59</v>
      </c>
      <c r="F283" s="11">
        <f t="shared" si="26"/>
        <v>-5.4564482760376585</v>
      </c>
      <c r="G283" s="11">
        <f t="shared" si="27"/>
        <v>-5.4716846647579942</v>
      </c>
    </row>
    <row r="284" spans="5:7" x14ac:dyDescent="0.25">
      <c r="E284" s="11">
        <f t="shared" si="25"/>
        <v>-58</v>
      </c>
      <c r="F284" s="11">
        <f t="shared" si="26"/>
        <v>-5.3565839267879181</v>
      </c>
      <c r="G284" s="11">
        <f t="shared" si="27"/>
        <v>-5.3648680992008186</v>
      </c>
    </row>
    <row r="285" spans="5:7" x14ac:dyDescent="0.25">
      <c r="E285" s="11">
        <f t="shared" si="25"/>
        <v>-57</v>
      </c>
      <c r="F285" s="11">
        <f t="shared" si="26"/>
        <v>-5.2575732393827419</v>
      </c>
      <c r="G285" s="11">
        <f t="shared" si="27"/>
        <v>-5.2591827961080764</v>
      </c>
    </row>
    <row r="286" spans="5:7" x14ac:dyDescent="0.25">
      <c r="E286" s="11">
        <f t="shared" si="25"/>
        <v>-56</v>
      </c>
      <c r="F286" s="11">
        <f t="shared" si="26"/>
        <v>-5.1594131882854706</v>
      </c>
      <c r="G286" s="11">
        <f t="shared" si="27"/>
        <v>-5.154853689691989</v>
      </c>
    </row>
    <row r="287" spans="5:7" x14ac:dyDescent="0.25">
      <c r="E287" s="11">
        <f t="shared" ref="E287:E350" si="28">E80</f>
        <v>-55</v>
      </c>
      <c r="F287" s="11">
        <f t="shared" ref="F287:F350" si="29">$H$217*0+E287*$I$217+E287^2*$J$217+E287^3*$K$217+E287^4*$L$217+E287^5*$M$217+E287^6*$N$217+E287^7*$O$217+E287^8*$P$217</f>
        <v>-5.062097220144028</v>
      </c>
      <c r="G287" s="11">
        <f t="shared" ref="G287:G350" si="30">F80</f>
        <v>-5.0521057141647807</v>
      </c>
    </row>
    <row r="288" spans="5:7" x14ac:dyDescent="0.25">
      <c r="E288" s="11">
        <f t="shared" si="28"/>
        <v>-54</v>
      </c>
      <c r="F288" s="11">
        <f t="shared" si="29"/>
        <v>-4.9656153656791826</v>
      </c>
      <c r="G288" s="11">
        <f t="shared" si="30"/>
        <v>-4.9511113959690221</v>
      </c>
    </row>
    <row r="289" spans="5:7" x14ac:dyDescent="0.25">
      <c r="E289" s="11">
        <f t="shared" si="28"/>
        <v>-53</v>
      </c>
      <c r="F289" s="11">
        <f t="shared" si="29"/>
        <v>-4.8699543578578082</v>
      </c>
      <c r="G289" s="11">
        <f t="shared" si="30"/>
        <v>-4.8518336304686693</v>
      </c>
    </row>
    <row r="290" spans="5:7" x14ac:dyDescent="0.25">
      <c r="E290" s="11">
        <f t="shared" si="28"/>
        <v>-52</v>
      </c>
      <c r="F290" s="11">
        <f t="shared" si="29"/>
        <v>-4.7750977557805721</v>
      </c>
      <c r="G290" s="11">
        <f t="shared" si="30"/>
        <v>-4.7541829052580233</v>
      </c>
    </row>
    <row r="291" spans="5:7" x14ac:dyDescent="0.25">
      <c r="E291" s="11">
        <f t="shared" si="28"/>
        <v>-51</v>
      </c>
      <c r="F291" s="11">
        <f t="shared" si="29"/>
        <v>-4.681026073727069</v>
      </c>
      <c r="G291" s="11">
        <f t="shared" si="30"/>
        <v>-4.6580697079313902</v>
      </c>
    </row>
    <row r="292" spans="5:7" x14ac:dyDescent="0.25">
      <c r="E292" s="11">
        <f t="shared" si="28"/>
        <v>-50</v>
      </c>
      <c r="F292" s="11">
        <f t="shared" si="29"/>
        <v>-4.5877169148150907</v>
      </c>
      <c r="G292" s="11">
        <f t="shared" si="30"/>
        <v>-4.5634045260830725</v>
      </c>
    </row>
    <row r="293" spans="5:7" x14ac:dyDescent="0.25">
      <c r="E293" s="11">
        <f t="shared" si="28"/>
        <v>-49</v>
      </c>
      <c r="F293" s="11">
        <f t="shared" si="29"/>
        <v>-4.4951451087442909</v>
      </c>
      <c r="G293" s="11">
        <f t="shared" si="30"/>
        <v>-4.4700978473073736</v>
      </c>
    </row>
    <row r="294" spans="5:7" x14ac:dyDescent="0.25">
      <c r="E294" s="11">
        <f t="shared" si="28"/>
        <v>-48</v>
      </c>
      <c r="F294" s="11">
        <f t="shared" si="29"/>
        <v>-4.4032828531081725</v>
      </c>
      <c r="G294" s="11">
        <f t="shared" si="30"/>
        <v>-4.378060159198597</v>
      </c>
    </row>
    <row r="295" spans="5:7" x14ac:dyDescent="0.25">
      <c r="E295" s="11">
        <f t="shared" si="28"/>
        <v>-47</v>
      </c>
      <c r="F295" s="11">
        <f t="shared" si="29"/>
        <v>-4.3120998577719023</v>
      </c>
      <c r="G295" s="11">
        <f t="shared" si="30"/>
        <v>-4.2872019493510454</v>
      </c>
    </row>
    <row r="296" spans="5:7" x14ac:dyDescent="0.25">
      <c r="E296" s="11">
        <f t="shared" si="28"/>
        <v>-46</v>
      </c>
      <c r="F296" s="11">
        <f t="shared" si="29"/>
        <v>-4.2215634918270819</v>
      </c>
      <c r="G296" s="11">
        <f t="shared" si="30"/>
        <v>-4.1974337053590212</v>
      </c>
    </row>
    <row r="297" spans="5:7" x14ac:dyDescent="0.25">
      <c r="E297" s="11">
        <f t="shared" si="28"/>
        <v>-45</v>
      </c>
      <c r="F297" s="11">
        <f t="shared" si="29"/>
        <v>-4.1316389326482694</v>
      </c>
      <c r="G297" s="11">
        <f t="shared" si="30"/>
        <v>-4.1086659148168305</v>
      </c>
    </row>
    <row r="298" spans="5:7" x14ac:dyDescent="0.25">
      <c r="E298" s="11">
        <f t="shared" si="28"/>
        <v>-44</v>
      </c>
      <c r="F298" s="11">
        <f t="shared" si="29"/>
        <v>-4.0422893165896028</v>
      </c>
      <c r="G298" s="11">
        <f t="shared" si="30"/>
        <v>-4.0208090653187742</v>
      </c>
    </row>
    <row r="299" spans="5:7" x14ac:dyDescent="0.25">
      <c r="E299" s="11">
        <f t="shared" si="28"/>
        <v>-43</v>
      </c>
      <c r="F299" s="11">
        <f t="shared" si="29"/>
        <v>-3.9534758908735075</v>
      </c>
      <c r="G299" s="11">
        <f t="shared" si="30"/>
        <v>-3.9337736444591571</v>
      </c>
    </row>
    <row r="300" spans="5:7" x14ac:dyDescent="0.25">
      <c r="E300" s="11">
        <f t="shared" si="28"/>
        <v>-42</v>
      </c>
      <c r="F300" s="11">
        <f t="shared" si="29"/>
        <v>-3.8651581662371783</v>
      </c>
      <c r="G300" s="11">
        <f t="shared" si="30"/>
        <v>-3.8474701398322817</v>
      </c>
    </row>
    <row r="301" spans="5:7" x14ac:dyDescent="0.25">
      <c r="E301" s="11">
        <f t="shared" si="28"/>
        <v>-41</v>
      </c>
      <c r="F301" s="11">
        <f t="shared" si="29"/>
        <v>-3.7772940699159681</v>
      </c>
      <c r="G301" s="11">
        <f t="shared" si="30"/>
        <v>-3.7618090390324515</v>
      </c>
    </row>
    <row r="302" spans="5:7" x14ac:dyDescent="0.25">
      <c r="E302" s="11">
        <f t="shared" si="28"/>
        <v>-40</v>
      </c>
      <c r="F302" s="11">
        <f t="shared" si="29"/>
        <v>-3.6898400985566244</v>
      </c>
      <c r="G302" s="11">
        <f t="shared" si="30"/>
        <v>-3.6767008296539698</v>
      </c>
    </row>
    <row r="303" spans="5:7" x14ac:dyDescent="0.25">
      <c r="E303" s="11">
        <f t="shared" si="28"/>
        <v>-39</v>
      </c>
      <c r="F303" s="11">
        <f t="shared" si="29"/>
        <v>-3.6027514706668073</v>
      </c>
      <c r="G303" s="11">
        <f t="shared" si="30"/>
        <v>-3.5920559992911407</v>
      </c>
    </row>
    <row r="304" spans="5:7" x14ac:dyDescent="0.25">
      <c r="E304" s="11">
        <f t="shared" si="28"/>
        <v>-38</v>
      </c>
      <c r="F304" s="11">
        <f t="shared" si="29"/>
        <v>-3.5159822782209926</v>
      </c>
      <c r="G304" s="11">
        <f t="shared" si="30"/>
        <v>-3.5077850355382658</v>
      </c>
    </row>
    <row r="305" spans="5:7" x14ac:dyDescent="0.25">
      <c r="E305" s="11">
        <f t="shared" si="28"/>
        <v>-37</v>
      </c>
      <c r="F305" s="11">
        <f t="shared" si="29"/>
        <v>-3.4294856370564717</v>
      </c>
      <c r="G305" s="11">
        <f t="shared" si="30"/>
        <v>-3.4237984259896503</v>
      </c>
    </row>
    <row r="306" spans="5:7" x14ac:dyDescent="0.25">
      <c r="E306" s="11">
        <f t="shared" si="28"/>
        <v>-36</v>
      </c>
      <c r="F306" s="11">
        <f t="shared" si="29"/>
        <v>-3.3432138357067869</v>
      </c>
      <c r="G306" s="11">
        <f t="shared" si="30"/>
        <v>-3.3400066582395969</v>
      </c>
    </row>
    <row r="307" spans="5:7" x14ac:dyDescent="0.25">
      <c r="E307" s="11">
        <f t="shared" si="28"/>
        <v>-35</v>
      </c>
      <c r="F307" s="11">
        <f t="shared" si="29"/>
        <v>-3.2571184823335408</v>
      </c>
      <c r="G307" s="11">
        <f t="shared" si="30"/>
        <v>-3.2563202198824084</v>
      </c>
    </row>
    <row r="308" spans="5:7" x14ac:dyDescent="0.25">
      <c r="E308" s="11">
        <f t="shared" si="28"/>
        <v>-34</v>
      </c>
      <c r="F308" s="11">
        <f t="shared" si="29"/>
        <v>-3.1711506494311634</v>
      </c>
      <c r="G308" s="11">
        <f t="shared" si="30"/>
        <v>-3.1726495985123888</v>
      </c>
    </row>
    <row r="309" spans="5:7" x14ac:dyDescent="0.25">
      <c r="E309" s="11">
        <f t="shared" si="28"/>
        <v>-33</v>
      </c>
      <c r="F309" s="11">
        <f t="shared" si="29"/>
        <v>-3.0852610159928218</v>
      </c>
      <c r="G309" s="11">
        <f t="shared" si="30"/>
        <v>-3.0889052817238407</v>
      </c>
    </row>
    <row r="310" spans="5:7" x14ac:dyDescent="0.25">
      <c r="E310" s="11">
        <f t="shared" si="28"/>
        <v>-32</v>
      </c>
      <c r="F310" s="11">
        <f t="shared" si="29"/>
        <v>-2.9994000068392812</v>
      </c>
      <c r="G310" s="11">
        <f t="shared" si="30"/>
        <v>-3.004997757111068</v>
      </c>
    </row>
    <row r="311" spans="5:7" x14ac:dyDescent="0.25">
      <c r="E311" s="11">
        <f t="shared" si="28"/>
        <v>-31</v>
      </c>
      <c r="F311" s="11">
        <f t="shared" si="29"/>
        <v>-2.9135179288261468</v>
      </c>
      <c r="G311" s="11">
        <f t="shared" si="30"/>
        <v>-2.9208375122683741</v>
      </c>
    </row>
    <row r="312" spans="5:7" x14ac:dyDescent="0.25">
      <c r="E312" s="11">
        <f t="shared" si="28"/>
        <v>-30</v>
      </c>
      <c r="F312" s="11">
        <f t="shared" si="29"/>
        <v>-2.8275651036585301</v>
      </c>
      <c r="G312" s="11">
        <f t="shared" si="30"/>
        <v>-2.836335034790062</v>
      </c>
    </row>
    <row r="313" spans="5:7" x14ac:dyDescent="0.25">
      <c r="E313" s="11">
        <f t="shared" si="28"/>
        <v>-29</v>
      </c>
      <c r="F313" s="11">
        <f t="shared" si="29"/>
        <v>-2.7414919970558183</v>
      </c>
      <c r="G313" s="11">
        <f t="shared" si="30"/>
        <v>-2.7514119922333014</v>
      </c>
    </row>
    <row r="314" spans="5:7" x14ac:dyDescent="0.25">
      <c r="E314" s="11">
        <f t="shared" si="28"/>
        <v>-28</v>
      </c>
      <c r="F314" s="11">
        <f t="shared" si="29"/>
        <v>-2.6552493440228182</v>
      </c>
      <c r="G314" s="11">
        <f t="shared" si="30"/>
        <v>-2.6660347720067237</v>
      </c>
    </row>
    <row r="315" spans="5:7" x14ac:dyDescent="0.25">
      <c r="E315" s="11">
        <f t="shared" si="28"/>
        <v>-27</v>
      </c>
      <c r="F315" s="11">
        <f t="shared" si="29"/>
        <v>-2.5687882699971851</v>
      </c>
      <c r="G315" s="11">
        <f t="shared" si="30"/>
        <v>-2.580180941481828</v>
      </c>
    </row>
    <row r="316" spans="5:7" x14ac:dyDescent="0.25">
      <c r="E316" s="11">
        <f t="shared" si="28"/>
        <v>-26</v>
      </c>
      <c r="F316" s="11">
        <f t="shared" si="29"/>
        <v>-2.482060407656669</v>
      </c>
      <c r="G316" s="11">
        <f t="shared" si="30"/>
        <v>-2.4938280680301124</v>
      </c>
    </row>
    <row r="317" spans="5:7" x14ac:dyDescent="0.25">
      <c r="E317" s="11">
        <f t="shared" si="28"/>
        <v>-25</v>
      </c>
      <c r="F317" s="11">
        <f t="shared" si="29"/>
        <v>-2.3950180091833153</v>
      </c>
      <c r="G317" s="11">
        <f t="shared" si="30"/>
        <v>-2.406953719023075</v>
      </c>
    </row>
    <row r="318" spans="5:7" x14ac:dyDescent="0.25">
      <c r="E318" s="11">
        <f t="shared" si="28"/>
        <v>-24</v>
      </c>
      <c r="F318" s="11">
        <f t="shared" si="29"/>
        <v>-2.3076140537953682</v>
      </c>
      <c r="G318" s="11">
        <f t="shared" si="30"/>
        <v>-2.3195354618322144</v>
      </c>
    </row>
    <row r="319" spans="5:7" x14ac:dyDescent="0.25">
      <c r="E319" s="11">
        <f t="shared" si="28"/>
        <v>-23</v>
      </c>
      <c r="F319" s="11">
        <f t="shared" si="29"/>
        <v>-2.2198023503712978</v>
      </c>
      <c r="G319" s="11">
        <f t="shared" si="30"/>
        <v>-2.2315508638290282</v>
      </c>
    </row>
    <row r="320" spans="5:7" x14ac:dyDescent="0.25">
      <c r="E320" s="11">
        <f t="shared" si="28"/>
        <v>-22</v>
      </c>
      <c r="F320" s="11">
        <f t="shared" si="29"/>
        <v>-2.1315376350039079</v>
      </c>
      <c r="G320" s="11">
        <f t="shared" si="30"/>
        <v>-2.1429774923850156</v>
      </c>
    </row>
    <row r="321" spans="5:7" x14ac:dyDescent="0.25">
      <c r="E321" s="11">
        <f t="shared" si="28"/>
        <v>-21</v>
      </c>
      <c r="F321" s="11">
        <f t="shared" si="29"/>
        <v>-2.0427756633361751</v>
      </c>
      <c r="G321" s="11">
        <f t="shared" si="30"/>
        <v>-2.0537929148716736</v>
      </c>
    </row>
    <row r="322" spans="5:7" x14ac:dyDescent="0.25">
      <c r="E322" s="11">
        <f t="shared" si="28"/>
        <v>-20</v>
      </c>
      <c r="F322" s="11">
        <f t="shared" si="29"/>
        <v>-1.9534732975440463</v>
      </c>
      <c r="G322" s="11">
        <f t="shared" si="30"/>
        <v>-1.9639746986605018</v>
      </c>
    </row>
    <row r="323" spans="5:7" x14ac:dyDescent="0.25">
      <c r="E323" s="11">
        <f t="shared" si="28"/>
        <v>-19</v>
      </c>
      <c r="F323" s="11">
        <f t="shared" si="29"/>
        <v>-1.8635885878450555</v>
      </c>
      <c r="G323" s="11">
        <f t="shared" si="30"/>
        <v>-1.8735004111229978</v>
      </c>
    </row>
    <row r="324" spans="5:7" x14ac:dyDescent="0.25">
      <c r="E324" s="11">
        <f t="shared" si="28"/>
        <v>-18</v>
      </c>
      <c r="F324" s="11">
        <f t="shared" si="29"/>
        <v>-1.7730808484252409</v>
      </c>
      <c r="G324" s="11">
        <f t="shared" si="30"/>
        <v>-1.78234761963066</v>
      </c>
    </row>
    <row r="325" spans="5:7" x14ac:dyDescent="0.25">
      <c r="E325" s="11">
        <f t="shared" si="28"/>
        <v>-17</v>
      </c>
      <c r="F325" s="11">
        <f t="shared" si="29"/>
        <v>-1.6819107276904572</v>
      </c>
      <c r="G325" s="11">
        <f t="shared" si="30"/>
        <v>-1.6904938915549863</v>
      </c>
    </row>
    <row r="326" spans="5:7" x14ac:dyDescent="0.25">
      <c r="E326" s="11">
        <f t="shared" si="28"/>
        <v>-16</v>
      </c>
      <c r="F326" s="11">
        <f t="shared" si="29"/>
        <v>-1.5900402727617988</v>
      </c>
      <c r="G326" s="11">
        <f t="shared" si="30"/>
        <v>-1.5979167942674755</v>
      </c>
    </row>
    <row r="327" spans="5:7" x14ac:dyDescent="0.25">
      <c r="E327" s="11">
        <f t="shared" si="28"/>
        <v>-15</v>
      </c>
      <c r="F327" s="11">
        <f t="shared" si="29"/>
        <v>-1.4974329881484698</v>
      </c>
      <c r="G327" s="11">
        <f t="shared" si="30"/>
        <v>-1.5045938951396254</v>
      </c>
    </row>
    <row r="328" spans="5:7" x14ac:dyDescent="0.25">
      <c r="E328" s="11">
        <f t="shared" si="28"/>
        <v>-14</v>
      </c>
      <c r="F328" s="11">
        <f t="shared" si="29"/>
        <v>-1.4040538885450613</v>
      </c>
      <c r="G328" s="11">
        <f t="shared" si="30"/>
        <v>-1.4105027615429344</v>
      </c>
    </row>
    <row r="329" spans="5:7" x14ac:dyDescent="0.25">
      <c r="E329" s="11">
        <f t="shared" si="28"/>
        <v>-13</v>
      </c>
      <c r="F329" s="11">
        <f t="shared" si="29"/>
        <v>-1.3098695457138008</v>
      </c>
      <c r="G329" s="11">
        <f t="shared" si="30"/>
        <v>-1.3156209608489013</v>
      </c>
    </row>
    <row r="330" spans="5:7" x14ac:dyDescent="0.25">
      <c r="E330" s="11">
        <f t="shared" si="28"/>
        <v>-12</v>
      </c>
      <c r="F330" s="11">
        <f t="shared" si="29"/>
        <v>-1.2148481294259785</v>
      </c>
      <c r="G330" s="11">
        <f t="shared" si="30"/>
        <v>-1.2199260604290234</v>
      </c>
    </row>
    <row r="331" spans="5:7" x14ac:dyDescent="0.25">
      <c r="E331" s="11">
        <f t="shared" si="28"/>
        <v>-11</v>
      </c>
      <c r="F331" s="11">
        <f t="shared" si="29"/>
        <v>-1.1189594424503475</v>
      </c>
      <c r="G331" s="11">
        <f t="shared" si="30"/>
        <v>-1.1233956276547996</v>
      </c>
    </row>
    <row r="332" spans="5:7" x14ac:dyDescent="0.25">
      <c r="E332" s="11">
        <f t="shared" si="28"/>
        <v>-10</v>
      </c>
      <c r="F332" s="11">
        <f t="shared" si="29"/>
        <v>-1.0221749495899455</v>
      </c>
      <c r="G332" s="11">
        <f t="shared" si="30"/>
        <v>-1.0260072298977279</v>
      </c>
    </row>
    <row r="333" spans="5:7" x14ac:dyDescent="0.25">
      <c r="E333" s="11">
        <f t="shared" si="28"/>
        <v>-9</v>
      </c>
      <c r="F333" s="11">
        <f t="shared" si="29"/>
        <v>-0.924467800782385</v>
      </c>
      <c r="G333" s="11">
        <f t="shared" si="30"/>
        <v>-0.92773843452930682</v>
      </c>
    </row>
    <row r="334" spans="5:7" x14ac:dyDescent="0.25">
      <c r="E334" s="11">
        <f t="shared" si="28"/>
        <v>-8</v>
      </c>
      <c r="F334" s="11">
        <f t="shared" si="29"/>
        <v>-0.82581284829227042</v>
      </c>
      <c r="G334" s="11">
        <f t="shared" si="30"/>
        <v>-0.82856680892103429</v>
      </c>
    </row>
    <row r="335" spans="5:7" x14ac:dyDescent="0.25">
      <c r="E335" s="11">
        <f t="shared" si="28"/>
        <v>-7</v>
      </c>
      <c r="F335" s="11">
        <f t="shared" si="29"/>
        <v>-0.72618665803804794</v>
      </c>
      <c r="G335" s="11">
        <f t="shared" si="30"/>
        <v>-0.72846992044440895</v>
      </c>
    </row>
    <row r="336" spans="5:7" x14ac:dyDescent="0.25">
      <c r="E336" s="11">
        <f t="shared" si="28"/>
        <v>-6</v>
      </c>
      <c r="F336" s="11">
        <f t="shared" si="29"/>
        <v>-0.62556751510918907</v>
      </c>
      <c r="G336" s="11">
        <f t="shared" si="30"/>
        <v>-0.62742533647092869</v>
      </c>
    </row>
    <row r="337" spans="5:7" x14ac:dyDescent="0.25">
      <c r="E337" s="11">
        <f t="shared" si="28"/>
        <v>-5</v>
      </c>
      <c r="F337" s="11">
        <f t="shared" si="29"/>
        <v>-0.52393542354323352</v>
      </c>
      <c r="G337" s="11">
        <f t="shared" si="30"/>
        <v>-0.52541062437209196</v>
      </c>
    </row>
    <row r="338" spans="5:7" x14ac:dyDescent="0.25">
      <c r="E338" s="11">
        <f t="shared" si="28"/>
        <v>-4</v>
      </c>
      <c r="F338" s="11">
        <f t="shared" si="29"/>
        <v>-0.42127210044584235</v>
      </c>
      <c r="G338" s="11">
        <f t="shared" si="30"/>
        <v>-0.42240335151939701</v>
      </c>
    </row>
    <row r="339" spans="5:7" x14ac:dyDescent="0.25">
      <c r="E339" s="11">
        <f t="shared" si="28"/>
        <v>-3</v>
      </c>
      <c r="F339" s="11">
        <f t="shared" si="29"/>
        <v>-0.3175609645506281</v>
      </c>
      <c r="G339" s="11">
        <f t="shared" si="30"/>
        <v>-0.31838108528434211</v>
      </c>
    </row>
    <row r="340" spans="5:7" x14ac:dyDescent="0.25">
      <c r="E340" s="11">
        <f t="shared" si="28"/>
        <v>-2</v>
      </c>
      <c r="F340" s="11">
        <f t="shared" si="29"/>
        <v>-0.21278711932914363</v>
      </c>
      <c r="G340" s="11">
        <f t="shared" si="30"/>
        <v>-0.21332139303842546</v>
      </c>
    </row>
    <row r="341" spans="5:7" x14ac:dyDescent="0.25">
      <c r="E341" s="11">
        <f t="shared" si="28"/>
        <v>-1</v>
      </c>
      <c r="F341" s="11">
        <f t="shared" si="29"/>
        <v>-0.10693733077503771</v>
      </c>
      <c r="G341" s="11">
        <f t="shared" si="30"/>
        <v>-0.10720184215314536</v>
      </c>
    </row>
    <row r="342" spans="5:7" x14ac:dyDescent="0.25">
      <c r="E342" s="11">
        <f t="shared" si="28"/>
        <v>0</v>
      </c>
      <c r="F342" s="11">
        <f t="shared" si="29"/>
        <v>0</v>
      </c>
      <c r="G342" s="11">
        <f t="shared" si="30"/>
        <v>-2.7755575615628914E-17</v>
      </c>
    </row>
    <row r="343" spans="5:7" x14ac:dyDescent="0.25">
      <c r="E343" s="11">
        <f t="shared" si="28"/>
        <v>1</v>
      </c>
      <c r="F343" s="11">
        <f t="shared" si="29"/>
        <v>0.10803486920726184</v>
      </c>
      <c r="G343" s="11">
        <f t="shared" si="30"/>
        <v>0.10830226094385086</v>
      </c>
    </row>
    <row r="344" spans="5:7" x14ac:dyDescent="0.25">
      <c r="E344" s="11">
        <f t="shared" si="28"/>
        <v>2</v>
      </c>
      <c r="F344" s="11">
        <f t="shared" si="29"/>
        <v>0.21717570769414951</v>
      </c>
      <c r="G344" s="11">
        <f t="shared" si="30"/>
        <v>0.2177058477786015</v>
      </c>
    </row>
    <row r="345" spans="5:7" x14ac:dyDescent="0.25">
      <c r="E345" s="11">
        <f t="shared" si="28"/>
        <v>3</v>
      </c>
      <c r="F345" s="11">
        <f t="shared" si="29"/>
        <v>0.32742942295092592</v>
      </c>
      <c r="G345" s="11">
        <f t="shared" si="30"/>
        <v>0.32820736249878507</v>
      </c>
    </row>
    <row r="346" spans="5:7" x14ac:dyDescent="0.25">
      <c r="E346" s="11">
        <f t="shared" si="28"/>
        <v>4</v>
      </c>
      <c r="F346" s="11">
        <f t="shared" si="29"/>
        <v>0.43880144561898887</v>
      </c>
      <c r="G346" s="11">
        <f t="shared" si="30"/>
        <v>0.43980340709893445</v>
      </c>
    </row>
    <row r="347" spans="5:7" x14ac:dyDescent="0.25">
      <c r="E347" s="11">
        <f t="shared" si="28"/>
        <v>5</v>
      </c>
      <c r="F347" s="11">
        <f t="shared" si="29"/>
        <v>0.55129578029494841</v>
      </c>
      <c r="G347" s="11">
        <f t="shared" si="30"/>
        <v>0.55249058357358261</v>
      </c>
    </row>
    <row r="348" spans="5:7" x14ac:dyDescent="0.25">
      <c r="E348" s="11">
        <f t="shared" si="28"/>
        <v>6</v>
      </c>
      <c r="F348" s="11">
        <f t="shared" si="29"/>
        <v>0.66491506041116843</v>
      </c>
      <c r="G348" s="11">
        <f t="shared" si="30"/>
        <v>0.66626549391726242</v>
      </c>
    </row>
    <row r="349" spans="5:7" x14ac:dyDescent="0.25">
      <c r="E349" s="11">
        <f t="shared" si="28"/>
        <v>7</v>
      </c>
      <c r="F349" s="11">
        <f t="shared" si="29"/>
        <v>0.7796606069598121</v>
      </c>
      <c r="G349" s="11">
        <f t="shared" si="30"/>
        <v>0.78112474012450694</v>
      </c>
    </row>
    <row r="350" spans="5:7" x14ac:dyDescent="0.25">
      <c r="E350" s="11">
        <f t="shared" si="28"/>
        <v>8</v>
      </c>
      <c r="F350" s="11">
        <f t="shared" si="29"/>
        <v>0.89553249081381714</v>
      </c>
      <c r="G350" s="11">
        <f t="shared" si="30"/>
        <v>0.89706492418984918</v>
      </c>
    </row>
    <row r="351" spans="5:7" x14ac:dyDescent="0.25">
      <c r="E351" s="11">
        <f t="shared" ref="E351:E414" si="31">E144</f>
        <v>9</v>
      </c>
      <c r="F351" s="11">
        <f t="shared" ref="F351:F414" si="32">$H$217*0+E351*$I$217+E351^2*$J$217+E351^3*$K$217+E351^4*$L$217+E351^5*$M$217+E351^6*$N$217+E351^7*$O$217+E351^8*$P$217</f>
        <v>1.012529598384601</v>
      </c>
      <c r="G351" s="11">
        <f t="shared" ref="G351:G414" si="33">F144</f>
        <v>1.014082648107822</v>
      </c>
    </row>
    <row r="352" spans="5:7" x14ac:dyDescent="0.25">
      <c r="E352" s="11">
        <f t="shared" si="31"/>
        <v>10</v>
      </c>
      <c r="F352" s="11">
        <f t="shared" si="32"/>
        <v>1.1306497003426816</v>
      </c>
      <c r="G352" s="11">
        <f t="shared" si="33"/>
        <v>1.1321745138729582</v>
      </c>
    </row>
    <row r="353" spans="5:7" x14ac:dyDescent="0.25">
      <c r="E353" s="11">
        <f t="shared" si="31"/>
        <v>11</v>
      </c>
      <c r="F353" s="11">
        <f t="shared" si="32"/>
        <v>1.2498895231137783</v>
      </c>
      <c r="G353" s="11">
        <f t="shared" si="33"/>
        <v>1.251337123479791</v>
      </c>
    </row>
    <row r="354" spans="5:7" x14ac:dyDescent="0.25">
      <c r="E354" s="11">
        <f t="shared" si="31"/>
        <v>12</v>
      </c>
      <c r="F354" s="11">
        <f t="shared" si="32"/>
        <v>1.3702448228493378</v>
      </c>
      <c r="G354" s="11">
        <f t="shared" si="33"/>
        <v>1.3715670789228533</v>
      </c>
    </row>
    <row r="355" spans="5:7" x14ac:dyDescent="0.25">
      <c r="E355" s="11">
        <f t="shared" si="31"/>
        <v>13</v>
      </c>
      <c r="F355" s="11">
        <f t="shared" si="32"/>
        <v>1.491710461556814</v>
      </c>
      <c r="G355" s="11">
        <f t="shared" si="33"/>
        <v>1.4928609821966778</v>
      </c>
    </row>
    <row r="356" spans="5:7" x14ac:dyDescent="0.25">
      <c r="E356" s="11">
        <f t="shared" si="31"/>
        <v>14</v>
      </c>
      <c r="F356" s="11">
        <f t="shared" si="32"/>
        <v>1.6142804850614039</v>
      </c>
      <c r="G356" s="11">
        <f t="shared" si="33"/>
        <v>1.6152154352957981</v>
      </c>
    </row>
    <row r="357" spans="5:7" x14ac:dyDescent="0.25">
      <c r="E357" s="11">
        <f t="shared" si="31"/>
        <v>15</v>
      </c>
      <c r="F357" s="11">
        <f t="shared" si="32"/>
        <v>1.7379482024573336</v>
      </c>
      <c r="G357" s="11">
        <f t="shared" si="33"/>
        <v>1.7386270402147463</v>
      </c>
    </row>
    <row r="358" spans="5:7" x14ac:dyDescent="0.25">
      <c r="E358" s="11">
        <f t="shared" si="31"/>
        <v>16</v>
      </c>
      <c r="F358" s="11">
        <f t="shared" si="32"/>
        <v>1.8627062666931586</v>
      </c>
      <c r="G358" s="11">
        <f t="shared" si="33"/>
        <v>1.8630923989480559</v>
      </c>
    </row>
    <row r="359" spans="5:7" x14ac:dyDescent="0.25">
      <c r="E359" s="11">
        <f t="shared" si="31"/>
        <v>17</v>
      </c>
      <c r="F359" s="11">
        <f t="shared" si="32"/>
        <v>1.9885467559219319</v>
      </c>
      <c r="G359" s="11">
        <f t="shared" si="33"/>
        <v>1.98860811349026</v>
      </c>
    </row>
    <row r="360" spans="5:7" x14ac:dyDescent="0.25">
      <c r="E360" s="11">
        <f t="shared" si="31"/>
        <v>18</v>
      </c>
      <c r="F360" s="11">
        <f t="shared" si="32"/>
        <v>2.115461255233464</v>
      </c>
      <c r="G360" s="11">
        <f t="shared" si="33"/>
        <v>2.115170785835891</v>
      </c>
    </row>
    <row r="361" spans="5:7" x14ac:dyDescent="0.25">
      <c r="E361" s="11">
        <f t="shared" si="31"/>
        <v>19</v>
      </c>
      <c r="F361" s="11">
        <f t="shared" si="32"/>
        <v>2.2434409383722937</v>
      </c>
      <c r="G361" s="11">
        <f t="shared" si="33"/>
        <v>2.2427770179794821</v>
      </c>
    </row>
    <row r="362" spans="5:7" x14ac:dyDescent="0.25">
      <c r="E362" s="11">
        <f t="shared" si="31"/>
        <v>20</v>
      </c>
      <c r="F362" s="11">
        <f t="shared" si="32"/>
        <v>2.3724766490313596</v>
      </c>
      <c r="G362" s="11">
        <f t="shared" si="33"/>
        <v>2.3714234119155666</v>
      </c>
    </row>
    <row r="363" spans="5:7" x14ac:dyDescent="0.25">
      <c r="E363" s="11">
        <f t="shared" si="31"/>
        <v>21</v>
      </c>
      <c r="F363" s="11">
        <f t="shared" si="32"/>
        <v>2.5025589812977351</v>
      </c>
      <c r="G363" s="11">
        <f t="shared" si="33"/>
        <v>2.5011065696386767</v>
      </c>
    </row>
    <row r="364" spans="5:7" x14ac:dyDescent="0.25">
      <c r="E364" s="11">
        <f t="shared" si="31"/>
        <v>22</v>
      </c>
      <c r="F364" s="11">
        <f t="shared" si="32"/>
        <v>2.6336783588131993</v>
      </c>
      <c r="G364" s="11">
        <f t="shared" si="33"/>
        <v>2.6318230931433462</v>
      </c>
    </row>
    <row r="365" spans="5:7" x14ac:dyDescent="0.25">
      <c r="E365" s="11">
        <f t="shared" si="31"/>
        <v>23</v>
      </c>
      <c r="F365" s="11">
        <f t="shared" si="32"/>
        <v>2.7658251121987592</v>
      </c>
      <c r="G365" s="11">
        <f t="shared" si="33"/>
        <v>2.7635695844241077</v>
      </c>
    </row>
    <row r="366" spans="5:7" x14ac:dyDescent="0.25">
      <c r="E366" s="11">
        <f t="shared" si="31"/>
        <v>24</v>
      </c>
      <c r="F366" s="11">
        <f t="shared" si="32"/>
        <v>2.8989895542786508</v>
      </c>
      <c r="G366" s="11">
        <f t="shared" si="33"/>
        <v>2.8963426454754937</v>
      </c>
    </row>
    <row r="367" spans="5:7" x14ac:dyDescent="0.25">
      <c r="E367" s="11">
        <f t="shared" si="31"/>
        <v>25</v>
      </c>
      <c r="F367" s="11">
        <f t="shared" si="32"/>
        <v>3.0331620526257148</v>
      </c>
      <c r="G367" s="11">
        <f t="shared" si="33"/>
        <v>3.0301388782920378</v>
      </c>
    </row>
    <row r="368" spans="5:7" x14ac:dyDescent="0.25">
      <c r="E368" s="11">
        <f t="shared" si="31"/>
        <v>26</v>
      </c>
      <c r="F368" s="11">
        <f t="shared" si="32"/>
        <v>3.1683330989364071</v>
      </c>
      <c r="G368" s="11">
        <f t="shared" si="33"/>
        <v>3.1649548848682727</v>
      </c>
    </row>
    <row r="369" spans="5:7" x14ac:dyDescent="0.25">
      <c r="E369" s="11">
        <f t="shared" si="31"/>
        <v>27</v>
      </c>
      <c r="F369" s="11">
        <f t="shared" si="32"/>
        <v>3.3044933747301304</v>
      </c>
      <c r="G369" s="11">
        <f t="shared" si="33"/>
        <v>3.3007872671987322</v>
      </c>
    </row>
    <row r="370" spans="5:7" x14ac:dyDescent="0.25">
      <c r="E370" s="11">
        <f t="shared" si="31"/>
        <v>28</v>
      </c>
      <c r="F370" s="11">
        <f t="shared" si="32"/>
        <v>3.4416338128538935</v>
      </c>
      <c r="G370" s="11">
        <f t="shared" si="33"/>
        <v>3.4376326272779476</v>
      </c>
    </row>
    <row r="371" spans="5:7" x14ac:dyDescent="0.25">
      <c r="E371" s="11">
        <f t="shared" si="31"/>
        <v>29</v>
      </c>
      <c r="F371" s="11">
        <f t="shared" si="32"/>
        <v>3.5797456542597459</v>
      </c>
      <c r="G371" s="11">
        <f t="shared" si="33"/>
        <v>3.5754875671004527</v>
      </c>
    </row>
    <row r="372" spans="5:7" x14ac:dyDescent="0.25">
      <c r="E372" s="11">
        <f t="shared" si="31"/>
        <v>30</v>
      </c>
      <c r="F372" s="11">
        <f t="shared" si="32"/>
        <v>3.7188204995087681</v>
      </c>
      <c r="G372" s="11">
        <f t="shared" si="33"/>
        <v>3.7143486886607806</v>
      </c>
    </row>
    <row r="373" spans="5:7" x14ac:dyDescent="0.25">
      <c r="E373" s="11">
        <f t="shared" si="31"/>
        <v>31</v>
      </c>
      <c r="F373" s="11">
        <f t="shared" si="32"/>
        <v>3.8588503544418047</v>
      </c>
      <c r="G373" s="11">
        <f t="shared" si="33"/>
        <v>3.8542125939534642</v>
      </c>
    </row>
    <row r="374" spans="5:7" x14ac:dyDescent="0.25">
      <c r="E374" s="11">
        <f t="shared" si="31"/>
        <v>32</v>
      </c>
      <c r="F374" s="11">
        <f t="shared" si="32"/>
        <v>3.9998276694435009</v>
      </c>
      <c r="G374" s="11">
        <f t="shared" si="33"/>
        <v>3.9950758849730361</v>
      </c>
    </row>
    <row r="375" spans="5:7" x14ac:dyDescent="0.25">
      <c r="E375" s="11">
        <f t="shared" si="31"/>
        <v>33</v>
      </c>
      <c r="F375" s="11">
        <f t="shared" si="32"/>
        <v>4.1417453717125925</v>
      </c>
      <c r="G375" s="11">
        <f t="shared" si="33"/>
        <v>4.1369351637140301</v>
      </c>
    </row>
    <row r="376" spans="5:7" x14ac:dyDescent="0.25">
      <c r="E376" s="11">
        <f t="shared" si="31"/>
        <v>34</v>
      </c>
      <c r="F376" s="11">
        <f t="shared" si="32"/>
        <v>4.2845968899377569</v>
      </c>
      <c r="G376" s="11">
        <f t="shared" si="33"/>
        <v>4.2797870321709786</v>
      </c>
    </row>
    <row r="377" spans="5:7" x14ac:dyDescent="0.25">
      <c r="E377" s="11">
        <f t="shared" si="31"/>
        <v>35</v>
      </c>
      <c r="F377" s="11">
        <f t="shared" si="32"/>
        <v>4.428376170764742</v>
      </c>
      <c r="G377" s="11">
        <f t="shared" si="33"/>
        <v>4.4236280923384133</v>
      </c>
    </row>
    <row r="378" spans="5:7" x14ac:dyDescent="0.25">
      <c r="E378" s="11">
        <f t="shared" si="31"/>
        <v>36</v>
      </c>
      <c r="F378" s="11">
        <f t="shared" si="32"/>
        <v>4.5730776864268492</v>
      </c>
      <c r="G378" s="11">
        <f t="shared" si="33"/>
        <v>4.5684549462108697</v>
      </c>
    </row>
    <row r="379" spans="5:7" x14ac:dyDescent="0.25">
      <c r="E379" s="11">
        <f t="shared" si="31"/>
        <v>37</v>
      </c>
      <c r="F379" s="11">
        <f t="shared" si="32"/>
        <v>4.7186964328972527</v>
      </c>
      <c r="G379" s="11">
        <f t="shared" si="33"/>
        <v>4.7142641957828788</v>
      </c>
    </row>
    <row r="380" spans="5:7" x14ac:dyDescent="0.25">
      <c r="E380" s="11">
        <f t="shared" si="31"/>
        <v>38</v>
      </c>
      <c r="F380" s="11">
        <f t="shared" si="32"/>
        <v>4.8652279179079709</v>
      </c>
      <c r="G380" s="11">
        <f t="shared" si="33"/>
        <v>4.8610524430489752</v>
      </c>
    </row>
    <row r="381" spans="5:7" x14ac:dyDescent="0.25">
      <c r="E381" s="11">
        <f t="shared" si="31"/>
        <v>39</v>
      </c>
      <c r="F381" s="11">
        <f t="shared" si="32"/>
        <v>5.0126681381667382</v>
      </c>
      <c r="G381" s="11">
        <f t="shared" si="33"/>
        <v>5.008816290003689</v>
      </c>
    </row>
    <row r="382" spans="5:7" x14ac:dyDescent="0.25">
      <c r="E382" s="11">
        <f t="shared" si="31"/>
        <v>40</v>
      </c>
      <c r="F382" s="11">
        <f t="shared" si="32"/>
        <v>5.161013545089399</v>
      </c>
      <c r="G382" s="11">
        <f t="shared" si="33"/>
        <v>5.1575523386415565</v>
      </c>
    </row>
    <row r="383" spans="5:7" x14ac:dyDescent="0.25">
      <c r="E383" s="11">
        <f t="shared" si="31"/>
        <v>41</v>
      </c>
      <c r="F383" s="11">
        <f t="shared" si="32"/>
        <v>5.3102609983517715</v>
      </c>
      <c r="G383" s="11">
        <f t="shared" si="33"/>
        <v>5.3072571909571087</v>
      </c>
    </row>
    <row r="384" spans="5:7" x14ac:dyDescent="0.25">
      <c r="E384" s="11">
        <f t="shared" si="31"/>
        <v>42</v>
      </c>
      <c r="F384" s="11">
        <f t="shared" si="32"/>
        <v>5.4604077065513854</v>
      </c>
      <c r="G384" s="11">
        <f t="shared" si="33"/>
        <v>5.4579274489448792</v>
      </c>
    </row>
    <row r="385" spans="5:7" x14ac:dyDescent="0.25">
      <c r="E385" s="11">
        <f t="shared" si="31"/>
        <v>43</v>
      </c>
      <c r="F385" s="11">
        <f t="shared" si="32"/>
        <v>5.6114511542558336</v>
      </c>
      <c r="G385" s="11">
        <f t="shared" si="33"/>
        <v>5.6095597145994009</v>
      </c>
    </row>
    <row r="386" spans="5:7" x14ac:dyDescent="0.25">
      <c r="E386" s="11">
        <f t="shared" si="31"/>
        <v>44</v>
      </c>
      <c r="F386" s="11">
        <f t="shared" si="32"/>
        <v>5.7633890147008628</v>
      </c>
      <c r="G386" s="11">
        <f t="shared" si="33"/>
        <v>5.7621505899152066</v>
      </c>
    </row>
    <row r="387" spans="5:7" x14ac:dyDescent="0.25">
      <c r="E387" s="11">
        <f t="shared" si="31"/>
        <v>45</v>
      </c>
      <c r="F387" s="11">
        <f t="shared" si="32"/>
        <v>5.916219047387723</v>
      </c>
      <c r="G387" s="11">
        <f t="shared" si="33"/>
        <v>5.9156966768868289</v>
      </c>
    </row>
    <row r="388" spans="5:7" x14ac:dyDescent="0.25">
      <c r="E388" s="11">
        <f t="shared" si="31"/>
        <v>46</v>
      </c>
      <c r="F388" s="11">
        <f t="shared" si="32"/>
        <v>6.0699389798156584</v>
      </c>
      <c r="G388" s="11">
        <f t="shared" si="33"/>
        <v>6.0701906113970923</v>
      </c>
    </row>
    <row r="389" spans="5:7" x14ac:dyDescent="0.25">
      <c r="E389" s="11">
        <f t="shared" si="31"/>
        <v>47</v>
      </c>
      <c r="F389" s="11">
        <f t="shared" si="32"/>
        <v>6.224546372571834</v>
      </c>
      <c r="G389" s="11">
        <f t="shared" si="33"/>
        <v>6.2256091648819813</v>
      </c>
    </row>
    <row r="390" spans="5:7" x14ac:dyDescent="0.25">
      <c r="E390" s="11">
        <f t="shared" si="31"/>
        <v>48</v>
      </c>
      <c r="F390" s="11">
        <f t="shared" si="32"/>
        <v>6.3800384669873216</v>
      </c>
      <c r="G390" s="11">
        <f t="shared" si="33"/>
        <v>6.3819251426657715</v>
      </c>
    </row>
    <row r="391" spans="5:7" x14ac:dyDescent="0.25">
      <c r="E391" s="11">
        <f t="shared" si="31"/>
        <v>49</v>
      </c>
      <c r="F391" s="11">
        <f t="shared" si="32"/>
        <v>6.5364120145542008</v>
      </c>
      <c r="G391" s="11">
        <f t="shared" si="33"/>
        <v>6.5391113500727371</v>
      </c>
    </row>
    <row r="392" spans="5:7" x14ac:dyDescent="0.25">
      <c r="E392" s="11">
        <f t="shared" si="31"/>
        <v>50</v>
      </c>
      <c r="F392" s="11">
        <f t="shared" si="32"/>
        <v>6.6936630872851941</v>
      </c>
      <c r="G392" s="11">
        <f t="shared" si="33"/>
        <v>6.6971405924271572</v>
      </c>
    </row>
    <row r="393" spans="5:7" x14ac:dyDescent="0.25">
      <c r="E393" s="11">
        <f t="shared" si="31"/>
        <v>51</v>
      </c>
      <c r="F393" s="11">
        <f t="shared" si="32"/>
        <v>6.8517868681836154</v>
      </c>
      <c r="G393" s="11">
        <f t="shared" si="33"/>
        <v>6.8559856750533061</v>
      </c>
    </row>
    <row r="394" spans="5:7" x14ac:dyDescent="0.25">
      <c r="E394" s="11">
        <f t="shared" si="31"/>
        <v>52</v>
      </c>
      <c r="F394" s="11">
        <f t="shared" si="32"/>
        <v>7.0107774209778215</v>
      </c>
      <c r="G394" s="11">
        <f t="shared" si="33"/>
        <v>7.0156194032754593</v>
      </c>
    </row>
    <row r="395" spans="5:7" x14ac:dyDescent="0.25">
      <c r="E395" s="11">
        <f t="shared" si="31"/>
        <v>53</v>
      </c>
      <c r="F395" s="11">
        <f t="shared" si="32"/>
        <v>7.1706274382607225</v>
      </c>
      <c r="G395" s="11">
        <f t="shared" si="33"/>
        <v>7.1760145824178911</v>
      </c>
    </row>
    <row r="396" spans="5:7" x14ac:dyDescent="0.25">
      <c r="E396" s="11">
        <f t="shared" si="31"/>
        <v>54</v>
      </c>
      <c r="F396" s="11">
        <f t="shared" si="32"/>
        <v>7.3313279671612896</v>
      </c>
      <c r="G396" s="11">
        <f t="shared" si="33"/>
        <v>7.3371440178048806</v>
      </c>
    </row>
    <row r="397" spans="5:7" x14ac:dyDescent="0.25">
      <c r="E397" s="11">
        <f t="shared" si="31"/>
        <v>55</v>
      </c>
      <c r="F397" s="11">
        <f t="shared" si="32"/>
        <v>7.4928681116613722</v>
      </c>
      <c r="G397" s="11">
        <f t="shared" si="33"/>
        <v>7.4989805147607003</v>
      </c>
    </row>
    <row r="398" spans="5:7" x14ac:dyDescent="0.25">
      <c r="E398" s="11">
        <f t="shared" si="31"/>
        <v>56</v>
      </c>
      <c r="F398" s="11">
        <f t="shared" si="32"/>
        <v>7.6552347106575471</v>
      </c>
      <c r="G398" s="11">
        <f t="shared" si="33"/>
        <v>7.6614968786096274</v>
      </c>
    </row>
    <row r="399" spans="5:7" x14ac:dyDescent="0.25">
      <c r="E399" s="11">
        <f t="shared" si="31"/>
        <v>57</v>
      </c>
      <c r="F399" s="11">
        <f t="shared" si="32"/>
        <v>7.8184119908540488</v>
      </c>
      <c r="G399" s="11">
        <f t="shared" si="33"/>
        <v>7.8246659146759363</v>
      </c>
    </row>
    <row r="400" spans="5:7" x14ac:dyDescent="0.25">
      <c r="E400" s="11">
        <f t="shared" si="31"/>
        <v>58</v>
      </c>
      <c r="F400" s="11">
        <f t="shared" si="32"/>
        <v>7.982381193559271</v>
      </c>
      <c r="G400" s="11">
        <f t="shared" si="33"/>
        <v>7.9884604282839042</v>
      </c>
    </row>
    <row r="401" spans="5:7" x14ac:dyDescent="0.25">
      <c r="E401" s="11">
        <f t="shared" si="31"/>
        <v>59</v>
      </c>
      <c r="F401" s="11">
        <f t="shared" si="32"/>
        <v>8.1471201744446748</v>
      </c>
      <c r="G401" s="11">
        <f t="shared" si="33"/>
        <v>8.1528532247578074</v>
      </c>
    </row>
    <row r="402" spans="5:7" x14ac:dyDescent="0.25">
      <c r="E402" s="11">
        <f t="shared" si="31"/>
        <v>60</v>
      </c>
      <c r="F402" s="11">
        <f t="shared" si="32"/>
        <v>8.3126029753113038</v>
      </c>
      <c r="G402" s="11">
        <f t="shared" si="33"/>
        <v>8.3178171094219202</v>
      </c>
    </row>
    <row r="403" spans="5:7" x14ac:dyDescent="0.25">
      <c r="E403" s="11">
        <f t="shared" si="31"/>
        <v>61</v>
      </c>
      <c r="F403" s="11">
        <f t="shared" si="32"/>
        <v>8.4787993668955579</v>
      </c>
      <c r="G403" s="11">
        <f t="shared" si="33"/>
        <v>8.4833248876005172</v>
      </c>
    </row>
    <row r="404" spans="5:7" x14ac:dyDescent="0.25">
      <c r="E404" s="11">
        <f t="shared" si="31"/>
        <v>62</v>
      </c>
      <c r="F404" s="11">
        <f t="shared" si="32"/>
        <v>8.645674361732155</v>
      </c>
      <c r="G404" s="11">
        <f t="shared" si="33"/>
        <v>8.6493493646178781</v>
      </c>
    </row>
    <row r="405" spans="5:7" x14ac:dyDescent="0.25">
      <c r="E405" s="11">
        <f t="shared" si="31"/>
        <v>63</v>
      </c>
      <c r="F405" s="11">
        <f t="shared" si="32"/>
        <v>8.8131876960787103</v>
      </c>
      <c r="G405" s="11">
        <f t="shared" si="33"/>
        <v>8.8158633457982738</v>
      </c>
    </row>
    <row r="406" spans="5:7" x14ac:dyDescent="0.25">
      <c r="E406" s="11">
        <f t="shared" si="31"/>
        <v>64</v>
      </c>
      <c r="F406" s="11">
        <f t="shared" si="32"/>
        <v>8.9812932798926131</v>
      </c>
      <c r="G406" s="11">
        <f t="shared" si="33"/>
        <v>8.9828396364659842</v>
      </c>
    </row>
    <row r="407" spans="5:7" x14ac:dyDescent="0.25">
      <c r="E407" s="11">
        <f t="shared" si="31"/>
        <v>65</v>
      </c>
      <c r="F407" s="11">
        <f t="shared" si="32"/>
        <v>9.1499386138373602</v>
      </c>
      <c r="G407" s="11">
        <f t="shared" si="33"/>
        <v>9.1502510419452818</v>
      </c>
    </row>
    <row r="408" spans="5:7" x14ac:dyDescent="0.25">
      <c r="E408" s="11">
        <f t="shared" si="31"/>
        <v>66</v>
      </c>
      <c r="F408" s="11">
        <f t="shared" si="32"/>
        <v>9.319064172281891</v>
      </c>
      <c r="G408" s="11">
        <f t="shared" si="33"/>
        <v>9.318070367560443</v>
      </c>
    </row>
    <row r="409" spans="5:7" x14ac:dyDescent="0.25">
      <c r="E409" s="11">
        <f t="shared" si="31"/>
        <v>67</v>
      </c>
      <c r="F409" s="11">
        <f t="shared" si="32"/>
        <v>9.4886027512427411</v>
      </c>
      <c r="G409" s="11">
        <f t="shared" si="33"/>
        <v>9.4862704186357458</v>
      </c>
    </row>
    <row r="410" spans="5:7" x14ac:dyDescent="0.25">
      <c r="E410" s="11">
        <f t="shared" si="31"/>
        <v>68</v>
      </c>
      <c r="F410" s="11">
        <f t="shared" si="32"/>
        <v>9.6584787802053285</v>
      </c>
      <c r="G410" s="11">
        <f t="shared" si="33"/>
        <v>9.6548240004954646</v>
      </c>
    </row>
    <row r="411" spans="5:7" x14ac:dyDescent="0.25">
      <c r="E411" s="11">
        <f t="shared" si="31"/>
        <v>69</v>
      </c>
      <c r="F411" s="11">
        <f t="shared" si="32"/>
        <v>9.8286075967470161</v>
      </c>
      <c r="G411" s="11">
        <f t="shared" si="33"/>
        <v>9.8237039184638721</v>
      </c>
    </row>
    <row r="412" spans="5:7" x14ac:dyDescent="0.25">
      <c r="E412" s="11">
        <f t="shared" si="31"/>
        <v>70</v>
      </c>
      <c r="F412" s="11">
        <f t="shared" si="32"/>
        <v>9.9988946828710041</v>
      </c>
      <c r="G412" s="11">
        <f t="shared" si="33"/>
        <v>9.9928829778652499</v>
      </c>
    </row>
    <row r="413" spans="5:7" x14ac:dyDescent="0.25">
      <c r="E413" s="11">
        <f t="shared" si="31"/>
        <v>71</v>
      </c>
      <c r="F413" s="11">
        <f t="shared" si="32"/>
        <v>10.169234861946396</v>
      </c>
      <c r="G413" s="11">
        <f t="shared" si="33"/>
        <v>10.162333984023869</v>
      </c>
    </row>
    <row r="414" spans="5:7" x14ac:dyDescent="0.25">
      <c r="E414" s="11">
        <f t="shared" si="31"/>
        <v>72</v>
      </c>
      <c r="F414" s="11">
        <f t="shared" si="32"/>
        <v>10.339511455136316</v>
      </c>
      <c r="G414" s="11">
        <f t="shared" si="33"/>
        <v>10.332029742264009</v>
      </c>
    </row>
    <row r="415" spans="5:7" x14ac:dyDescent="0.25">
      <c r="E415" s="11">
        <f t="shared" ref="E415:E422" si="34">E208</f>
        <v>73</v>
      </c>
      <c r="F415" s="11">
        <f t="shared" ref="F415:F422" si="35">$H$217*0+E415*$I$217+E415^2*$J$217+E415^3*$K$217+E415^4*$L$217+E415^5*$M$217+E415^6*$N$217+E415^7*$O$217+E415^8*$P$217</f>
        <v>10.509595396182197</v>
      </c>
      <c r="G415" s="11">
        <f t="shared" ref="G415:G422" si="36">F208</f>
        <v>10.501943057909939</v>
      </c>
    </row>
    <row r="416" spans="5:7" x14ac:dyDescent="0.25">
      <c r="E416" s="11">
        <f t="shared" si="34"/>
        <v>74</v>
      </c>
      <c r="F416" s="11">
        <f t="shared" si="35"/>
        <v>10.67934430339881</v>
      </c>
      <c r="G416" s="11">
        <f t="shared" si="36"/>
        <v>10.672046736285942</v>
      </c>
    </row>
    <row r="417" spans="5:7" x14ac:dyDescent="0.25">
      <c r="E417" s="11">
        <f t="shared" si="34"/>
        <v>75</v>
      </c>
      <c r="F417" s="11">
        <f t="shared" si="35"/>
        <v>10.848601507720973</v>
      </c>
      <c r="G417" s="11">
        <f t="shared" si="36"/>
        <v>10.84231358271629</v>
      </c>
    </row>
    <row r="418" spans="5:7" x14ac:dyDescent="0.25">
      <c r="E418" s="11">
        <f t="shared" si="34"/>
        <v>76</v>
      </c>
      <c r="F418" s="11">
        <f t="shared" si="35"/>
        <v>11.017195035629253</v>
      </c>
      <c r="G418" s="11">
        <f t="shared" si="36"/>
        <v>11.01271640252526</v>
      </c>
    </row>
    <row r="419" spans="5:7" x14ac:dyDescent="0.25">
      <c r="E419" s="11">
        <f t="shared" si="34"/>
        <v>77</v>
      </c>
      <c r="F419" s="11">
        <f t="shared" si="35"/>
        <v>11.184936545768345</v>
      </c>
      <c r="G419" s="11">
        <f t="shared" si="36"/>
        <v>11.183228001037126</v>
      </c>
    </row>
    <row r="420" spans="5:7" x14ac:dyDescent="0.25">
      <c r="E420" s="11">
        <f t="shared" si="34"/>
        <v>78</v>
      </c>
      <c r="F420" s="11">
        <f t="shared" si="35"/>
        <v>11.351620218058249</v>
      </c>
      <c r="G420" s="11">
        <f t="shared" si="36"/>
        <v>11.353821183576164</v>
      </c>
    </row>
    <row r="421" spans="5:7" x14ac:dyDescent="0.25">
      <c r="E421" s="11">
        <f t="shared" si="34"/>
        <v>79</v>
      </c>
      <c r="F421" s="11">
        <f t="shared" si="35"/>
        <v>11.517021594084635</v>
      </c>
      <c r="G421" s="11">
        <f t="shared" si="36"/>
        <v>11.524468755466653</v>
      </c>
    </row>
    <row r="422" spans="5:7" x14ac:dyDescent="0.25">
      <c r="E422" s="11">
        <f t="shared" si="34"/>
        <v>80</v>
      </c>
      <c r="F422" s="11">
        <f t="shared" si="35"/>
        <v>11.680896367541319</v>
      </c>
      <c r="G422" s="11">
        <f t="shared" si="36"/>
        <v>11.695143522032865</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9.3029999999999995E-5</v>
      </c>
      <c r="C3" s="2">
        <v>1.204E-4</v>
      </c>
      <c r="D3" s="2">
        <v>-3.3950000000000001E-4</v>
      </c>
      <c r="E3" s="2">
        <v>0</v>
      </c>
      <c r="F3" s="2">
        <v>0</v>
      </c>
      <c r="G3" s="2">
        <v>0</v>
      </c>
      <c r="H3" s="2">
        <v>4.5256902999999999E-5</v>
      </c>
      <c r="I3" s="2">
        <v>1.200315E-5</v>
      </c>
      <c r="J3" s="2">
        <v>-1.2599827999999999E-4</v>
      </c>
      <c r="K3" s="3"/>
      <c r="L3" s="3">
        <f>-B3/D3</f>
        <v>0.27402061855670101</v>
      </c>
      <c r="M3" s="3"/>
      <c r="N3" s="2">
        <f>IF('Modell einstellen'!$B$1="Voll",H3/0.35,H3/0.35*2)</f>
        <v>1.2930543714285715E-4</v>
      </c>
      <c r="O3" s="2">
        <f>IF('Modell einstellen'!$B$1="Voll",J3/0.35,J3/0.35*2)</f>
        <v>-3.5999508571428571E-4</v>
      </c>
      <c r="P3" s="3">
        <f>-N3/O3</f>
        <v>0.35918667302442542</v>
      </c>
      <c r="Q3" s="3"/>
      <c r="R3" s="3"/>
      <c r="S3" s="3"/>
      <c r="T3" s="3"/>
      <c r="U3" s="3"/>
      <c r="V3" s="3"/>
      <c r="W3" s="3"/>
    </row>
    <row r="4" spans="1:23" x14ac:dyDescent="0.25">
      <c r="A4" s="2">
        <v>1E-14</v>
      </c>
      <c r="B4" s="2">
        <v>9.3360000000000001E-5</v>
      </c>
      <c r="C4" s="2">
        <v>1.215E-4</v>
      </c>
      <c r="D4" s="2">
        <v>-3.412E-4</v>
      </c>
      <c r="E4" s="2">
        <v>0</v>
      </c>
      <c r="F4" s="2">
        <v>0</v>
      </c>
      <c r="G4" s="2">
        <v>0</v>
      </c>
      <c r="H4" s="2">
        <v>4.5766544999999999E-5</v>
      </c>
      <c r="I4" s="2">
        <v>1.2127703000000001E-5</v>
      </c>
      <c r="J4" s="2">
        <v>-1.2697509999999999E-4</v>
      </c>
      <c r="K4" s="3"/>
      <c r="L4" s="3">
        <f t="shared" ref="L4:L33" si="0">-B4/D4</f>
        <v>0.27362250879249705</v>
      </c>
      <c r="M4" s="3"/>
      <c r="N4" s="2">
        <f>IF('Modell einstellen'!$B$1="Voll",H4/0.35,H4/0.35*2)</f>
        <v>1.3076155714285715E-4</v>
      </c>
      <c r="O4" s="2">
        <f>IF('Modell einstellen'!$B$1="Voll",J4/0.35,J4/0.35*2)</f>
        <v>-3.6278599999999998E-4</v>
      </c>
      <c r="P4" s="3">
        <f t="shared" ref="P4:P33" si="1">-N4/O4</f>
        <v>0.36043716445192803</v>
      </c>
      <c r="Q4" s="3"/>
      <c r="R4" s="3"/>
      <c r="S4" s="3"/>
      <c r="T4" s="3"/>
      <c r="U4" s="3"/>
      <c r="V4" s="3"/>
      <c r="W4" s="3"/>
    </row>
    <row r="5" spans="1:23" x14ac:dyDescent="0.25">
      <c r="A5" s="2">
        <v>1E-13</v>
      </c>
      <c r="B5" s="2">
        <v>9.5340000000000005E-5</v>
      </c>
      <c r="C5" s="2">
        <v>1.259E-4</v>
      </c>
      <c r="D5" s="2">
        <v>-3.4820000000000001E-4</v>
      </c>
      <c r="E5" s="2">
        <v>0</v>
      </c>
      <c r="F5" s="2">
        <v>0</v>
      </c>
      <c r="G5" s="2">
        <v>0</v>
      </c>
      <c r="H5" s="2">
        <v>4.7655207000000003E-5</v>
      </c>
      <c r="I5" s="2">
        <v>1.2589958E-5</v>
      </c>
      <c r="J5" s="2">
        <v>-1.3063405000000001E-4</v>
      </c>
      <c r="K5" s="3"/>
      <c r="L5" s="3">
        <f t="shared" si="0"/>
        <v>0.27380815623205057</v>
      </c>
      <c r="M5" s="3"/>
      <c r="N5" s="2">
        <f>IF('Modell einstellen'!$B$1="Voll",H5/0.35,H5/0.35*2)</f>
        <v>1.3615773428571429E-4</v>
      </c>
      <c r="O5" s="2">
        <f>IF('Modell einstellen'!$B$1="Voll",J5/0.35,J5/0.35*2)</f>
        <v>-3.7324014285714294E-4</v>
      </c>
      <c r="P5" s="3">
        <f t="shared" si="1"/>
        <v>0.36479927706444065</v>
      </c>
      <c r="Q5" s="3"/>
      <c r="R5" s="3"/>
      <c r="S5" s="3"/>
      <c r="T5" s="3"/>
      <c r="U5" s="3"/>
      <c r="V5" s="3"/>
      <c r="W5" s="3"/>
    </row>
    <row r="6" spans="1:23" x14ac:dyDescent="0.25">
      <c r="A6" s="2">
        <v>9.9999999999999998E-13</v>
      </c>
      <c r="B6" s="2">
        <v>9.6509999999999996E-5</v>
      </c>
      <c r="C6" s="2">
        <v>1.2889999999999999E-4</v>
      </c>
      <c r="D6" s="2">
        <v>-3.5290000000000001E-4</v>
      </c>
      <c r="E6" s="2">
        <v>0</v>
      </c>
      <c r="F6" s="2">
        <v>0</v>
      </c>
      <c r="G6" s="2">
        <v>0</v>
      </c>
      <c r="H6" s="2">
        <v>4.9006703000000001E-5</v>
      </c>
      <c r="I6" s="2">
        <v>1.2916457999999999E-5</v>
      </c>
      <c r="J6" s="2">
        <v>-1.3323200999999999E-4</v>
      </c>
      <c r="K6" s="3"/>
      <c r="L6" s="3">
        <f t="shared" si="0"/>
        <v>0.27347690563899119</v>
      </c>
      <c r="M6" s="3"/>
      <c r="N6" s="2">
        <f>IF('Modell einstellen'!$B$1="Voll",H6/0.35,H6/0.35*2)</f>
        <v>1.4001915142857144E-4</v>
      </c>
      <c r="O6" s="2">
        <f>IF('Modell einstellen'!$B$1="Voll",J6/0.35,J6/0.35*2)</f>
        <v>-3.806628857142857E-4</v>
      </c>
      <c r="P6" s="3">
        <f t="shared" si="1"/>
        <v>0.36782979555738898</v>
      </c>
      <c r="Q6" s="3"/>
      <c r="R6" s="3"/>
      <c r="S6" s="3"/>
      <c r="T6" s="3"/>
      <c r="U6" s="3"/>
      <c r="V6" s="3"/>
      <c r="W6" s="3"/>
    </row>
    <row r="7" spans="1:23" x14ac:dyDescent="0.25">
      <c r="A7" s="2">
        <v>9.9999999999999994E-12</v>
      </c>
      <c r="B7" s="2">
        <v>9.7579999999999997E-5</v>
      </c>
      <c r="C7" s="2">
        <v>1.3180000000000001E-4</v>
      </c>
      <c r="D7" s="2">
        <v>-3.5740000000000001E-4</v>
      </c>
      <c r="E7" s="2">
        <v>0</v>
      </c>
      <c r="F7" s="2">
        <v>0</v>
      </c>
      <c r="G7" s="2">
        <v>0</v>
      </c>
      <c r="H7" s="2">
        <v>5.0328477999999997E-5</v>
      </c>
      <c r="I7" s="2">
        <v>1.3233172000000001E-5</v>
      </c>
      <c r="J7" s="2">
        <v>-1.3576263E-4</v>
      </c>
      <c r="K7" s="3"/>
      <c r="L7" s="3">
        <f t="shared" si="0"/>
        <v>0.27302742025741467</v>
      </c>
      <c r="M7" s="3"/>
      <c r="N7" s="2">
        <f>IF('Modell einstellen'!$B$1="Voll",H7/0.35,H7/0.35*2)</f>
        <v>1.4379565142857143E-4</v>
      </c>
      <c r="O7" s="2">
        <f>IF('Modell einstellen'!$B$1="Voll",J7/0.35,J7/0.35*2)</f>
        <v>-3.878932285714286E-4</v>
      </c>
      <c r="P7" s="3">
        <f t="shared" si="1"/>
        <v>0.37070936236282398</v>
      </c>
      <c r="Q7" s="3"/>
      <c r="R7" s="3"/>
      <c r="S7" s="3"/>
      <c r="T7" s="3"/>
      <c r="U7" s="3"/>
      <c r="V7" s="3"/>
      <c r="W7" s="3"/>
    </row>
    <row r="8" spans="1:23" x14ac:dyDescent="0.25">
      <c r="A8" s="2">
        <v>1E-10</v>
      </c>
      <c r="B8" s="2">
        <v>9.8720000000000003E-5</v>
      </c>
      <c r="C8" s="2">
        <v>1.351E-4</v>
      </c>
      <c r="D8" s="2">
        <v>-3.6240000000000003E-4</v>
      </c>
      <c r="E8" s="2">
        <v>0</v>
      </c>
      <c r="F8" s="2">
        <v>0</v>
      </c>
      <c r="G8" s="2">
        <v>0</v>
      </c>
      <c r="H8" s="2">
        <v>5.1850778000000002E-5</v>
      </c>
      <c r="I8" s="2">
        <v>1.3594670999999999E-5</v>
      </c>
      <c r="J8" s="2">
        <v>-1.3866409999999999E-4</v>
      </c>
      <c r="K8" s="3"/>
      <c r="L8" s="3">
        <f t="shared" si="0"/>
        <v>0.27240618101545255</v>
      </c>
      <c r="M8" s="3"/>
      <c r="N8" s="2">
        <f>IF('Modell einstellen'!$B$1="Voll",H8/0.35,H8/0.35*2)</f>
        <v>1.4814508E-4</v>
      </c>
      <c r="O8" s="2">
        <f>IF('Modell einstellen'!$B$1="Voll",J8/0.35,J8/0.35*2)</f>
        <v>-3.9618314285714287E-4</v>
      </c>
      <c r="P8" s="3">
        <f t="shared" si="1"/>
        <v>0.37393080112300153</v>
      </c>
      <c r="Q8" s="3"/>
      <c r="R8" s="3"/>
      <c r="S8" s="3"/>
      <c r="T8" s="3"/>
      <c r="U8" s="3"/>
      <c r="V8" s="3"/>
      <c r="W8" s="3"/>
    </row>
    <row r="9" spans="1:23" x14ac:dyDescent="0.25">
      <c r="A9" s="2">
        <v>1.0000000000000001E-9</v>
      </c>
      <c r="B9" s="2">
        <v>9.9870000000000004E-5</v>
      </c>
      <c r="C9" s="2">
        <v>1.3870000000000001E-4</v>
      </c>
      <c r="D9" s="2">
        <v>-3.678E-4</v>
      </c>
      <c r="E9" s="2">
        <v>0</v>
      </c>
      <c r="F9" s="2">
        <v>0</v>
      </c>
      <c r="G9" s="2">
        <v>0</v>
      </c>
      <c r="H9" s="2">
        <v>5.3534444999999997E-5</v>
      </c>
      <c r="I9" s="2">
        <v>1.3990455E-5</v>
      </c>
      <c r="J9" s="2">
        <v>-1.4185688E-4</v>
      </c>
      <c r="K9" s="3"/>
      <c r="L9" s="3">
        <f t="shared" si="0"/>
        <v>0.27153344208809138</v>
      </c>
      <c r="M9" s="3"/>
      <c r="N9" s="2">
        <f>IF('Modell einstellen'!$B$1="Voll",H9/0.35,H9/0.35*2)</f>
        <v>1.5295555714285713E-4</v>
      </c>
      <c r="O9" s="2">
        <f>IF('Modell einstellen'!$B$1="Voll",J9/0.35,J9/0.35*2)</f>
        <v>-4.0530537142857145E-4</v>
      </c>
      <c r="P9" s="3">
        <f t="shared" si="1"/>
        <v>0.37738349384252629</v>
      </c>
      <c r="Q9" s="3"/>
      <c r="R9" s="3"/>
      <c r="S9" s="3"/>
      <c r="T9" s="3"/>
      <c r="U9" s="3"/>
      <c r="V9" s="3"/>
      <c r="W9" s="3"/>
    </row>
    <row r="10" spans="1:23" x14ac:dyDescent="0.25">
      <c r="A10" s="2">
        <v>1E-8</v>
      </c>
      <c r="B10" s="2">
        <v>1.011E-4</v>
      </c>
      <c r="C10" s="2">
        <v>1.4300000000000001E-4</v>
      </c>
      <c r="D10" s="2">
        <v>-3.7399999999999998E-4</v>
      </c>
      <c r="E10" s="2">
        <v>0</v>
      </c>
      <c r="F10" s="2">
        <v>0</v>
      </c>
      <c r="G10" s="2">
        <v>0</v>
      </c>
      <c r="H10" s="2">
        <v>5.5577649999999998E-5</v>
      </c>
      <c r="I10" s="2">
        <v>1.4465203999999999E-5</v>
      </c>
      <c r="J10" s="2">
        <v>-1.457095E-4</v>
      </c>
      <c r="K10" s="3"/>
      <c r="L10" s="3">
        <f t="shared" si="0"/>
        <v>0.27032085561497327</v>
      </c>
      <c r="M10" s="3"/>
      <c r="N10" s="2">
        <f>IF('Modell einstellen'!$B$1="Voll",H10/0.35,H10/0.35*2)</f>
        <v>1.5879328571428571E-4</v>
      </c>
      <c r="O10" s="2">
        <f>IF('Modell einstellen'!$B$1="Voll",J10/0.35,J10/0.35*2)</f>
        <v>-4.1631285714285719E-4</v>
      </c>
      <c r="P10" s="3">
        <f t="shared" si="1"/>
        <v>0.38142777238272035</v>
      </c>
      <c r="Q10" s="3"/>
      <c r="R10" s="3"/>
      <c r="S10" s="3"/>
      <c r="T10" s="3"/>
      <c r="U10" s="3"/>
      <c r="V10" s="3"/>
      <c r="W10" s="3"/>
    </row>
    <row r="11" spans="1:23" x14ac:dyDescent="0.25">
      <c r="A11" s="2">
        <v>9.9999999999999995E-8</v>
      </c>
      <c r="B11" s="2">
        <v>1.0230000000000001E-4</v>
      </c>
      <c r="C11" s="2">
        <v>1.4760000000000001E-4</v>
      </c>
      <c r="D11" s="2">
        <v>-3.8059999999999998E-4</v>
      </c>
      <c r="E11" s="2">
        <v>0</v>
      </c>
      <c r="F11" s="2">
        <v>0</v>
      </c>
      <c r="G11" s="2">
        <v>0</v>
      </c>
      <c r="H11" s="2">
        <v>5.7838172000000001E-5</v>
      </c>
      <c r="I11" s="2">
        <v>1.4983349999999999E-5</v>
      </c>
      <c r="J11" s="2">
        <v>-1.4994379E-4</v>
      </c>
      <c r="K11" s="3"/>
      <c r="L11" s="3">
        <f t="shared" si="0"/>
        <v>0.26878612716763006</v>
      </c>
      <c r="M11" s="3"/>
      <c r="N11" s="2">
        <f>IF('Modell einstellen'!$B$1="Voll",H11/0.35,H11/0.35*2)</f>
        <v>1.6525192E-4</v>
      </c>
      <c r="O11" s="2">
        <f>IF('Modell einstellen'!$B$1="Voll",J11/0.35,J11/0.35*2)</f>
        <v>-4.2841082857142859E-4</v>
      </c>
      <c r="P11" s="3">
        <f t="shared" si="1"/>
        <v>0.38573236010641054</v>
      </c>
      <c r="Q11" s="3"/>
      <c r="R11" s="3"/>
      <c r="S11" s="3"/>
      <c r="T11" s="3"/>
      <c r="U11" s="3"/>
      <c r="V11" s="3"/>
      <c r="W11" s="3"/>
    </row>
    <row r="12" spans="1:23" x14ac:dyDescent="0.25">
      <c r="A12" s="2">
        <v>9.9999999999999995E-7</v>
      </c>
      <c r="B12" s="2">
        <v>1.0340000000000001E-4</v>
      </c>
      <c r="C12" s="2">
        <v>1.5310000000000001E-4</v>
      </c>
      <c r="D12" s="2">
        <v>-3.881E-4</v>
      </c>
      <c r="E12" s="2">
        <v>0</v>
      </c>
      <c r="F12" s="2">
        <v>0</v>
      </c>
      <c r="G12" s="2">
        <v>0</v>
      </c>
      <c r="H12" s="2">
        <v>6.0551667999999997E-5</v>
      </c>
      <c r="I12" s="2">
        <v>1.5595718E-5</v>
      </c>
      <c r="J12" s="2">
        <v>-1.5498911000000001E-4</v>
      </c>
      <c r="K12" s="3"/>
      <c r="L12" s="3">
        <f t="shared" si="0"/>
        <v>0.26642617881989178</v>
      </c>
      <c r="M12" s="3"/>
      <c r="N12" s="2">
        <f>IF('Modell einstellen'!$B$1="Voll",H12/0.35,H12/0.35*2)</f>
        <v>1.7300476571428572E-4</v>
      </c>
      <c r="O12" s="2">
        <f>IF('Modell einstellen'!$B$1="Voll",J12/0.35,J12/0.35*2)</f>
        <v>-4.4282602857142865E-4</v>
      </c>
      <c r="P12" s="3">
        <f t="shared" si="1"/>
        <v>0.39068337123814695</v>
      </c>
      <c r="Q12" s="3"/>
      <c r="R12" s="3"/>
      <c r="S12" s="3"/>
      <c r="T12" s="3"/>
      <c r="U12" s="3"/>
      <c r="V12" s="3"/>
      <c r="W12" s="3"/>
    </row>
    <row r="13" spans="1:23" x14ac:dyDescent="0.25">
      <c r="A13" s="2">
        <v>1.0000000000000001E-5</v>
      </c>
      <c r="B13" s="2">
        <v>1.042E-4</v>
      </c>
      <c r="C13" s="2">
        <v>1.582E-4</v>
      </c>
      <c r="D13" s="2">
        <v>-3.949E-4</v>
      </c>
      <c r="E13" s="2">
        <v>0</v>
      </c>
      <c r="F13" s="2">
        <v>0</v>
      </c>
      <c r="G13" s="2">
        <v>0</v>
      </c>
      <c r="H13" s="2">
        <v>6.3163086999999996E-5</v>
      </c>
      <c r="I13" s="2">
        <v>1.6174773999999999E-5</v>
      </c>
      <c r="J13" s="2">
        <v>-1.5980435E-4</v>
      </c>
      <c r="K13" s="3"/>
      <c r="L13" s="3">
        <f t="shared" si="0"/>
        <v>0.26386426943530006</v>
      </c>
      <c r="M13" s="3"/>
      <c r="N13" s="2">
        <f>IF('Modell einstellen'!$B$1="Voll",H13/0.35,H13/0.35*2)</f>
        <v>1.8046596285714285E-4</v>
      </c>
      <c r="O13" s="2">
        <f>IF('Modell einstellen'!$B$1="Voll",J13/0.35,J13/0.35*2)</f>
        <v>-4.5658385714285717E-4</v>
      </c>
      <c r="P13" s="3">
        <f t="shared" si="1"/>
        <v>0.39525261358655128</v>
      </c>
      <c r="Q13" s="3"/>
      <c r="R13" s="3"/>
      <c r="S13" s="3"/>
      <c r="T13" s="3"/>
      <c r="U13" s="3"/>
      <c r="V13" s="3"/>
      <c r="W13" s="3"/>
    </row>
    <row r="14" spans="1:23" x14ac:dyDescent="0.25">
      <c r="A14" s="2">
        <v>1E-4</v>
      </c>
      <c r="B14" s="2">
        <v>1.048E-4</v>
      </c>
      <c r="C14" s="2">
        <v>1.639E-4</v>
      </c>
      <c r="D14" s="2">
        <v>-4.0220000000000002E-4</v>
      </c>
      <c r="E14" s="2">
        <v>0</v>
      </c>
      <c r="F14" s="2">
        <v>0</v>
      </c>
      <c r="G14" s="2">
        <v>0</v>
      </c>
      <c r="H14" s="2">
        <v>6.6154943000000003E-5</v>
      </c>
      <c r="I14" s="2">
        <v>1.6827084999999999E-5</v>
      </c>
      <c r="J14" s="2">
        <v>-1.6527841999999999E-4</v>
      </c>
      <c r="K14" s="3"/>
      <c r="L14" s="3">
        <f t="shared" si="0"/>
        <v>0.26056688214818496</v>
      </c>
      <c r="M14" s="3"/>
      <c r="N14" s="2">
        <f>IF('Modell einstellen'!$B$1="Voll",H14/0.35,H14/0.35*2)</f>
        <v>1.8901412285714288E-4</v>
      </c>
      <c r="O14" s="2">
        <f>IF('Modell einstellen'!$B$1="Voll",J14/0.35,J14/0.35*2)</f>
        <v>-4.7222405714285716E-4</v>
      </c>
      <c r="P14" s="3">
        <f t="shared" si="1"/>
        <v>0.40026364603437042</v>
      </c>
      <c r="Q14" s="3"/>
      <c r="R14" s="3"/>
      <c r="S14" s="3"/>
      <c r="T14" s="3"/>
      <c r="U14" s="3"/>
      <c r="V14" s="3"/>
      <c r="W14" s="3"/>
    </row>
    <row r="15" spans="1:23" x14ac:dyDescent="0.25">
      <c r="A15" s="2">
        <v>1E-3</v>
      </c>
      <c r="B15" s="2">
        <v>1.052E-4</v>
      </c>
      <c r="C15" s="2">
        <v>1.7129999999999999E-4</v>
      </c>
      <c r="D15" s="2">
        <v>-4.1120000000000002E-4</v>
      </c>
      <c r="E15" s="2">
        <v>0</v>
      </c>
      <c r="F15" s="2">
        <v>0</v>
      </c>
      <c r="G15" s="2">
        <v>0</v>
      </c>
      <c r="H15" s="2">
        <v>7.0143365000000001E-5</v>
      </c>
      <c r="I15" s="2">
        <v>1.7678177999999999E-5</v>
      </c>
      <c r="J15" s="2">
        <v>-1.7250478999999999E-4</v>
      </c>
      <c r="K15" s="3"/>
      <c r="L15" s="3">
        <f t="shared" si="0"/>
        <v>0.25583657587548636</v>
      </c>
      <c r="M15" s="3"/>
      <c r="N15" s="2">
        <f>IF('Modell einstellen'!$B$1="Voll",H15/0.35,H15/0.35*2)</f>
        <v>2.0040961428571431E-4</v>
      </c>
      <c r="O15" s="2">
        <f>IF('Modell einstellen'!$B$1="Voll",J15/0.35,J15/0.35*2)</f>
        <v>-4.9287082857142855E-4</v>
      </c>
      <c r="P15" s="3">
        <f t="shared" si="1"/>
        <v>0.40661691191299681</v>
      </c>
      <c r="Q15" s="3"/>
      <c r="R15" s="3"/>
      <c r="S15" s="3"/>
      <c r="T15" s="3"/>
      <c r="U15" s="3"/>
      <c r="V15" s="3"/>
      <c r="W15" s="3"/>
    </row>
    <row r="16" spans="1:23" x14ac:dyDescent="0.25">
      <c r="A16" s="2">
        <v>0.01</v>
      </c>
      <c r="B16" s="2">
        <v>1.049E-4</v>
      </c>
      <c r="C16" s="2">
        <v>1.8000000000000001E-4</v>
      </c>
      <c r="D16" s="2">
        <v>-4.2099999999999999E-4</v>
      </c>
      <c r="E16" s="2">
        <v>0</v>
      </c>
      <c r="F16" s="2">
        <v>0</v>
      </c>
      <c r="G16" s="2">
        <v>0</v>
      </c>
      <c r="H16" s="2">
        <v>7.5064675999999994E-5</v>
      </c>
      <c r="I16" s="2">
        <v>1.8698231000000001E-5</v>
      </c>
      <c r="J16" s="2">
        <v>-1.8130555000000001E-4</v>
      </c>
      <c r="K16" s="3"/>
      <c r="L16" s="3">
        <f t="shared" si="0"/>
        <v>0.24916864608076011</v>
      </c>
      <c r="M16" s="3"/>
      <c r="N16" s="2">
        <f>IF('Modell einstellen'!$B$1="Voll",H16/0.35,H16/0.35*2)</f>
        <v>2.1447050285714286E-4</v>
      </c>
      <c r="O16" s="2">
        <f>IF('Modell einstellen'!$B$1="Voll",J16/0.35,J16/0.35*2)</f>
        <v>-5.1801585714285716E-4</v>
      </c>
      <c r="P16" s="3">
        <f t="shared" si="1"/>
        <v>0.41402304562656794</v>
      </c>
      <c r="Q16" s="3"/>
      <c r="R16" s="3"/>
      <c r="S16" s="3"/>
      <c r="T16" s="3"/>
      <c r="U16" s="3"/>
      <c r="V16" s="3"/>
      <c r="W16" s="3"/>
    </row>
    <row r="17" spans="1:23" x14ac:dyDescent="0.25">
      <c r="A17" s="2">
        <v>0.1</v>
      </c>
      <c r="B17" s="2">
        <v>1.038E-4</v>
      </c>
      <c r="C17" s="2">
        <v>1.886E-4</v>
      </c>
      <c r="D17" s="2">
        <v>-4.2989999999999999E-4</v>
      </c>
      <c r="E17" s="2">
        <v>0</v>
      </c>
      <c r="F17" s="2">
        <v>0</v>
      </c>
      <c r="G17" s="2">
        <v>0</v>
      </c>
      <c r="H17" s="2">
        <v>8.0194111999999998E-5</v>
      </c>
      <c r="I17" s="2">
        <v>1.9725416999999999E-5</v>
      </c>
      <c r="J17" s="2">
        <v>-1.9034031000000001E-4</v>
      </c>
      <c r="K17" s="3"/>
      <c r="L17" s="3">
        <f t="shared" si="0"/>
        <v>0.24145150034891835</v>
      </c>
      <c r="M17" s="3"/>
      <c r="N17" s="2">
        <f>IF('Modell einstellen'!$B$1="Voll",H17/0.35,H17/0.35*2)</f>
        <v>2.2912603428571428E-4</v>
      </c>
      <c r="O17" s="2">
        <f>IF('Modell einstellen'!$B$1="Voll",J17/0.35,J17/0.35*2)</f>
        <v>-5.4382945714285722E-4</v>
      </c>
      <c r="P17" s="3">
        <f t="shared" si="1"/>
        <v>0.4213196458490584</v>
      </c>
      <c r="Q17" s="3"/>
      <c r="R17" s="3"/>
      <c r="S17" s="3"/>
      <c r="T17" s="3"/>
      <c r="U17" s="3"/>
      <c r="V17" s="3"/>
      <c r="W17" s="3"/>
    </row>
    <row r="18" spans="1:23" x14ac:dyDescent="0.25">
      <c r="A18" s="2">
        <v>1</v>
      </c>
      <c r="B18" s="2">
        <v>1.021E-4</v>
      </c>
      <c r="C18" s="2">
        <v>1.9589999999999999E-4</v>
      </c>
      <c r="D18" s="2">
        <v>-4.3669999999999999E-4</v>
      </c>
      <c r="E18" s="2">
        <v>0</v>
      </c>
      <c r="F18" s="2">
        <v>0</v>
      </c>
      <c r="G18" s="2">
        <v>0</v>
      </c>
      <c r="H18" s="2">
        <v>8.4727028999999996E-5</v>
      </c>
      <c r="I18" s="2">
        <v>2.0603751E-5</v>
      </c>
      <c r="J18" s="2">
        <v>-1.9821185E-4</v>
      </c>
      <c r="K18" s="3"/>
      <c r="L18" s="3">
        <f t="shared" si="0"/>
        <v>0.23379894664529427</v>
      </c>
      <c r="M18" s="3"/>
      <c r="N18" s="2">
        <f>IF('Modell einstellen'!$B$1="Voll",H18/0.35,H18/0.35*2)</f>
        <v>2.4207722571428572E-4</v>
      </c>
      <c r="O18" s="2">
        <f>IF('Modell einstellen'!$B$1="Voll",J18/0.35,J18/0.35*2)</f>
        <v>-5.6631957142857148E-4</v>
      </c>
      <c r="P18" s="3">
        <f t="shared" si="1"/>
        <v>0.42745693055183126</v>
      </c>
      <c r="Q18" s="3"/>
      <c r="R18" s="3"/>
      <c r="S18" s="3"/>
      <c r="T18" s="3"/>
      <c r="U18" s="3"/>
      <c r="V18" s="3"/>
      <c r="W18" s="3"/>
    </row>
    <row r="19" spans="1:23" x14ac:dyDescent="0.25">
      <c r="A19" s="2">
        <v>10</v>
      </c>
      <c r="B19" s="2">
        <v>9.9549999999999994E-5</v>
      </c>
      <c r="C19" s="2">
        <v>2.0379999999999999E-4</v>
      </c>
      <c r="D19" s="2">
        <v>-4.4329999999999999E-4</v>
      </c>
      <c r="E19" s="2">
        <v>0</v>
      </c>
      <c r="F19" s="2">
        <v>0</v>
      </c>
      <c r="G19" s="2">
        <v>0</v>
      </c>
      <c r="H19" s="2">
        <v>8.9836380999999994E-5</v>
      </c>
      <c r="I19" s="2">
        <v>2.1564857999999999E-5</v>
      </c>
      <c r="J19" s="2">
        <v>-2.0697466000000001E-4</v>
      </c>
      <c r="K19" s="3"/>
      <c r="L19" s="3">
        <f t="shared" si="0"/>
        <v>0.22456575682382132</v>
      </c>
      <c r="M19" s="3"/>
      <c r="N19" s="2">
        <f>IF('Modell einstellen'!$B$1="Voll",H19/0.35,H19/0.35*2)</f>
        <v>2.5667537428571428E-4</v>
      </c>
      <c r="O19" s="2">
        <f>IF('Modell einstellen'!$B$1="Voll",J19/0.35,J19/0.35*2)</f>
        <v>-5.9135617142857145E-4</v>
      </c>
      <c r="P19" s="3">
        <f t="shared" si="1"/>
        <v>0.43404531260010282</v>
      </c>
      <c r="Q19" s="3"/>
      <c r="R19" s="3"/>
      <c r="S19" s="3"/>
      <c r="T19" s="3"/>
      <c r="U19" s="3"/>
      <c r="V19" s="3"/>
      <c r="W19" s="3"/>
    </row>
    <row r="20" spans="1:23" x14ac:dyDescent="0.25">
      <c r="A20" s="2">
        <v>100</v>
      </c>
      <c r="B20" s="2">
        <v>9.6150000000000006E-5</v>
      </c>
      <c r="C20" s="2">
        <v>2.117E-4</v>
      </c>
      <c r="D20" s="2">
        <v>-4.4920000000000002E-4</v>
      </c>
      <c r="E20" s="2">
        <v>0</v>
      </c>
      <c r="F20" s="2">
        <v>0</v>
      </c>
      <c r="G20" s="2">
        <v>0</v>
      </c>
      <c r="H20" s="2">
        <v>9.5248750000000005E-5</v>
      </c>
      <c r="I20" s="2">
        <v>2.2548738E-5</v>
      </c>
      <c r="J20" s="2">
        <v>-2.1612625999999999E-4</v>
      </c>
      <c r="K20" s="3"/>
      <c r="L20" s="3">
        <f t="shared" si="0"/>
        <v>0.21404719501335709</v>
      </c>
      <c r="M20" s="3"/>
      <c r="N20" s="2">
        <f>IF('Modell einstellen'!$B$1="Voll",H20/0.35,H20/0.35*2)</f>
        <v>2.7213928571428574E-4</v>
      </c>
      <c r="O20" s="2">
        <f>IF('Modell einstellen'!$B$1="Voll",J20/0.35,J20/0.35*2)</f>
        <v>-6.1750360000000003E-4</v>
      </c>
      <c r="P20" s="3">
        <f t="shared" si="1"/>
        <v>0.44070882455468396</v>
      </c>
      <c r="Q20" s="3"/>
      <c r="R20" s="3"/>
      <c r="S20" s="3"/>
      <c r="T20" s="3"/>
      <c r="U20" s="3"/>
      <c r="V20" s="3"/>
      <c r="W20" s="3"/>
    </row>
    <row r="21" spans="1:23" x14ac:dyDescent="0.25">
      <c r="A21" s="2">
        <v>1000</v>
      </c>
      <c r="B21" s="2">
        <v>9.1409999999999994E-5</v>
      </c>
      <c r="C21" s="2">
        <v>2.206E-4</v>
      </c>
      <c r="D21" s="2">
        <v>-4.5469999999999999E-4</v>
      </c>
      <c r="E21" s="2">
        <v>0</v>
      </c>
      <c r="F21" s="2">
        <v>0</v>
      </c>
      <c r="G21" s="2">
        <v>0</v>
      </c>
      <c r="H21" s="2">
        <v>1.0157988E-4</v>
      </c>
      <c r="I21" s="2">
        <v>2.3667205E-5</v>
      </c>
      <c r="J21" s="2">
        <v>-2.2670222E-4</v>
      </c>
      <c r="K21" s="3"/>
      <c r="L21" s="3">
        <f t="shared" si="0"/>
        <v>0.20103364855948977</v>
      </c>
      <c r="M21" s="3"/>
      <c r="N21" s="2">
        <f>IF('Modell einstellen'!$B$1="Voll",H21/0.35,H21/0.35*2)</f>
        <v>2.9022822857142862E-4</v>
      </c>
      <c r="O21" s="2">
        <f>IF('Modell einstellen'!$B$1="Voll",J21/0.35,J21/0.35*2)</f>
        <v>-6.4772062857142859E-4</v>
      </c>
      <c r="P21" s="3">
        <f t="shared" si="1"/>
        <v>0.44807624733449902</v>
      </c>
      <c r="Q21" s="3"/>
      <c r="R21" s="3"/>
      <c r="S21" s="3"/>
      <c r="T21" s="3"/>
      <c r="U21" s="3"/>
      <c r="V21" s="3"/>
      <c r="W21" s="3"/>
    </row>
    <row r="22" spans="1:23" x14ac:dyDescent="0.25">
      <c r="A22" s="2">
        <v>10000</v>
      </c>
      <c r="B22" s="2">
        <v>8.6349999999999998E-5</v>
      </c>
      <c r="C22" s="2">
        <v>2.3039999999999999E-4</v>
      </c>
      <c r="D22" s="2">
        <v>-4.6059999999999997E-4</v>
      </c>
      <c r="E22" s="2">
        <v>0</v>
      </c>
      <c r="F22" s="2">
        <v>0</v>
      </c>
      <c r="G22" s="2">
        <v>0</v>
      </c>
      <c r="H22" s="2">
        <v>1.0817081000000001E-4</v>
      </c>
      <c r="I22" s="2">
        <v>2.4903907E-5</v>
      </c>
      <c r="J22" s="2">
        <v>-2.379212E-4</v>
      </c>
      <c r="K22" s="3"/>
      <c r="L22" s="3">
        <f t="shared" si="0"/>
        <v>0.18747286148501954</v>
      </c>
      <c r="M22" s="3"/>
      <c r="N22" s="2">
        <f>IF('Modell einstellen'!$B$1="Voll",H22/0.35,H22/0.35*2)</f>
        <v>3.0905945714285719E-4</v>
      </c>
      <c r="O22" s="2">
        <f>IF('Modell einstellen'!$B$1="Voll",J22/0.35,J22/0.35*2)</f>
        <v>-6.7977485714285719E-4</v>
      </c>
      <c r="P22" s="3">
        <f t="shared" si="1"/>
        <v>0.45464973276866461</v>
      </c>
      <c r="Q22" s="3"/>
      <c r="R22" s="3"/>
      <c r="S22" s="3"/>
      <c r="T22" s="3"/>
      <c r="U22" s="3"/>
      <c r="V22" s="3"/>
      <c r="W22" s="3"/>
    </row>
    <row r="23" spans="1:23" x14ac:dyDescent="0.25">
      <c r="A23" s="2">
        <v>100000</v>
      </c>
      <c r="B23" s="2">
        <v>8.2319999999999998E-5</v>
      </c>
      <c r="C23" s="2">
        <v>2.4949999999999999E-4</v>
      </c>
      <c r="D23" s="2">
        <v>-4.7649999999999998E-4</v>
      </c>
      <c r="E23" s="2">
        <v>0</v>
      </c>
      <c r="F23" s="2">
        <v>0</v>
      </c>
      <c r="G23" s="2">
        <v>0</v>
      </c>
      <c r="H23" s="2">
        <v>1.1750177E-4</v>
      </c>
      <c r="I23" s="2">
        <v>2.7326585999999999E-5</v>
      </c>
      <c r="J23" s="2">
        <v>-2.5598046E-4</v>
      </c>
      <c r="K23" s="3"/>
      <c r="L23" s="3">
        <f t="shared" si="0"/>
        <v>0.17275970619097586</v>
      </c>
      <c r="M23" s="3"/>
      <c r="N23" s="2">
        <f>IF('Modell einstellen'!$B$1="Voll",H23/0.35,H23/0.35*2)</f>
        <v>3.3571934285714285E-4</v>
      </c>
      <c r="O23" s="2">
        <f>IF('Modell einstellen'!$B$1="Voll",J23/0.35,J23/0.35*2)</f>
        <v>-7.3137274285714287E-4</v>
      </c>
      <c r="P23" s="3">
        <f t="shared" si="1"/>
        <v>0.45902632568126489</v>
      </c>
      <c r="Q23" s="3"/>
      <c r="R23" s="3"/>
      <c r="S23" s="3"/>
      <c r="T23" s="3"/>
      <c r="U23" s="3"/>
      <c r="V23" s="3"/>
      <c r="W23" s="3"/>
    </row>
    <row r="24" spans="1:23" x14ac:dyDescent="0.25">
      <c r="A24" s="2">
        <v>1000000</v>
      </c>
      <c r="B24" s="2">
        <v>8.4330000000000001E-5</v>
      </c>
      <c r="C24" s="2">
        <v>2.8190000000000002E-4</v>
      </c>
      <c r="D24" s="2">
        <v>-5.1020000000000004E-4</v>
      </c>
      <c r="E24" s="2">
        <v>0</v>
      </c>
      <c r="F24" s="2">
        <v>0</v>
      </c>
      <c r="G24" s="2">
        <v>0</v>
      </c>
      <c r="H24" s="2">
        <v>1.2832318E-4</v>
      </c>
      <c r="I24" s="2">
        <v>3.1465494000000002E-5</v>
      </c>
      <c r="J24" s="2">
        <v>-2.8133732000000002E-4</v>
      </c>
      <c r="K24" s="3"/>
      <c r="L24" s="3">
        <f t="shared" si="0"/>
        <v>0.16528812230497844</v>
      </c>
      <c r="M24" s="3"/>
      <c r="N24" s="2">
        <f>IF('Modell einstellen'!$B$1="Voll",H24/0.35,H24/0.35*2)</f>
        <v>3.6663765714285717E-4</v>
      </c>
      <c r="O24" s="2">
        <f>IF('Modell einstellen'!$B$1="Voll",J24/0.35,J24/0.35*2)</f>
        <v>-8.0382091428571442E-4</v>
      </c>
      <c r="P24" s="3">
        <f t="shared" si="1"/>
        <v>0.45611858391200993</v>
      </c>
      <c r="Q24" s="3"/>
      <c r="R24" s="3"/>
      <c r="S24" s="3"/>
      <c r="T24" s="3"/>
      <c r="U24" s="3"/>
      <c r="V24" s="3"/>
      <c r="W24" s="3"/>
    </row>
    <row r="25" spans="1:23" x14ac:dyDescent="0.25">
      <c r="A25" s="2">
        <v>10000000</v>
      </c>
      <c r="B25" s="2">
        <v>8.6089999999999997E-5</v>
      </c>
      <c r="C25" s="2">
        <v>3.2620000000000001E-4</v>
      </c>
      <c r="D25" s="2">
        <v>-5.555E-4</v>
      </c>
      <c r="E25" s="2">
        <v>0</v>
      </c>
      <c r="F25" s="2">
        <v>0</v>
      </c>
      <c r="G25" s="2">
        <v>0</v>
      </c>
      <c r="H25" s="2">
        <v>1.4307290000000001E-4</v>
      </c>
      <c r="I25" s="2">
        <v>3.7255092E-5</v>
      </c>
      <c r="J25" s="2">
        <v>-3.1654987E-4</v>
      </c>
      <c r="K25" s="3"/>
      <c r="L25" s="3">
        <f t="shared" si="0"/>
        <v>0.15497749774977498</v>
      </c>
      <c r="M25" s="3"/>
      <c r="N25" s="2">
        <f>IF('Modell einstellen'!$B$1="Voll",H25/0.35,H25/0.35*2)</f>
        <v>4.0877971428571435E-4</v>
      </c>
      <c r="O25" s="2">
        <f>IF('Modell einstellen'!$B$1="Voll",J25/0.35,J25/0.35*2)</f>
        <v>-9.0442820000000005E-4</v>
      </c>
      <c r="P25" s="3">
        <f t="shared" si="1"/>
        <v>0.45197586086514591</v>
      </c>
      <c r="Q25" s="3"/>
      <c r="R25" s="3"/>
      <c r="S25" s="3"/>
      <c r="T25" s="3"/>
      <c r="U25" s="3"/>
      <c r="V25" s="3"/>
      <c r="W25" s="3"/>
    </row>
    <row r="26" spans="1:23" x14ac:dyDescent="0.25">
      <c r="A26" s="2">
        <v>100000000</v>
      </c>
      <c r="B26" s="2">
        <v>7.5939999999999995E-5</v>
      </c>
      <c r="C26" s="2">
        <v>3.7800000000000003E-4</v>
      </c>
      <c r="D26" s="2">
        <v>-5.9730000000000004E-4</v>
      </c>
      <c r="E26" s="2">
        <v>0</v>
      </c>
      <c r="F26" s="2">
        <v>0</v>
      </c>
      <c r="G26" s="2">
        <v>0</v>
      </c>
      <c r="H26" s="2">
        <v>1.6307084E-4</v>
      </c>
      <c r="I26" s="2">
        <v>4.4350268E-5</v>
      </c>
      <c r="J26" s="2">
        <v>-3.6191077000000002E-4</v>
      </c>
      <c r="K26" s="3"/>
      <c r="L26" s="3">
        <f t="shared" si="0"/>
        <v>0.12713879122718899</v>
      </c>
      <c r="M26" s="3"/>
      <c r="N26" s="2">
        <f>IF('Modell einstellen'!$B$1="Voll",H26/0.35,H26/0.35*2)</f>
        <v>4.6591668571428573E-4</v>
      </c>
      <c r="O26" s="2">
        <f>IF('Modell einstellen'!$B$1="Voll",J26/0.35,J26/0.35*2)</f>
        <v>-1.0340307714285716E-3</v>
      </c>
      <c r="P26" s="3">
        <f t="shared" si="1"/>
        <v>0.45058299867671792</v>
      </c>
      <c r="Q26" s="3"/>
      <c r="R26" s="3"/>
      <c r="S26" s="3"/>
      <c r="T26" s="3"/>
      <c r="U26" s="3"/>
      <c r="V26" s="3"/>
      <c r="W26" s="3"/>
    </row>
    <row r="27" spans="1:23" x14ac:dyDescent="0.25">
      <c r="A27" s="2">
        <v>1000000000</v>
      </c>
      <c r="B27" s="2">
        <v>3.7809999999999999E-5</v>
      </c>
      <c r="C27" s="2">
        <v>4.4410000000000001E-4</v>
      </c>
      <c r="D27" s="2">
        <v>-6.269E-4</v>
      </c>
      <c r="E27" s="2">
        <v>0</v>
      </c>
      <c r="F27" s="2">
        <v>0</v>
      </c>
      <c r="G27" s="2">
        <v>0</v>
      </c>
      <c r="H27" s="2">
        <v>1.941585E-4</v>
      </c>
      <c r="I27" s="2">
        <v>5.3956304000000001E-5</v>
      </c>
      <c r="J27" s="2">
        <v>-4.2774665000000001E-4</v>
      </c>
      <c r="K27" s="3"/>
      <c r="L27" s="3">
        <f t="shared" si="0"/>
        <v>6.0312649545382034E-2</v>
      </c>
      <c r="M27" s="3"/>
      <c r="N27" s="2">
        <f>IF('Modell einstellen'!$B$1="Voll",H27/0.35,H27/0.35*2)</f>
        <v>5.5473857142857149E-4</v>
      </c>
      <c r="O27" s="2">
        <f>IF('Modell einstellen'!$B$1="Voll",J27/0.35,J27/0.35*2)</f>
        <v>-1.2221332857142858E-3</v>
      </c>
      <c r="P27" s="3">
        <f t="shared" si="1"/>
        <v>0.45391004231126064</v>
      </c>
      <c r="Q27" s="3"/>
      <c r="R27" s="3"/>
      <c r="S27" s="3"/>
      <c r="T27" s="3"/>
      <c r="U27" s="3"/>
      <c r="V27" s="3"/>
      <c r="W27" s="3"/>
    </row>
    <row r="28" spans="1:23" x14ac:dyDescent="0.25">
      <c r="A28" s="2">
        <v>10000000000</v>
      </c>
      <c r="B28" s="2">
        <v>-5.6879999999999998E-5</v>
      </c>
      <c r="C28" s="2">
        <v>5.3490000000000005E-4</v>
      </c>
      <c r="D28" s="2">
        <v>-6.2589999999999998E-4</v>
      </c>
      <c r="E28" s="2">
        <v>0</v>
      </c>
      <c r="F28" s="2">
        <v>0</v>
      </c>
      <c r="G28" s="2">
        <v>0</v>
      </c>
      <c r="H28" s="2">
        <v>2.4391889999999999E-4</v>
      </c>
      <c r="I28" s="2">
        <v>6.8064414999999999E-5</v>
      </c>
      <c r="J28" s="2">
        <v>-5.2885290999999995E-4</v>
      </c>
      <c r="K28" s="3"/>
      <c r="L28" s="3">
        <f t="shared" si="0"/>
        <v>-9.0877136922831128E-2</v>
      </c>
      <c r="M28" s="3"/>
      <c r="N28" s="2">
        <f>IF('Modell einstellen'!$B$1="Voll",H28/0.35,H28/0.35*2)</f>
        <v>6.9691114285714282E-4</v>
      </c>
      <c r="O28" s="2">
        <f>IF('Modell einstellen'!$B$1="Voll",J28/0.35,J28/0.35*2)</f>
        <v>-1.5110083142857143E-3</v>
      </c>
      <c r="P28" s="3">
        <f t="shared" si="1"/>
        <v>0.46122257321038468</v>
      </c>
      <c r="Q28" s="3"/>
      <c r="R28" s="3"/>
      <c r="S28" s="3"/>
      <c r="T28" s="3"/>
      <c r="U28" s="3"/>
      <c r="V28" s="3"/>
      <c r="W28" s="3"/>
    </row>
    <row r="29" spans="1:23" x14ac:dyDescent="0.25">
      <c r="A29" s="2">
        <v>100000000000</v>
      </c>
      <c r="B29" s="2">
        <v>-2.8160000000000001E-4</v>
      </c>
      <c r="C29" s="2">
        <v>6.7520000000000004E-4</v>
      </c>
      <c r="D29" s="2">
        <v>-5.4540000000000003E-4</v>
      </c>
      <c r="E29" s="2">
        <v>0</v>
      </c>
      <c r="F29" s="2">
        <v>0</v>
      </c>
      <c r="G29" s="2">
        <v>0</v>
      </c>
      <c r="H29" s="2">
        <v>3.3211554000000003E-4</v>
      </c>
      <c r="I29" s="2">
        <v>9.1448072000000006E-5</v>
      </c>
      <c r="J29" s="2">
        <v>-7.0234659999999995E-4</v>
      </c>
      <c r="K29" s="3"/>
      <c r="L29" s="3">
        <f t="shared" si="0"/>
        <v>-0.51631829849651634</v>
      </c>
      <c r="M29" s="3"/>
      <c r="N29" s="2">
        <f>IF('Modell einstellen'!$B$1="Voll",H29/0.35,H29/0.35*2)</f>
        <v>9.4890154285714296E-4</v>
      </c>
      <c r="O29" s="2">
        <f>IF('Modell einstellen'!$B$1="Voll",J29/0.35,J29/0.35*2)</f>
        <v>-2.0067045714285713E-3</v>
      </c>
      <c r="P29" s="3">
        <f t="shared" si="1"/>
        <v>0.47286559086354235</v>
      </c>
      <c r="Q29" s="3"/>
      <c r="R29" s="3"/>
      <c r="S29" s="3"/>
      <c r="T29" s="3"/>
      <c r="U29" s="3"/>
      <c r="V29" s="3"/>
      <c r="W29" s="3"/>
    </row>
    <row r="30" spans="1:23" x14ac:dyDescent="0.25">
      <c r="A30" s="2">
        <v>1000000000000</v>
      </c>
      <c r="B30" s="2">
        <v>-6.8389999999999998E-4</v>
      </c>
      <c r="C30" s="2">
        <v>8.6370000000000001E-4</v>
      </c>
      <c r="D30" s="2">
        <v>-3.3520000000000002E-4</v>
      </c>
      <c r="E30" s="2">
        <v>0</v>
      </c>
      <c r="F30" s="2">
        <v>0</v>
      </c>
      <c r="G30" s="2">
        <v>0</v>
      </c>
      <c r="H30" s="2">
        <v>4.6491061999999998E-4</v>
      </c>
      <c r="I30" s="2">
        <v>1.2499762E-4</v>
      </c>
      <c r="J30" s="2">
        <v>-9.5744837999999996E-4</v>
      </c>
      <c r="K30" s="3"/>
      <c r="L30" s="3">
        <f t="shared" si="0"/>
        <v>-2.0402744630071599</v>
      </c>
      <c r="M30" s="3"/>
      <c r="N30" s="2">
        <f>IF('Modell einstellen'!$B$1="Voll",H30/0.35,H30/0.35*2)</f>
        <v>1.3283160571428572E-3</v>
      </c>
      <c r="O30" s="2">
        <f>IF('Modell einstellen'!$B$1="Voll",J30/0.35,J30/0.35*2)</f>
        <v>-2.7355667999999999E-3</v>
      </c>
      <c r="P30" s="3">
        <f t="shared" si="1"/>
        <v>0.48557251723586398</v>
      </c>
      <c r="Q30" s="3"/>
      <c r="R30" s="3"/>
      <c r="S30" s="3"/>
      <c r="T30" s="3"/>
      <c r="U30" s="3"/>
      <c r="V30" s="3"/>
      <c r="W30" s="3"/>
    </row>
    <row r="31" spans="1:23" x14ac:dyDescent="0.25">
      <c r="A31" s="2">
        <v>10000000000000</v>
      </c>
      <c r="B31" s="2">
        <v>-1.3140000000000001E-3</v>
      </c>
      <c r="C31" s="2">
        <v>1.1100000000000001E-3</v>
      </c>
      <c r="D31" s="2">
        <v>4.613E-5</v>
      </c>
      <c r="E31" s="2">
        <v>0</v>
      </c>
      <c r="F31" s="2">
        <v>0</v>
      </c>
      <c r="G31" s="2">
        <v>0</v>
      </c>
      <c r="H31" s="2">
        <v>6.5525694000000004E-4</v>
      </c>
      <c r="I31" s="2">
        <v>1.7092086E-4</v>
      </c>
      <c r="J31" s="2">
        <v>-1.3148941999999999E-3</v>
      </c>
      <c r="K31" s="3"/>
      <c r="L31" s="3">
        <f t="shared" si="0"/>
        <v>28.484717103836985</v>
      </c>
      <c r="M31" s="3"/>
      <c r="N31" s="2">
        <f>IF('Modell einstellen'!$B$1="Voll",H31/0.35,H31/0.35*2)</f>
        <v>1.872162685714286E-3</v>
      </c>
      <c r="O31" s="2">
        <f>IF('Modell einstellen'!$B$1="Voll",J31/0.35,J31/0.35*2)</f>
        <v>-3.7568405714285716E-3</v>
      </c>
      <c r="P31" s="3">
        <f t="shared" si="1"/>
        <v>0.49833434507506391</v>
      </c>
      <c r="Q31" s="3"/>
      <c r="R31" s="3"/>
      <c r="S31" s="3"/>
      <c r="T31" s="3"/>
      <c r="U31" s="3"/>
      <c r="V31" s="3"/>
      <c r="W31" s="3"/>
    </row>
    <row r="32" spans="1:23" x14ac:dyDescent="0.25">
      <c r="A32" s="2">
        <v>100000000000000</v>
      </c>
      <c r="B32" s="2">
        <v>-1.915E-3</v>
      </c>
      <c r="C32" s="2">
        <v>1.3270000000000001E-3</v>
      </c>
      <c r="D32" s="2">
        <v>4.283E-4</v>
      </c>
      <c r="E32" s="2">
        <v>0</v>
      </c>
      <c r="F32" s="2">
        <v>0</v>
      </c>
      <c r="G32" s="2">
        <v>0</v>
      </c>
      <c r="H32" s="2">
        <v>8.2902365999999999E-4</v>
      </c>
      <c r="I32" s="2">
        <v>2.1255037999999999E-4</v>
      </c>
      <c r="J32" s="2">
        <v>-1.6397065000000001E-3</v>
      </c>
      <c r="K32" s="3"/>
      <c r="L32" s="3">
        <f t="shared" si="0"/>
        <v>4.4711650712117672</v>
      </c>
      <c r="M32" s="3"/>
      <c r="N32" s="2">
        <f>IF('Modell einstellen'!$B$1="Voll",H32/0.35,H32/0.35*2)</f>
        <v>2.3686390285714287E-3</v>
      </c>
      <c r="O32" s="2">
        <f>IF('Modell einstellen'!$B$1="Voll",J32/0.35,J32/0.35*2)</f>
        <v>-4.6848757142857146E-3</v>
      </c>
      <c r="P32" s="3">
        <f t="shared" si="1"/>
        <v>0.50559271430588337</v>
      </c>
      <c r="Q32" s="3"/>
      <c r="R32" s="3"/>
      <c r="S32" s="3"/>
      <c r="T32" s="3"/>
      <c r="U32" s="3"/>
      <c r="V32" s="3"/>
      <c r="W32" s="3"/>
    </row>
    <row r="33" spans="1:23" x14ac:dyDescent="0.25">
      <c r="A33" s="2">
        <v>1000000000000000</v>
      </c>
      <c r="B33" s="2">
        <v>-2.4199999999999998E-3</v>
      </c>
      <c r="C33" s="2">
        <v>1.505E-3</v>
      </c>
      <c r="D33" s="2">
        <v>7.5520000000000003E-4</v>
      </c>
      <c r="E33" s="2">
        <v>0</v>
      </c>
      <c r="F33" s="2">
        <v>0</v>
      </c>
      <c r="G33" s="2">
        <v>0</v>
      </c>
      <c r="H33" s="2">
        <v>9.7326358999999996E-4</v>
      </c>
      <c r="I33" s="2">
        <v>2.4709378999999997E-4</v>
      </c>
      <c r="J33" s="2">
        <v>-1.9089707000000001E-3</v>
      </c>
      <c r="K33" s="3"/>
      <c r="L33" s="3">
        <f t="shared" si="0"/>
        <v>3.2044491525423724</v>
      </c>
      <c r="M33" s="3"/>
      <c r="N33" s="2">
        <f>IF('Modell einstellen'!$B$1="Voll",H33/0.35,H33/0.35*2)</f>
        <v>2.7807531142857145E-3</v>
      </c>
      <c r="O33" s="2">
        <f>IF('Modell einstellen'!$B$1="Voll",J33/0.35,J33/0.35*2)</f>
        <v>-5.4542020000000009E-3</v>
      </c>
      <c r="P33" s="3">
        <f t="shared" si="1"/>
        <v>0.50983684034542798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9.4790000000000006E-5</v>
      </c>
      <c r="C3" s="3">
        <v>1.226E-4</v>
      </c>
      <c r="D3" s="3">
        <v>-3.4370000000000001E-4</v>
      </c>
      <c r="E3" s="3">
        <v>0</v>
      </c>
      <c r="F3" s="3">
        <v>0</v>
      </c>
      <c r="G3" s="3">
        <v>0</v>
      </c>
      <c r="H3" s="3">
        <v>4.6113411999999997E-5</v>
      </c>
      <c r="I3" s="3">
        <v>1.2237786999999999E-5</v>
      </c>
      <c r="J3" s="3">
        <v>-1.2774705000000001E-4</v>
      </c>
      <c r="L3" s="3">
        <f>-B3/D3</f>
        <v>0.27579284259528658</v>
      </c>
      <c r="M3" s="3"/>
      <c r="N3" s="2">
        <f>IF('Modell einstellen'!$B$1="Voll",H3/0.35,H3/0.35*2)</f>
        <v>1.317526057142857E-4</v>
      </c>
      <c r="O3" s="2">
        <f>IF('Modell einstellen'!$B$1="Voll",J3/0.35,J3/0.35*2)</f>
        <v>-3.6499157142857151E-4</v>
      </c>
      <c r="P3" s="3">
        <f>-N3/O3</f>
        <v>0.36097437866471271</v>
      </c>
    </row>
    <row r="4" spans="1:16" x14ac:dyDescent="0.25">
      <c r="A4" s="3">
        <v>1E-14</v>
      </c>
      <c r="B4" s="3">
        <v>9.6849999999999996E-5</v>
      </c>
      <c r="C4" s="3">
        <v>1.2750000000000001E-4</v>
      </c>
      <c r="D4" s="3">
        <v>-3.5149999999999998E-4</v>
      </c>
      <c r="E4" s="3">
        <v>0</v>
      </c>
      <c r="F4" s="3">
        <v>0</v>
      </c>
      <c r="G4" s="3">
        <v>0</v>
      </c>
      <c r="H4" s="3">
        <v>4.8291144000000003E-5</v>
      </c>
      <c r="I4" s="3">
        <v>1.2772734E-5</v>
      </c>
      <c r="J4" s="3">
        <v>-1.3195865999999999E-4</v>
      </c>
      <c r="L4" s="3">
        <f t="shared" ref="L4:L33" si="0">-B4/D4</f>
        <v>0.27553342816500714</v>
      </c>
      <c r="M4" s="3"/>
      <c r="N4" s="2">
        <f>IF('Modell einstellen'!$B$1="Voll",H4/0.35,H4/0.35*2)</f>
        <v>1.3797469714285716E-4</v>
      </c>
      <c r="O4" s="2">
        <f>IF('Modell einstellen'!$B$1="Voll",J4/0.35,J4/0.35*2)</f>
        <v>-3.7702474285714288E-4</v>
      </c>
      <c r="P4" s="3">
        <f t="shared" ref="P4:P33" si="1">-N4/O4</f>
        <v>0.3659566109567951</v>
      </c>
    </row>
    <row r="5" spans="1:16" x14ac:dyDescent="0.25">
      <c r="A5" s="3">
        <v>1E-13</v>
      </c>
      <c r="B5" s="3">
        <v>9.7979999999999994E-5</v>
      </c>
      <c r="C5" s="3">
        <v>1.305E-4</v>
      </c>
      <c r="D5" s="3">
        <v>-3.5609999999999998E-4</v>
      </c>
      <c r="E5" s="3">
        <v>0</v>
      </c>
      <c r="F5" s="3">
        <v>0</v>
      </c>
      <c r="G5" s="3">
        <v>0</v>
      </c>
      <c r="H5" s="3">
        <v>4.9617865999999998E-5</v>
      </c>
      <c r="I5" s="3">
        <v>1.3095233999999999E-5</v>
      </c>
      <c r="J5" s="3">
        <v>-1.3451357E-4</v>
      </c>
      <c r="L5" s="3">
        <f t="shared" si="0"/>
        <v>0.27514743049705137</v>
      </c>
      <c r="M5" s="3"/>
      <c r="N5" s="2">
        <f>IF('Modell einstellen'!$B$1="Voll",H5/0.35,H5/0.35*2)</f>
        <v>1.4176533142857143E-4</v>
      </c>
      <c r="O5" s="2">
        <f>IF('Modell einstellen'!$B$1="Voll",J5/0.35,J5/0.35*2)</f>
        <v>-3.8432448571428576E-4</v>
      </c>
      <c r="P5" s="3">
        <f t="shared" si="1"/>
        <v>0.36886885092708488</v>
      </c>
    </row>
    <row r="6" spans="1:16" x14ac:dyDescent="0.25">
      <c r="A6" s="3">
        <v>9.9999999999999998E-13</v>
      </c>
      <c r="B6" s="3">
        <v>9.9099999999999996E-5</v>
      </c>
      <c r="C6" s="3">
        <v>1.3359999999999999E-4</v>
      </c>
      <c r="D6" s="3">
        <v>-3.6079999999999999E-4</v>
      </c>
      <c r="E6" s="3">
        <v>0</v>
      </c>
      <c r="F6" s="3">
        <v>0</v>
      </c>
      <c r="G6" s="3">
        <v>0</v>
      </c>
      <c r="H6" s="3">
        <v>5.1019395999999997E-5</v>
      </c>
      <c r="I6" s="3">
        <v>1.3432961E-5</v>
      </c>
      <c r="J6" s="3">
        <v>-1.3720114999999999E-4</v>
      </c>
      <c r="L6" s="3">
        <f t="shared" si="0"/>
        <v>0.27466740576496673</v>
      </c>
      <c r="M6" s="3"/>
      <c r="N6" s="2">
        <f>IF('Modell einstellen'!$B$1="Voll",H6/0.35,H6/0.35*2)</f>
        <v>1.4576970285714287E-4</v>
      </c>
      <c r="O6" s="2">
        <f>IF('Modell einstellen'!$B$1="Voll",J6/0.35,J6/0.35*2)</f>
        <v>-3.9200328571428571E-4</v>
      </c>
      <c r="P6" s="3">
        <f t="shared" si="1"/>
        <v>0.37185836999179678</v>
      </c>
    </row>
    <row r="7" spans="1:16" x14ac:dyDescent="0.25">
      <c r="A7" s="3">
        <v>9.9999999999999994E-12</v>
      </c>
      <c r="B7" s="3">
        <v>1.003E-4</v>
      </c>
      <c r="C7" s="3">
        <v>1.37E-4</v>
      </c>
      <c r="D7" s="3">
        <v>-3.6600000000000001E-4</v>
      </c>
      <c r="E7" s="3">
        <v>0</v>
      </c>
      <c r="F7" s="3">
        <v>0</v>
      </c>
      <c r="G7" s="3">
        <v>0</v>
      </c>
      <c r="H7" s="3">
        <v>5.2591813000000002E-5</v>
      </c>
      <c r="I7" s="3">
        <v>1.3808335E-5</v>
      </c>
      <c r="J7" s="3">
        <v>-1.4020221E-4</v>
      </c>
      <c r="L7" s="3">
        <f t="shared" si="0"/>
        <v>0.27404371584699455</v>
      </c>
      <c r="M7" s="3"/>
      <c r="N7" s="2">
        <f>IF('Modell einstellen'!$B$1="Voll",H7/0.35,H7/0.35*2)</f>
        <v>1.5026232285714287E-4</v>
      </c>
      <c r="O7" s="2">
        <f>IF('Modell einstellen'!$B$1="Voll",J7/0.35,J7/0.35*2)</f>
        <v>-4.0057774285714288E-4</v>
      </c>
      <c r="P7" s="3">
        <f t="shared" si="1"/>
        <v>0.37511400854522908</v>
      </c>
    </row>
    <row r="8" spans="1:16" x14ac:dyDescent="0.25">
      <c r="A8" s="3">
        <v>1E-10</v>
      </c>
      <c r="B8" s="3">
        <v>1.015E-4</v>
      </c>
      <c r="C8" s="3">
        <v>1.4100000000000001E-4</v>
      </c>
      <c r="D8" s="3">
        <v>-3.7179999999999998E-4</v>
      </c>
      <c r="E8" s="3">
        <v>0</v>
      </c>
      <c r="F8" s="3">
        <v>0</v>
      </c>
      <c r="G8" s="3">
        <v>0</v>
      </c>
      <c r="H8" s="3">
        <v>5.4421678000000001E-5</v>
      </c>
      <c r="I8" s="3">
        <v>1.4240702E-5</v>
      </c>
      <c r="J8" s="3">
        <v>-1.436768E-4</v>
      </c>
      <c r="L8" s="3">
        <f t="shared" si="0"/>
        <v>0.27299623453469607</v>
      </c>
      <c r="M8" s="3"/>
      <c r="N8" s="2">
        <f>IF('Modell einstellen'!$B$1="Voll",H8/0.35,H8/0.35*2)</f>
        <v>1.5549050857142859E-4</v>
      </c>
      <c r="O8" s="2">
        <f>IF('Modell einstellen'!$B$1="Voll",J8/0.35,J8/0.35*2)</f>
        <v>-4.1050514285714286E-4</v>
      </c>
      <c r="P8" s="3">
        <f t="shared" si="1"/>
        <v>0.37877846666963633</v>
      </c>
    </row>
    <row r="9" spans="1:16" x14ac:dyDescent="0.25">
      <c r="A9" s="3">
        <v>1.0000000000000001E-9</v>
      </c>
      <c r="B9" s="3">
        <v>1.027E-4</v>
      </c>
      <c r="C9" s="3">
        <v>1.4540000000000001E-4</v>
      </c>
      <c r="D9" s="3">
        <v>-3.7819999999999998E-4</v>
      </c>
      <c r="E9" s="3">
        <v>0</v>
      </c>
      <c r="F9" s="3">
        <v>0</v>
      </c>
      <c r="G9" s="3">
        <v>0</v>
      </c>
      <c r="H9" s="3">
        <v>5.6533480999999998E-5</v>
      </c>
      <c r="I9" s="3">
        <v>1.4733568E-5</v>
      </c>
      <c r="J9" s="3">
        <v>-1.4766249999999999E-4</v>
      </c>
      <c r="L9" s="3">
        <f t="shared" si="0"/>
        <v>0.27154944473823378</v>
      </c>
      <c r="M9" s="3"/>
      <c r="N9" s="2">
        <f>IF('Modell einstellen'!$B$1="Voll",H9/0.35,H9/0.35*2)</f>
        <v>1.6152423142857142E-4</v>
      </c>
      <c r="O9" s="2">
        <f>IF('Modell einstellen'!$B$1="Voll",J9/0.35,J9/0.35*2)</f>
        <v>-4.2189285714285712E-4</v>
      </c>
      <c r="P9" s="3">
        <f t="shared" si="1"/>
        <v>0.38285604672818085</v>
      </c>
    </row>
    <row r="10" spans="1:16" x14ac:dyDescent="0.25">
      <c r="A10" s="3">
        <v>1E-8</v>
      </c>
      <c r="B10" s="3">
        <v>1.039E-4</v>
      </c>
      <c r="C10" s="3">
        <v>1.505E-4</v>
      </c>
      <c r="D10" s="3">
        <v>-3.8529999999999999E-4</v>
      </c>
      <c r="E10" s="3">
        <v>0</v>
      </c>
      <c r="F10" s="3">
        <v>0</v>
      </c>
      <c r="G10" s="3">
        <v>0</v>
      </c>
      <c r="H10" s="3">
        <v>5.8996897999999999E-5</v>
      </c>
      <c r="I10" s="3">
        <v>1.530069E-5</v>
      </c>
      <c r="J10" s="3">
        <v>-1.5228118999999999E-4</v>
      </c>
      <c r="L10" s="3">
        <f t="shared" si="0"/>
        <v>0.26966000519076044</v>
      </c>
      <c r="M10" s="3"/>
      <c r="N10" s="2">
        <f>IF('Modell einstellen'!$B$1="Voll",H10/0.35,H10/0.35*2)</f>
        <v>1.6856256571428572E-4</v>
      </c>
      <c r="O10" s="2">
        <f>IF('Modell einstellen'!$B$1="Voll",J10/0.35,J10/0.35*2)</f>
        <v>-4.350891142857143E-4</v>
      </c>
      <c r="P10" s="3">
        <f t="shared" si="1"/>
        <v>0.38742078388013651</v>
      </c>
    </row>
    <row r="11" spans="1:16" x14ac:dyDescent="0.25">
      <c r="A11" s="3">
        <v>9.9999999999999995E-8</v>
      </c>
      <c r="B11" s="3">
        <v>1.049E-4</v>
      </c>
      <c r="C11" s="3">
        <v>1.5579999999999999E-4</v>
      </c>
      <c r="D11" s="3">
        <v>-3.926E-4</v>
      </c>
      <c r="E11" s="3">
        <v>0</v>
      </c>
      <c r="F11" s="3">
        <v>0</v>
      </c>
      <c r="G11" s="3">
        <v>0</v>
      </c>
      <c r="H11" s="3">
        <v>6.1670152999999996E-5</v>
      </c>
      <c r="I11" s="3">
        <v>1.5906020000000001E-5</v>
      </c>
      <c r="J11" s="3">
        <v>-1.5725386E-4</v>
      </c>
      <c r="L11" s="3">
        <f t="shared" si="0"/>
        <v>0.2671930718288334</v>
      </c>
      <c r="M11" s="3"/>
      <c r="N11" s="2">
        <f>IF('Modell einstellen'!$B$1="Voll",H11/0.35,H11/0.35*2)</f>
        <v>1.7620043714285715E-4</v>
      </c>
      <c r="O11" s="2">
        <f>IF('Modell einstellen'!$B$1="Voll",J11/0.35,J11/0.35*2)</f>
        <v>-4.4929674285714289E-4</v>
      </c>
      <c r="P11" s="3">
        <f t="shared" si="1"/>
        <v>0.39216940684317697</v>
      </c>
    </row>
    <row r="12" spans="1:16" x14ac:dyDescent="0.25">
      <c r="A12" s="3">
        <v>9.9999999999999995E-7</v>
      </c>
      <c r="B12" s="3">
        <v>1.0569999999999999E-4</v>
      </c>
      <c r="C12" s="3">
        <v>1.6110000000000001E-4</v>
      </c>
      <c r="D12" s="3">
        <v>-3.9950000000000001E-4</v>
      </c>
      <c r="E12" s="3">
        <v>0</v>
      </c>
      <c r="F12" s="3">
        <v>0</v>
      </c>
      <c r="G12" s="3">
        <v>0</v>
      </c>
      <c r="H12" s="3">
        <v>6.4370942999999995E-5</v>
      </c>
      <c r="I12" s="3">
        <v>1.6507691E-5</v>
      </c>
      <c r="J12" s="3">
        <v>-1.6223931000000001E-4</v>
      </c>
      <c r="L12" s="3">
        <f t="shared" si="0"/>
        <v>0.26458072590738418</v>
      </c>
      <c r="M12" s="3"/>
      <c r="N12" s="2">
        <f>IF('Modell einstellen'!$B$1="Voll",H12/0.35,H12/0.35*2)</f>
        <v>1.8391697999999999E-4</v>
      </c>
      <c r="O12" s="2">
        <f>IF('Modell einstellen'!$B$1="Voll",J12/0.35,J12/0.35*2)</f>
        <v>-4.6354088571428579E-4</v>
      </c>
      <c r="P12" s="3">
        <f t="shared" si="1"/>
        <v>0.39676538934984368</v>
      </c>
    </row>
    <row r="13" spans="1:16" x14ac:dyDescent="0.25">
      <c r="A13" s="3">
        <v>1.0000000000000001E-5</v>
      </c>
      <c r="B13" s="3">
        <v>1.0620000000000001E-4</v>
      </c>
      <c r="C13" s="3">
        <v>1.6750000000000001E-4</v>
      </c>
      <c r="D13" s="3">
        <v>-4.0749999999999998E-4</v>
      </c>
      <c r="E13" s="3">
        <v>0</v>
      </c>
      <c r="F13" s="3">
        <v>0</v>
      </c>
      <c r="G13" s="3">
        <v>0</v>
      </c>
      <c r="H13" s="3">
        <v>6.7725370000000005E-5</v>
      </c>
      <c r="I13" s="3">
        <v>1.7241733000000002E-5</v>
      </c>
      <c r="J13" s="3">
        <v>-1.6838062E-4</v>
      </c>
      <c r="L13" s="3">
        <f t="shared" si="0"/>
        <v>0.26061349693251534</v>
      </c>
      <c r="M13" s="3"/>
      <c r="N13" s="2">
        <f>IF('Modell einstellen'!$B$1="Voll",H13/0.35,H13/0.35*2)</f>
        <v>1.9350105714285718E-4</v>
      </c>
      <c r="O13" s="2">
        <f>IF('Modell einstellen'!$B$1="Voll",J13/0.35,J13/0.35*2)</f>
        <v>-4.8108748571428574E-4</v>
      </c>
      <c r="P13" s="3">
        <f t="shared" si="1"/>
        <v>0.40221594385387111</v>
      </c>
    </row>
    <row r="14" spans="1:16" x14ac:dyDescent="0.25">
      <c r="A14" s="3">
        <v>1E-4</v>
      </c>
      <c r="B14" s="3">
        <v>1.064E-4</v>
      </c>
      <c r="C14" s="3">
        <v>1.7560000000000001E-4</v>
      </c>
      <c r="D14" s="3">
        <v>-4.17E-4</v>
      </c>
      <c r="E14" s="3">
        <v>0</v>
      </c>
      <c r="F14" s="3">
        <v>0</v>
      </c>
      <c r="G14" s="3">
        <v>0</v>
      </c>
      <c r="H14" s="3">
        <v>7.2106434000000004E-5</v>
      </c>
      <c r="I14" s="3">
        <v>1.8177641999999998E-5</v>
      </c>
      <c r="J14" s="3">
        <v>-1.7631402999999999E-4</v>
      </c>
      <c r="L14" s="3">
        <f t="shared" si="0"/>
        <v>0.25515587529976019</v>
      </c>
      <c r="M14" s="3"/>
      <c r="N14" s="2">
        <f>IF('Modell einstellen'!$B$1="Voll",H14/0.35,H14/0.35*2)</f>
        <v>2.0601838285714289E-4</v>
      </c>
      <c r="O14" s="2">
        <f>IF('Modell einstellen'!$B$1="Voll",J14/0.35,J14/0.35*2)</f>
        <v>-5.0375437142857141E-4</v>
      </c>
      <c r="P14" s="3">
        <f t="shared" si="1"/>
        <v>0.40896594559151084</v>
      </c>
    </row>
    <row r="15" spans="1:16" x14ac:dyDescent="0.25">
      <c r="A15" s="3">
        <v>1E-3</v>
      </c>
      <c r="B15" s="3">
        <v>1.058E-4</v>
      </c>
      <c r="C15" s="3">
        <v>1.8450000000000001E-4</v>
      </c>
      <c r="D15" s="3">
        <v>-4.2680000000000002E-4</v>
      </c>
      <c r="E15" s="3">
        <v>0</v>
      </c>
      <c r="F15" s="3">
        <v>0</v>
      </c>
      <c r="G15" s="3">
        <v>0</v>
      </c>
      <c r="H15" s="3">
        <v>7.7191012000000006E-5</v>
      </c>
      <c r="I15" s="3">
        <v>1.9230794999999999E-5</v>
      </c>
      <c r="J15" s="3">
        <v>-1.8539467E-4</v>
      </c>
      <c r="L15" s="3">
        <f t="shared" si="0"/>
        <v>0.24789128397375818</v>
      </c>
      <c r="M15" s="3"/>
      <c r="N15" s="2">
        <f>IF('Modell einstellen'!$B$1="Voll",H15/0.35,H15/0.35*2)</f>
        <v>2.2054574857142861E-4</v>
      </c>
      <c r="O15" s="2">
        <f>IF('Modell einstellen'!$B$1="Voll",J15/0.35,J15/0.35*2)</f>
        <v>-5.2969905714285719E-4</v>
      </c>
      <c r="P15" s="3">
        <f t="shared" si="1"/>
        <v>0.41636047034146129</v>
      </c>
    </row>
    <row r="16" spans="1:16" x14ac:dyDescent="0.25">
      <c r="A16" s="3">
        <v>0.01</v>
      </c>
      <c r="B16" s="3">
        <v>1.044E-4</v>
      </c>
      <c r="C16" s="3">
        <v>1.9269999999999999E-4</v>
      </c>
      <c r="D16" s="3">
        <v>-4.348E-4</v>
      </c>
      <c r="E16" s="3">
        <v>0</v>
      </c>
      <c r="F16" s="3">
        <v>0</v>
      </c>
      <c r="G16" s="3">
        <v>0</v>
      </c>
      <c r="H16" s="3">
        <v>8.2042080000000004E-5</v>
      </c>
      <c r="I16" s="3">
        <v>2.0202170999999998E-5</v>
      </c>
      <c r="J16" s="3">
        <v>-1.9393046000000001E-4</v>
      </c>
      <c r="L16" s="3">
        <f t="shared" si="0"/>
        <v>0.24011039558417663</v>
      </c>
      <c r="M16" s="3"/>
      <c r="N16" s="2">
        <f>IF('Modell einstellen'!$B$1="Voll",H16/0.35,H16/0.35*2)</f>
        <v>2.344059428571429E-4</v>
      </c>
      <c r="O16" s="2">
        <f>IF('Modell einstellen'!$B$1="Voll",J16/0.35,J16/0.35*2)</f>
        <v>-5.5408702857142863E-4</v>
      </c>
      <c r="P16" s="3">
        <f t="shared" si="1"/>
        <v>0.42304896301488693</v>
      </c>
    </row>
    <row r="17" spans="1:16" x14ac:dyDescent="0.25">
      <c r="A17" s="3">
        <v>0.1</v>
      </c>
      <c r="B17" s="3">
        <v>1.024E-4</v>
      </c>
      <c r="C17" s="3">
        <v>2.0019999999999999E-4</v>
      </c>
      <c r="D17" s="3">
        <v>-4.416E-4</v>
      </c>
      <c r="E17" s="3">
        <v>0</v>
      </c>
      <c r="F17" s="3">
        <v>0</v>
      </c>
      <c r="G17" s="3">
        <v>0</v>
      </c>
      <c r="H17" s="3">
        <v>8.6756880999999997E-5</v>
      </c>
      <c r="I17" s="3">
        <v>2.1118996000000001E-5</v>
      </c>
      <c r="J17" s="3">
        <v>-2.0212278999999999E-4</v>
      </c>
      <c r="L17" s="3">
        <f t="shared" si="0"/>
        <v>0.2318840579710145</v>
      </c>
      <c r="M17" s="3"/>
      <c r="N17" s="2">
        <f>IF('Modell einstellen'!$B$1="Voll",H17/0.35,H17/0.35*2)</f>
        <v>2.4787680285714287E-4</v>
      </c>
      <c r="O17" s="2">
        <f>IF('Modell einstellen'!$B$1="Voll",J17/0.35,J17/0.35*2)</f>
        <v>-5.774936857142857E-4</v>
      </c>
      <c r="P17" s="3">
        <f t="shared" si="1"/>
        <v>0.42922859416298381</v>
      </c>
    </row>
    <row r="18" spans="1:16" x14ac:dyDescent="0.25">
      <c r="A18" s="3">
        <v>1</v>
      </c>
      <c r="B18" s="3">
        <v>9.959E-5</v>
      </c>
      <c r="C18" s="3">
        <v>2.0819999999999999E-4</v>
      </c>
      <c r="D18" s="3">
        <v>-4.4799999999999999E-4</v>
      </c>
      <c r="E18" s="3">
        <v>0</v>
      </c>
      <c r="F18" s="3">
        <v>0</v>
      </c>
      <c r="G18" s="3">
        <v>0</v>
      </c>
      <c r="H18" s="3">
        <v>9.1944983000000002E-5</v>
      </c>
      <c r="I18" s="3">
        <v>2.2096280999999999E-5</v>
      </c>
      <c r="J18" s="3">
        <v>-2.1101754000000001E-4</v>
      </c>
      <c r="L18" s="3">
        <f t="shared" si="0"/>
        <v>0.22229910714285714</v>
      </c>
      <c r="M18" s="3"/>
      <c r="N18" s="2">
        <f>IF('Modell einstellen'!$B$1="Voll",H18/0.35,H18/0.35*2)</f>
        <v>2.6269995142857143E-4</v>
      </c>
      <c r="O18" s="2">
        <f>IF('Modell einstellen'!$B$1="Voll",J18/0.35,J18/0.35*2)</f>
        <v>-6.0290725714285721E-4</v>
      </c>
      <c r="P18" s="3">
        <f t="shared" si="1"/>
        <v>0.43572199258886246</v>
      </c>
    </row>
    <row r="19" spans="1:16" x14ac:dyDescent="0.25">
      <c r="A19" s="3">
        <v>10</v>
      </c>
      <c r="B19" s="3">
        <v>9.569E-5</v>
      </c>
      <c r="C19" s="3">
        <v>2.1670000000000001E-4</v>
      </c>
      <c r="D19" s="3">
        <v>-4.5399999999999998E-4</v>
      </c>
      <c r="E19" s="3">
        <v>0</v>
      </c>
      <c r="F19" s="3">
        <v>0</v>
      </c>
      <c r="G19" s="3">
        <v>0</v>
      </c>
      <c r="H19" s="3">
        <v>9.7739307E-5</v>
      </c>
      <c r="I19" s="3">
        <v>2.3155308E-5</v>
      </c>
      <c r="J19" s="3">
        <v>-2.2082577E-4</v>
      </c>
      <c r="L19" s="3">
        <f t="shared" si="0"/>
        <v>0.21077092511013218</v>
      </c>
      <c r="M19" s="3"/>
      <c r="N19" s="2">
        <f>IF('Modell einstellen'!$B$1="Voll",H19/0.35,H19/0.35*2)</f>
        <v>2.7925516285714287E-4</v>
      </c>
      <c r="O19" s="2">
        <f>IF('Modell einstellen'!$B$1="Voll",J19/0.35,J19/0.35*2)</f>
        <v>-6.3093077142857145E-4</v>
      </c>
      <c r="P19" s="3">
        <f t="shared" si="1"/>
        <v>0.44260824721679903</v>
      </c>
    </row>
    <row r="20" spans="1:16" x14ac:dyDescent="0.25">
      <c r="A20" s="3">
        <v>100</v>
      </c>
      <c r="B20" s="3">
        <v>9.0950000000000002E-5</v>
      </c>
      <c r="C20" s="3">
        <v>2.2589999999999999E-4</v>
      </c>
      <c r="D20" s="3">
        <v>-4.5970000000000001E-4</v>
      </c>
      <c r="E20" s="3">
        <v>0</v>
      </c>
      <c r="F20" s="3">
        <v>0</v>
      </c>
      <c r="G20" s="3">
        <v>0</v>
      </c>
      <c r="H20" s="3">
        <v>1.0403789E-4</v>
      </c>
      <c r="I20" s="3">
        <v>2.4317586000000001E-5</v>
      </c>
      <c r="J20" s="3">
        <v>-2.3149828999999999E-4</v>
      </c>
      <c r="L20" s="3">
        <f t="shared" si="0"/>
        <v>0.19784642157929083</v>
      </c>
      <c r="M20" s="3"/>
      <c r="N20" s="2">
        <f>IF('Modell einstellen'!$B$1="Voll",H20/0.35,H20/0.35*2)</f>
        <v>2.9725111428571431E-4</v>
      </c>
      <c r="O20" s="2">
        <f>IF('Modell einstellen'!$B$1="Voll",J20/0.35,J20/0.35*2)</f>
        <v>-6.6142368571428577E-4</v>
      </c>
      <c r="P20" s="3">
        <f t="shared" si="1"/>
        <v>0.44941105180517749</v>
      </c>
    </row>
    <row r="21" spans="1:16" x14ac:dyDescent="0.25">
      <c r="A21" s="3">
        <v>1000</v>
      </c>
      <c r="B21" s="3">
        <v>8.7239999999999998E-5</v>
      </c>
      <c r="C21" s="3">
        <v>2.4020000000000001E-4</v>
      </c>
      <c r="D21" s="3">
        <v>-4.7120000000000002E-4</v>
      </c>
      <c r="E21" s="3">
        <v>0</v>
      </c>
      <c r="F21" s="3">
        <v>0</v>
      </c>
      <c r="G21" s="3">
        <v>0</v>
      </c>
      <c r="H21" s="3">
        <v>1.1163507E-4</v>
      </c>
      <c r="I21" s="3">
        <v>2.6126708E-5</v>
      </c>
      <c r="J21" s="3">
        <v>-2.4567498000000002E-4</v>
      </c>
      <c r="L21" s="3">
        <f t="shared" si="0"/>
        <v>0.18514431239388793</v>
      </c>
      <c r="M21" s="3"/>
      <c r="N21" s="2">
        <f>IF('Modell einstellen'!$B$1="Voll",H21/0.35,H21/0.35*2)</f>
        <v>3.1895734285714288E-4</v>
      </c>
      <c r="O21" s="2">
        <f>IF('Modell einstellen'!$B$1="Voll",J21/0.35,J21/0.35*2)</f>
        <v>-7.0192851428571438E-4</v>
      </c>
      <c r="P21" s="3">
        <f t="shared" si="1"/>
        <v>0.45440146163846229</v>
      </c>
    </row>
    <row r="22" spans="1:16" x14ac:dyDescent="0.25">
      <c r="A22" s="3">
        <v>10000</v>
      </c>
      <c r="B22" s="3">
        <v>8.8700000000000001E-5</v>
      </c>
      <c r="C22" s="3">
        <v>2.677E-4</v>
      </c>
      <c r="D22" s="3">
        <v>-4.9989999999999995E-4</v>
      </c>
      <c r="E22" s="3">
        <v>0</v>
      </c>
      <c r="F22" s="3">
        <v>0</v>
      </c>
      <c r="G22" s="3">
        <v>0</v>
      </c>
      <c r="H22" s="3">
        <v>1.2147889E-4</v>
      </c>
      <c r="I22" s="3">
        <v>2.9607184E-5</v>
      </c>
      <c r="J22" s="3">
        <v>-2.6778008000000002E-4</v>
      </c>
      <c r="L22" s="3">
        <f t="shared" si="0"/>
        <v>0.17743548709741949</v>
      </c>
      <c r="M22" s="3"/>
      <c r="N22" s="2">
        <f>IF('Modell einstellen'!$B$1="Voll",H22/0.35,H22/0.35*2)</f>
        <v>3.4708254285714289E-4</v>
      </c>
      <c r="O22" s="2">
        <f>IF('Modell einstellen'!$B$1="Voll",J22/0.35,J22/0.35*2)</f>
        <v>-7.6508594285714293E-4</v>
      </c>
      <c r="P22" s="3">
        <f t="shared" si="1"/>
        <v>0.45365170553388434</v>
      </c>
    </row>
    <row r="23" spans="1:16" x14ac:dyDescent="0.25">
      <c r="A23" s="3">
        <v>100000</v>
      </c>
      <c r="B23" s="3">
        <v>9.3049999999999998E-5</v>
      </c>
      <c r="C23" s="3">
        <v>3.0630000000000002E-4</v>
      </c>
      <c r="D23" s="3">
        <v>-5.419E-4</v>
      </c>
      <c r="E23" s="3">
        <v>0</v>
      </c>
      <c r="F23" s="3">
        <v>0</v>
      </c>
      <c r="G23" s="3">
        <v>0</v>
      </c>
      <c r="H23" s="3">
        <v>1.3368283999999999E-4</v>
      </c>
      <c r="I23" s="3">
        <v>3.4573931999999999E-5</v>
      </c>
      <c r="J23" s="3">
        <v>-2.9743708000000001E-4</v>
      </c>
      <c r="L23" s="3">
        <f t="shared" si="0"/>
        <v>0.17171064772098174</v>
      </c>
      <c r="M23" s="3"/>
      <c r="N23" s="2">
        <f>IF('Modell einstellen'!$B$1="Voll",H23/0.35,H23/0.35*2)</f>
        <v>3.8195097142857141E-4</v>
      </c>
      <c r="O23" s="2">
        <f>IF('Modell einstellen'!$B$1="Voll",J23/0.35,J23/0.35*2)</f>
        <v>-8.4982022857142865E-4</v>
      </c>
      <c r="P23" s="3">
        <f t="shared" si="1"/>
        <v>0.44944914063841662</v>
      </c>
    </row>
    <row r="24" spans="1:16" x14ac:dyDescent="0.25">
      <c r="A24" s="3">
        <v>1000000</v>
      </c>
      <c r="B24" s="3">
        <v>9.1949999999999999E-5</v>
      </c>
      <c r="C24" s="3">
        <v>3.5260000000000001E-4</v>
      </c>
      <c r="D24" s="3">
        <v>-5.8690000000000001E-4</v>
      </c>
      <c r="E24" s="3">
        <v>0</v>
      </c>
      <c r="F24" s="3">
        <v>0</v>
      </c>
      <c r="G24" s="3">
        <v>0</v>
      </c>
      <c r="H24" s="3">
        <v>1.5032813E-4</v>
      </c>
      <c r="I24" s="3">
        <v>4.0763743999999998E-5</v>
      </c>
      <c r="J24" s="3">
        <v>-3.361099E-4</v>
      </c>
      <c r="L24" s="3">
        <f t="shared" si="0"/>
        <v>0.15667064235815301</v>
      </c>
      <c r="M24" s="3"/>
      <c r="N24" s="2">
        <f>IF('Modell einstellen'!$B$1="Voll",H24/0.35,H24/0.35*2)</f>
        <v>4.2950894285714289E-4</v>
      </c>
      <c r="O24" s="2">
        <f>IF('Modell einstellen'!$B$1="Voll",J24/0.35,J24/0.35*2)</f>
        <v>-9.6031400000000009E-4</v>
      </c>
      <c r="P24" s="3">
        <f t="shared" si="1"/>
        <v>0.44725885789142183</v>
      </c>
    </row>
    <row r="25" spans="1:16" x14ac:dyDescent="0.25">
      <c r="A25" s="3">
        <v>10000000</v>
      </c>
      <c r="B25" s="3">
        <v>7.2570000000000005E-5</v>
      </c>
      <c r="C25" s="3">
        <v>4.0779999999999999E-4</v>
      </c>
      <c r="D25" s="3">
        <v>-6.2370000000000004E-4</v>
      </c>
      <c r="E25" s="3">
        <v>0</v>
      </c>
      <c r="F25" s="3">
        <v>0</v>
      </c>
      <c r="G25" s="3">
        <v>0</v>
      </c>
      <c r="H25" s="3">
        <v>1.7414690999999999E-4</v>
      </c>
      <c r="I25" s="3">
        <v>4.8547558999999997E-5</v>
      </c>
      <c r="J25" s="3">
        <v>-3.8795797E-4</v>
      </c>
      <c r="L25" s="3">
        <f t="shared" si="0"/>
        <v>0.11635401635401635</v>
      </c>
      <c r="M25" s="3"/>
      <c r="N25" s="2">
        <f>IF('Modell einstellen'!$B$1="Voll",H25/0.35,H25/0.35*2)</f>
        <v>4.9756259999999999E-4</v>
      </c>
      <c r="O25" s="2">
        <f>IF('Modell einstellen'!$B$1="Voll",J25/0.35,J25/0.35*2)</f>
        <v>-1.1084513428571429E-3</v>
      </c>
      <c r="P25" s="3">
        <f t="shared" si="1"/>
        <v>0.4488808671722867</v>
      </c>
    </row>
    <row r="26" spans="1:16" x14ac:dyDescent="0.25">
      <c r="A26" s="3">
        <v>100000000</v>
      </c>
      <c r="B26" s="3">
        <v>1.5999999999999999E-5</v>
      </c>
      <c r="C26" s="3">
        <v>4.8109999999999998E-4</v>
      </c>
      <c r="D26" s="3">
        <v>-6.4269999999999996E-4</v>
      </c>
      <c r="E26" s="3">
        <v>0</v>
      </c>
      <c r="F26" s="3">
        <v>0</v>
      </c>
      <c r="G26" s="3">
        <v>0</v>
      </c>
      <c r="H26" s="3">
        <v>2.1136846999999999E-4</v>
      </c>
      <c r="I26" s="3">
        <v>5.9524531000000001E-5</v>
      </c>
      <c r="J26" s="3">
        <v>-4.6504723000000001E-4</v>
      </c>
      <c r="L26" s="3">
        <f t="shared" si="0"/>
        <v>2.4894974327057725E-2</v>
      </c>
      <c r="M26" s="3"/>
      <c r="N26" s="2">
        <f>IF('Modell einstellen'!$B$1="Voll",H26/0.35,H26/0.35*2)</f>
        <v>6.0390991428571432E-4</v>
      </c>
      <c r="O26" s="2">
        <f>IF('Modell einstellen'!$B$1="Voll",J26/0.35,J26/0.35*2)</f>
        <v>-1.3287063714285715E-3</v>
      </c>
      <c r="P26" s="3">
        <f t="shared" si="1"/>
        <v>0.45450968496253596</v>
      </c>
    </row>
    <row r="27" spans="1:16" x14ac:dyDescent="0.25">
      <c r="A27" s="3">
        <v>1000000000</v>
      </c>
      <c r="B27" s="3">
        <v>-1.209E-4</v>
      </c>
      <c r="C27" s="3">
        <v>5.886E-4</v>
      </c>
      <c r="D27" s="3">
        <v>-6.1689999999999998E-4</v>
      </c>
      <c r="E27" s="3">
        <v>0</v>
      </c>
      <c r="F27" s="3">
        <v>0</v>
      </c>
      <c r="G27" s="3">
        <v>0</v>
      </c>
      <c r="H27" s="3">
        <v>2.7376766999999999E-4</v>
      </c>
      <c r="I27" s="3">
        <v>7.6737693999999999E-5</v>
      </c>
      <c r="J27" s="3">
        <v>-5.9019556999999995E-4</v>
      </c>
      <c r="L27" s="3">
        <f t="shared" si="0"/>
        <v>-0.19597989949748745</v>
      </c>
      <c r="M27" s="3"/>
      <c r="N27" s="2">
        <f>IF('Modell einstellen'!$B$1="Voll",H27/0.35,H27/0.35*2)</f>
        <v>7.8219334285714289E-4</v>
      </c>
      <c r="O27" s="2">
        <f>IF('Modell einstellen'!$B$1="Voll",J27/0.35,J27/0.35*2)</f>
        <v>-1.6862730571428571E-3</v>
      </c>
      <c r="P27" s="3">
        <f t="shared" si="1"/>
        <v>0.46385924245415805</v>
      </c>
    </row>
    <row r="28" spans="1:16" x14ac:dyDescent="0.25">
      <c r="A28" s="3">
        <v>10000000000</v>
      </c>
      <c r="B28" s="3">
        <v>-4.1520000000000001E-4</v>
      </c>
      <c r="C28" s="3">
        <v>7.4910000000000005E-4</v>
      </c>
      <c r="D28" s="3">
        <v>-4.8700000000000002E-4</v>
      </c>
      <c r="E28" s="3">
        <v>0</v>
      </c>
      <c r="F28" s="3">
        <v>0</v>
      </c>
      <c r="G28" s="3">
        <v>0</v>
      </c>
      <c r="H28" s="3">
        <v>3.7939232000000001E-4</v>
      </c>
      <c r="I28" s="3">
        <v>1.0430163000000001E-4</v>
      </c>
      <c r="J28" s="3">
        <v>-7.9637101E-4</v>
      </c>
      <c r="L28" s="3">
        <f t="shared" si="0"/>
        <v>-0.85256673511293635</v>
      </c>
      <c r="M28" s="3"/>
      <c r="N28" s="2">
        <f>IF('Modell einstellen'!$B$1="Voll",H28/0.35,H28/0.35*2)</f>
        <v>1.0839780571428573E-3</v>
      </c>
      <c r="O28" s="2">
        <f>IF('Modell einstellen'!$B$1="Voll",J28/0.35,J28/0.35*2)</f>
        <v>-2.2753457428571428E-3</v>
      </c>
      <c r="P28" s="3">
        <f t="shared" si="1"/>
        <v>0.47640147021424106</v>
      </c>
    </row>
    <row r="29" spans="1:16" x14ac:dyDescent="0.25">
      <c r="A29" s="3">
        <v>100000000000</v>
      </c>
      <c r="B29" s="3">
        <v>-9.0819999999999996E-4</v>
      </c>
      <c r="C29" s="3">
        <v>9.6139999999999995E-4</v>
      </c>
      <c r="D29" s="3">
        <v>-2.098E-4</v>
      </c>
      <c r="E29" s="3">
        <v>0</v>
      </c>
      <c r="F29" s="3">
        <v>0</v>
      </c>
      <c r="G29" s="3">
        <v>0</v>
      </c>
      <c r="H29" s="3">
        <v>5.3487304E-4</v>
      </c>
      <c r="I29" s="3">
        <v>1.4293169000000001E-4</v>
      </c>
      <c r="J29" s="3">
        <v>-1.0926040000000001E-3</v>
      </c>
      <c r="L29" s="3">
        <f t="shared" si="0"/>
        <v>-4.3288846520495712</v>
      </c>
      <c r="M29" s="3"/>
      <c r="N29" s="2">
        <f>IF('Modell einstellen'!$B$1="Voll",H29/0.35,H29/0.35*2)</f>
        <v>1.5282086857142858E-3</v>
      </c>
      <c r="O29" s="2">
        <f>IF('Modell einstellen'!$B$1="Voll",J29/0.35,J29/0.35*2)</f>
        <v>-3.1217257142857145E-3</v>
      </c>
      <c r="P29" s="3">
        <f t="shared" si="1"/>
        <v>0.48953970514477341</v>
      </c>
    </row>
    <row r="30" spans="1:16" x14ac:dyDescent="0.25">
      <c r="A30" s="3">
        <v>1000000000000</v>
      </c>
      <c r="B30" s="3">
        <v>-1.57E-3</v>
      </c>
      <c r="C30" s="3">
        <v>1.209E-3</v>
      </c>
      <c r="D30" s="3">
        <v>2.028E-4</v>
      </c>
      <c r="E30" s="3">
        <v>0</v>
      </c>
      <c r="F30" s="3">
        <v>0</v>
      </c>
      <c r="G30" s="3">
        <v>0</v>
      </c>
      <c r="H30" s="3">
        <v>7.3035378000000002E-4</v>
      </c>
      <c r="I30" s="3">
        <v>1.8973808000000001E-4</v>
      </c>
      <c r="J30" s="3">
        <v>-1.4582206000000001E-3</v>
      </c>
      <c r="L30" s="3">
        <f t="shared" si="0"/>
        <v>7.7416173570019726</v>
      </c>
      <c r="M30" s="3"/>
      <c r="N30" s="2">
        <f>IF('Modell einstellen'!$B$1="Voll",H30/0.35,H30/0.35*2)</f>
        <v>2.0867250857142857E-3</v>
      </c>
      <c r="O30" s="2">
        <f>IF('Modell einstellen'!$B$1="Voll",J30/0.35,J30/0.35*2)</f>
        <v>-4.1663445714285718E-3</v>
      </c>
      <c r="P30" s="3">
        <f t="shared" si="1"/>
        <v>0.50085273791907747</v>
      </c>
    </row>
    <row r="31" spans="1:16" x14ac:dyDescent="0.25">
      <c r="A31" s="3">
        <v>10000000000000</v>
      </c>
      <c r="B31" s="3">
        <v>-2.1280000000000001E-3</v>
      </c>
      <c r="C31" s="3">
        <v>1.408E-3</v>
      </c>
      <c r="D31" s="3">
        <v>5.6079999999999997E-4</v>
      </c>
      <c r="E31" s="3">
        <v>0</v>
      </c>
      <c r="F31" s="3">
        <v>0</v>
      </c>
      <c r="G31" s="3">
        <v>0</v>
      </c>
      <c r="H31" s="3">
        <v>8.9063733999999995E-4</v>
      </c>
      <c r="I31" s="3">
        <v>2.2808394999999999E-4</v>
      </c>
      <c r="J31" s="3">
        <v>-1.7574909000000001E-3</v>
      </c>
      <c r="L31" s="3">
        <f t="shared" si="0"/>
        <v>3.7945791726105567</v>
      </c>
      <c r="M31" s="3"/>
      <c r="N31" s="2">
        <f>IF('Modell einstellen'!$B$1="Voll",H31/0.35,H31/0.35*2)</f>
        <v>2.5446781142857144E-3</v>
      </c>
      <c r="O31" s="2">
        <f>IF('Modell einstellen'!$B$1="Voll",J31/0.35,J31/0.35*2)</f>
        <v>-5.0214025714285723E-3</v>
      </c>
      <c r="P31" s="3">
        <f t="shared" si="1"/>
        <v>0.50676640203371748</v>
      </c>
    </row>
    <row r="32" spans="1:16" x14ac:dyDescent="0.25">
      <c r="A32" s="3">
        <v>100000000000000</v>
      </c>
      <c r="B32" s="3">
        <v>-2.5349999999999999E-3</v>
      </c>
      <c r="C32" s="3">
        <v>1.5510000000000001E-3</v>
      </c>
      <c r="D32" s="3">
        <v>8.2370000000000002E-4</v>
      </c>
      <c r="E32" s="3">
        <v>0</v>
      </c>
      <c r="F32" s="3">
        <v>0</v>
      </c>
      <c r="G32" s="3">
        <v>0</v>
      </c>
      <c r="H32" s="3">
        <v>1.0063603999999999E-3</v>
      </c>
      <c r="I32" s="3">
        <v>2.5596434999999997E-4</v>
      </c>
      <c r="J32" s="3">
        <v>-1.9740483000000001E-3</v>
      </c>
      <c r="L32" s="3">
        <f t="shared" si="0"/>
        <v>3.0775767876654121</v>
      </c>
      <c r="M32" s="3"/>
      <c r="N32" s="2">
        <f>IF('Modell einstellen'!$B$1="Voll",H32/0.35,H32/0.35*2)</f>
        <v>2.8753154285714286E-3</v>
      </c>
      <c r="O32" s="2">
        <f>IF('Modell einstellen'!$B$1="Voll",J32/0.35,J32/0.35*2)</f>
        <v>-5.6401380000000003E-3</v>
      </c>
      <c r="P32" s="3">
        <f t="shared" si="1"/>
        <v>0.50979522638833097</v>
      </c>
    </row>
    <row r="33" spans="1:16" x14ac:dyDescent="0.25">
      <c r="A33" s="3">
        <v>1000000000000000</v>
      </c>
      <c r="B33" s="3">
        <v>-2.7659999999999998E-3</v>
      </c>
      <c r="C33" s="3">
        <v>1.634E-3</v>
      </c>
      <c r="D33" s="3">
        <v>9.7170000000000004E-4</v>
      </c>
      <c r="E33" s="3">
        <v>0</v>
      </c>
      <c r="F33" s="3">
        <v>0</v>
      </c>
      <c r="G33" s="3">
        <v>0</v>
      </c>
      <c r="H33" s="3">
        <v>1.0722454E-3</v>
      </c>
      <c r="I33" s="3">
        <v>2.7219494E-4</v>
      </c>
      <c r="J33" s="3">
        <v>-2.0985484000000001E-3</v>
      </c>
      <c r="L33" s="3">
        <f t="shared" si="0"/>
        <v>2.8465575794998452</v>
      </c>
      <c r="M33" s="3"/>
      <c r="N33" s="2">
        <f>IF('Modell einstellen'!$B$1="Voll",H33/0.35,H33/0.35*2)</f>
        <v>3.0635582857142861E-3</v>
      </c>
      <c r="O33" s="2">
        <f>IF('Modell einstellen'!$B$1="Voll",J33/0.35,J33/0.35*2)</f>
        <v>-5.9958525714285723E-3</v>
      </c>
      <c r="P33" s="3">
        <f t="shared" si="1"/>
        <v>0.51094623311999854</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9.7310000000000002E-5</v>
      </c>
      <c r="C3" s="3">
        <v>1.273E-4</v>
      </c>
      <c r="D3" s="3">
        <v>-3.5159999999999998E-4</v>
      </c>
      <c r="E3" s="3">
        <v>0</v>
      </c>
      <c r="F3" s="3">
        <v>0</v>
      </c>
      <c r="G3" s="3">
        <v>0</v>
      </c>
      <c r="H3" s="3">
        <v>4.8136965999999997E-5</v>
      </c>
      <c r="I3" s="3">
        <v>1.2750401E-5</v>
      </c>
      <c r="J3" s="3">
        <v>-1.3171883999999999E-4</v>
      </c>
      <c r="K3" s="3"/>
      <c r="L3" s="3">
        <f>-B3/D3</f>
        <v>0.27676336746302621</v>
      </c>
      <c r="M3" s="3"/>
      <c r="N3" s="2">
        <f>IF('Modell einstellen'!$B$1="Voll",H3/0.35,H3/0.35*2)</f>
        <v>1.3753418857142857E-4</v>
      </c>
      <c r="O3" s="2">
        <f>IF('Modell einstellen'!$B$1="Voll",J3/0.35,J3/0.35*2)</f>
        <v>-3.7633954285714287E-4</v>
      </c>
      <c r="P3" s="3">
        <f>-N3/O3</f>
        <v>0.36545239845719868</v>
      </c>
      <c r="Q3" s="3"/>
      <c r="R3" s="3"/>
      <c r="S3" s="3"/>
      <c r="T3" s="3"/>
      <c r="U3" s="3"/>
    </row>
    <row r="4" spans="1:21" x14ac:dyDescent="0.25">
      <c r="A4" s="3">
        <v>1E-14</v>
      </c>
      <c r="B4" s="3">
        <v>9.8750000000000002E-5</v>
      </c>
      <c r="C4" s="3">
        <v>1.3100000000000001E-4</v>
      </c>
      <c r="D4" s="3">
        <v>-3.5730000000000001E-4</v>
      </c>
      <c r="E4" s="3">
        <v>0</v>
      </c>
      <c r="F4" s="3">
        <v>0</v>
      </c>
      <c r="G4" s="3">
        <v>0</v>
      </c>
      <c r="H4" s="3">
        <v>4.9782735999999999E-5</v>
      </c>
      <c r="I4" s="3">
        <v>1.3153213E-5</v>
      </c>
      <c r="J4" s="3">
        <v>-1.3489137000000001E-4</v>
      </c>
      <c r="K4" s="3"/>
      <c r="L4" s="3">
        <f t="shared" ref="L4:L33" si="0">-B4/D4</f>
        <v>0.276378393506857</v>
      </c>
      <c r="M4" s="3"/>
      <c r="N4" s="2">
        <f>IF('Modell einstellen'!$B$1="Voll",H4/0.35,H4/0.35*2)</f>
        <v>1.4223638857142857E-4</v>
      </c>
      <c r="O4" s="2">
        <f>IF('Modell einstellen'!$B$1="Voll",J4/0.35,J4/0.35*2)</f>
        <v>-3.8540391428571434E-4</v>
      </c>
      <c r="P4" s="3">
        <f t="shared" ref="P4:P33" si="1">-N4/O4</f>
        <v>0.36905797605880936</v>
      </c>
      <c r="Q4" s="3"/>
      <c r="R4" s="3"/>
      <c r="S4" s="3"/>
      <c r="T4" s="3"/>
      <c r="U4" s="3"/>
    </row>
    <row r="5" spans="1:21" x14ac:dyDescent="0.25">
      <c r="A5" s="3">
        <v>1E-13</v>
      </c>
      <c r="B5" s="3">
        <v>9.9900000000000002E-5</v>
      </c>
      <c r="C5" s="3">
        <v>1.3420000000000001E-4</v>
      </c>
      <c r="D5" s="3">
        <v>-3.6220000000000002E-4</v>
      </c>
      <c r="E5" s="3">
        <v>0</v>
      </c>
      <c r="F5" s="3">
        <v>0</v>
      </c>
      <c r="G5" s="3">
        <v>0</v>
      </c>
      <c r="H5" s="3">
        <v>5.1229649000000002E-5</v>
      </c>
      <c r="I5" s="3">
        <v>1.3504047E-5</v>
      </c>
      <c r="J5" s="3">
        <v>-1.3767259999999999E-4</v>
      </c>
      <c r="K5" s="3"/>
      <c r="L5" s="3">
        <f t="shared" si="0"/>
        <v>0.27581446714522362</v>
      </c>
      <c r="M5" s="3"/>
      <c r="N5" s="2">
        <f>IF('Modell einstellen'!$B$1="Voll",H5/0.35,H5/0.35*2)</f>
        <v>1.4637042571428573E-4</v>
      </c>
      <c r="O5" s="2">
        <f>IF('Modell einstellen'!$B$1="Voll",J5/0.35,J5/0.35*2)</f>
        <v>-3.9335028571428572E-4</v>
      </c>
      <c r="P5" s="3">
        <f t="shared" si="1"/>
        <v>0.37211216320458834</v>
      </c>
      <c r="Q5" s="3"/>
      <c r="R5" s="3"/>
      <c r="S5" s="3"/>
      <c r="T5" s="3"/>
      <c r="U5" s="3"/>
    </row>
    <row r="6" spans="1:21" x14ac:dyDescent="0.25">
      <c r="A6" s="3">
        <v>9.9999999999999998E-13</v>
      </c>
      <c r="B6" s="3">
        <v>1.011E-4</v>
      </c>
      <c r="C6" s="3">
        <v>1.3770000000000001E-4</v>
      </c>
      <c r="D6" s="3">
        <v>-3.6749999999999999E-4</v>
      </c>
      <c r="E6" s="3">
        <v>0</v>
      </c>
      <c r="F6" s="3">
        <v>0</v>
      </c>
      <c r="G6" s="3">
        <v>0</v>
      </c>
      <c r="H6" s="3">
        <v>5.2815934999999999E-5</v>
      </c>
      <c r="I6" s="3">
        <v>1.3884939999999999E-5</v>
      </c>
      <c r="J6" s="3">
        <v>-1.4070677999999999E-4</v>
      </c>
      <c r="K6" s="3"/>
      <c r="L6" s="3">
        <f t="shared" si="0"/>
        <v>0.27510204081632655</v>
      </c>
      <c r="M6" s="3"/>
      <c r="N6" s="2">
        <f>IF('Modell einstellen'!$B$1="Voll",H6/0.35,H6/0.35*2)</f>
        <v>1.5090267142857145E-4</v>
      </c>
      <c r="O6" s="2">
        <f>IF('Modell einstellen'!$B$1="Voll",J6/0.35,J6/0.35*2)</f>
        <v>-4.0201937142857143E-4</v>
      </c>
      <c r="P6" s="3">
        <f t="shared" si="1"/>
        <v>0.37536169188151419</v>
      </c>
      <c r="Q6" s="3"/>
      <c r="R6" s="3"/>
      <c r="S6" s="3"/>
      <c r="T6" s="3"/>
      <c r="U6" s="3"/>
    </row>
    <row r="7" spans="1:21" x14ac:dyDescent="0.25">
      <c r="A7" s="3">
        <v>9.9999999999999994E-12</v>
      </c>
      <c r="B7" s="3">
        <v>1.0230000000000001E-4</v>
      </c>
      <c r="C7" s="3">
        <v>1.418E-4</v>
      </c>
      <c r="D7" s="3">
        <v>-3.7340000000000002E-4</v>
      </c>
      <c r="E7" s="3">
        <v>0</v>
      </c>
      <c r="F7" s="3">
        <v>0</v>
      </c>
      <c r="G7" s="3">
        <v>0</v>
      </c>
      <c r="H7" s="3">
        <v>5.4682860999999998E-5</v>
      </c>
      <c r="I7" s="3">
        <v>1.4328581999999999E-5</v>
      </c>
      <c r="J7" s="3">
        <v>-1.4425918E-4</v>
      </c>
      <c r="K7" s="3"/>
      <c r="L7" s="3">
        <f t="shared" si="0"/>
        <v>0.27396893411890733</v>
      </c>
      <c r="M7" s="3"/>
      <c r="N7" s="2">
        <f>IF('Modell einstellen'!$B$1="Voll",H7/0.35,H7/0.35*2)</f>
        <v>1.5623674571428573E-4</v>
      </c>
      <c r="O7" s="2">
        <f>IF('Modell einstellen'!$B$1="Voll",J7/0.35,J7/0.35*2)</f>
        <v>-4.1216908571428576E-4</v>
      </c>
      <c r="P7" s="3">
        <f t="shared" si="1"/>
        <v>0.37905983522157827</v>
      </c>
      <c r="Q7" s="3"/>
      <c r="R7" s="3"/>
      <c r="S7" s="3"/>
      <c r="T7" s="3"/>
      <c r="U7" s="3"/>
    </row>
    <row r="8" spans="1:21" x14ac:dyDescent="0.25">
      <c r="A8" s="3">
        <v>1E-10</v>
      </c>
      <c r="B8" s="3">
        <v>1.0349999999999999E-4</v>
      </c>
      <c r="C8" s="3">
        <v>1.462E-4</v>
      </c>
      <c r="D8" s="3">
        <v>-3.7980000000000002E-4</v>
      </c>
      <c r="E8" s="3">
        <v>0</v>
      </c>
      <c r="F8" s="3">
        <v>0</v>
      </c>
      <c r="G8" s="3">
        <v>0</v>
      </c>
      <c r="H8" s="3">
        <v>5.6808631000000002E-5</v>
      </c>
      <c r="I8" s="3">
        <v>1.4827483E-5</v>
      </c>
      <c r="J8" s="3">
        <v>-1.4827924000000001E-4</v>
      </c>
      <c r="K8" s="3"/>
      <c r="L8" s="3">
        <f t="shared" si="0"/>
        <v>0.27251184834123221</v>
      </c>
      <c r="M8" s="3"/>
      <c r="N8" s="2">
        <f>IF('Modell einstellen'!$B$1="Voll",H8/0.35,H8/0.35*2)</f>
        <v>1.623103742857143E-4</v>
      </c>
      <c r="O8" s="2">
        <f>IF('Modell einstellen'!$B$1="Voll",J8/0.35,J8/0.35*2)</f>
        <v>-4.2365497142857146E-4</v>
      </c>
      <c r="P8" s="3">
        <f t="shared" si="1"/>
        <v>0.38311924852056162</v>
      </c>
      <c r="Q8" s="3"/>
      <c r="R8" s="3"/>
      <c r="S8" s="3"/>
      <c r="T8" s="3"/>
      <c r="U8" s="3"/>
    </row>
    <row r="9" spans="1:21" x14ac:dyDescent="0.25">
      <c r="A9" s="3">
        <v>1.0000000000000001E-9</v>
      </c>
      <c r="B9" s="3">
        <v>1.048E-4</v>
      </c>
      <c r="C9" s="3">
        <v>1.5139999999999999E-4</v>
      </c>
      <c r="D9" s="3">
        <v>-3.8709999999999998E-4</v>
      </c>
      <c r="E9" s="3">
        <v>0</v>
      </c>
      <c r="F9" s="3">
        <v>0</v>
      </c>
      <c r="G9" s="3">
        <v>0</v>
      </c>
      <c r="H9" s="3">
        <v>5.9321830000000001E-5</v>
      </c>
      <c r="I9" s="3">
        <v>1.5409267000000001E-5</v>
      </c>
      <c r="J9" s="3">
        <v>-1.5300040000000001E-4</v>
      </c>
      <c r="K9" s="3"/>
      <c r="L9" s="3">
        <f t="shared" si="0"/>
        <v>0.27073107724102302</v>
      </c>
      <c r="M9" s="3"/>
      <c r="N9" s="2">
        <f>IF('Modell einstellen'!$B$1="Voll",H9/0.35,H9/0.35*2)</f>
        <v>1.6949094285714287E-4</v>
      </c>
      <c r="O9" s="2">
        <f>IF('Modell einstellen'!$B$1="Voll",J9/0.35,J9/0.35*2)</f>
        <v>-4.3714400000000004E-4</v>
      </c>
      <c r="P9" s="3">
        <f t="shared" si="1"/>
        <v>0.38772336542910996</v>
      </c>
      <c r="Q9" s="3"/>
      <c r="R9" s="3"/>
      <c r="S9" s="3"/>
      <c r="T9" s="3"/>
      <c r="U9" s="3"/>
    </row>
    <row r="10" spans="1:21" x14ac:dyDescent="0.25">
      <c r="A10" s="3">
        <v>1E-8</v>
      </c>
      <c r="B10" s="3">
        <v>1.0569999999999999E-4</v>
      </c>
      <c r="C10" s="3">
        <v>1.5679999999999999E-4</v>
      </c>
      <c r="D10" s="3">
        <v>-3.9429999999999999E-4</v>
      </c>
      <c r="E10" s="3">
        <v>0</v>
      </c>
      <c r="F10" s="3">
        <v>0</v>
      </c>
      <c r="G10" s="3">
        <v>0</v>
      </c>
      <c r="H10" s="3">
        <v>6.1974566000000002E-5</v>
      </c>
      <c r="I10" s="3">
        <v>1.6013247E-5</v>
      </c>
      <c r="J10" s="3">
        <v>-1.5794415E-4</v>
      </c>
      <c r="K10" s="3"/>
      <c r="L10" s="3">
        <f t="shared" si="0"/>
        <v>0.26806999746386001</v>
      </c>
      <c r="M10" s="3"/>
      <c r="N10" s="2">
        <f>IF('Modell einstellen'!$B$1="Voll",H10/0.35,H10/0.35*2)</f>
        <v>1.7707018857142858E-4</v>
      </c>
      <c r="O10" s="2">
        <f>IF('Modell einstellen'!$B$1="Voll",J10/0.35,J10/0.35*2)</f>
        <v>-4.5126900000000002E-4</v>
      </c>
      <c r="P10" s="3">
        <f t="shared" si="1"/>
        <v>0.39238278847301405</v>
      </c>
      <c r="Q10" s="3"/>
      <c r="R10" s="3"/>
      <c r="S10" s="3"/>
      <c r="T10" s="3"/>
      <c r="U10" s="3"/>
    </row>
    <row r="11" spans="1:21" x14ac:dyDescent="0.25">
      <c r="A11" s="3">
        <v>9.9999999999999995E-8</v>
      </c>
      <c r="B11" s="3">
        <v>1.065E-4</v>
      </c>
      <c r="C11" s="3">
        <v>1.6220000000000001E-4</v>
      </c>
      <c r="D11" s="3">
        <v>-4.013E-4</v>
      </c>
      <c r="E11" s="3">
        <v>0</v>
      </c>
      <c r="F11" s="3">
        <v>0</v>
      </c>
      <c r="G11" s="3">
        <v>0</v>
      </c>
      <c r="H11" s="3">
        <v>6.4706723999999994E-5</v>
      </c>
      <c r="I11" s="3">
        <v>1.6625421999999999E-5</v>
      </c>
      <c r="J11" s="3">
        <v>-1.629976E-4</v>
      </c>
      <c r="K11" s="3"/>
      <c r="L11" s="3">
        <f t="shared" si="0"/>
        <v>0.26538749065537004</v>
      </c>
      <c r="M11" s="3"/>
      <c r="N11" s="2">
        <f>IF('Modell einstellen'!$B$1="Voll",H11/0.35,H11/0.35*2)</f>
        <v>1.8487635428571429E-4</v>
      </c>
      <c r="O11" s="2">
        <f>IF('Modell einstellen'!$B$1="Voll",J11/0.35,J11/0.35*2)</f>
        <v>-4.6570742857142861E-4</v>
      </c>
      <c r="P11" s="3">
        <f t="shared" si="1"/>
        <v>0.39697961196974679</v>
      </c>
      <c r="Q11" s="3"/>
      <c r="R11" s="3"/>
      <c r="S11" s="3"/>
      <c r="T11" s="3"/>
      <c r="U11" s="3"/>
    </row>
    <row r="12" spans="1:21" x14ac:dyDescent="0.25">
      <c r="A12" s="3">
        <v>9.9999999999999995E-7</v>
      </c>
      <c r="B12" s="3">
        <v>1.071E-4</v>
      </c>
      <c r="C12" s="3">
        <v>1.6880000000000001E-4</v>
      </c>
      <c r="D12" s="3">
        <v>-4.0959999999999998E-4</v>
      </c>
      <c r="E12" s="3">
        <v>0</v>
      </c>
      <c r="F12" s="3">
        <v>0</v>
      </c>
      <c r="G12" s="3">
        <v>0</v>
      </c>
      <c r="H12" s="3">
        <v>6.8156760999999998E-5</v>
      </c>
      <c r="I12" s="3">
        <v>1.7384649E-5</v>
      </c>
      <c r="J12" s="3">
        <v>-1.6932604999999999E-4</v>
      </c>
      <c r="K12" s="3"/>
      <c r="L12" s="3">
        <f t="shared" si="0"/>
        <v>0.261474609375</v>
      </c>
      <c r="M12" s="3"/>
      <c r="N12" s="2">
        <f>IF('Modell einstellen'!$B$1="Voll",H12/0.35,H12/0.35*2)</f>
        <v>1.9473360285714286E-4</v>
      </c>
      <c r="O12" s="2">
        <f>IF('Modell einstellen'!$B$1="Voll",J12/0.35,J12/0.35*2)</f>
        <v>-4.8378871428571426E-4</v>
      </c>
      <c r="P12" s="3">
        <f t="shared" si="1"/>
        <v>0.40251787010917695</v>
      </c>
      <c r="Q12" s="3"/>
      <c r="R12" s="3"/>
      <c r="S12" s="3"/>
      <c r="T12" s="3"/>
      <c r="U12" s="3"/>
    </row>
    <row r="13" spans="1:21" x14ac:dyDescent="0.25">
      <c r="A13" s="3">
        <v>1.0000000000000001E-5</v>
      </c>
      <c r="B13" s="3">
        <v>1.072E-4</v>
      </c>
      <c r="C13" s="3">
        <v>1.7699999999999999E-4</v>
      </c>
      <c r="D13" s="3">
        <v>-4.193E-4</v>
      </c>
      <c r="E13" s="3">
        <v>0</v>
      </c>
      <c r="F13" s="3">
        <v>0</v>
      </c>
      <c r="G13" s="3">
        <v>0</v>
      </c>
      <c r="H13" s="3">
        <v>7.2625534999999993E-5</v>
      </c>
      <c r="I13" s="3">
        <v>1.8344361999999999E-5</v>
      </c>
      <c r="J13" s="3">
        <v>-1.7743229E-4</v>
      </c>
      <c r="K13" s="3"/>
      <c r="L13" s="3">
        <f t="shared" si="0"/>
        <v>0.25566420224183162</v>
      </c>
      <c r="M13" s="3"/>
      <c r="N13" s="2">
        <f>IF('Modell einstellen'!$B$1="Voll",H13/0.35,H13/0.35*2)</f>
        <v>2.0750152857142856E-4</v>
      </c>
      <c r="O13" s="2">
        <f>IF('Modell einstellen'!$B$1="Voll",J13/0.35,J13/0.35*2)</f>
        <v>-5.0694940000000006E-4</v>
      </c>
      <c r="P13" s="3">
        <f t="shared" si="1"/>
        <v>0.4093140825720053</v>
      </c>
      <c r="Q13" s="3"/>
      <c r="R13" s="3"/>
      <c r="S13" s="3"/>
      <c r="T13" s="3"/>
      <c r="U13" s="3"/>
    </row>
    <row r="14" spans="1:21" x14ac:dyDescent="0.25">
      <c r="A14" s="3">
        <v>1E-4</v>
      </c>
      <c r="B14" s="3">
        <v>1.065E-4</v>
      </c>
      <c r="C14" s="3">
        <v>1.861E-4</v>
      </c>
      <c r="D14" s="3">
        <v>-4.2900000000000002E-4</v>
      </c>
      <c r="E14" s="3">
        <v>0</v>
      </c>
      <c r="F14" s="3">
        <v>0</v>
      </c>
      <c r="G14" s="3">
        <v>0</v>
      </c>
      <c r="H14" s="3">
        <v>7.7727688999999994E-5</v>
      </c>
      <c r="I14" s="3">
        <v>1.9406678000000002E-5</v>
      </c>
      <c r="J14" s="3">
        <v>-1.8655951000000001E-4</v>
      </c>
      <c r="K14" s="3"/>
      <c r="L14" s="3">
        <f t="shared" si="0"/>
        <v>0.24825174825174823</v>
      </c>
      <c r="M14" s="3"/>
      <c r="N14" s="2">
        <f>IF('Modell einstellen'!$B$1="Voll",H14/0.35,H14/0.35*2)</f>
        <v>2.2207911142857142E-4</v>
      </c>
      <c r="O14" s="2">
        <f>IF('Modell einstellen'!$B$1="Voll",J14/0.35,J14/0.35*2)</f>
        <v>-5.3302717142857147E-4</v>
      </c>
      <c r="P14" s="3">
        <f t="shared" si="1"/>
        <v>0.41663750617698336</v>
      </c>
      <c r="Q14" s="3"/>
      <c r="R14" s="3"/>
      <c r="S14" s="3"/>
      <c r="T14" s="3"/>
      <c r="U14" s="3"/>
    </row>
    <row r="15" spans="1:21" x14ac:dyDescent="0.25">
      <c r="A15" s="3">
        <v>1E-3</v>
      </c>
      <c r="B15" s="3">
        <v>1.0509999999999999E-4</v>
      </c>
      <c r="C15" s="3">
        <v>1.941E-4</v>
      </c>
      <c r="D15" s="3">
        <v>-4.3689999999999999E-4</v>
      </c>
      <c r="E15" s="3">
        <v>0</v>
      </c>
      <c r="F15" s="3">
        <v>0</v>
      </c>
      <c r="G15" s="3">
        <v>0</v>
      </c>
      <c r="H15" s="3">
        <v>8.2496445999999998E-5</v>
      </c>
      <c r="I15" s="3">
        <v>2.0367038000000001E-5</v>
      </c>
      <c r="J15" s="3">
        <v>-1.9496602999999999E-4</v>
      </c>
      <c r="K15" s="3"/>
      <c r="L15" s="3">
        <f t="shared" si="0"/>
        <v>0.24055848020141907</v>
      </c>
      <c r="M15" s="3"/>
      <c r="N15" s="2">
        <f>IF('Modell einstellen'!$B$1="Voll",H15/0.35,H15/0.35*2)</f>
        <v>2.3570413142857144E-4</v>
      </c>
      <c r="O15" s="2">
        <f>IF('Modell einstellen'!$B$1="Voll",J15/0.35,J15/0.35*2)</f>
        <v>-5.5704579999999999E-4</v>
      </c>
      <c r="P15" s="3">
        <f t="shared" si="1"/>
        <v>0.42313240927150236</v>
      </c>
      <c r="Q15" s="3"/>
      <c r="R15" s="3"/>
      <c r="S15" s="3"/>
      <c r="T15" s="3"/>
      <c r="U15" s="3"/>
    </row>
    <row r="16" spans="1:21" x14ac:dyDescent="0.25">
      <c r="A16" s="3">
        <v>0.01</v>
      </c>
      <c r="B16" s="3">
        <v>1.03E-4</v>
      </c>
      <c r="C16" s="3">
        <v>2.018E-4</v>
      </c>
      <c r="D16" s="3">
        <v>-4.438E-4</v>
      </c>
      <c r="E16" s="3">
        <v>0</v>
      </c>
      <c r="F16" s="3">
        <v>0</v>
      </c>
      <c r="G16" s="3">
        <v>0</v>
      </c>
      <c r="H16" s="3">
        <v>8.7273881000000006E-5</v>
      </c>
      <c r="I16" s="3">
        <v>2.1302112999999999E-5</v>
      </c>
      <c r="J16" s="3">
        <v>-2.0328532000000001E-4</v>
      </c>
      <c r="K16" s="3"/>
      <c r="L16" s="3">
        <f t="shared" si="0"/>
        <v>0.23208652546191977</v>
      </c>
      <c r="M16" s="3"/>
      <c r="N16" s="2">
        <f>IF('Modell einstellen'!$B$1="Voll",H16/0.35,H16/0.35*2)</f>
        <v>2.4935394571428576E-4</v>
      </c>
      <c r="O16" s="2">
        <f>IF('Modell einstellen'!$B$1="Voll",J16/0.35,J16/0.35*2)</f>
        <v>-5.8081520000000011E-4</v>
      </c>
      <c r="P16" s="3">
        <f t="shared" si="1"/>
        <v>0.4293171833558862</v>
      </c>
      <c r="Q16" s="3"/>
      <c r="R16" s="3"/>
      <c r="S16" s="3"/>
      <c r="T16" s="3"/>
      <c r="U16" s="3"/>
    </row>
    <row r="17" spans="1:25" x14ac:dyDescent="0.25">
      <c r="A17" s="3">
        <v>0.1</v>
      </c>
      <c r="B17" s="3">
        <v>1.0009999999999999E-4</v>
      </c>
      <c r="C17" s="3">
        <v>2.098E-4</v>
      </c>
      <c r="D17" s="3">
        <v>-4.5009999999999999E-4</v>
      </c>
      <c r="E17" s="3">
        <v>0</v>
      </c>
      <c r="F17" s="3">
        <v>0</v>
      </c>
      <c r="G17" s="3">
        <v>0</v>
      </c>
      <c r="H17" s="3">
        <v>9.2470346999999996E-5</v>
      </c>
      <c r="I17" s="3">
        <v>2.2287179000000002E-5</v>
      </c>
      <c r="J17" s="3">
        <v>-2.1221283E-4</v>
      </c>
      <c r="K17" s="3"/>
      <c r="L17" s="3">
        <f t="shared" si="0"/>
        <v>0.22239502332814928</v>
      </c>
      <c r="M17" s="3"/>
      <c r="N17" s="2">
        <f>IF('Modell einstellen'!$B$1="Voll",H17/0.35,H17/0.35*2)</f>
        <v>2.6420099142857143E-4</v>
      </c>
      <c r="O17" s="2">
        <f>IF('Modell einstellen'!$B$1="Voll",J17/0.35,J17/0.35*2)</f>
        <v>-6.0632237142857145E-4</v>
      </c>
      <c r="P17" s="3">
        <f t="shared" si="1"/>
        <v>0.43574343266615878</v>
      </c>
      <c r="Q17" s="3"/>
      <c r="R17" s="3"/>
      <c r="S17" s="3"/>
      <c r="T17" s="3"/>
      <c r="U17" s="3"/>
      <c r="V17" s="3"/>
      <c r="W17" s="3"/>
      <c r="X17" s="3"/>
      <c r="Y17" s="3"/>
    </row>
    <row r="18" spans="1:25" x14ac:dyDescent="0.25">
      <c r="A18" s="3">
        <v>1</v>
      </c>
      <c r="B18" s="3">
        <v>9.6069999999999993E-5</v>
      </c>
      <c r="C18" s="3">
        <v>2.185E-4</v>
      </c>
      <c r="D18" s="3">
        <v>-4.5609999999999997E-4</v>
      </c>
      <c r="E18" s="3">
        <v>0</v>
      </c>
      <c r="F18" s="3">
        <v>0</v>
      </c>
      <c r="G18" s="3">
        <v>0</v>
      </c>
      <c r="H18" s="3">
        <v>9.8359188000000006E-5</v>
      </c>
      <c r="I18" s="3">
        <v>2.3369010999999999E-5</v>
      </c>
      <c r="J18" s="3">
        <v>-2.2219741E-4</v>
      </c>
      <c r="K18" s="3"/>
      <c r="L18" s="3">
        <f t="shared" si="0"/>
        <v>0.21063363297522472</v>
      </c>
      <c r="M18" s="3"/>
      <c r="N18" s="2">
        <f>IF('Modell einstellen'!$B$1="Voll",H18/0.35,H18/0.35*2)</f>
        <v>2.8102625142857146E-4</v>
      </c>
      <c r="O18" s="2">
        <f>IF('Modell einstellen'!$B$1="Voll",J18/0.35,J18/0.35*2)</f>
        <v>-6.3484974285714293E-4</v>
      </c>
      <c r="P18" s="3">
        <f t="shared" si="1"/>
        <v>0.44266577184675554</v>
      </c>
      <c r="Q18" s="3"/>
      <c r="R18" s="3"/>
      <c r="S18" s="3"/>
      <c r="T18" s="3"/>
      <c r="U18" s="3"/>
      <c r="V18" s="3"/>
      <c r="W18" s="3"/>
      <c r="X18" s="3"/>
      <c r="Y18" s="3"/>
    </row>
    <row r="19" spans="1:25" x14ac:dyDescent="0.25">
      <c r="A19" s="3">
        <v>10</v>
      </c>
      <c r="B19" s="3">
        <v>9.1130000000000003E-5</v>
      </c>
      <c r="C19" s="3">
        <v>2.275E-4</v>
      </c>
      <c r="D19" s="3">
        <v>-4.615E-4</v>
      </c>
      <c r="E19" s="3">
        <v>0</v>
      </c>
      <c r="F19" s="3">
        <v>0</v>
      </c>
      <c r="G19" s="3">
        <v>0</v>
      </c>
      <c r="H19" s="3">
        <v>1.0463891999999999E-4</v>
      </c>
      <c r="I19" s="3">
        <v>2.4516511000000002E-5</v>
      </c>
      <c r="J19" s="3">
        <v>-2.3279986000000001E-4</v>
      </c>
      <c r="K19" s="3"/>
      <c r="L19" s="3">
        <f t="shared" si="0"/>
        <v>0.19746478873239437</v>
      </c>
      <c r="M19" s="3"/>
      <c r="N19" s="2">
        <f>IF('Modell einstellen'!$B$1="Voll",H19/0.35,H19/0.35*2)</f>
        <v>2.9896834285714284E-4</v>
      </c>
      <c r="O19" s="2">
        <f>IF('Modell einstellen'!$B$1="Voll",J19/0.35,J19/0.35*2)</f>
        <v>-6.6514245714285717E-4</v>
      </c>
      <c r="P19" s="3">
        <f t="shared" si="1"/>
        <v>0.44948016721315892</v>
      </c>
      <c r="Q19" s="3"/>
      <c r="R19" s="3"/>
      <c r="S19" s="3"/>
      <c r="T19" s="3"/>
      <c r="U19" s="3"/>
      <c r="V19" s="3"/>
      <c r="W19" s="3"/>
      <c r="X19" s="3"/>
      <c r="Y19" s="3"/>
    </row>
    <row r="20" spans="1:25" x14ac:dyDescent="0.25">
      <c r="A20" s="3">
        <v>100</v>
      </c>
      <c r="B20" s="3">
        <v>8.6180000000000005E-5</v>
      </c>
      <c r="C20" s="3">
        <v>2.4130000000000001E-4</v>
      </c>
      <c r="D20" s="3">
        <v>-4.7150000000000002E-4</v>
      </c>
      <c r="E20" s="3">
        <v>0</v>
      </c>
      <c r="F20" s="3">
        <v>0</v>
      </c>
      <c r="G20" s="3">
        <v>0</v>
      </c>
      <c r="H20" s="3">
        <v>1.1254941E-4</v>
      </c>
      <c r="I20" s="3">
        <v>2.6266886999999999E-5</v>
      </c>
      <c r="J20" s="3">
        <v>-2.4712505000000002E-4</v>
      </c>
      <c r="K20" s="3"/>
      <c r="L20" s="3">
        <f t="shared" si="0"/>
        <v>0.18277836691410393</v>
      </c>
      <c r="M20" s="3"/>
      <c r="N20" s="2">
        <f>IF('Modell einstellen'!$B$1="Voll",H20/0.35,H20/0.35*2)</f>
        <v>3.2156974285714289E-4</v>
      </c>
      <c r="O20" s="2">
        <f>IF('Modell einstellen'!$B$1="Voll",J20/0.35,J20/0.35*2)</f>
        <v>-7.0607157142857152E-4</v>
      </c>
      <c r="P20" s="3">
        <f t="shared" si="1"/>
        <v>0.45543505201111745</v>
      </c>
      <c r="Q20" s="3"/>
      <c r="R20" s="3"/>
      <c r="S20" s="3"/>
      <c r="T20" s="3"/>
      <c r="U20" s="3"/>
      <c r="V20" s="3"/>
      <c r="W20" s="3"/>
      <c r="X20" s="3"/>
      <c r="Y20" s="3"/>
    </row>
    <row r="21" spans="1:25" x14ac:dyDescent="0.25">
      <c r="A21" s="3">
        <v>1000</v>
      </c>
      <c r="B21" s="3">
        <v>8.5829999999999996E-5</v>
      </c>
      <c r="C21" s="3">
        <v>2.675E-4</v>
      </c>
      <c r="D21" s="3">
        <v>-4.9720000000000005E-4</v>
      </c>
      <c r="E21" s="3">
        <v>0</v>
      </c>
      <c r="F21" s="3">
        <v>0</v>
      </c>
      <c r="G21" s="3">
        <v>0</v>
      </c>
      <c r="H21" s="3">
        <v>1.2252743999999999E-4</v>
      </c>
      <c r="I21" s="3">
        <v>2.9590327000000001E-5</v>
      </c>
      <c r="J21" s="3">
        <v>-2.6885633999999999E-4</v>
      </c>
      <c r="K21" s="3"/>
      <c r="L21" s="3">
        <f t="shared" si="0"/>
        <v>0.1726267095736122</v>
      </c>
      <c r="M21" s="3"/>
      <c r="N21" s="2">
        <f>IF('Modell einstellen'!$B$1="Voll",H21/0.35,H21/0.35*2)</f>
        <v>3.5007840000000001E-4</v>
      </c>
      <c r="O21" s="2">
        <f>IF('Modell einstellen'!$B$1="Voll",J21/0.35,J21/0.35*2)</f>
        <v>-7.6816097142857142E-4</v>
      </c>
      <c r="P21" s="3">
        <f t="shared" si="1"/>
        <v>0.4557357286050982</v>
      </c>
      <c r="Q21" s="3"/>
      <c r="R21" s="3"/>
      <c r="S21" s="3"/>
      <c r="T21" s="3"/>
      <c r="U21" s="3"/>
      <c r="V21" s="3"/>
      <c r="W21" s="3"/>
      <c r="X21" s="3"/>
      <c r="Y21" s="3"/>
    </row>
    <row r="22" spans="1:25" x14ac:dyDescent="0.25">
      <c r="A22" s="3">
        <v>10000</v>
      </c>
      <c r="B22" s="3">
        <v>8.8739999999999994E-5</v>
      </c>
      <c r="C22" s="3">
        <v>3.0620000000000002E-4</v>
      </c>
      <c r="D22" s="3">
        <v>-5.3799999999999996E-4</v>
      </c>
      <c r="E22" s="3">
        <v>0</v>
      </c>
      <c r="F22" s="3">
        <v>0</v>
      </c>
      <c r="G22" s="3">
        <v>0</v>
      </c>
      <c r="H22" s="3">
        <v>1.3509393E-4</v>
      </c>
      <c r="I22" s="3">
        <v>3.4591687000000001E-5</v>
      </c>
      <c r="J22" s="3">
        <v>-2.9901411E-4</v>
      </c>
      <c r="K22" s="3"/>
      <c r="L22" s="3">
        <f t="shared" si="0"/>
        <v>0.16494423791821561</v>
      </c>
      <c r="M22" s="3"/>
      <c r="N22" s="2">
        <f>IF('Modell einstellen'!$B$1="Voll",H22/0.35,H22/0.35*2)</f>
        <v>3.8598265714285716E-4</v>
      </c>
      <c r="O22" s="2">
        <f>IF('Modell einstellen'!$B$1="Voll",J22/0.35,J22/0.35*2)</f>
        <v>-8.5432602857142862E-4</v>
      </c>
      <c r="P22" s="3">
        <f t="shared" si="1"/>
        <v>0.45179784325227995</v>
      </c>
      <c r="Q22" s="3"/>
      <c r="R22" s="3"/>
      <c r="S22" s="3"/>
      <c r="T22" s="3"/>
      <c r="U22" s="3"/>
      <c r="V22" s="3"/>
      <c r="W22" s="3"/>
      <c r="X22" s="3"/>
      <c r="Y22" s="3"/>
    </row>
    <row r="23" spans="1:25" x14ac:dyDescent="0.25">
      <c r="A23" s="3">
        <v>100000</v>
      </c>
      <c r="B23" s="3">
        <v>8.6479999999999999E-5</v>
      </c>
      <c r="C23" s="3">
        <v>3.5369999999999998E-4</v>
      </c>
      <c r="D23" s="3">
        <v>-5.8299999999999997E-4</v>
      </c>
      <c r="E23" s="3">
        <v>0</v>
      </c>
      <c r="F23" s="3">
        <v>0</v>
      </c>
      <c r="G23" s="3">
        <v>0</v>
      </c>
      <c r="H23" s="3">
        <v>1.5215927E-4</v>
      </c>
      <c r="I23" s="3">
        <v>4.0943628000000002E-5</v>
      </c>
      <c r="J23" s="3">
        <v>-3.3867662000000001E-4</v>
      </c>
      <c r="K23" s="3"/>
      <c r="L23" s="3">
        <f t="shared" si="0"/>
        <v>0.14833619210977703</v>
      </c>
      <c r="M23" s="3"/>
      <c r="N23" s="2">
        <f>IF('Modell einstellen'!$B$1="Voll",H23/0.35,H23/0.35*2)</f>
        <v>4.3474077142857144E-4</v>
      </c>
      <c r="O23" s="2">
        <f>IF('Modell einstellen'!$B$1="Voll",J23/0.35,J23/0.35*2)</f>
        <v>-9.6764748571428582E-4</v>
      </c>
      <c r="P23" s="3">
        <f t="shared" si="1"/>
        <v>0.44927597895597277</v>
      </c>
      <c r="Q23" s="3"/>
      <c r="R23" s="3"/>
      <c r="S23" s="3"/>
      <c r="T23" s="3"/>
      <c r="U23" s="3"/>
      <c r="V23" s="3"/>
      <c r="W23" s="3"/>
      <c r="X23" s="3"/>
      <c r="Y23" s="3"/>
    </row>
    <row r="24" spans="1:25" x14ac:dyDescent="0.25">
      <c r="A24" s="3">
        <v>1000000</v>
      </c>
      <c r="B24" s="3">
        <v>6.4759999999999997E-5</v>
      </c>
      <c r="C24" s="3">
        <v>4.1110000000000002E-4</v>
      </c>
      <c r="D24" s="3">
        <v>-6.1959999999999999E-4</v>
      </c>
      <c r="E24" s="3">
        <v>0</v>
      </c>
      <c r="F24" s="3">
        <v>0</v>
      </c>
      <c r="G24" s="3">
        <v>0</v>
      </c>
      <c r="H24" s="3">
        <v>1.7695948999999999E-4</v>
      </c>
      <c r="I24" s="3">
        <v>4.9047508999999999E-5</v>
      </c>
      <c r="J24" s="3">
        <v>-3.9265004999999999E-4</v>
      </c>
      <c r="K24" s="3"/>
      <c r="L24" s="3">
        <f t="shared" si="0"/>
        <v>0.10451904454486766</v>
      </c>
      <c r="M24" s="3"/>
      <c r="N24" s="2">
        <f>IF('Modell einstellen'!$B$1="Voll",H24/0.35,H24/0.35*2)</f>
        <v>5.0559854285714282E-4</v>
      </c>
      <c r="O24" s="2">
        <f>IF('Modell einstellen'!$B$1="Voll",J24/0.35,J24/0.35*2)</f>
        <v>-1.1218572857142858E-3</v>
      </c>
      <c r="P24" s="3">
        <f t="shared" si="1"/>
        <v>0.45067991204890967</v>
      </c>
      <c r="Q24" s="3"/>
      <c r="R24" s="3"/>
      <c r="S24" s="3"/>
      <c r="T24" s="3"/>
      <c r="U24" s="3"/>
      <c r="V24" s="3"/>
      <c r="W24" s="3"/>
      <c r="X24" s="3"/>
      <c r="Y24" s="3"/>
    </row>
    <row r="25" spans="1:25" x14ac:dyDescent="0.25">
      <c r="A25" s="3">
        <v>10000000</v>
      </c>
      <c r="B25" s="3">
        <v>3.641E-6</v>
      </c>
      <c r="C25" s="3">
        <v>4.8710000000000002E-4</v>
      </c>
      <c r="D25" s="3">
        <v>-6.3679999999999997E-4</v>
      </c>
      <c r="E25" s="3">
        <v>0</v>
      </c>
      <c r="F25" s="3">
        <v>0</v>
      </c>
      <c r="G25" s="3">
        <v>0</v>
      </c>
      <c r="H25" s="3">
        <v>2.1578769000000001E-4</v>
      </c>
      <c r="I25" s="3">
        <v>6.0478137000000001E-5</v>
      </c>
      <c r="J25" s="3">
        <v>-4.7298035999999999E-4</v>
      </c>
      <c r="K25" s="3"/>
      <c r="L25" s="3">
        <f t="shared" si="0"/>
        <v>5.7176507537688446E-3</v>
      </c>
      <c r="M25" s="3"/>
      <c r="N25" s="2">
        <f>IF('Modell einstellen'!$B$1="Voll",H25/0.35,H25/0.35*2)</f>
        <v>6.1653625714285724E-4</v>
      </c>
      <c r="O25" s="2">
        <f>IF('Modell einstellen'!$B$1="Voll",J25/0.35,J25/0.35*2)</f>
        <v>-1.3513724571428572E-3</v>
      </c>
      <c r="P25" s="3">
        <f t="shared" si="1"/>
        <v>0.45622970475983404</v>
      </c>
      <c r="Q25" s="3"/>
      <c r="R25" s="3"/>
      <c r="S25" s="3"/>
      <c r="T25" s="3"/>
      <c r="U25" s="3"/>
      <c r="V25" s="3"/>
      <c r="W25" s="3"/>
      <c r="X25" s="3"/>
      <c r="Y25" s="3"/>
    </row>
    <row r="26" spans="1:25" x14ac:dyDescent="0.25">
      <c r="A26" s="3">
        <v>100000000</v>
      </c>
      <c r="B26" s="3">
        <v>-1.4430000000000001E-4</v>
      </c>
      <c r="C26" s="3">
        <v>5.9940000000000004E-4</v>
      </c>
      <c r="D26" s="3">
        <v>-6.0479999999999996E-4</v>
      </c>
      <c r="E26" s="3">
        <v>0</v>
      </c>
      <c r="F26" s="3">
        <v>0</v>
      </c>
      <c r="G26" s="3">
        <v>0</v>
      </c>
      <c r="H26" s="3">
        <v>2.8171993999999998E-4</v>
      </c>
      <c r="I26" s="3">
        <v>7.8549946999999993E-5</v>
      </c>
      <c r="J26" s="3">
        <v>-6.0477885999999997E-4</v>
      </c>
      <c r="K26" s="3"/>
      <c r="L26" s="3">
        <f t="shared" si="0"/>
        <v>-0.23859126984126988</v>
      </c>
      <c r="M26" s="3"/>
      <c r="N26" s="2">
        <f>IF('Modell einstellen'!$B$1="Voll",H26/0.35,H26/0.35*2)</f>
        <v>8.0491411428571425E-4</v>
      </c>
      <c r="O26" s="2">
        <f>IF('Modell einstellen'!$B$1="Voll",J26/0.35,J26/0.35*2)</f>
        <v>-1.7279395999999999E-3</v>
      </c>
      <c r="P26" s="3">
        <f t="shared" si="1"/>
        <v>0.46582306134179358</v>
      </c>
      <c r="Q26" s="3"/>
      <c r="R26" s="3"/>
      <c r="S26" s="3"/>
      <c r="T26" s="3"/>
      <c r="U26" s="3"/>
      <c r="V26" s="3"/>
      <c r="W26" s="3"/>
      <c r="X26" s="3"/>
      <c r="Y26" s="3"/>
    </row>
    <row r="27" spans="1:25" x14ac:dyDescent="0.25">
      <c r="A27" s="3">
        <v>1000000000</v>
      </c>
      <c r="B27" s="3">
        <v>-4.5300000000000001E-4</v>
      </c>
      <c r="C27" s="3">
        <v>7.6369999999999997E-4</v>
      </c>
      <c r="D27" s="3">
        <v>-4.6430000000000001E-4</v>
      </c>
      <c r="E27" s="3">
        <v>0</v>
      </c>
      <c r="F27" s="3">
        <v>0</v>
      </c>
      <c r="G27" s="3">
        <v>0</v>
      </c>
      <c r="H27" s="3">
        <v>3.9111518000000002E-4</v>
      </c>
      <c r="I27" s="3">
        <v>1.0692068000000001E-4</v>
      </c>
      <c r="J27" s="3">
        <v>-8.1764090999999995E-4</v>
      </c>
      <c r="K27" s="3"/>
      <c r="L27" s="3">
        <f t="shared" si="0"/>
        <v>-0.97566228731423643</v>
      </c>
      <c r="M27" s="3"/>
      <c r="N27" s="2">
        <f>IF('Modell einstellen'!$B$1="Voll",H27/0.35,H27/0.35*2)</f>
        <v>1.1174719428571429E-3</v>
      </c>
      <c r="O27" s="2">
        <f>IF('Modell einstellen'!$B$1="Voll",J27/0.35,J27/0.35*2)</f>
        <v>-2.3361168857142858E-3</v>
      </c>
      <c r="P27" s="3">
        <f t="shared" si="1"/>
        <v>0.47834590370484276</v>
      </c>
      <c r="Q27" s="3"/>
      <c r="R27" s="3"/>
      <c r="S27" s="3"/>
      <c r="T27" s="3"/>
      <c r="U27" s="3"/>
      <c r="V27" s="3"/>
      <c r="W27" s="3"/>
      <c r="X27" s="3"/>
      <c r="Y27" s="3"/>
    </row>
    <row r="28" spans="1:25" x14ac:dyDescent="0.25">
      <c r="A28" s="3">
        <v>10000000000</v>
      </c>
      <c r="B28" s="3">
        <v>-9.6690000000000003E-4</v>
      </c>
      <c r="C28" s="3">
        <v>9.8149999999999995E-4</v>
      </c>
      <c r="D28" s="3">
        <v>-1.7149999999999999E-4</v>
      </c>
      <c r="E28" s="3">
        <v>0</v>
      </c>
      <c r="F28" s="3">
        <v>0</v>
      </c>
      <c r="G28" s="3">
        <v>0</v>
      </c>
      <c r="H28" s="3">
        <v>5.5213829000000001E-4</v>
      </c>
      <c r="I28" s="3">
        <v>1.4669219E-4</v>
      </c>
      <c r="J28" s="3">
        <v>-1.1235335999999999E-3</v>
      </c>
      <c r="K28" s="3"/>
      <c r="L28" s="3">
        <f t="shared" si="0"/>
        <v>-5.6379008746355685</v>
      </c>
      <c r="M28" s="3"/>
      <c r="N28" s="2">
        <f>IF('Modell einstellen'!$B$1="Voll",H28/0.35,H28/0.35*2)</f>
        <v>1.5775379714285716E-3</v>
      </c>
      <c r="O28" s="2">
        <f>IF('Modell einstellen'!$B$1="Voll",J28/0.35,J28/0.35*2)</f>
        <v>-3.210096E-3</v>
      </c>
      <c r="P28" s="3">
        <f t="shared" si="1"/>
        <v>0.49143015393576134</v>
      </c>
      <c r="Q28" s="3"/>
      <c r="R28" s="3"/>
      <c r="S28" s="3"/>
      <c r="T28" s="3"/>
      <c r="U28" s="3"/>
      <c r="V28" s="3"/>
      <c r="W28" s="3"/>
      <c r="X28" s="3"/>
      <c r="Y28" s="3"/>
    </row>
    <row r="29" spans="1:25" x14ac:dyDescent="0.25">
      <c r="A29" s="3">
        <v>100000000000</v>
      </c>
      <c r="B29" s="3">
        <v>-1.6249999999999999E-3</v>
      </c>
      <c r="C29" s="3">
        <v>1.2260000000000001E-3</v>
      </c>
      <c r="D29" s="3">
        <v>2.4010000000000001E-4</v>
      </c>
      <c r="E29" s="3">
        <v>0</v>
      </c>
      <c r="F29" s="3">
        <v>0</v>
      </c>
      <c r="G29" s="3">
        <v>0</v>
      </c>
      <c r="H29" s="3">
        <v>7.4568340000000005E-4</v>
      </c>
      <c r="I29" s="3">
        <v>1.9298513999999999E-4</v>
      </c>
      <c r="J29" s="3">
        <v>-1.4852931E-3</v>
      </c>
      <c r="K29" s="3"/>
      <c r="L29" s="3">
        <f t="shared" si="0"/>
        <v>6.7680133277800909</v>
      </c>
      <c r="M29" s="3"/>
      <c r="N29" s="2">
        <f>IF('Modell einstellen'!$B$1="Voll",H29/0.35,H29/0.35*2)</f>
        <v>2.1305240000000004E-3</v>
      </c>
      <c r="O29" s="2">
        <f>IF('Modell einstellen'!$B$1="Voll",J29/0.35,J29/0.35*2)</f>
        <v>-4.2436945714285712E-3</v>
      </c>
      <c r="P29" s="3">
        <f t="shared" si="1"/>
        <v>0.50204461328205197</v>
      </c>
      <c r="Q29" s="3"/>
      <c r="R29" s="3"/>
      <c r="S29" s="3"/>
      <c r="T29" s="3"/>
      <c r="U29" s="3"/>
      <c r="V29" s="3"/>
      <c r="W29" s="3"/>
      <c r="X29" s="3"/>
      <c r="Y29" s="3"/>
    </row>
    <row r="30" spans="1:25" x14ac:dyDescent="0.25">
      <c r="A30" s="3">
        <v>1000000000000</v>
      </c>
      <c r="B30" s="3">
        <v>-2.1779999999999998E-3</v>
      </c>
      <c r="C30" s="3">
        <v>1.423E-3</v>
      </c>
      <c r="D30" s="3">
        <v>5.955E-4</v>
      </c>
      <c r="E30" s="3">
        <v>0</v>
      </c>
      <c r="F30" s="3">
        <v>0</v>
      </c>
      <c r="G30" s="3">
        <v>0</v>
      </c>
      <c r="H30" s="3">
        <v>9.0451116E-4</v>
      </c>
      <c r="I30" s="3">
        <v>2.3102925E-4</v>
      </c>
      <c r="J30" s="3">
        <v>-1.7819767E-3</v>
      </c>
      <c r="K30" s="3"/>
      <c r="L30" s="3">
        <f t="shared" si="0"/>
        <v>3.6574307304785889</v>
      </c>
      <c r="M30" s="3"/>
      <c r="N30" s="2">
        <f>IF('Modell einstellen'!$B$1="Voll",H30/0.35,H30/0.35*2)</f>
        <v>2.5843176000000002E-3</v>
      </c>
      <c r="O30" s="2">
        <f>IF('Modell einstellen'!$B$1="Voll",J30/0.35,J30/0.35*2)</f>
        <v>-5.0913620000000003E-3</v>
      </c>
      <c r="P30" s="3">
        <f t="shared" si="1"/>
        <v>0.5075886570234055</v>
      </c>
      <c r="Q30" s="3"/>
      <c r="R30" s="3"/>
      <c r="S30" s="3"/>
      <c r="T30" s="3"/>
      <c r="U30" s="3"/>
      <c r="V30" s="3"/>
      <c r="W30" s="3"/>
      <c r="X30" s="3"/>
      <c r="Y30" s="3"/>
    </row>
    <row r="31" spans="1:25" x14ac:dyDescent="0.25">
      <c r="A31" s="3">
        <v>10000000000000</v>
      </c>
      <c r="B31" s="3">
        <v>-2.5579999999999999E-3</v>
      </c>
      <c r="C31" s="3">
        <v>1.5579999999999999E-3</v>
      </c>
      <c r="D31" s="3">
        <v>8.4020000000000004E-4</v>
      </c>
      <c r="E31" s="3">
        <v>0</v>
      </c>
      <c r="F31" s="3">
        <v>0</v>
      </c>
      <c r="G31" s="3">
        <v>0</v>
      </c>
      <c r="H31" s="3">
        <v>1.0125774999999999E-3</v>
      </c>
      <c r="I31" s="3">
        <v>2.5729425000000001E-4</v>
      </c>
      <c r="J31" s="3">
        <v>-1.9850181999999999E-3</v>
      </c>
      <c r="K31" s="3"/>
      <c r="L31" s="3">
        <f t="shared" si="0"/>
        <v>3.0445132111402047</v>
      </c>
      <c r="M31" s="3"/>
      <c r="N31" s="2">
        <f>IF('Modell einstellen'!$B$1="Voll",H31/0.35,H31/0.35*2)</f>
        <v>2.8930785714285714E-3</v>
      </c>
      <c r="O31" s="2">
        <f>IF('Modell einstellen'!$B$1="Voll",J31/0.35,J31/0.35*2)</f>
        <v>-5.6714805714285716E-3</v>
      </c>
      <c r="P31" s="3">
        <f t="shared" si="1"/>
        <v>0.51010993249331416</v>
      </c>
      <c r="Q31" s="3"/>
      <c r="R31" s="3"/>
      <c r="S31" s="3"/>
      <c r="T31" s="3"/>
      <c r="U31" s="3"/>
      <c r="V31" s="3"/>
      <c r="W31" s="3"/>
      <c r="X31" s="3"/>
      <c r="Y31" s="3"/>
    </row>
    <row r="32" spans="1:25" x14ac:dyDescent="0.25">
      <c r="A32" s="3">
        <v>100000000000000</v>
      </c>
      <c r="B32" s="3">
        <v>-2.7910000000000001E-3</v>
      </c>
      <c r="C32" s="3">
        <v>1.6410000000000001E-3</v>
      </c>
      <c r="D32" s="3">
        <v>9.8890000000000002E-4</v>
      </c>
      <c r="E32" s="3">
        <v>0</v>
      </c>
      <c r="F32" s="3">
        <v>0</v>
      </c>
      <c r="G32" s="3">
        <v>0</v>
      </c>
      <c r="H32" s="3">
        <v>1.0788970000000001E-3</v>
      </c>
      <c r="I32" s="3">
        <v>2.7363685999999999E-4</v>
      </c>
      <c r="J32" s="3">
        <v>-2.1103508999999999E-3</v>
      </c>
      <c r="K32" s="3"/>
      <c r="L32" s="3">
        <f t="shared" si="0"/>
        <v>2.8223278390130448</v>
      </c>
      <c r="M32" s="3"/>
      <c r="N32" s="2">
        <f>IF('Modell einstellen'!$B$1="Voll",H32/0.35,H32/0.35*2)</f>
        <v>3.0825628571428576E-3</v>
      </c>
      <c r="O32" s="2">
        <f>IF('Modell einstellen'!$B$1="Voll",J32/0.35,J32/0.35*2)</f>
        <v>-6.0295740000000002E-3</v>
      </c>
      <c r="P32" s="3">
        <f t="shared" si="1"/>
        <v>0.51124057141397672</v>
      </c>
      <c r="Q32" s="3"/>
      <c r="R32" s="3"/>
      <c r="S32" s="3"/>
      <c r="T32" s="3"/>
      <c r="U32" s="3"/>
      <c r="V32" s="3"/>
      <c r="W32" s="3"/>
      <c r="X32" s="3"/>
      <c r="Y32" s="3"/>
    </row>
    <row r="33" spans="1:25" x14ac:dyDescent="0.25">
      <c r="A33" s="2">
        <v>1000000000000000</v>
      </c>
      <c r="B33" s="3">
        <v>-2.9629999999999999E-3</v>
      </c>
      <c r="C33" s="3">
        <v>1.702E-3</v>
      </c>
      <c r="D33" s="3">
        <v>1.1000000000000001E-3</v>
      </c>
      <c r="E33" s="3">
        <v>0</v>
      </c>
      <c r="F33" s="3">
        <v>0</v>
      </c>
      <c r="G33" s="3">
        <v>0</v>
      </c>
      <c r="H33" s="3">
        <v>1.1283097000000001E-3</v>
      </c>
      <c r="I33" s="3">
        <v>2.8565549E-4</v>
      </c>
      <c r="J33" s="3">
        <v>-2.2031231E-3</v>
      </c>
      <c r="K33" s="3"/>
      <c r="L33" s="3">
        <f t="shared" si="0"/>
        <v>2.6936363636363634</v>
      </c>
      <c r="M33" s="3"/>
      <c r="N33" s="2">
        <f>IF('Modell einstellen'!$B$1="Voll",H33/0.35,H33/0.35*2)</f>
        <v>3.2237420000000004E-3</v>
      </c>
      <c r="O33" s="2">
        <f>IF('Modell einstellen'!$B$1="Voll",J33/0.35,J33/0.35*2)</f>
        <v>-6.2946374285714288E-3</v>
      </c>
      <c r="P33" s="3">
        <f t="shared" si="1"/>
        <v>0.51214101472586804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9.9110000000000005E-5</v>
      </c>
      <c r="C3" s="3">
        <v>1.304E-4</v>
      </c>
      <c r="D3" s="3">
        <v>-3.569E-4</v>
      </c>
      <c r="E3" s="3">
        <v>0</v>
      </c>
      <c r="F3" s="3">
        <v>0</v>
      </c>
      <c r="G3" s="3">
        <v>0</v>
      </c>
      <c r="H3" s="3">
        <v>4.9460333999999998E-5</v>
      </c>
      <c r="I3" s="3">
        <v>1.3092459E-5</v>
      </c>
      <c r="J3" s="3">
        <v>-1.3433793E-4</v>
      </c>
      <c r="K3" s="3"/>
      <c r="L3" s="3">
        <f>-B3/D3</f>
        <v>0.27769683384701599</v>
      </c>
      <c r="M3" s="3"/>
      <c r="N3" s="2">
        <f>IF('Modell einstellen'!$B$1="Voll",H3/0.35,H3/0.35*2)</f>
        <v>1.4131524E-4</v>
      </c>
      <c r="O3" s="2">
        <f>IF('Modell einstellen'!$B$1="Voll",J3/0.35,J3/0.35*2)</f>
        <v>-3.8382265714285714E-4</v>
      </c>
      <c r="P3" s="3">
        <f>-N3/O3</f>
        <v>0.36817847349590693</v>
      </c>
      <c r="Q3" s="3"/>
      <c r="R3" s="3"/>
      <c r="S3" s="3"/>
      <c r="T3" s="3"/>
      <c r="U3" s="3"/>
    </row>
    <row r="4" spans="1:21" x14ac:dyDescent="0.25">
      <c r="A4" s="3">
        <v>1E-14</v>
      </c>
      <c r="B4" s="3">
        <v>1.005E-4</v>
      </c>
      <c r="C4" s="3">
        <v>1.3439999999999999E-4</v>
      </c>
      <c r="D4" s="3">
        <v>-3.6289999999999998E-4</v>
      </c>
      <c r="E4" s="3">
        <v>0</v>
      </c>
      <c r="F4" s="3">
        <v>0</v>
      </c>
      <c r="G4" s="3">
        <v>0</v>
      </c>
      <c r="H4" s="3">
        <v>5.1199209999999997E-5</v>
      </c>
      <c r="I4" s="3">
        <v>1.3517342999999999E-5</v>
      </c>
      <c r="J4" s="3">
        <v>-1.3768455999999999E-4</v>
      </c>
      <c r="K4" s="3"/>
      <c r="L4" s="3">
        <f t="shared" ref="L4:L33" si="0">-B4/D4</f>
        <v>0.27693579498484433</v>
      </c>
      <c r="M4" s="3"/>
      <c r="N4" s="2">
        <f>IF('Modell einstellen'!$B$1="Voll",H4/0.35,H4/0.35*2)</f>
        <v>1.4628345714285713E-4</v>
      </c>
      <c r="O4" s="2">
        <f>IF('Modell einstellen'!$B$1="Voll",J4/0.35,J4/0.35*2)</f>
        <v>-3.9338445714285714E-4</v>
      </c>
      <c r="P4" s="3">
        <f t="shared" ref="P4:P33" si="1">-N4/O4</f>
        <v>0.37185876179580335</v>
      </c>
      <c r="Q4" s="3"/>
      <c r="R4" s="3"/>
      <c r="S4" s="3"/>
      <c r="T4" s="3"/>
      <c r="U4" s="3"/>
    </row>
    <row r="5" spans="1:21" x14ac:dyDescent="0.25">
      <c r="A5" s="3">
        <v>1E-13</v>
      </c>
      <c r="B5" s="3">
        <v>1.0170000000000001E-4</v>
      </c>
      <c r="C5" s="3">
        <v>1.3789999999999999E-4</v>
      </c>
      <c r="D5" s="3">
        <v>-3.6820000000000001E-4</v>
      </c>
      <c r="E5" s="3">
        <v>0</v>
      </c>
      <c r="F5" s="3">
        <v>0</v>
      </c>
      <c r="G5" s="3">
        <v>0</v>
      </c>
      <c r="H5" s="3">
        <v>5.2807555999999999E-5</v>
      </c>
      <c r="I5" s="3">
        <v>1.390634E-5</v>
      </c>
      <c r="J5" s="3">
        <v>-1.4076966E-4</v>
      </c>
      <c r="K5" s="3"/>
      <c r="L5" s="3">
        <f t="shared" si="0"/>
        <v>0.2762085822922325</v>
      </c>
      <c r="M5" s="3"/>
      <c r="N5" s="2">
        <f>IF('Modell einstellen'!$B$1="Voll",H5/0.35,H5/0.35*2)</f>
        <v>1.5087873142857142E-4</v>
      </c>
      <c r="O5" s="2">
        <f>IF('Modell einstellen'!$B$1="Voll",J5/0.35,J5/0.35*2)</f>
        <v>-4.0219902857142859E-4</v>
      </c>
      <c r="P5" s="3">
        <f t="shared" si="1"/>
        <v>0.3751344998631097</v>
      </c>
      <c r="Q5" s="3"/>
      <c r="R5" s="3"/>
      <c r="S5" s="3"/>
      <c r="T5" s="3"/>
      <c r="U5" s="3"/>
    </row>
    <row r="6" spans="1:21" x14ac:dyDescent="0.25">
      <c r="A6" s="3">
        <v>9.9999999999999998E-13</v>
      </c>
      <c r="B6" s="3">
        <v>1.03E-4</v>
      </c>
      <c r="C6" s="3">
        <v>1.4190000000000001E-4</v>
      </c>
      <c r="D6" s="3">
        <v>-3.7409999999999999E-4</v>
      </c>
      <c r="E6" s="3">
        <v>0</v>
      </c>
      <c r="F6" s="3">
        <v>0</v>
      </c>
      <c r="G6" s="3">
        <v>0</v>
      </c>
      <c r="H6" s="3">
        <v>5.4658932E-5</v>
      </c>
      <c r="I6" s="3">
        <v>1.4349431E-5</v>
      </c>
      <c r="J6" s="3">
        <v>-1.4430224000000001E-4</v>
      </c>
      <c r="K6" s="3"/>
      <c r="L6" s="3">
        <f t="shared" si="0"/>
        <v>0.27532745255279339</v>
      </c>
      <c r="M6" s="3"/>
      <c r="N6" s="2">
        <f>IF('Modell einstellen'!$B$1="Voll",H6/0.35,H6/0.35*2)</f>
        <v>1.5616837714285716E-4</v>
      </c>
      <c r="O6" s="2">
        <f>IF('Modell einstellen'!$B$1="Voll",J6/0.35,J6/0.35*2)</f>
        <v>-4.1229211428571433E-4</v>
      </c>
      <c r="P6" s="3">
        <f t="shared" si="1"/>
        <v>0.37878089764926726</v>
      </c>
      <c r="Q6" s="3"/>
      <c r="R6" s="3"/>
      <c r="S6" s="3"/>
      <c r="T6" s="3"/>
      <c r="U6" s="3"/>
    </row>
    <row r="7" spans="1:21" x14ac:dyDescent="0.25">
      <c r="A7" s="3">
        <v>9.9999999999999994E-12</v>
      </c>
      <c r="B7" s="3">
        <v>1.042E-4</v>
      </c>
      <c r="C7" s="3">
        <v>1.4640000000000001E-4</v>
      </c>
      <c r="D7" s="3">
        <v>-3.8059999999999998E-4</v>
      </c>
      <c r="E7" s="3">
        <v>0</v>
      </c>
      <c r="F7" s="3">
        <v>0</v>
      </c>
      <c r="G7" s="3">
        <v>0</v>
      </c>
      <c r="H7" s="3">
        <v>5.6776127000000001E-5</v>
      </c>
      <c r="I7" s="3">
        <v>1.4849967999999999E-5</v>
      </c>
      <c r="J7" s="3">
        <v>-1.4831743000000001E-4</v>
      </c>
      <c r="K7" s="3"/>
      <c r="L7" s="3">
        <f t="shared" si="0"/>
        <v>0.27377824487651076</v>
      </c>
      <c r="M7" s="3"/>
      <c r="N7" s="2">
        <f>IF('Modell einstellen'!$B$1="Voll",H7/0.35,H7/0.35*2)</f>
        <v>1.6221750571428572E-4</v>
      </c>
      <c r="O7" s="2">
        <f>IF('Modell einstellen'!$B$1="Voll",J7/0.35,J7/0.35*2)</f>
        <v>-4.237640857142858E-4</v>
      </c>
      <c r="P7" s="3">
        <f t="shared" si="1"/>
        <v>0.38280144821818979</v>
      </c>
      <c r="Q7" s="3"/>
      <c r="R7" s="3"/>
      <c r="S7" s="3"/>
      <c r="T7" s="3"/>
      <c r="U7" s="3"/>
    </row>
    <row r="8" spans="1:21" x14ac:dyDescent="0.25">
      <c r="A8" s="3">
        <v>1E-10</v>
      </c>
      <c r="B8" s="3">
        <v>1.055E-4</v>
      </c>
      <c r="C8" s="3">
        <v>1.516E-4</v>
      </c>
      <c r="D8" s="3">
        <v>-3.879E-4</v>
      </c>
      <c r="E8" s="3">
        <v>0</v>
      </c>
      <c r="F8" s="3">
        <v>0</v>
      </c>
      <c r="G8" s="3">
        <v>0</v>
      </c>
      <c r="H8" s="3">
        <v>5.9264320999999998E-5</v>
      </c>
      <c r="I8" s="3">
        <v>1.5430324999999999E-5</v>
      </c>
      <c r="J8" s="3">
        <v>-1.5300515999999999E-4</v>
      </c>
      <c r="K8" s="3"/>
      <c r="L8" s="3">
        <f t="shared" si="0"/>
        <v>0.27197731374065481</v>
      </c>
      <c r="M8" s="3"/>
      <c r="N8" s="2">
        <f>IF('Modell einstellen'!$B$1="Voll",H8/0.35,H8/0.35*2)</f>
        <v>1.6932663142857143E-4</v>
      </c>
      <c r="O8" s="2">
        <f>IF('Modell einstellen'!$B$1="Voll",J8/0.35,J8/0.35*2)</f>
        <v>-4.3715760000000002E-4</v>
      </c>
      <c r="P8" s="3">
        <f t="shared" si="1"/>
        <v>0.38733544019038313</v>
      </c>
      <c r="Q8" s="3"/>
      <c r="R8" s="3"/>
      <c r="S8" s="3"/>
      <c r="T8" s="3"/>
      <c r="U8" s="3"/>
    </row>
    <row r="9" spans="1:21" x14ac:dyDescent="0.25">
      <c r="A9" s="3">
        <v>1.0000000000000001E-9</v>
      </c>
      <c r="B9" s="3">
        <v>1.065E-4</v>
      </c>
      <c r="C9" s="3">
        <v>1.5699999999999999E-4</v>
      </c>
      <c r="D9" s="3">
        <v>-3.9520000000000001E-4</v>
      </c>
      <c r="E9" s="3">
        <v>0</v>
      </c>
      <c r="F9" s="3">
        <v>0</v>
      </c>
      <c r="G9" s="3">
        <v>0</v>
      </c>
      <c r="H9" s="3">
        <v>6.1922609E-5</v>
      </c>
      <c r="I9" s="3">
        <v>1.6040349E-5</v>
      </c>
      <c r="J9" s="3">
        <v>-1.5797418999999999E-4</v>
      </c>
      <c r="K9" s="3"/>
      <c r="L9" s="3">
        <f t="shared" si="0"/>
        <v>0.26948380566801616</v>
      </c>
      <c r="M9" s="3"/>
      <c r="N9" s="2">
        <f>IF('Modell einstellen'!$B$1="Voll",H9/0.35,H9/0.35*2)</f>
        <v>1.7692174000000002E-4</v>
      </c>
      <c r="O9" s="2">
        <f>IF('Modell einstellen'!$B$1="Voll",J9/0.35,J9/0.35*2)</f>
        <v>-4.5135482857142859E-4</v>
      </c>
      <c r="P9" s="3">
        <f t="shared" si="1"/>
        <v>0.39197927838718466</v>
      </c>
      <c r="Q9" s="3"/>
      <c r="R9" s="3"/>
      <c r="S9" s="3"/>
      <c r="T9" s="3"/>
      <c r="U9" s="3"/>
    </row>
    <row r="10" spans="1:21" x14ac:dyDescent="0.25">
      <c r="A10" s="3">
        <v>1E-8</v>
      </c>
      <c r="B10" s="3">
        <v>1.0730000000000001E-4</v>
      </c>
      <c r="C10" s="3">
        <v>1.6239999999999999E-4</v>
      </c>
      <c r="D10" s="3">
        <v>-4.0220000000000002E-4</v>
      </c>
      <c r="E10" s="3">
        <v>0</v>
      </c>
      <c r="F10" s="3">
        <v>0</v>
      </c>
      <c r="G10" s="3">
        <v>0</v>
      </c>
      <c r="H10" s="3">
        <v>6.4636566999999993E-5</v>
      </c>
      <c r="I10" s="3">
        <v>1.6653371999999999E-5</v>
      </c>
      <c r="J10" s="3">
        <v>-1.6300937E-4</v>
      </c>
      <c r="K10" s="3"/>
      <c r="L10" s="3">
        <f t="shared" si="0"/>
        <v>0.26678269517652908</v>
      </c>
      <c r="M10" s="3"/>
      <c r="N10" s="2">
        <f>IF('Modell einstellen'!$B$1="Voll",H10/0.35,H10/0.35*2)</f>
        <v>1.8467590571428572E-4</v>
      </c>
      <c r="O10" s="2">
        <f>IF('Modell einstellen'!$B$1="Voll",J10/0.35,J10/0.35*2)</f>
        <v>-4.6574105714285716E-4</v>
      </c>
      <c r="P10" s="3">
        <f t="shared" si="1"/>
        <v>0.39652056197751084</v>
      </c>
      <c r="Q10" s="3"/>
      <c r="R10" s="3"/>
      <c r="S10" s="3"/>
      <c r="T10" s="3"/>
      <c r="U10" s="3"/>
    </row>
    <row r="11" spans="1:21" x14ac:dyDescent="0.25">
      <c r="A11" s="3">
        <v>9.9999999999999995E-8</v>
      </c>
      <c r="B11" s="3">
        <v>1.0789999999999999E-4</v>
      </c>
      <c r="C11" s="3">
        <v>1.6899999999999999E-4</v>
      </c>
      <c r="D11" s="3">
        <v>-4.104E-4</v>
      </c>
      <c r="E11" s="3">
        <v>0</v>
      </c>
      <c r="F11" s="3">
        <v>0</v>
      </c>
      <c r="G11" s="3">
        <v>0</v>
      </c>
      <c r="H11" s="3">
        <v>6.8038557999999994E-5</v>
      </c>
      <c r="I11" s="3">
        <v>1.7408406000000001E-5</v>
      </c>
      <c r="J11" s="3">
        <v>-1.6926981000000001E-4</v>
      </c>
      <c r="K11" s="3"/>
      <c r="L11" s="3">
        <f t="shared" si="0"/>
        <v>0.26291423001949316</v>
      </c>
      <c r="M11" s="3"/>
      <c r="N11" s="2">
        <f>IF('Modell einstellen'!$B$1="Voll",H11/0.35,H11/0.35*2)</f>
        <v>1.9439587999999999E-4</v>
      </c>
      <c r="O11" s="2">
        <f>IF('Modell einstellen'!$B$1="Voll",J11/0.35,J11/0.35*2)</f>
        <v>-4.8362802857142864E-4</v>
      </c>
      <c r="P11" s="3">
        <f t="shared" si="1"/>
        <v>0.40195329574718602</v>
      </c>
      <c r="Q11" s="3"/>
      <c r="R11" s="3"/>
      <c r="S11" s="3"/>
      <c r="T11" s="3"/>
      <c r="U11" s="3"/>
    </row>
    <row r="12" spans="1:21" x14ac:dyDescent="0.25">
      <c r="A12" s="3">
        <v>9.9999999999999995E-7</v>
      </c>
      <c r="B12" s="3">
        <v>1.08E-4</v>
      </c>
      <c r="C12" s="3">
        <v>1.773E-4</v>
      </c>
      <c r="D12" s="3">
        <v>-4.2010000000000002E-4</v>
      </c>
      <c r="E12" s="3">
        <v>0</v>
      </c>
      <c r="F12" s="3">
        <v>0</v>
      </c>
      <c r="G12" s="3">
        <v>0</v>
      </c>
      <c r="H12" s="3">
        <v>7.2460772999999995E-5</v>
      </c>
      <c r="I12" s="3">
        <v>1.8366869E-5</v>
      </c>
      <c r="J12" s="3">
        <v>-1.7731959E-4</v>
      </c>
      <c r="K12" s="3"/>
      <c r="L12" s="3">
        <f t="shared" si="0"/>
        <v>0.25708164722685073</v>
      </c>
      <c r="M12" s="3"/>
      <c r="N12" s="2">
        <f>IF('Modell einstellen'!$B$1="Voll",H12/0.35,H12/0.35*2)</f>
        <v>2.0703078E-4</v>
      </c>
      <c r="O12" s="2">
        <f>IF('Modell einstellen'!$B$1="Voll",J12/0.35,J12/0.35*2)</f>
        <v>-5.0662740000000008E-4</v>
      </c>
      <c r="P12" s="3">
        <f t="shared" si="1"/>
        <v>0.40864505157044401</v>
      </c>
      <c r="Q12" s="3"/>
      <c r="R12" s="3"/>
      <c r="S12" s="3"/>
      <c r="T12" s="3"/>
      <c r="U12" s="3"/>
    </row>
    <row r="13" spans="1:21" x14ac:dyDescent="0.25">
      <c r="A13" s="3">
        <v>1.0000000000000001E-5</v>
      </c>
      <c r="B13" s="3">
        <v>1.0739999999999999E-4</v>
      </c>
      <c r="C13" s="3">
        <v>1.863E-4</v>
      </c>
      <c r="D13" s="3">
        <v>-4.2999999999999999E-4</v>
      </c>
      <c r="E13" s="3">
        <v>0</v>
      </c>
      <c r="F13" s="3">
        <v>0</v>
      </c>
      <c r="G13" s="3">
        <v>0</v>
      </c>
      <c r="H13" s="3">
        <v>7.7545886999999997E-5</v>
      </c>
      <c r="I13" s="3">
        <v>1.943617E-5</v>
      </c>
      <c r="J13" s="3">
        <v>-1.8645050000000001E-4</v>
      </c>
      <c r="K13" s="3"/>
      <c r="L13" s="3">
        <f t="shared" si="0"/>
        <v>0.24976744186046512</v>
      </c>
      <c r="M13" s="3"/>
      <c r="N13" s="2">
        <f>IF('Modell einstellen'!$B$1="Voll",H13/0.35,H13/0.35*2)</f>
        <v>2.2155967714285714E-4</v>
      </c>
      <c r="O13" s="2">
        <f>IF('Modell einstellen'!$B$1="Voll",J13/0.35,J13/0.35*2)</f>
        <v>-5.3271571428571435E-4</v>
      </c>
      <c r="P13" s="3">
        <f t="shared" si="1"/>
        <v>0.41590602867785276</v>
      </c>
      <c r="Q13" s="3"/>
      <c r="R13" s="3"/>
      <c r="S13" s="3"/>
      <c r="T13" s="3"/>
      <c r="U13" s="3"/>
    </row>
    <row r="14" spans="1:21" x14ac:dyDescent="0.25">
      <c r="A14" s="3">
        <v>1E-4</v>
      </c>
      <c r="B14" s="3">
        <v>1.06E-4</v>
      </c>
      <c r="C14" s="3">
        <v>1.9450000000000001E-4</v>
      </c>
      <c r="D14" s="3">
        <v>-4.3800000000000002E-4</v>
      </c>
      <c r="E14" s="3">
        <v>0</v>
      </c>
      <c r="F14" s="3">
        <v>0</v>
      </c>
      <c r="G14" s="3">
        <v>0</v>
      </c>
      <c r="H14" s="3">
        <v>8.2340898000000004E-5</v>
      </c>
      <c r="I14" s="3">
        <v>2.0411924999999999E-5</v>
      </c>
      <c r="J14" s="3">
        <v>-1.9493637E-4</v>
      </c>
      <c r="K14" s="3"/>
      <c r="L14" s="3">
        <f t="shared" si="0"/>
        <v>0.24200913242009131</v>
      </c>
      <c r="M14" s="3"/>
      <c r="N14" s="2">
        <f>IF('Modell einstellen'!$B$1="Voll",H14/0.35,H14/0.35*2)</f>
        <v>2.3525970857142859E-4</v>
      </c>
      <c r="O14" s="2">
        <f>IF('Modell einstellen'!$B$1="Voll",J14/0.35,J14/0.35*2)</f>
        <v>-5.569610571428572E-4</v>
      </c>
      <c r="P14" s="3">
        <f t="shared" si="1"/>
        <v>0.42239884737773664</v>
      </c>
      <c r="Q14" s="3"/>
      <c r="R14" s="3"/>
      <c r="S14" s="3"/>
      <c r="T14" s="3"/>
      <c r="U14" s="3"/>
    </row>
    <row r="15" spans="1:21" x14ac:dyDescent="0.25">
      <c r="A15" s="3">
        <v>1E-3</v>
      </c>
      <c r="B15" s="3">
        <v>1.0399999999999999E-4</v>
      </c>
      <c r="C15" s="3">
        <v>2.0220000000000001E-4</v>
      </c>
      <c r="D15" s="3">
        <v>-4.4499999999999997E-4</v>
      </c>
      <c r="E15" s="3">
        <v>0</v>
      </c>
      <c r="F15" s="3">
        <v>0</v>
      </c>
      <c r="G15" s="3">
        <v>0</v>
      </c>
      <c r="H15" s="3">
        <v>8.7079653000000004E-5</v>
      </c>
      <c r="I15" s="3">
        <v>2.1349371E-5</v>
      </c>
      <c r="J15" s="3">
        <v>-2.0322090999999999E-4</v>
      </c>
      <c r="K15" s="3"/>
      <c r="L15" s="3">
        <f t="shared" si="0"/>
        <v>0.23370786516853934</v>
      </c>
      <c r="M15" s="3"/>
      <c r="N15" s="2">
        <f>IF('Modell einstellen'!$B$1="Voll",H15/0.35,H15/0.35*2)</f>
        <v>2.4879900857142857E-4</v>
      </c>
      <c r="O15" s="2">
        <f>IF('Modell einstellen'!$B$1="Voll",J15/0.35,J15/0.35*2)</f>
        <v>-5.8063117142857139E-4</v>
      </c>
      <c r="P15" s="3">
        <f t="shared" si="1"/>
        <v>0.42849750549783489</v>
      </c>
      <c r="Q15" s="3"/>
      <c r="R15" s="3"/>
      <c r="S15" s="3"/>
      <c r="T15" s="3"/>
      <c r="U15" s="3"/>
    </row>
    <row r="16" spans="1:21" x14ac:dyDescent="0.25">
      <c r="A16" s="3">
        <v>0.01</v>
      </c>
      <c r="B16" s="3">
        <v>1.011E-4</v>
      </c>
      <c r="C16" s="3">
        <v>2.1029999999999999E-4</v>
      </c>
      <c r="D16" s="3">
        <v>-4.5140000000000002E-4</v>
      </c>
      <c r="E16" s="3">
        <v>0</v>
      </c>
      <c r="F16" s="3">
        <v>0</v>
      </c>
      <c r="G16" s="3">
        <v>0</v>
      </c>
      <c r="H16" s="3">
        <v>9.2259535999999998E-5</v>
      </c>
      <c r="I16" s="3">
        <v>2.2342363E-5</v>
      </c>
      <c r="J16" s="3">
        <v>-2.1215665E-4</v>
      </c>
      <c r="K16" s="3"/>
      <c r="L16" s="3">
        <f t="shared" si="0"/>
        <v>0.22396987151085512</v>
      </c>
      <c r="M16" s="3"/>
      <c r="N16" s="2">
        <f>IF('Modell einstellen'!$B$1="Voll",H16/0.35,H16/0.35*2)</f>
        <v>2.6359867428571432E-4</v>
      </c>
      <c r="O16" s="2">
        <f>IF('Modell einstellen'!$B$1="Voll",J16/0.35,J16/0.35*2)</f>
        <v>-6.0616185714285715E-4</v>
      </c>
      <c r="P16" s="3">
        <f t="shared" si="1"/>
        <v>0.43486516213373472</v>
      </c>
      <c r="Q16" s="3"/>
      <c r="R16" s="3"/>
      <c r="S16" s="3"/>
      <c r="T16" s="3"/>
      <c r="U16" s="3"/>
    </row>
    <row r="17" spans="1:21" x14ac:dyDescent="0.25">
      <c r="A17" s="3">
        <v>0.1</v>
      </c>
      <c r="B17" s="3">
        <v>9.7139999999999995E-5</v>
      </c>
      <c r="C17" s="3">
        <v>2.1900000000000001E-4</v>
      </c>
      <c r="D17" s="3">
        <v>-4.5750000000000001E-4</v>
      </c>
      <c r="E17" s="3">
        <v>0</v>
      </c>
      <c r="F17" s="3">
        <v>0</v>
      </c>
      <c r="G17" s="3">
        <v>0</v>
      </c>
      <c r="H17" s="3">
        <v>9.8091642000000003E-5</v>
      </c>
      <c r="I17" s="3">
        <v>2.3424817E-5</v>
      </c>
      <c r="J17" s="3">
        <v>-2.2208212999999999E-4</v>
      </c>
      <c r="K17" s="3"/>
      <c r="L17" s="3">
        <f t="shared" si="0"/>
        <v>0.212327868852459</v>
      </c>
      <c r="M17" s="3"/>
      <c r="N17" s="2">
        <f>IF('Modell einstellen'!$B$1="Voll",H17/0.35,H17/0.35*2)</f>
        <v>2.8026183428571432E-4</v>
      </c>
      <c r="O17" s="2">
        <f>IF('Modell einstellen'!$B$1="Voll",J17/0.35,J17/0.35*2)</f>
        <v>-6.3452037142857146E-4</v>
      </c>
      <c r="P17" s="3">
        <f t="shared" si="1"/>
        <v>0.44169083752934107</v>
      </c>
      <c r="Q17" s="3"/>
      <c r="R17" s="3"/>
      <c r="S17" s="3"/>
      <c r="T17" s="3"/>
      <c r="U17" s="3"/>
    </row>
    <row r="18" spans="1:21" x14ac:dyDescent="0.25">
      <c r="A18" s="3">
        <v>1</v>
      </c>
      <c r="B18" s="3">
        <v>9.2079999999999999E-5</v>
      </c>
      <c r="C18" s="3">
        <v>2.2800000000000001E-4</v>
      </c>
      <c r="D18" s="3">
        <v>-4.6270000000000003E-4</v>
      </c>
      <c r="E18" s="3">
        <v>0</v>
      </c>
      <c r="F18" s="3">
        <v>0</v>
      </c>
      <c r="G18" s="3">
        <v>0</v>
      </c>
      <c r="H18" s="3">
        <v>1.0436461999999999E-4</v>
      </c>
      <c r="I18" s="3">
        <v>2.4563282999999999E-5</v>
      </c>
      <c r="J18" s="3">
        <v>-2.3264974E-4</v>
      </c>
      <c r="K18" s="3"/>
      <c r="L18" s="3">
        <f t="shared" si="0"/>
        <v>0.19900583531445859</v>
      </c>
      <c r="M18" s="3"/>
      <c r="N18" s="2">
        <f>IF('Modell einstellen'!$B$1="Voll",H18/0.35,H18/0.35*2)</f>
        <v>2.9818462857142858E-4</v>
      </c>
      <c r="O18" s="2">
        <f>IF('Modell einstellen'!$B$1="Voll",J18/0.35,J18/0.35*2)</f>
        <v>-6.6471354285714285E-4</v>
      </c>
      <c r="P18" s="3">
        <f t="shared" si="1"/>
        <v>0.44859117401119813</v>
      </c>
      <c r="Q18" s="3"/>
      <c r="R18" s="3"/>
      <c r="S18" s="3"/>
      <c r="T18" s="3"/>
      <c r="U18" s="3"/>
    </row>
    <row r="19" spans="1:21" x14ac:dyDescent="0.25">
      <c r="A19" s="3">
        <v>10</v>
      </c>
      <c r="B19" s="3">
        <v>8.6130000000000004E-5</v>
      </c>
      <c r="C19" s="3">
        <v>2.4030000000000001E-4</v>
      </c>
      <c r="D19" s="3">
        <v>-4.704E-4</v>
      </c>
      <c r="E19" s="3">
        <v>0</v>
      </c>
      <c r="F19" s="3">
        <v>0</v>
      </c>
      <c r="G19" s="3">
        <v>0</v>
      </c>
      <c r="H19" s="3">
        <v>1.1215078E-4</v>
      </c>
      <c r="I19" s="3">
        <v>2.613031E-5</v>
      </c>
      <c r="J19" s="3">
        <v>-2.4624233999999997E-4</v>
      </c>
      <c r="K19" s="3"/>
      <c r="L19" s="3">
        <f t="shared" si="0"/>
        <v>0.18309948979591836</v>
      </c>
      <c r="M19" s="3"/>
      <c r="N19" s="2">
        <f>IF('Modell einstellen'!$B$1="Voll",H19/0.35,H19/0.35*2)</f>
        <v>3.2043080000000002E-4</v>
      </c>
      <c r="O19" s="2">
        <f>IF('Modell einstellen'!$B$1="Voll",J19/0.35,J19/0.35*2)</f>
        <v>-7.0354954285714285E-4</v>
      </c>
      <c r="P19" s="3">
        <f t="shared" si="1"/>
        <v>0.45544880705730789</v>
      </c>
      <c r="Q19" s="3"/>
      <c r="R19" s="3"/>
      <c r="S19" s="3"/>
      <c r="T19" s="3"/>
      <c r="U19" s="3"/>
    </row>
    <row r="20" spans="1:21" x14ac:dyDescent="0.25">
      <c r="A20" s="3">
        <v>100</v>
      </c>
      <c r="B20" s="3">
        <v>8.3020000000000001E-5</v>
      </c>
      <c r="C20" s="3">
        <v>2.632E-4</v>
      </c>
      <c r="D20" s="3">
        <v>-4.906E-4</v>
      </c>
      <c r="E20" s="3">
        <v>0</v>
      </c>
      <c r="F20" s="3">
        <v>0</v>
      </c>
      <c r="G20" s="3">
        <v>0</v>
      </c>
      <c r="H20" s="3">
        <v>1.2211264999999999E-4</v>
      </c>
      <c r="I20" s="3">
        <v>2.9056566999999999E-5</v>
      </c>
      <c r="J20" s="3">
        <v>-2.6664320999999998E-4</v>
      </c>
      <c r="K20" s="3"/>
      <c r="L20" s="3">
        <f t="shared" si="0"/>
        <v>0.16922136159804321</v>
      </c>
      <c r="M20" s="3"/>
      <c r="N20" s="2">
        <f>IF('Modell einstellen'!$B$1="Voll",H20/0.35,H20/0.35*2)</f>
        <v>3.4889328571428569E-4</v>
      </c>
      <c r="O20" s="2">
        <f>IF('Modell einstellen'!$B$1="Voll",J20/0.35,J20/0.35*2)</f>
        <v>-7.6183774285714279E-4</v>
      </c>
      <c r="P20" s="3">
        <f t="shared" si="1"/>
        <v>0.45796272104585001</v>
      </c>
      <c r="Q20" s="3"/>
      <c r="R20" s="3"/>
      <c r="S20" s="3"/>
      <c r="T20" s="3"/>
      <c r="U20" s="3"/>
    </row>
    <row r="21" spans="1:21" x14ac:dyDescent="0.25">
      <c r="A21" s="3">
        <v>1000</v>
      </c>
      <c r="B21" s="3">
        <v>8.4419999999999995E-5</v>
      </c>
      <c r="C21" s="3">
        <v>3.0009999999999998E-4</v>
      </c>
      <c r="D21" s="3">
        <v>-5.2820000000000005E-4</v>
      </c>
      <c r="E21" s="3">
        <v>0</v>
      </c>
      <c r="F21" s="3">
        <v>0</v>
      </c>
      <c r="G21" s="3">
        <v>0</v>
      </c>
      <c r="H21" s="3">
        <v>1.3450796E-4</v>
      </c>
      <c r="I21" s="3">
        <v>3.3826184999999997E-5</v>
      </c>
      <c r="J21" s="3">
        <v>-2.9582585999999997E-4</v>
      </c>
      <c r="K21" s="3"/>
      <c r="L21" s="3">
        <f t="shared" si="0"/>
        <v>0.15982582355168495</v>
      </c>
      <c r="M21" s="3"/>
      <c r="N21" s="2">
        <f>IF('Modell einstellen'!$B$1="Voll",H21/0.35,H21/0.35*2)</f>
        <v>3.8430845714285719E-4</v>
      </c>
      <c r="O21" s="2">
        <f>IF('Modell einstellen'!$B$1="Voll",J21/0.35,J21/0.35*2)</f>
        <v>-8.4521674285714286E-4</v>
      </c>
      <c r="P21" s="3">
        <f t="shared" si="1"/>
        <v>0.45468628063821065</v>
      </c>
      <c r="Q21" s="3"/>
      <c r="R21" s="3"/>
      <c r="S21" s="3"/>
      <c r="T21" s="3"/>
      <c r="U21" s="3"/>
    </row>
    <row r="22" spans="1:21" x14ac:dyDescent="0.25">
      <c r="A22" s="3">
        <v>10000</v>
      </c>
      <c r="B22" s="3">
        <v>8.2230000000000004E-5</v>
      </c>
      <c r="C22" s="3">
        <v>3.4759999999999999E-4</v>
      </c>
      <c r="D22" s="3">
        <v>-5.731E-4</v>
      </c>
      <c r="E22" s="3">
        <v>0</v>
      </c>
      <c r="F22" s="3">
        <v>0</v>
      </c>
      <c r="G22" s="3">
        <v>0</v>
      </c>
      <c r="H22" s="3">
        <v>1.5132627999999999E-4</v>
      </c>
      <c r="I22" s="3">
        <v>4.0153256E-5</v>
      </c>
      <c r="J22" s="3">
        <v>-3.3511336999999999E-4</v>
      </c>
      <c r="K22" s="3"/>
      <c r="L22" s="3">
        <f t="shared" si="0"/>
        <v>0.14348281277264002</v>
      </c>
      <c r="M22" s="3"/>
      <c r="N22" s="2">
        <f>IF('Modell einstellen'!$B$1="Voll",H22/0.35,H22/0.35*2)</f>
        <v>4.3236080000000002E-4</v>
      </c>
      <c r="O22" s="2">
        <f>IF('Modell einstellen'!$B$1="Voll",J22/0.35,J22/0.35*2)</f>
        <v>-9.5746677142857144E-4</v>
      </c>
      <c r="P22" s="3">
        <f t="shared" si="1"/>
        <v>0.45156742030316488</v>
      </c>
      <c r="Q22" s="3"/>
      <c r="R22" s="3"/>
      <c r="S22" s="3"/>
      <c r="T22" s="3"/>
      <c r="U22" s="3"/>
    </row>
    <row r="23" spans="1:21" x14ac:dyDescent="0.25">
      <c r="A23" s="3">
        <v>100000</v>
      </c>
      <c r="B23" s="3">
        <v>6.1779999999999995E-5</v>
      </c>
      <c r="C23" s="3">
        <v>4.0519999999999998E-4</v>
      </c>
      <c r="D23" s="3">
        <v>-6.11E-4</v>
      </c>
      <c r="E23" s="3">
        <v>0</v>
      </c>
      <c r="F23" s="3">
        <v>0</v>
      </c>
      <c r="G23" s="3">
        <v>0</v>
      </c>
      <c r="H23" s="3">
        <v>1.7562198000000001E-4</v>
      </c>
      <c r="I23" s="3">
        <v>4.8234047999999997E-5</v>
      </c>
      <c r="J23" s="3">
        <v>-3.8844440000000002E-4</v>
      </c>
      <c r="K23" s="3"/>
      <c r="L23" s="3">
        <f t="shared" si="0"/>
        <v>0.10111292962356791</v>
      </c>
      <c r="M23" s="3"/>
      <c r="N23" s="2">
        <f>IF('Modell einstellen'!$B$1="Voll",H23/0.35,H23/0.35*2)</f>
        <v>5.0177708571428573E-4</v>
      </c>
      <c r="O23" s="2">
        <f>IF('Modell einstellen'!$B$1="Voll",J23/0.35,J23/0.35*2)</f>
        <v>-1.1098411428571431E-3</v>
      </c>
      <c r="P23" s="3">
        <f t="shared" si="1"/>
        <v>0.45211613296523251</v>
      </c>
      <c r="Q23" s="3"/>
      <c r="R23" s="3"/>
      <c r="S23" s="3"/>
      <c r="T23" s="3"/>
      <c r="U23" s="3"/>
    </row>
    <row r="24" spans="1:21" x14ac:dyDescent="0.25">
      <c r="A24" s="3">
        <v>1000000</v>
      </c>
      <c r="B24" s="3">
        <v>3.1109999999999999E-6</v>
      </c>
      <c r="C24" s="3">
        <v>4.8089999999999998E-4</v>
      </c>
      <c r="D24" s="3">
        <v>-6.3020000000000003E-4</v>
      </c>
      <c r="E24" s="3">
        <v>0</v>
      </c>
      <c r="F24" s="3">
        <v>0</v>
      </c>
      <c r="G24" s="3">
        <v>0</v>
      </c>
      <c r="H24" s="3">
        <v>2.1371861999999999E-4</v>
      </c>
      <c r="I24" s="3">
        <v>5.9550077000000001E-5</v>
      </c>
      <c r="J24" s="3">
        <v>-4.6758092E-4</v>
      </c>
      <c r="K24" s="3"/>
      <c r="L24" s="3">
        <f t="shared" si="0"/>
        <v>4.9365280863218021E-3</v>
      </c>
      <c r="M24" s="3"/>
      <c r="N24" s="2">
        <f>IF('Modell einstellen'!$B$1="Voll",H24/0.35,H24/0.35*2)</f>
        <v>6.1062462857142856E-4</v>
      </c>
      <c r="O24" s="2">
        <f>IF('Modell einstellen'!$B$1="Voll",J24/0.35,J24/0.35*2)</f>
        <v>-1.3359454857142859E-3</v>
      </c>
      <c r="P24" s="3">
        <f t="shared" si="1"/>
        <v>0.45707301315887733</v>
      </c>
      <c r="Q24" s="3"/>
      <c r="R24" s="3"/>
      <c r="S24" s="3"/>
      <c r="T24" s="3"/>
      <c r="U24" s="3"/>
    </row>
    <row r="25" spans="1:21" x14ac:dyDescent="0.25">
      <c r="A25" s="3">
        <v>10000000</v>
      </c>
      <c r="B25" s="3">
        <v>-1.392E-4</v>
      </c>
      <c r="C25" s="3">
        <v>5.9130000000000001E-4</v>
      </c>
      <c r="D25" s="3">
        <v>-6.0170000000000004E-4</v>
      </c>
      <c r="E25" s="3">
        <v>0</v>
      </c>
      <c r="F25" s="3">
        <v>0</v>
      </c>
      <c r="G25" s="3">
        <v>0</v>
      </c>
      <c r="H25" s="3">
        <v>2.7816693000000002E-4</v>
      </c>
      <c r="I25" s="3">
        <v>7.7251737000000006E-5</v>
      </c>
      <c r="J25" s="3">
        <v>-5.9651306999999995E-4</v>
      </c>
      <c r="K25" s="3"/>
      <c r="L25" s="3">
        <f t="shared" si="0"/>
        <v>-0.23134452384909421</v>
      </c>
      <c r="M25" s="3"/>
      <c r="N25" s="2">
        <f>IF('Modell einstellen'!$B$1="Voll",H25/0.35,H25/0.35*2)</f>
        <v>7.9476265714285724E-4</v>
      </c>
      <c r="O25" s="2">
        <f>IF('Modell einstellen'!$B$1="Voll",J25/0.35,J25/0.35*2)</f>
        <v>-1.7043230571428571E-3</v>
      </c>
      <c r="P25" s="3">
        <f t="shared" si="1"/>
        <v>0.46632160130204697</v>
      </c>
      <c r="Q25" s="3"/>
      <c r="R25" s="3"/>
      <c r="S25" s="3"/>
      <c r="T25" s="3"/>
      <c r="U25" s="3"/>
    </row>
    <row r="26" spans="1:21" x14ac:dyDescent="0.25">
      <c r="A26" s="3">
        <v>100000000</v>
      </c>
      <c r="B26" s="3">
        <v>-4.4079999999999998E-4</v>
      </c>
      <c r="C26" s="3">
        <v>7.5389999999999995E-4</v>
      </c>
      <c r="D26" s="3">
        <v>-4.6660000000000001E-4</v>
      </c>
      <c r="E26" s="3">
        <v>0</v>
      </c>
      <c r="F26" s="3">
        <v>0</v>
      </c>
      <c r="G26" s="3">
        <v>0</v>
      </c>
      <c r="H26" s="3">
        <v>3.8608463E-4</v>
      </c>
      <c r="I26" s="3">
        <v>1.0522171E-4</v>
      </c>
      <c r="J26" s="3">
        <v>-8.0641619999999997E-4</v>
      </c>
      <c r="K26" s="3"/>
      <c r="L26" s="3">
        <f t="shared" si="0"/>
        <v>-0.94470638662666084</v>
      </c>
      <c r="M26" s="3"/>
      <c r="N26" s="2">
        <f>IF('Modell einstellen'!$B$1="Voll",H26/0.35,H26/0.35*2)</f>
        <v>1.1030989428571429E-3</v>
      </c>
      <c r="O26" s="2">
        <f>IF('Modell einstellen'!$B$1="Voll",J26/0.35,J26/0.35*2)</f>
        <v>-2.3040462857142857E-3</v>
      </c>
      <c r="P26" s="3">
        <f t="shared" si="1"/>
        <v>0.47876596477104505</v>
      </c>
      <c r="Q26" s="3"/>
      <c r="R26" s="3"/>
      <c r="S26" s="3"/>
      <c r="T26" s="3"/>
      <c r="U26" s="3"/>
    </row>
    <row r="27" spans="1:21" x14ac:dyDescent="0.25">
      <c r="A27" s="3">
        <v>1000000000</v>
      </c>
      <c r="B27" s="3">
        <v>-9.4490000000000004E-4</v>
      </c>
      <c r="C27" s="3">
        <v>9.6920000000000003E-4</v>
      </c>
      <c r="D27" s="3">
        <v>-1.8120000000000001E-4</v>
      </c>
      <c r="E27" s="3">
        <v>0</v>
      </c>
      <c r="F27" s="3">
        <v>0</v>
      </c>
      <c r="G27" s="3">
        <v>0</v>
      </c>
      <c r="H27" s="3">
        <v>5.4480641999999995E-4</v>
      </c>
      <c r="I27" s="3">
        <v>1.4443713E-4</v>
      </c>
      <c r="J27" s="3">
        <v>-1.1079727000000001E-3</v>
      </c>
      <c r="K27" s="3"/>
      <c r="L27" s="3">
        <f t="shared" si="0"/>
        <v>-5.2146799116997791</v>
      </c>
      <c r="M27" s="3"/>
      <c r="N27" s="2">
        <f>IF('Modell einstellen'!$B$1="Voll",H27/0.35,H27/0.35*2)</f>
        <v>1.5565897714285713E-3</v>
      </c>
      <c r="O27" s="2">
        <f>IF('Modell einstellen'!$B$1="Voll",J27/0.35,J27/0.35*2)</f>
        <v>-3.1656362857142859E-3</v>
      </c>
      <c r="P27" s="3">
        <f t="shared" si="1"/>
        <v>0.49171466047854784</v>
      </c>
      <c r="Q27" s="3"/>
      <c r="R27" s="3"/>
      <c r="S27" s="3"/>
      <c r="T27" s="3"/>
      <c r="U27" s="3"/>
    </row>
    <row r="28" spans="1:21" x14ac:dyDescent="0.25">
      <c r="A28" s="3">
        <v>10000000000</v>
      </c>
      <c r="B28" s="3">
        <v>-1.6050000000000001E-3</v>
      </c>
      <c r="C28" s="3">
        <v>1.2149999999999999E-3</v>
      </c>
      <c r="D28" s="3">
        <v>2.3049999999999999E-4</v>
      </c>
      <c r="E28" s="3">
        <v>0</v>
      </c>
      <c r="F28" s="3">
        <v>0</v>
      </c>
      <c r="G28" s="3">
        <v>0</v>
      </c>
      <c r="H28" s="3">
        <v>7.3938002999999997E-4</v>
      </c>
      <c r="I28" s="3">
        <v>1.9098259E-4</v>
      </c>
      <c r="J28" s="3">
        <v>-1.4716829000000001E-3</v>
      </c>
      <c r="K28" s="3"/>
      <c r="L28" s="3">
        <f t="shared" si="0"/>
        <v>6.9631236442516276</v>
      </c>
      <c r="M28" s="3"/>
      <c r="N28" s="2">
        <f>IF('Modell einstellen'!$B$1="Voll",H28/0.35,H28/0.35*2)</f>
        <v>2.1125143714285713E-3</v>
      </c>
      <c r="O28" s="2">
        <f>IF('Modell einstellen'!$B$1="Voll",J28/0.35,J28/0.35*2)</f>
        <v>-4.2048082857142864E-3</v>
      </c>
      <c r="P28" s="3">
        <f t="shared" si="1"/>
        <v>0.50240444459876499</v>
      </c>
      <c r="Q28" s="3"/>
      <c r="R28" s="3"/>
      <c r="S28" s="3"/>
      <c r="T28" s="3"/>
      <c r="U28" s="3"/>
    </row>
    <row r="29" spans="1:21" x14ac:dyDescent="0.25">
      <c r="A29" s="3">
        <v>100000000000</v>
      </c>
      <c r="B29" s="3">
        <v>-2.16E-3</v>
      </c>
      <c r="C29" s="3">
        <v>1.4139999999999999E-3</v>
      </c>
      <c r="D29" s="3">
        <v>5.8600000000000004E-4</v>
      </c>
      <c r="E29" s="3">
        <v>0</v>
      </c>
      <c r="F29" s="3">
        <v>0</v>
      </c>
      <c r="G29" s="3">
        <v>0</v>
      </c>
      <c r="H29" s="3">
        <v>8.9873489999999997E-4</v>
      </c>
      <c r="I29" s="3">
        <v>2.2926439000000001E-4</v>
      </c>
      <c r="J29" s="3">
        <v>-1.7697612E-3</v>
      </c>
      <c r="K29" s="3"/>
      <c r="L29" s="3">
        <f t="shared" si="0"/>
        <v>3.6860068259385663</v>
      </c>
      <c r="M29" s="3"/>
      <c r="N29" s="2">
        <f>IF('Modell einstellen'!$B$1="Voll",H29/0.35,H29/0.35*2)</f>
        <v>2.5678140000000003E-3</v>
      </c>
      <c r="O29" s="2">
        <f>IF('Modell einstellen'!$B$1="Voll",J29/0.35,J29/0.35*2)</f>
        <v>-5.0564605714285716E-3</v>
      </c>
      <c r="P29" s="3">
        <f t="shared" si="1"/>
        <v>0.50782834429865453</v>
      </c>
      <c r="Q29" s="3"/>
      <c r="R29" s="3"/>
      <c r="S29" s="3"/>
      <c r="T29" s="3"/>
      <c r="U29" s="3"/>
    </row>
    <row r="30" spans="1:21" x14ac:dyDescent="0.25">
      <c r="A30" s="3">
        <v>1000000000000</v>
      </c>
      <c r="B30" s="3">
        <v>-2.5509999999999999E-3</v>
      </c>
      <c r="C30" s="3">
        <v>1.5529999999999999E-3</v>
      </c>
      <c r="D30" s="3">
        <v>8.3750000000000003E-4</v>
      </c>
      <c r="E30" s="3">
        <v>0</v>
      </c>
      <c r="F30" s="3">
        <v>0</v>
      </c>
      <c r="G30" s="3">
        <v>0</v>
      </c>
      <c r="H30" s="3">
        <v>1.010064E-3</v>
      </c>
      <c r="I30" s="3">
        <v>2.5638969E-4</v>
      </c>
      <c r="J30" s="3">
        <v>-1.979181E-3</v>
      </c>
      <c r="K30" s="3"/>
      <c r="L30" s="3">
        <f t="shared" si="0"/>
        <v>3.0459701492537312</v>
      </c>
      <c r="M30" s="3"/>
      <c r="N30" s="2">
        <f>IF('Modell einstellen'!$B$1="Voll",H30/0.35,H30/0.35*2)</f>
        <v>2.8858971428571429E-3</v>
      </c>
      <c r="O30" s="2">
        <f>IF('Modell einstellen'!$B$1="Voll",J30/0.35,J30/0.35*2)</f>
        <v>-5.6548028571428571E-3</v>
      </c>
      <c r="P30" s="3">
        <f t="shared" si="1"/>
        <v>0.51034443034770449</v>
      </c>
      <c r="Q30" s="3"/>
      <c r="R30" s="3"/>
      <c r="S30" s="3"/>
      <c r="T30" s="3"/>
      <c r="U30" s="3"/>
    </row>
    <row r="31" spans="1:21" x14ac:dyDescent="0.25">
      <c r="A31" s="3">
        <v>10000000000000</v>
      </c>
      <c r="B31" s="3">
        <v>-2.7820000000000002E-3</v>
      </c>
      <c r="C31" s="3">
        <v>1.637E-3</v>
      </c>
      <c r="D31" s="3">
        <v>9.8459999999999997E-4</v>
      </c>
      <c r="E31" s="3">
        <v>0</v>
      </c>
      <c r="F31" s="3">
        <v>0</v>
      </c>
      <c r="G31" s="3">
        <v>0</v>
      </c>
      <c r="H31" s="3">
        <v>1.0760399999999999E-3</v>
      </c>
      <c r="I31" s="3">
        <v>2.7280913000000002E-4</v>
      </c>
      <c r="J31" s="3">
        <v>-2.1044504E-3</v>
      </c>
      <c r="K31" s="3"/>
      <c r="L31" s="3">
        <f t="shared" si="0"/>
        <v>2.8255128986390416</v>
      </c>
      <c r="M31" s="3"/>
      <c r="N31" s="2">
        <f>IF('Modell einstellen'!$B$1="Voll",H31/0.35,H31/0.35*2)</f>
        <v>3.0743999999999997E-3</v>
      </c>
      <c r="O31" s="2">
        <f>IF('Modell einstellen'!$B$1="Voll",J31/0.35,J31/0.35*2)</f>
        <v>-6.0127154285714293E-3</v>
      </c>
      <c r="P31" s="3">
        <f t="shared" si="1"/>
        <v>0.5113163988089241</v>
      </c>
      <c r="Q31" s="3"/>
      <c r="R31" s="3"/>
      <c r="S31" s="3"/>
      <c r="T31" s="3"/>
      <c r="U31" s="3"/>
    </row>
    <row r="32" spans="1:21" x14ac:dyDescent="0.25">
      <c r="A32" s="3">
        <v>100000000000000</v>
      </c>
      <c r="B32" s="3">
        <v>-2.96E-3</v>
      </c>
      <c r="C32" s="3">
        <v>1.6999999999999999E-3</v>
      </c>
      <c r="D32" s="3">
        <v>1.0989999999999999E-3</v>
      </c>
      <c r="E32" s="3">
        <v>0</v>
      </c>
      <c r="F32" s="3">
        <v>0</v>
      </c>
      <c r="G32" s="3">
        <v>0</v>
      </c>
      <c r="H32" s="3">
        <v>1.1270130000000001E-3</v>
      </c>
      <c r="I32" s="3">
        <v>2.8524752000000001E-4</v>
      </c>
      <c r="J32" s="3">
        <v>-2.2002987000000001E-3</v>
      </c>
      <c r="K32" s="3"/>
      <c r="L32" s="3">
        <f t="shared" si="0"/>
        <v>2.6933575978161968</v>
      </c>
      <c r="M32" s="3"/>
      <c r="N32" s="2">
        <f>IF('Modell einstellen'!$B$1="Voll",H32/0.35,H32/0.35*2)</f>
        <v>3.220037142857143E-3</v>
      </c>
      <c r="O32" s="2">
        <f>IF('Modell einstellen'!$B$1="Voll",J32/0.35,J32/0.35*2)</f>
        <v>-6.2865677142857146E-3</v>
      </c>
      <c r="P32" s="3">
        <f t="shared" si="1"/>
        <v>0.51220909233823575</v>
      </c>
      <c r="Q32" s="3"/>
      <c r="R32" s="3"/>
      <c r="S32" s="3"/>
      <c r="T32" s="3"/>
      <c r="U32" s="3"/>
    </row>
    <row r="33" spans="1:21" x14ac:dyDescent="0.25">
      <c r="A33" s="2">
        <v>1000000000000000</v>
      </c>
      <c r="B33" s="3">
        <v>-3.045E-3</v>
      </c>
      <c r="C33" s="3">
        <v>1.7290000000000001E-3</v>
      </c>
      <c r="D33" s="3">
        <v>1.155E-3</v>
      </c>
      <c r="E33" s="3">
        <v>0</v>
      </c>
      <c r="F33" s="3">
        <v>0</v>
      </c>
      <c r="G33" s="3">
        <v>0</v>
      </c>
      <c r="H33" s="3">
        <v>1.1508366999999999E-3</v>
      </c>
      <c r="I33" s="3">
        <v>2.9101696999999998E-4</v>
      </c>
      <c r="J33" s="3">
        <v>-2.2449112000000001E-3</v>
      </c>
      <c r="K33" s="3"/>
      <c r="L33" s="3">
        <f t="shared" si="0"/>
        <v>2.6363636363636362</v>
      </c>
      <c r="M33" s="3"/>
      <c r="N33" s="2">
        <f>IF('Modell einstellen'!$B$1="Voll",H33/0.35,H33/0.35*2)</f>
        <v>3.2881048571428572E-3</v>
      </c>
      <c r="O33" s="2">
        <f>IF('Modell einstellen'!$B$1="Voll",J33/0.35,J33/0.35*2)</f>
        <v>-6.4140320000000009E-3</v>
      </c>
      <c r="P33" s="3">
        <f t="shared" si="1"/>
        <v>0.51264241543273503</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1.014E-4</v>
      </c>
      <c r="C3" s="3">
        <v>1.3459999999999999E-4</v>
      </c>
      <c r="D3" s="3">
        <v>-3.6380000000000001E-4</v>
      </c>
      <c r="E3" s="3">
        <v>0</v>
      </c>
      <c r="F3" s="3">
        <v>0</v>
      </c>
      <c r="G3" s="3">
        <v>0</v>
      </c>
      <c r="H3" s="3">
        <v>5.1204169999999998E-5</v>
      </c>
      <c r="I3" s="3">
        <v>1.3542549E-5</v>
      </c>
      <c r="J3" s="3">
        <v>-1.3778269000000001E-4</v>
      </c>
      <c r="K3" s="2"/>
      <c r="L3" s="3"/>
      <c r="M3" s="3"/>
      <c r="N3" s="2">
        <f>IF('Modell einstellen'!$B$1="Voll",H3/0.35,H3/0.35*2)</f>
        <v>1.4629762857142856E-4</v>
      </c>
      <c r="O3" s="2">
        <f>IF('Modell einstellen'!$B$1="Voll",J3/0.35,J3/0.35*2)</f>
        <v>-3.9366482857142865E-4</v>
      </c>
      <c r="P3" s="3">
        <f>-N3/O3</f>
        <v>0.3716299195494005</v>
      </c>
      <c r="Q3" s="3"/>
      <c r="R3" s="3"/>
      <c r="S3" s="3"/>
      <c r="T3" s="3"/>
      <c r="U3" s="3"/>
    </row>
    <row r="4" spans="1:21" x14ac:dyDescent="0.25">
      <c r="A4" s="3">
        <v>1E-14</v>
      </c>
      <c r="B4" s="3">
        <v>1.0289999999999999E-4</v>
      </c>
      <c r="C4" s="3">
        <v>1.3909999999999999E-4</v>
      </c>
      <c r="D4" s="3">
        <v>-3.7060000000000001E-4</v>
      </c>
      <c r="E4" s="3">
        <v>0</v>
      </c>
      <c r="F4" s="3">
        <v>0</v>
      </c>
      <c r="G4" s="3">
        <v>0</v>
      </c>
      <c r="H4" s="3">
        <v>5.3255252E-5</v>
      </c>
      <c r="I4" s="3">
        <v>1.4042207E-5</v>
      </c>
      <c r="J4" s="3">
        <v>-1.4172132E-4</v>
      </c>
      <c r="K4" s="2"/>
      <c r="L4" s="3"/>
      <c r="M4" s="3"/>
      <c r="N4" s="2">
        <f>IF('Modell einstellen'!$B$1="Voll",H4/0.35,H4/0.35*2)</f>
        <v>1.5215786285714287E-4</v>
      </c>
      <c r="O4" s="2">
        <f>IF('Modell einstellen'!$B$1="Voll",J4/0.35,J4/0.35*2)</f>
        <v>-4.0491805714285717E-4</v>
      </c>
      <c r="P4" s="3">
        <f t="shared" ref="P4:P33" si="0">-N4/O4</f>
        <v>0.37577445651790431</v>
      </c>
      <c r="Q4" s="3"/>
      <c r="R4" s="3"/>
      <c r="S4" s="3"/>
      <c r="T4" s="3"/>
      <c r="U4" s="3"/>
    </row>
    <row r="5" spans="1:21" x14ac:dyDescent="0.25">
      <c r="A5" s="3">
        <v>1E-13</v>
      </c>
      <c r="B5" s="3">
        <v>1.042E-4</v>
      </c>
      <c r="C5" s="3">
        <v>1.4339999999999999E-4</v>
      </c>
      <c r="D5" s="3">
        <v>-3.769E-4</v>
      </c>
      <c r="E5" s="3">
        <v>0</v>
      </c>
      <c r="F5" s="3">
        <v>0</v>
      </c>
      <c r="G5" s="3">
        <v>0</v>
      </c>
      <c r="H5" s="3">
        <v>5.5231185E-5</v>
      </c>
      <c r="I5" s="3">
        <v>1.4517870999999999E-5</v>
      </c>
      <c r="J5" s="3">
        <v>-1.4549879E-4</v>
      </c>
      <c r="K5" s="2"/>
      <c r="L5" s="3"/>
      <c r="M5" s="3"/>
      <c r="N5" s="2">
        <f>IF('Modell einstellen'!$B$1="Voll",H5/0.35,H5/0.35*2)</f>
        <v>1.5780338571428571E-4</v>
      </c>
      <c r="O5" s="2">
        <f>IF('Modell einstellen'!$B$1="Voll",J5/0.35,J5/0.35*2)</f>
        <v>-4.1571082857142861E-4</v>
      </c>
      <c r="P5" s="3">
        <f t="shared" si="0"/>
        <v>0.37959892999797451</v>
      </c>
      <c r="Q5" s="3"/>
      <c r="R5" s="3"/>
      <c r="S5" s="3"/>
      <c r="T5" s="3"/>
      <c r="U5" s="3"/>
    </row>
    <row r="6" spans="1:21" x14ac:dyDescent="0.25">
      <c r="A6" s="3">
        <v>9.9999999999999998E-13</v>
      </c>
      <c r="B6" s="3">
        <v>1.055E-4</v>
      </c>
      <c r="C6" s="3">
        <v>1.4809999999999999E-4</v>
      </c>
      <c r="D6" s="3">
        <v>-3.835E-4</v>
      </c>
      <c r="E6" s="3">
        <v>0</v>
      </c>
      <c r="F6" s="3">
        <v>0</v>
      </c>
      <c r="G6" s="3">
        <v>0</v>
      </c>
      <c r="H6" s="3">
        <v>5.7395529000000002E-5</v>
      </c>
      <c r="I6" s="3">
        <v>1.5032300999999999E-5</v>
      </c>
      <c r="J6" s="3">
        <v>-1.4961034E-4</v>
      </c>
      <c r="K6" s="2"/>
      <c r="L6" s="3"/>
      <c r="M6" s="3"/>
      <c r="N6" s="2">
        <f>IF('Modell einstellen'!$B$1="Voll",H6/0.35,H6/0.35*2)</f>
        <v>1.6398722571428574E-4</v>
      </c>
      <c r="O6" s="2">
        <f>IF('Modell einstellen'!$B$1="Voll",J6/0.35,J6/0.35*2)</f>
        <v>-4.2745811428571433E-4</v>
      </c>
      <c r="P6" s="3">
        <f t="shared" si="0"/>
        <v>0.38363343736803218</v>
      </c>
      <c r="Q6" s="3"/>
      <c r="R6" s="3"/>
      <c r="S6" s="3"/>
      <c r="T6" s="3"/>
      <c r="U6" s="3"/>
    </row>
    <row r="7" spans="1:21" x14ac:dyDescent="0.25">
      <c r="A7" s="3">
        <v>9.9999999999999994E-12</v>
      </c>
      <c r="B7" s="3">
        <v>1.0670000000000001E-4</v>
      </c>
      <c r="C7" s="3">
        <v>1.5349999999999999E-4</v>
      </c>
      <c r="D7" s="3">
        <v>-3.9110000000000002E-4</v>
      </c>
      <c r="E7" s="3">
        <v>0</v>
      </c>
      <c r="F7" s="3">
        <v>0</v>
      </c>
      <c r="G7" s="3">
        <v>0</v>
      </c>
      <c r="H7" s="3">
        <v>6.0001080000000003E-5</v>
      </c>
      <c r="I7" s="3">
        <v>1.5643117999999999E-5</v>
      </c>
      <c r="J7" s="3">
        <v>-1.5452675E-4</v>
      </c>
      <c r="K7" s="2"/>
      <c r="L7" s="3"/>
      <c r="M7" s="3"/>
      <c r="N7" s="2">
        <f>IF('Modell einstellen'!$B$1="Voll",H7/0.35,H7/0.35*2)</f>
        <v>1.7143165714285716E-4</v>
      </c>
      <c r="O7" s="2">
        <f>IF('Modell einstellen'!$B$1="Voll",J7/0.35,J7/0.35*2)</f>
        <v>-4.4150500000000002E-4</v>
      </c>
      <c r="P7" s="3">
        <f t="shared" si="0"/>
        <v>0.38828927677570391</v>
      </c>
      <c r="Q7" s="3"/>
      <c r="R7" s="3"/>
      <c r="S7" s="3"/>
      <c r="T7" s="3"/>
      <c r="U7" s="3"/>
    </row>
    <row r="8" spans="1:21" x14ac:dyDescent="0.25">
      <c r="A8" s="3">
        <v>1E-10</v>
      </c>
      <c r="B8" s="3">
        <v>1.077E-4</v>
      </c>
      <c r="C8" s="3">
        <v>1.5890000000000001E-4</v>
      </c>
      <c r="D8" s="3">
        <v>-3.9819999999999998E-4</v>
      </c>
      <c r="E8" s="3">
        <v>0</v>
      </c>
      <c r="F8" s="3">
        <v>0</v>
      </c>
      <c r="G8" s="3">
        <v>0</v>
      </c>
      <c r="H8" s="3">
        <v>6.2616624999999994E-5</v>
      </c>
      <c r="I8" s="3">
        <v>1.6246296E-5</v>
      </c>
      <c r="J8" s="3">
        <v>-1.5942288E-4</v>
      </c>
      <c r="K8" s="2"/>
      <c r="L8" s="3"/>
      <c r="M8" s="3"/>
      <c r="N8" s="2">
        <f>IF('Modell einstellen'!$B$1="Voll",H8/0.35,H8/0.35*2)</f>
        <v>1.7890464285714286E-4</v>
      </c>
      <c r="O8" s="2">
        <f>IF('Modell einstellen'!$B$1="Voll",J8/0.35,J8/0.35*2)</f>
        <v>-4.554939428571429E-4</v>
      </c>
      <c r="P8" s="3">
        <f t="shared" si="0"/>
        <v>0.39277062991209288</v>
      </c>
      <c r="Q8" s="3"/>
      <c r="R8" s="3"/>
      <c r="S8" s="3"/>
      <c r="T8" s="3"/>
      <c r="U8" s="3"/>
    </row>
    <row r="9" spans="1:21" x14ac:dyDescent="0.25">
      <c r="A9" s="3">
        <v>1.0000000000000001E-9</v>
      </c>
      <c r="B9" s="3">
        <v>1.0840000000000001E-4</v>
      </c>
      <c r="C9" s="3">
        <v>1.6449999999999999E-4</v>
      </c>
      <c r="D9" s="3">
        <v>-4.0539999999999999E-4</v>
      </c>
      <c r="E9" s="3">
        <v>0</v>
      </c>
      <c r="F9" s="3">
        <v>0</v>
      </c>
      <c r="G9" s="3">
        <v>0</v>
      </c>
      <c r="H9" s="3">
        <v>6.5421734000000004E-5</v>
      </c>
      <c r="I9" s="3">
        <v>1.6883275999999999E-5</v>
      </c>
      <c r="J9" s="3">
        <v>-1.6463565E-4</v>
      </c>
      <c r="K9" s="2"/>
      <c r="L9" s="3"/>
      <c r="M9" s="3"/>
      <c r="N9" s="2">
        <f>IF('Modell einstellen'!$B$1="Voll",H9/0.35,H9/0.35*2)</f>
        <v>1.8691924000000003E-4</v>
      </c>
      <c r="O9" s="2">
        <f>IF('Modell einstellen'!$B$1="Voll",J9/0.35,J9/0.35*2)</f>
        <v>-4.7038757142857146E-4</v>
      </c>
      <c r="P9" s="3">
        <f t="shared" si="0"/>
        <v>0.39737282903186527</v>
      </c>
      <c r="Q9" s="3"/>
      <c r="R9" s="3"/>
      <c r="S9" s="3"/>
      <c r="T9" s="3"/>
      <c r="U9" s="3"/>
    </row>
    <row r="10" spans="1:21" x14ac:dyDescent="0.25">
      <c r="A10" s="3">
        <v>1E-8</v>
      </c>
      <c r="B10" s="3">
        <v>1.0900000000000001E-4</v>
      </c>
      <c r="C10" s="3">
        <v>1.7149999999999999E-4</v>
      </c>
      <c r="D10" s="3">
        <v>-4.1419999999999998E-4</v>
      </c>
      <c r="E10" s="3">
        <v>0</v>
      </c>
      <c r="F10" s="3">
        <v>0</v>
      </c>
      <c r="G10" s="3">
        <v>0</v>
      </c>
      <c r="H10" s="3">
        <v>6.9067643E-5</v>
      </c>
      <c r="I10" s="3">
        <v>1.769623E-5</v>
      </c>
      <c r="J10" s="3">
        <v>-1.7135372000000001E-4</v>
      </c>
      <c r="K10" s="2"/>
      <c r="L10" s="3"/>
      <c r="M10" s="3"/>
      <c r="N10" s="2">
        <f>IF('Modell einstellen'!$B$1="Voll",H10/0.35,H10/0.35*2)</f>
        <v>1.9733612285714286E-4</v>
      </c>
      <c r="O10" s="2">
        <f>IF('Modell einstellen'!$B$1="Voll",J10/0.35,J10/0.35*2)</f>
        <v>-4.8958205714285719E-4</v>
      </c>
      <c r="P10" s="3">
        <f t="shared" si="0"/>
        <v>0.40307057821680203</v>
      </c>
      <c r="Q10" s="3"/>
      <c r="R10" s="3"/>
      <c r="S10" s="3"/>
      <c r="T10" s="3"/>
      <c r="U10" s="3"/>
    </row>
    <row r="11" spans="1:21" x14ac:dyDescent="0.25">
      <c r="A11" s="3">
        <v>9.9999999999999995E-8</v>
      </c>
      <c r="B11" s="3">
        <v>1.0900000000000001E-4</v>
      </c>
      <c r="C11" s="3">
        <v>1.8019999999999999E-4</v>
      </c>
      <c r="D11" s="3">
        <v>-4.2420000000000001E-4</v>
      </c>
      <c r="E11" s="3">
        <v>0</v>
      </c>
      <c r="F11" s="3">
        <v>0</v>
      </c>
      <c r="G11" s="3">
        <v>0</v>
      </c>
      <c r="H11" s="3">
        <v>7.3708435000000003E-5</v>
      </c>
      <c r="I11" s="3">
        <v>1.8705598E-5</v>
      </c>
      <c r="J11" s="3">
        <v>-1.7980772999999999E-4</v>
      </c>
      <c r="K11" s="2"/>
      <c r="L11" s="3"/>
      <c r="M11" s="3"/>
      <c r="N11" s="2">
        <f>IF('Modell einstellen'!$B$1="Voll",H11/0.35,H11/0.35*2)</f>
        <v>2.105955285714286E-4</v>
      </c>
      <c r="O11" s="2">
        <f>IF('Modell einstellen'!$B$1="Voll",J11/0.35,J11/0.35*2)</f>
        <v>-5.1373637142857148E-4</v>
      </c>
      <c r="P11" s="3">
        <f t="shared" si="0"/>
        <v>0.40992917823944497</v>
      </c>
      <c r="Q11" s="3"/>
      <c r="R11" s="3"/>
      <c r="S11" s="3"/>
      <c r="T11" s="3"/>
      <c r="U11" s="3"/>
    </row>
    <row r="12" spans="1:21" x14ac:dyDescent="0.25">
      <c r="A12" s="3">
        <v>9.9999999999999995E-7</v>
      </c>
      <c r="B12" s="3">
        <v>1.082E-4</v>
      </c>
      <c r="C12" s="3">
        <v>1.8929999999999999E-4</v>
      </c>
      <c r="D12" s="3">
        <v>-4.3389999999999998E-4</v>
      </c>
      <c r="E12" s="3">
        <v>0</v>
      </c>
      <c r="F12" s="3">
        <v>0</v>
      </c>
      <c r="G12" s="3">
        <v>0</v>
      </c>
      <c r="H12" s="3">
        <v>7.8829455999999994E-5</v>
      </c>
      <c r="I12" s="3">
        <v>1.9785543E-5</v>
      </c>
      <c r="J12" s="3">
        <v>-1.8900735E-4</v>
      </c>
      <c r="K12" s="2"/>
      <c r="L12" s="3"/>
      <c r="M12" s="3"/>
      <c r="N12" s="2">
        <f>IF('Modell einstellen'!$B$1="Voll",H12/0.35,H12/0.35*2)</f>
        <v>2.2522701714285714E-4</v>
      </c>
      <c r="O12" s="2">
        <f>IF('Modell einstellen'!$B$1="Voll",J12/0.35,J12/0.35*2)</f>
        <v>-5.4002100000000001E-4</v>
      </c>
      <c r="P12" s="3">
        <f t="shared" si="0"/>
        <v>0.41707084936114919</v>
      </c>
      <c r="Q12" s="3"/>
      <c r="R12" s="3"/>
      <c r="S12" s="3"/>
      <c r="T12" s="3"/>
      <c r="U12" s="3"/>
    </row>
    <row r="13" spans="1:21" x14ac:dyDescent="0.25">
      <c r="A13" s="3">
        <v>1.0000000000000001E-5</v>
      </c>
      <c r="B13" s="3">
        <v>1.0670000000000001E-4</v>
      </c>
      <c r="C13" s="3">
        <v>1.972E-4</v>
      </c>
      <c r="D13" s="3">
        <v>-4.415E-4</v>
      </c>
      <c r="E13" s="3">
        <v>0</v>
      </c>
      <c r="F13" s="3">
        <v>0</v>
      </c>
      <c r="G13" s="3">
        <v>0</v>
      </c>
      <c r="H13" s="3">
        <v>8.3444184000000006E-5</v>
      </c>
      <c r="I13" s="3">
        <v>2.0728058000000001E-5</v>
      </c>
      <c r="J13" s="3">
        <v>-1.9718080000000001E-4</v>
      </c>
      <c r="K13" s="2"/>
      <c r="L13" s="3"/>
      <c r="M13" s="3"/>
      <c r="N13" s="2">
        <f>IF('Modell einstellen'!$B$1="Voll",H13/0.35,H13/0.35*2)</f>
        <v>2.3841195428571431E-4</v>
      </c>
      <c r="O13" s="2">
        <f>IF('Modell einstellen'!$B$1="Voll",J13/0.35,J13/0.35*2)</f>
        <v>-5.6337371428571439E-4</v>
      </c>
      <c r="P13" s="3">
        <f t="shared" si="0"/>
        <v>0.42318615199857185</v>
      </c>
      <c r="Q13" s="3"/>
      <c r="R13" s="3"/>
      <c r="S13" s="3"/>
      <c r="T13" s="3"/>
      <c r="U13" s="3"/>
    </row>
    <row r="14" spans="1:21" x14ac:dyDescent="0.25">
      <c r="A14" s="3">
        <v>1E-4</v>
      </c>
      <c r="B14" s="3">
        <v>1.0450000000000001E-4</v>
      </c>
      <c r="C14" s="3">
        <v>2.052E-4</v>
      </c>
      <c r="D14" s="3">
        <v>-4.4850000000000001E-4</v>
      </c>
      <c r="E14" s="3">
        <v>0</v>
      </c>
      <c r="F14" s="3">
        <v>0</v>
      </c>
      <c r="G14" s="3">
        <v>0</v>
      </c>
      <c r="H14" s="3">
        <v>8.8342143E-5</v>
      </c>
      <c r="I14" s="3">
        <v>2.1701699E-5</v>
      </c>
      <c r="J14" s="3">
        <v>-2.0575511999999999E-4</v>
      </c>
      <c r="K14" s="2"/>
      <c r="L14" s="3"/>
      <c r="M14" s="3"/>
      <c r="N14" s="2">
        <f>IF('Modell einstellen'!$B$1="Voll",H14/0.35,H14/0.35*2)</f>
        <v>2.5240612285714286E-4</v>
      </c>
      <c r="O14" s="2">
        <f>IF('Modell einstellen'!$B$1="Voll",J14/0.35,J14/0.35*2)</f>
        <v>-5.8787177142857142E-4</v>
      </c>
      <c r="P14" s="3">
        <f t="shared" si="0"/>
        <v>0.42935574580112512</v>
      </c>
      <c r="Q14" s="3"/>
      <c r="R14" s="3"/>
      <c r="S14" s="3"/>
      <c r="T14" s="3"/>
      <c r="U14" s="3"/>
    </row>
    <row r="15" spans="1:21" x14ac:dyDescent="0.25">
      <c r="A15" s="3">
        <v>1E-3</v>
      </c>
      <c r="B15" s="3">
        <v>1.014E-4</v>
      </c>
      <c r="C15" s="3">
        <v>2.1330000000000001E-4</v>
      </c>
      <c r="D15" s="3">
        <v>-4.549E-4</v>
      </c>
      <c r="E15" s="3">
        <v>0</v>
      </c>
      <c r="F15" s="3">
        <v>0</v>
      </c>
      <c r="G15" s="3">
        <v>0</v>
      </c>
      <c r="H15" s="3">
        <v>9.3565431000000002E-5</v>
      </c>
      <c r="I15" s="3">
        <v>2.2707324000000001E-5</v>
      </c>
      <c r="J15" s="3">
        <v>-2.1477542000000001E-4</v>
      </c>
      <c r="K15" s="2"/>
      <c r="L15" s="3"/>
      <c r="M15" s="3"/>
      <c r="N15" s="2">
        <f>IF('Modell einstellen'!$B$1="Voll",H15/0.35,H15/0.35*2)</f>
        <v>2.6732980285714287E-4</v>
      </c>
      <c r="O15" s="2">
        <f>IF('Modell einstellen'!$B$1="Voll",J15/0.35,J15/0.35*2)</f>
        <v>-6.1364405714285717E-4</v>
      </c>
      <c r="P15" s="3">
        <f t="shared" si="0"/>
        <v>0.43564310571479736</v>
      </c>
      <c r="Q15" s="3"/>
      <c r="R15" s="3"/>
      <c r="S15" s="3"/>
      <c r="T15" s="3"/>
      <c r="U15" s="3"/>
    </row>
    <row r="16" spans="1:21" x14ac:dyDescent="0.25">
      <c r="A16" s="3">
        <v>0.01</v>
      </c>
      <c r="B16" s="3">
        <v>9.7070000000000004E-5</v>
      </c>
      <c r="C16" s="3">
        <v>2.2230000000000001E-4</v>
      </c>
      <c r="D16" s="3">
        <v>-4.6089999999999998E-4</v>
      </c>
      <c r="E16" s="3">
        <v>0</v>
      </c>
      <c r="F16" s="3">
        <v>0</v>
      </c>
      <c r="G16" s="3">
        <v>0</v>
      </c>
      <c r="H16" s="3">
        <v>9.9628676999999994E-5</v>
      </c>
      <c r="I16" s="3">
        <v>2.3836581999999999E-5</v>
      </c>
      <c r="J16" s="3">
        <v>-2.2510223E-4</v>
      </c>
      <c r="K16" s="2"/>
      <c r="L16" s="3"/>
      <c r="M16" s="3"/>
      <c r="N16" s="2">
        <f>IF('Modell einstellen'!$B$1="Voll",H16/0.35,H16/0.35*2)</f>
        <v>2.8465336285714288E-4</v>
      </c>
      <c r="O16" s="2">
        <f>IF('Modell einstellen'!$B$1="Voll",J16/0.35,J16/0.35*2)</f>
        <v>-6.4314922857142858E-4</v>
      </c>
      <c r="P16" s="3">
        <f t="shared" si="0"/>
        <v>0.44259302540005935</v>
      </c>
      <c r="Q16" s="3"/>
      <c r="R16" s="3"/>
      <c r="S16" s="3"/>
      <c r="T16" s="3"/>
      <c r="U16" s="3"/>
    </row>
    <row r="17" spans="1:21" x14ac:dyDescent="0.25">
      <c r="A17" s="3">
        <v>0.1</v>
      </c>
      <c r="B17" s="3">
        <v>9.1719999999999996E-5</v>
      </c>
      <c r="C17" s="3">
        <v>2.3130000000000001E-4</v>
      </c>
      <c r="D17" s="3">
        <v>-4.6579999999999999E-4</v>
      </c>
      <c r="E17" s="3">
        <v>0</v>
      </c>
      <c r="F17" s="3">
        <v>0</v>
      </c>
      <c r="G17" s="3">
        <v>0</v>
      </c>
      <c r="H17" s="3">
        <v>1.0590650999999999E-4</v>
      </c>
      <c r="I17" s="3">
        <v>2.4970006999999999E-5</v>
      </c>
      <c r="J17" s="3">
        <v>-2.3565395999999999E-4</v>
      </c>
      <c r="K17" s="2"/>
      <c r="L17" s="3"/>
      <c r="M17" s="3"/>
      <c r="N17" s="2">
        <f>IF('Modell einstellen'!$B$1="Voll",H17/0.35,H17/0.35*2)</f>
        <v>3.0259002857142858E-4</v>
      </c>
      <c r="O17" s="2">
        <f>IF('Modell einstellen'!$B$1="Voll",J17/0.35,J17/0.35*2)</f>
        <v>-6.7329702857142854E-4</v>
      </c>
      <c r="P17" s="3">
        <f t="shared" si="0"/>
        <v>0.4494153631027461</v>
      </c>
      <c r="Q17" s="3"/>
      <c r="R17" s="3"/>
      <c r="S17" s="3"/>
      <c r="T17" s="3"/>
      <c r="U17" s="3"/>
    </row>
    <row r="18" spans="1:21" x14ac:dyDescent="0.25">
      <c r="A18" s="3">
        <v>1</v>
      </c>
      <c r="B18" s="3">
        <v>8.4049999999999997E-5</v>
      </c>
      <c r="C18" s="3">
        <v>2.4369999999999999E-4</v>
      </c>
      <c r="D18" s="3">
        <v>-4.7209999999999998E-4</v>
      </c>
      <c r="E18" s="3">
        <v>0</v>
      </c>
      <c r="F18" s="3">
        <v>0</v>
      </c>
      <c r="G18" s="3">
        <v>0</v>
      </c>
      <c r="H18" s="3">
        <v>1.1445318E-4</v>
      </c>
      <c r="I18" s="3">
        <v>2.6572671000000001E-5</v>
      </c>
      <c r="J18" s="3">
        <v>-2.5018478E-4</v>
      </c>
      <c r="K18" s="2"/>
      <c r="L18" s="3"/>
      <c r="M18" s="3"/>
      <c r="N18" s="2">
        <f>IF('Modell einstellen'!$B$1="Voll",H18/0.35,H18/0.35*2)</f>
        <v>3.2700908571428573E-4</v>
      </c>
      <c r="O18" s="2">
        <f>IF('Modell einstellen'!$B$1="Voll",J18/0.35,J18/0.35*2)</f>
        <v>-7.1481365714285718E-4</v>
      </c>
      <c r="P18" s="3">
        <f t="shared" si="0"/>
        <v>0.45747459138001917</v>
      </c>
      <c r="Q18" s="3"/>
      <c r="R18" s="3"/>
      <c r="S18" s="3"/>
      <c r="T18" s="3"/>
      <c r="U18" s="3"/>
    </row>
    <row r="19" spans="1:21" x14ac:dyDescent="0.25">
      <c r="A19" s="3">
        <v>10</v>
      </c>
      <c r="B19" s="3">
        <v>7.7639999999999995E-5</v>
      </c>
      <c r="C19" s="3">
        <v>2.6429999999999997E-4</v>
      </c>
      <c r="D19" s="3">
        <v>-4.8720000000000002E-4</v>
      </c>
      <c r="E19" s="3">
        <v>0</v>
      </c>
      <c r="F19" s="3">
        <v>0</v>
      </c>
      <c r="G19" s="3">
        <v>0</v>
      </c>
      <c r="H19" s="3">
        <v>1.2482676E-4</v>
      </c>
      <c r="I19" s="3">
        <v>2.9233327000000001E-5</v>
      </c>
      <c r="J19" s="3">
        <v>-2.7014770000000001E-4</v>
      </c>
      <c r="K19" s="2"/>
      <c r="L19" s="3"/>
      <c r="M19" s="3"/>
      <c r="N19" s="2">
        <f>IF('Modell einstellen'!$B$1="Voll",H19/0.35,H19/0.35*2)</f>
        <v>3.5664788571428574E-4</v>
      </c>
      <c r="O19" s="2">
        <f>IF('Modell einstellen'!$B$1="Voll",J19/0.35,J19/0.35*2)</f>
        <v>-7.7185057142857148E-4</v>
      </c>
      <c r="P19" s="3">
        <f t="shared" si="0"/>
        <v>0.4620685647147838</v>
      </c>
      <c r="Q19" s="3"/>
      <c r="R19" s="3"/>
      <c r="S19" s="3"/>
      <c r="T19" s="3"/>
      <c r="U19" s="3"/>
    </row>
    <row r="20" spans="1:21" x14ac:dyDescent="0.25">
      <c r="A20" s="3">
        <v>100</v>
      </c>
      <c r="B20" s="3">
        <v>7.4939999999999997E-5</v>
      </c>
      <c r="C20" s="3">
        <v>3.009E-4</v>
      </c>
      <c r="D20" s="3">
        <v>-5.2070000000000003E-4</v>
      </c>
      <c r="E20" s="3">
        <v>0</v>
      </c>
      <c r="F20" s="3">
        <v>0</v>
      </c>
      <c r="G20" s="3">
        <v>0</v>
      </c>
      <c r="H20" s="3">
        <v>1.3821315000000001E-4</v>
      </c>
      <c r="I20" s="3">
        <v>3.3988754000000003E-5</v>
      </c>
      <c r="J20" s="3">
        <v>-3.0033902999999999E-4</v>
      </c>
      <c r="K20" s="2"/>
      <c r="L20" s="3"/>
      <c r="M20" s="3"/>
      <c r="N20" s="2">
        <f>IF('Modell einstellen'!$B$1="Voll",H20/0.35,H20/0.35*2)</f>
        <v>3.9489471428571436E-4</v>
      </c>
      <c r="O20" s="2">
        <f>IF('Modell einstellen'!$B$1="Voll",J20/0.35,J20/0.35*2)</f>
        <v>-8.5811151428571433E-4</v>
      </c>
      <c r="P20" s="3">
        <f t="shared" si="0"/>
        <v>0.460190438785129</v>
      </c>
      <c r="Q20" s="3"/>
      <c r="R20" s="3"/>
      <c r="S20" s="3"/>
      <c r="T20" s="3"/>
      <c r="U20" s="3"/>
    </row>
    <row r="21" spans="1:21" x14ac:dyDescent="0.25">
      <c r="A21" s="3">
        <v>1000</v>
      </c>
      <c r="B21" s="3">
        <v>6.9170000000000004E-5</v>
      </c>
      <c r="C21" s="3">
        <v>3.5070000000000001E-4</v>
      </c>
      <c r="D21" s="3">
        <v>-5.643E-4</v>
      </c>
      <c r="E21" s="3">
        <v>0</v>
      </c>
      <c r="F21" s="3">
        <v>0</v>
      </c>
      <c r="G21" s="3">
        <v>0</v>
      </c>
      <c r="H21" s="3">
        <v>1.5620382E-4</v>
      </c>
      <c r="I21" s="3">
        <v>4.0652043000000001E-5</v>
      </c>
      <c r="J21" s="3">
        <v>-3.4200016999999999E-4</v>
      </c>
      <c r="K21" s="2"/>
      <c r="L21" s="3"/>
      <c r="M21" s="3"/>
      <c r="N21" s="2">
        <f>IF('Modell einstellen'!$B$1="Voll",H21/0.35,H21/0.35*2)</f>
        <v>4.4629662857142857E-4</v>
      </c>
      <c r="O21" s="2">
        <f>IF('Modell einstellen'!$B$1="Voll",J21/0.35,J21/0.35*2)</f>
        <v>-9.7714334285714283E-4</v>
      </c>
      <c r="P21" s="3">
        <f t="shared" si="0"/>
        <v>0.45673608875691496</v>
      </c>
      <c r="Q21" s="3"/>
      <c r="R21" s="3"/>
      <c r="S21" s="3"/>
      <c r="T21" s="3"/>
      <c r="U21" s="3"/>
    </row>
    <row r="22" spans="1:21" x14ac:dyDescent="0.25">
      <c r="A22" s="3">
        <v>10000</v>
      </c>
      <c r="B22" s="3">
        <v>4.21E-5</v>
      </c>
      <c r="C22" s="3">
        <v>4.1340000000000002E-4</v>
      </c>
      <c r="D22" s="3">
        <v>-6.0070000000000002E-4</v>
      </c>
      <c r="E22" s="3">
        <v>0</v>
      </c>
      <c r="F22" s="3">
        <v>0</v>
      </c>
      <c r="G22" s="3">
        <v>0</v>
      </c>
      <c r="H22" s="3">
        <v>1.8312052999999999E-4</v>
      </c>
      <c r="I22" s="3">
        <v>4.9517909E-5</v>
      </c>
      <c r="J22" s="3">
        <v>-4.0077198E-4</v>
      </c>
      <c r="K22" s="2"/>
      <c r="L22" s="3"/>
      <c r="M22" s="3"/>
      <c r="N22" s="2">
        <f>IF('Modell einstellen'!$B$1="Voll",H22/0.35,H22/0.35*2)</f>
        <v>5.2320151428571432E-4</v>
      </c>
      <c r="O22" s="2">
        <f>IF('Modell einstellen'!$B$1="Voll",J22/0.35,J22/0.35*2)</f>
        <v>-1.1450628000000001E-3</v>
      </c>
      <c r="P22" s="3">
        <f t="shared" si="0"/>
        <v>0.45691949322405223</v>
      </c>
      <c r="Q22" s="3"/>
      <c r="R22" s="3"/>
      <c r="S22" s="3"/>
      <c r="T22" s="3"/>
      <c r="U22" s="3"/>
    </row>
    <row r="23" spans="1:21" x14ac:dyDescent="0.25">
      <c r="A23" s="3">
        <v>100000</v>
      </c>
      <c r="B23" s="3">
        <v>-2.936E-5</v>
      </c>
      <c r="C23" s="3">
        <v>4.9620000000000003E-4</v>
      </c>
      <c r="D23" s="3">
        <v>-6.1419999999999997E-4</v>
      </c>
      <c r="E23" s="3">
        <v>0</v>
      </c>
      <c r="F23" s="3">
        <v>0</v>
      </c>
      <c r="G23" s="3">
        <v>0</v>
      </c>
      <c r="H23" s="3">
        <v>2.2558588E-4</v>
      </c>
      <c r="I23" s="3">
        <v>6.2017654000000002E-5</v>
      </c>
      <c r="J23" s="3">
        <v>-4.8855412000000005E-4</v>
      </c>
      <c r="K23" s="2"/>
      <c r="L23" s="3"/>
      <c r="M23" s="3"/>
      <c r="N23" s="2">
        <f>IF('Modell einstellen'!$B$1="Voll",H23/0.35,H23/0.35*2)</f>
        <v>6.4453108571428577E-4</v>
      </c>
      <c r="O23" s="2">
        <f>IF('Modell einstellen'!$B$1="Voll",J23/0.35,J23/0.35*2)</f>
        <v>-1.3958689142857146E-3</v>
      </c>
      <c r="P23" s="3">
        <f t="shared" si="0"/>
        <v>0.46174184346250108</v>
      </c>
      <c r="Q23" s="3"/>
      <c r="R23" s="3"/>
      <c r="S23" s="3"/>
      <c r="T23" s="3"/>
      <c r="U23" s="3"/>
    </row>
    <row r="24" spans="1:21" x14ac:dyDescent="0.25">
      <c r="A24" s="3">
        <v>1000000</v>
      </c>
      <c r="B24" s="3">
        <v>-2.0230000000000001E-4</v>
      </c>
      <c r="C24" s="3">
        <v>6.1910000000000003E-4</v>
      </c>
      <c r="D24" s="3">
        <v>-5.6780000000000003E-4</v>
      </c>
      <c r="E24" s="3">
        <v>0</v>
      </c>
      <c r="F24" s="3">
        <v>0</v>
      </c>
      <c r="G24" s="3">
        <v>0</v>
      </c>
      <c r="H24" s="3">
        <v>2.9955447000000002E-4</v>
      </c>
      <c r="I24" s="3">
        <v>8.1973131999999997E-5</v>
      </c>
      <c r="J24" s="3">
        <v>-6.3519743000000001E-4</v>
      </c>
      <c r="K24" s="2"/>
      <c r="L24" s="3"/>
      <c r="M24" s="3"/>
      <c r="N24" s="2">
        <f>IF('Modell einstellen'!$B$1="Voll",H24/0.35,H24/0.35*2)</f>
        <v>8.558699142857144E-4</v>
      </c>
      <c r="O24" s="2">
        <f>IF('Modell einstellen'!$B$1="Voll",J24/0.35,J24/0.35*2)</f>
        <v>-1.8148498000000002E-3</v>
      </c>
      <c r="P24" s="3">
        <f t="shared" si="0"/>
        <v>0.47159269835206985</v>
      </c>
      <c r="Q24" s="3"/>
      <c r="R24" s="3"/>
      <c r="S24" s="3"/>
      <c r="T24" s="3"/>
      <c r="U24" s="3"/>
    </row>
    <row r="25" spans="1:21" x14ac:dyDescent="0.25">
      <c r="A25" s="3">
        <v>10000000</v>
      </c>
      <c r="B25" s="3">
        <v>-5.4169999999999999E-4</v>
      </c>
      <c r="C25" s="3">
        <v>7.917E-4</v>
      </c>
      <c r="D25" s="3">
        <v>-4.0460000000000002E-4</v>
      </c>
      <c r="E25" s="3">
        <v>0</v>
      </c>
      <c r="F25" s="3">
        <v>0</v>
      </c>
      <c r="G25" s="3">
        <v>0</v>
      </c>
      <c r="H25" s="3">
        <v>4.1729041E-4</v>
      </c>
      <c r="I25" s="3">
        <v>1.1202855E-4</v>
      </c>
      <c r="J25" s="3">
        <v>-8.6246282000000001E-4</v>
      </c>
      <c r="K25" s="2"/>
      <c r="L25" s="3"/>
      <c r="M25" s="3"/>
      <c r="N25" s="2">
        <f>IF('Modell einstellen'!$B$1="Voll",H25/0.35,H25/0.35*2)</f>
        <v>1.1922583142857143E-3</v>
      </c>
      <c r="O25" s="2">
        <f>IF('Modell einstellen'!$B$1="Voll",J25/0.35,J25/0.35*2)</f>
        <v>-2.464179485714286E-3</v>
      </c>
      <c r="P25" s="3">
        <f t="shared" si="0"/>
        <v>0.48383582494605387</v>
      </c>
      <c r="Q25" s="3"/>
      <c r="R25" s="3"/>
      <c r="S25" s="3"/>
      <c r="T25" s="3"/>
      <c r="U25" s="3"/>
    </row>
    <row r="26" spans="1:21" x14ac:dyDescent="0.25">
      <c r="A26" s="3">
        <v>100000000</v>
      </c>
      <c r="B26" s="3">
        <v>-1.1000000000000001E-3</v>
      </c>
      <c r="C26" s="3">
        <v>1.021E-3</v>
      </c>
      <c r="D26" s="3">
        <v>-7.8880000000000004E-5</v>
      </c>
      <c r="E26" s="3">
        <v>0</v>
      </c>
      <c r="F26" s="3">
        <v>0</v>
      </c>
      <c r="G26" s="3">
        <v>0</v>
      </c>
      <c r="H26" s="3">
        <v>5.9018472000000005E-4</v>
      </c>
      <c r="I26" s="3">
        <v>1.5413235999999999E-4</v>
      </c>
      <c r="J26" s="3">
        <v>-1.1886105000000001E-3</v>
      </c>
      <c r="K26" s="2"/>
      <c r="L26" s="3"/>
      <c r="M26" s="3"/>
      <c r="N26" s="2">
        <f>IF('Modell einstellen'!$B$1="Voll",H26/0.35,H26/0.35*2)</f>
        <v>1.6862420571428574E-3</v>
      </c>
      <c r="O26" s="2">
        <f>IF('Modell einstellen'!$B$1="Voll",J26/0.35,J26/0.35*2)</f>
        <v>-3.3960300000000004E-3</v>
      </c>
      <c r="P26" s="3">
        <f t="shared" si="0"/>
        <v>0.49653332189140181</v>
      </c>
      <c r="Q26" s="3"/>
      <c r="R26" s="3"/>
      <c r="S26" s="3"/>
      <c r="T26" s="3"/>
      <c r="U26" s="3"/>
    </row>
    <row r="27" spans="1:21" x14ac:dyDescent="0.25">
      <c r="A27" s="3">
        <v>1000000000</v>
      </c>
      <c r="B27" s="3">
        <v>-1.7409999999999999E-3</v>
      </c>
      <c r="C27" s="3">
        <v>1.2570000000000001E-3</v>
      </c>
      <c r="D27" s="3">
        <v>3.2459999999999998E-4</v>
      </c>
      <c r="E27" s="3">
        <v>0</v>
      </c>
      <c r="F27" s="3">
        <v>0</v>
      </c>
      <c r="G27" s="3">
        <v>0</v>
      </c>
      <c r="H27" s="3">
        <v>7.7781422999999999E-4</v>
      </c>
      <c r="I27" s="3">
        <v>1.9904581000000001E-4</v>
      </c>
      <c r="J27" s="3">
        <v>-1.5393167E-3</v>
      </c>
      <c r="K27" s="2"/>
      <c r="L27" s="3"/>
      <c r="M27" s="3"/>
      <c r="N27" s="2">
        <f>IF('Modell einstellen'!$B$1="Voll",H27/0.35,H27/0.35*2)</f>
        <v>2.2223263714285717E-3</v>
      </c>
      <c r="O27" s="2">
        <f>IF('Modell einstellen'!$B$1="Voll",J27/0.35,J27/0.35*2)</f>
        <v>-4.3980477142857143E-3</v>
      </c>
      <c r="P27" s="3">
        <f t="shared" si="0"/>
        <v>0.50529837687072454</v>
      </c>
      <c r="Q27" s="3"/>
      <c r="R27" s="3"/>
      <c r="S27" s="3"/>
      <c r="T27" s="3"/>
      <c r="U27" s="3"/>
    </row>
    <row r="28" spans="1:21" x14ac:dyDescent="0.25">
      <c r="A28" s="3">
        <v>10000000000</v>
      </c>
      <c r="B28" s="3">
        <v>-2.2829999999999999E-3</v>
      </c>
      <c r="C28" s="3">
        <v>1.451E-3</v>
      </c>
      <c r="D28" s="3">
        <v>6.7239999999999997E-4</v>
      </c>
      <c r="E28" s="3">
        <v>0</v>
      </c>
      <c r="F28" s="3">
        <v>0</v>
      </c>
      <c r="G28" s="3">
        <v>0</v>
      </c>
      <c r="H28" s="3">
        <v>9.3310276999999996E-4</v>
      </c>
      <c r="I28" s="3">
        <v>2.3650464999999999E-4</v>
      </c>
      <c r="J28" s="3">
        <v>-1.8302612E-3</v>
      </c>
      <c r="K28" s="2"/>
      <c r="L28" s="3"/>
      <c r="M28" s="3"/>
      <c r="N28" s="2">
        <f>IF('Modell einstellen'!$B$1="Voll",H28/0.35,H28/0.35*2)</f>
        <v>2.6660079142857142E-3</v>
      </c>
      <c r="O28" s="2">
        <f>IF('Modell einstellen'!$B$1="Voll",J28/0.35,J28/0.35*2)</f>
        <v>-5.2293177142857146E-3</v>
      </c>
      <c r="P28" s="3">
        <f t="shared" si="0"/>
        <v>0.50981945637048953</v>
      </c>
      <c r="Q28" s="3"/>
      <c r="R28" s="3"/>
      <c r="S28" s="3"/>
      <c r="T28" s="3"/>
      <c r="U28" s="3"/>
    </row>
    <row r="29" spans="1:21" x14ac:dyDescent="0.25">
      <c r="A29" s="3">
        <v>100000000000</v>
      </c>
      <c r="B29" s="3">
        <v>-2.6090000000000002E-3</v>
      </c>
      <c r="C29" s="3">
        <v>1.57E-3</v>
      </c>
      <c r="D29" s="3">
        <v>8.7870000000000005E-4</v>
      </c>
      <c r="E29" s="3">
        <v>0</v>
      </c>
      <c r="F29" s="3">
        <v>0</v>
      </c>
      <c r="G29" s="3">
        <v>0</v>
      </c>
      <c r="H29" s="3">
        <v>1.0253949999999999E-3</v>
      </c>
      <c r="I29" s="3">
        <v>2.5965207999999998E-4</v>
      </c>
      <c r="J29" s="3">
        <v>-2.0062254000000001E-3</v>
      </c>
      <c r="K29" s="2"/>
      <c r="L29" s="3"/>
      <c r="M29" s="3"/>
      <c r="N29" s="2">
        <f>IF('Modell einstellen'!$B$1="Voll",H29/0.35,H29/0.35*2)</f>
        <v>2.9296999999999999E-3</v>
      </c>
      <c r="O29" s="2">
        <f>IF('Modell einstellen'!$B$1="Voll",J29/0.35,J29/0.35*2)</f>
        <v>-5.7320725714285724E-3</v>
      </c>
      <c r="P29" s="3">
        <f t="shared" si="0"/>
        <v>0.51110657855293817</v>
      </c>
      <c r="Q29" s="3"/>
      <c r="R29" s="3"/>
      <c r="S29" s="3"/>
      <c r="T29" s="3"/>
      <c r="U29" s="3"/>
    </row>
    <row r="30" spans="1:21" x14ac:dyDescent="0.25">
      <c r="A30" s="3">
        <v>1000000000000</v>
      </c>
      <c r="B30" s="3">
        <v>-2.8419999999999999E-3</v>
      </c>
      <c r="C30" s="3">
        <v>1.655E-3</v>
      </c>
      <c r="D30" s="3">
        <v>1.0269999999999999E-3</v>
      </c>
      <c r="E30" s="3">
        <v>0</v>
      </c>
      <c r="F30" s="3">
        <v>0</v>
      </c>
      <c r="G30" s="3">
        <v>0</v>
      </c>
      <c r="H30" s="3">
        <v>1.0922391000000001E-3</v>
      </c>
      <c r="I30" s="3">
        <v>2.7630212999999999E-4</v>
      </c>
      <c r="J30" s="3">
        <v>-2.1331814000000002E-3</v>
      </c>
      <c r="K30" s="2"/>
      <c r="L30" s="3"/>
      <c r="M30" s="3"/>
      <c r="N30" s="2">
        <f>IF('Modell einstellen'!$B$1="Voll",H30/0.35,H30/0.35*2)</f>
        <v>3.1206831428571432E-3</v>
      </c>
      <c r="O30" s="2">
        <f>IF('Modell einstellen'!$B$1="Voll",J30/0.35,J30/0.35*2)</f>
        <v>-6.0948040000000005E-3</v>
      </c>
      <c r="P30" s="3">
        <f t="shared" si="0"/>
        <v>0.51202354380176018</v>
      </c>
      <c r="Q30" s="3"/>
      <c r="R30" s="3"/>
      <c r="S30" s="3"/>
      <c r="T30" s="3"/>
      <c r="U30" s="3"/>
    </row>
    <row r="31" spans="1:21" x14ac:dyDescent="0.25">
      <c r="A31" s="3">
        <v>10000000000000</v>
      </c>
      <c r="B31" s="3">
        <v>-2.9940000000000001E-3</v>
      </c>
      <c r="C31" s="3">
        <v>1.7049999999999999E-3</v>
      </c>
      <c r="D31" s="3">
        <v>1.129E-3</v>
      </c>
      <c r="E31" s="3">
        <v>0</v>
      </c>
      <c r="F31" s="3">
        <v>0</v>
      </c>
      <c r="G31" s="3">
        <v>0</v>
      </c>
      <c r="H31" s="3">
        <v>1.1345432999999999E-3</v>
      </c>
      <c r="I31" s="3">
        <v>2.8622423999999998E-4</v>
      </c>
      <c r="J31" s="3">
        <v>-2.2112479999999999E-3</v>
      </c>
      <c r="K31" s="2"/>
      <c r="L31" s="3"/>
      <c r="M31" s="3"/>
      <c r="N31" s="2">
        <f>IF('Modell einstellen'!$B$1="Voll",H31/0.35,H31/0.35*2)</f>
        <v>3.2415522857142855E-3</v>
      </c>
      <c r="O31" s="2">
        <f>IF('Modell einstellen'!$B$1="Voll",J31/0.35,J31/0.35*2)</f>
        <v>-6.3178514285714285E-3</v>
      </c>
      <c r="P31" s="3">
        <f t="shared" si="0"/>
        <v>0.51307827073218382</v>
      </c>
      <c r="Q31" s="3"/>
      <c r="R31" s="3"/>
      <c r="S31" s="3"/>
      <c r="T31" s="3"/>
      <c r="U31" s="3"/>
    </row>
    <row r="32" spans="1:21" x14ac:dyDescent="0.25">
      <c r="A32" s="3">
        <v>100000000000000</v>
      </c>
      <c r="B32" s="3">
        <v>-3.0720000000000001E-3</v>
      </c>
      <c r="C32" s="3">
        <v>1.7359999999999999E-3</v>
      </c>
      <c r="D32" s="3">
        <v>1.175E-3</v>
      </c>
      <c r="E32" s="3">
        <v>0</v>
      </c>
      <c r="F32" s="3">
        <v>0</v>
      </c>
      <c r="G32" s="3">
        <v>0</v>
      </c>
      <c r="H32" s="3">
        <v>1.1561500000000001E-3</v>
      </c>
      <c r="I32" s="3">
        <v>2.9236090000000001E-4</v>
      </c>
      <c r="J32" s="3">
        <v>-2.2549974E-3</v>
      </c>
      <c r="K32" s="2"/>
      <c r="L32" s="3"/>
      <c r="M32" s="3"/>
      <c r="N32" s="2">
        <f>IF('Modell einstellen'!$B$1="Voll",H32/0.35,H32/0.35*2)</f>
        <v>3.3032857142857148E-3</v>
      </c>
      <c r="O32" s="2">
        <f>IF('Modell einstellen'!$B$1="Voll",J32/0.35,J32/0.35*2)</f>
        <v>-6.4428497142857144E-3</v>
      </c>
      <c r="P32" s="3">
        <f t="shared" si="0"/>
        <v>0.51270569092452178</v>
      </c>
      <c r="Q32" s="3"/>
      <c r="R32" s="3"/>
      <c r="S32" s="3"/>
      <c r="T32" s="3"/>
      <c r="U32" s="3"/>
    </row>
    <row r="33" spans="1:21" x14ac:dyDescent="0.25">
      <c r="A33" s="2">
        <v>1000000000000000</v>
      </c>
      <c r="B33" s="3">
        <v>-3.2750000000000001E-3</v>
      </c>
      <c r="C33" s="3">
        <v>1.807E-3</v>
      </c>
      <c r="D33" s="3">
        <v>1.307E-3</v>
      </c>
      <c r="E33" s="3">
        <v>0</v>
      </c>
      <c r="F33" s="3">
        <v>0</v>
      </c>
      <c r="G33" s="3">
        <v>0</v>
      </c>
      <c r="H33" s="3">
        <v>1.215994E-3</v>
      </c>
      <c r="I33" s="3">
        <v>3.062559E-4</v>
      </c>
      <c r="J33" s="3">
        <v>-2.3649074E-3</v>
      </c>
      <c r="K33" s="2"/>
      <c r="L33" s="3"/>
      <c r="M33" s="3"/>
      <c r="N33" s="2">
        <f>IF('Modell einstellen'!$B$1="Voll",H33/0.35,H33/0.35*2)</f>
        <v>3.4742685714285715E-3</v>
      </c>
      <c r="O33" s="2">
        <f>IF('Modell einstellen'!$B$1="Voll",J33/0.35,J33/0.35*2)</f>
        <v>-6.7568782857142864E-3</v>
      </c>
      <c r="P33" s="3">
        <f t="shared" si="0"/>
        <v>0.51418250033806812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1.061E-4</v>
      </c>
      <c r="C3" s="3">
        <v>1.4569999999999999E-4</v>
      </c>
      <c r="D3" s="3">
        <v>-3.812E-4</v>
      </c>
      <c r="E3" s="3">
        <v>0</v>
      </c>
      <c r="F3" s="3">
        <v>0</v>
      </c>
      <c r="G3" s="3">
        <v>0</v>
      </c>
      <c r="H3" s="3">
        <v>5.6118625999999999E-5</v>
      </c>
      <c r="I3" s="3">
        <v>1.4776821E-5</v>
      </c>
      <c r="J3" s="3">
        <v>-1.4734892000000001E-4</v>
      </c>
      <c r="L3" s="3">
        <f>-B3/D3</f>
        <v>0.27833158447009443</v>
      </c>
      <c r="M3" s="3"/>
      <c r="N3" s="2">
        <f>IF('Modell einstellen'!$B$1="Voll",H3/0.35,H3/0.35*2)</f>
        <v>1.6033893142857145E-4</v>
      </c>
      <c r="O3" s="2">
        <f>IF('Modell einstellen'!$B$1="Voll",J3/0.35,J3/0.35*2)</f>
        <v>-4.2099691428571434E-4</v>
      </c>
      <c r="P3" s="3">
        <f>-N3/O3</f>
        <v>0.38085536018859178</v>
      </c>
    </row>
    <row r="4" spans="1:16" x14ac:dyDescent="0.25">
      <c r="A4" s="3">
        <v>1E-14</v>
      </c>
      <c r="B4" s="3">
        <v>1.077E-4</v>
      </c>
      <c r="C4" s="3">
        <v>1.5200000000000001E-4</v>
      </c>
      <c r="D4" s="3">
        <v>-3.8999999999999999E-4</v>
      </c>
      <c r="E4" s="3">
        <v>0</v>
      </c>
      <c r="F4" s="3">
        <v>0</v>
      </c>
      <c r="G4" s="3">
        <v>0</v>
      </c>
      <c r="H4" s="3">
        <v>5.9024919000000003E-5</v>
      </c>
      <c r="I4" s="3">
        <v>1.5472959E-5</v>
      </c>
      <c r="J4" s="3">
        <v>-1.5287760000000001E-4</v>
      </c>
      <c r="L4" s="3">
        <f t="shared" ref="L4:L33" si="0">-B4/D4</f>
        <v>0.27615384615384614</v>
      </c>
      <c r="M4" s="3"/>
      <c r="N4" s="2">
        <f>IF('Modell einstellen'!$B$1="Voll",H4/0.35,H4/0.35*2)</f>
        <v>1.6864262571428574E-4</v>
      </c>
      <c r="O4" s="2">
        <f>IF('Modell einstellen'!$B$1="Voll",J4/0.35,J4/0.35*2)</f>
        <v>-4.3679314285714293E-4</v>
      </c>
      <c r="P4" s="3">
        <f t="shared" ref="P4:P33" si="1">-N4/O4</f>
        <v>0.38609265844047785</v>
      </c>
    </row>
    <row r="5" spans="1:16" x14ac:dyDescent="0.25">
      <c r="A5" s="3">
        <v>1E-13</v>
      </c>
      <c r="B5" s="3">
        <v>1.089E-4</v>
      </c>
      <c r="C5" s="3">
        <v>1.5770000000000001E-4</v>
      </c>
      <c r="D5" s="3">
        <v>-3.9770000000000002E-4</v>
      </c>
      <c r="E5" s="3">
        <v>0</v>
      </c>
      <c r="F5" s="3">
        <v>0</v>
      </c>
      <c r="G5" s="3">
        <v>0</v>
      </c>
      <c r="H5" s="3">
        <v>6.1755568999999997E-5</v>
      </c>
      <c r="I5" s="3">
        <v>1.6116E-5</v>
      </c>
      <c r="J5" s="3">
        <v>-1.5803424E-4</v>
      </c>
      <c r="L5" s="3">
        <f t="shared" si="0"/>
        <v>0.27382449082222782</v>
      </c>
      <c r="M5" s="3"/>
      <c r="N5" s="2">
        <f>IF('Modell einstellen'!$B$1="Voll",H5/0.35,H5/0.35*2)</f>
        <v>1.7644448285714285E-4</v>
      </c>
      <c r="O5" s="2">
        <f>IF('Modell einstellen'!$B$1="Voll",J5/0.35,J5/0.35*2)</f>
        <v>-4.5152640000000003E-4</v>
      </c>
      <c r="P5" s="3">
        <f t="shared" si="1"/>
        <v>0.39077334759859633</v>
      </c>
    </row>
    <row r="6" spans="1:16" x14ac:dyDescent="0.25">
      <c r="A6" s="3">
        <v>9.9999999999999998E-13</v>
      </c>
      <c r="B6" s="3">
        <v>1.097E-4</v>
      </c>
      <c r="C6" s="3">
        <v>1.6320000000000001E-4</v>
      </c>
      <c r="D6" s="3">
        <v>-4.0489999999999998E-4</v>
      </c>
      <c r="E6" s="3">
        <v>0</v>
      </c>
      <c r="F6" s="3">
        <v>0</v>
      </c>
      <c r="G6" s="3">
        <v>0</v>
      </c>
      <c r="H6" s="3">
        <v>6.4419568000000001E-5</v>
      </c>
      <c r="I6" s="3">
        <v>1.6733576999999999E-5</v>
      </c>
      <c r="J6" s="3">
        <v>-1.6302695000000001E-4</v>
      </c>
      <c r="L6" s="3">
        <f t="shared" si="0"/>
        <v>0.27093109409730798</v>
      </c>
      <c r="M6" s="3"/>
      <c r="N6" s="2">
        <f>IF('Modell einstellen'!$B$1="Voll",H6/0.35,H6/0.35*2)</f>
        <v>1.840559085714286E-4</v>
      </c>
      <c r="O6" s="2">
        <f>IF('Modell einstellen'!$B$1="Voll",J6/0.35,J6/0.35*2)</f>
        <v>-4.6579128571428574E-4</v>
      </c>
      <c r="P6" s="3">
        <f t="shared" si="1"/>
        <v>0.39514674107563202</v>
      </c>
    </row>
    <row r="7" spans="1:16" x14ac:dyDescent="0.25">
      <c r="A7" s="3">
        <v>9.9999999999999994E-12</v>
      </c>
      <c r="B7" s="3">
        <v>1.104E-4</v>
      </c>
      <c r="C7" s="3">
        <v>1.696E-4</v>
      </c>
      <c r="D7" s="3">
        <v>-4.1300000000000001E-4</v>
      </c>
      <c r="E7" s="3">
        <v>0</v>
      </c>
      <c r="F7" s="3">
        <v>0</v>
      </c>
      <c r="G7" s="3">
        <v>0</v>
      </c>
      <c r="H7" s="3">
        <v>6.7669161999999995E-5</v>
      </c>
      <c r="I7" s="3">
        <v>1.7474541999999998E-5</v>
      </c>
      <c r="J7" s="3">
        <v>-1.6906968000000001E-4</v>
      </c>
      <c r="L7" s="3">
        <f t="shared" si="0"/>
        <v>0.26731234866828085</v>
      </c>
      <c r="M7" s="3"/>
      <c r="N7" s="2">
        <f>IF('Modell einstellen'!$B$1="Voll",H7/0.35,H7/0.35*2)</f>
        <v>1.9334046285714285E-4</v>
      </c>
      <c r="O7" s="2">
        <f>IF('Modell einstellen'!$B$1="Voll",J7/0.35,J7/0.35*2)</f>
        <v>-4.8305622857142865E-4</v>
      </c>
      <c r="P7" s="3">
        <f t="shared" si="1"/>
        <v>0.40024421883332356</v>
      </c>
    </row>
    <row r="8" spans="1:16" x14ac:dyDescent="0.25">
      <c r="A8" s="3">
        <v>1E-10</v>
      </c>
      <c r="B8" s="3">
        <v>1.1069999999999999E-4</v>
      </c>
      <c r="C8" s="3">
        <v>1.7780000000000001E-4</v>
      </c>
      <c r="D8" s="3">
        <v>-4.2279999999999998E-4</v>
      </c>
      <c r="E8" s="3">
        <v>0</v>
      </c>
      <c r="F8" s="3">
        <v>0</v>
      </c>
      <c r="G8" s="3">
        <v>0</v>
      </c>
      <c r="H8" s="3">
        <v>7.1940580000000006E-5</v>
      </c>
      <c r="I8" s="3">
        <v>1.8427477999999999E-5</v>
      </c>
      <c r="J8" s="3">
        <v>-1.7693202999999999E-4</v>
      </c>
      <c r="L8" s="3">
        <f t="shared" si="0"/>
        <v>0.26182592242194891</v>
      </c>
      <c r="M8" s="3"/>
      <c r="N8" s="2">
        <f>IF('Modell einstellen'!$B$1="Voll",H8/0.35,H8/0.35*2)</f>
        <v>2.0554451428571433E-4</v>
      </c>
      <c r="O8" s="2">
        <f>IF('Modell einstellen'!$B$1="Voll",J8/0.35,J8/0.35*2)</f>
        <v>-5.0552008571428568E-4</v>
      </c>
      <c r="P8" s="3">
        <f t="shared" si="1"/>
        <v>0.40660009383264306</v>
      </c>
    </row>
    <row r="9" spans="1:16" x14ac:dyDescent="0.25">
      <c r="A9" s="3">
        <v>1.0000000000000001E-9</v>
      </c>
      <c r="B9" s="3">
        <v>1.102E-4</v>
      </c>
      <c r="C9" s="3">
        <v>1.8709999999999999E-4</v>
      </c>
      <c r="D9" s="3">
        <v>-4.3300000000000001E-4</v>
      </c>
      <c r="E9" s="3">
        <v>0</v>
      </c>
      <c r="F9" s="3">
        <v>0</v>
      </c>
      <c r="G9" s="3">
        <v>0</v>
      </c>
      <c r="H9" s="3">
        <v>7.6966114999999996E-5</v>
      </c>
      <c r="I9" s="3">
        <v>1.9517568E-5</v>
      </c>
      <c r="J9" s="3">
        <v>-1.8606385999999999E-4</v>
      </c>
      <c r="L9" s="3">
        <f t="shared" si="0"/>
        <v>0.25450346420323322</v>
      </c>
      <c r="M9" s="3"/>
      <c r="N9" s="2">
        <f>IF('Modell einstellen'!$B$1="Voll",H9/0.35,H9/0.35*2)</f>
        <v>2.1990318571428572E-4</v>
      </c>
      <c r="O9" s="2">
        <f>IF('Modell einstellen'!$B$1="Voll",J9/0.35,J9/0.35*2)</f>
        <v>-5.3161102857142862E-4</v>
      </c>
      <c r="P9" s="3">
        <f t="shared" si="1"/>
        <v>0.41365429589604341</v>
      </c>
    </row>
    <row r="10" spans="1:16" x14ac:dyDescent="0.25">
      <c r="A10" s="3">
        <v>1E-8</v>
      </c>
      <c r="B10" s="3">
        <v>1.0900000000000001E-4</v>
      </c>
      <c r="C10" s="3">
        <v>1.9570000000000001E-4</v>
      </c>
      <c r="D10" s="3">
        <v>-4.416E-4</v>
      </c>
      <c r="E10" s="3">
        <v>0</v>
      </c>
      <c r="F10" s="3">
        <v>0</v>
      </c>
      <c r="G10" s="3">
        <v>0</v>
      </c>
      <c r="H10" s="3">
        <v>8.1849819000000002E-5</v>
      </c>
      <c r="I10" s="3">
        <v>2.0544299999999999E-5</v>
      </c>
      <c r="J10" s="3">
        <v>-1.9481410999999999E-4</v>
      </c>
      <c r="L10" s="3">
        <f t="shared" si="0"/>
        <v>0.24682971014492755</v>
      </c>
      <c r="M10" s="3"/>
      <c r="N10" s="2">
        <f>IF('Modell einstellen'!$B$1="Voll",H10/0.35,H10/0.35*2)</f>
        <v>2.3385662571428573E-4</v>
      </c>
      <c r="O10" s="2">
        <f>IF('Modell einstellen'!$B$1="Voll",J10/0.35,J10/0.35*2)</f>
        <v>-5.5661174285714281E-4</v>
      </c>
      <c r="P10" s="3">
        <f t="shared" si="1"/>
        <v>0.42014317648757582</v>
      </c>
    </row>
    <row r="11" spans="1:16" x14ac:dyDescent="0.25">
      <c r="A11" s="3">
        <v>9.9999999999999995E-8</v>
      </c>
      <c r="B11" s="3">
        <v>1.071E-4</v>
      </c>
      <c r="C11" s="3">
        <v>2.0350000000000001E-4</v>
      </c>
      <c r="D11" s="3">
        <v>-4.4870000000000001E-4</v>
      </c>
      <c r="E11" s="3">
        <v>0</v>
      </c>
      <c r="F11" s="3">
        <v>0</v>
      </c>
      <c r="G11" s="3">
        <v>0</v>
      </c>
      <c r="H11" s="3">
        <v>8.6466450999999995E-5</v>
      </c>
      <c r="I11" s="3">
        <v>2.1488459000000001E-5</v>
      </c>
      <c r="J11" s="3">
        <v>-2.02986E-4</v>
      </c>
      <c r="L11" s="3">
        <f t="shared" si="0"/>
        <v>0.23868954758190328</v>
      </c>
      <c r="M11" s="3"/>
      <c r="N11" s="2">
        <f>IF('Modell einstellen'!$B$1="Voll",H11/0.35,H11/0.35*2)</f>
        <v>2.4704700285714288E-4</v>
      </c>
      <c r="O11" s="2">
        <f>IF('Modell einstellen'!$B$1="Voll",J11/0.35,J11/0.35*2)</f>
        <v>-5.7996000000000002E-4</v>
      </c>
      <c r="P11" s="3">
        <f t="shared" si="1"/>
        <v>0.42597248578719715</v>
      </c>
    </row>
    <row r="12" spans="1:16" x14ac:dyDescent="0.25">
      <c r="A12" s="3">
        <v>9.9999999999999995E-7</v>
      </c>
      <c r="B12" s="3">
        <v>1.044E-4</v>
      </c>
      <c r="C12" s="3">
        <v>2.118E-4</v>
      </c>
      <c r="D12" s="3">
        <v>-4.5560000000000002E-4</v>
      </c>
      <c r="E12" s="3">
        <v>0</v>
      </c>
      <c r="F12" s="3">
        <v>0</v>
      </c>
      <c r="G12" s="3">
        <v>0</v>
      </c>
      <c r="H12" s="3">
        <v>9.1596968000000003E-5</v>
      </c>
      <c r="I12" s="3">
        <v>2.2507358999999999E-5</v>
      </c>
      <c r="J12" s="3">
        <v>-2.119534E-4</v>
      </c>
      <c r="L12" s="3">
        <f t="shared" si="0"/>
        <v>0.22914837576821773</v>
      </c>
      <c r="M12" s="3"/>
      <c r="N12" s="2">
        <f>IF('Modell einstellen'!$B$1="Voll",H12/0.35,H12/0.35*2)</f>
        <v>2.6170562285714286E-4</v>
      </c>
      <c r="O12" s="2">
        <f>IF('Modell einstellen'!$B$1="Voll",J12/0.35,J12/0.35*2)</f>
        <v>-6.0558114285714289E-4</v>
      </c>
      <c r="P12" s="3">
        <f t="shared" si="1"/>
        <v>0.43215616262820034</v>
      </c>
    </row>
    <row r="13" spans="1:16" x14ac:dyDescent="0.25">
      <c r="A13" s="3">
        <v>1.0000000000000001E-5</v>
      </c>
      <c r="B13" s="3">
        <v>1.0060000000000001E-4</v>
      </c>
      <c r="C13" s="3">
        <v>2.206E-4</v>
      </c>
      <c r="D13" s="3">
        <v>-4.618E-4</v>
      </c>
      <c r="E13" s="3">
        <v>0</v>
      </c>
      <c r="F13" s="3">
        <v>0</v>
      </c>
      <c r="G13" s="3">
        <v>0</v>
      </c>
      <c r="H13" s="3">
        <v>9.7244852000000003E-5</v>
      </c>
      <c r="I13" s="3">
        <v>2.3593635E-5</v>
      </c>
      <c r="J13" s="3">
        <v>-2.2169188E-4</v>
      </c>
      <c r="L13" s="3">
        <f t="shared" si="0"/>
        <v>0.21784322217410135</v>
      </c>
      <c r="M13" s="3"/>
      <c r="N13" s="2">
        <f>IF('Modell einstellen'!$B$1="Voll",H13/0.35,H13/0.35*2)</f>
        <v>2.7784243428571431E-4</v>
      </c>
      <c r="O13" s="2">
        <f>IF('Modell einstellen'!$B$1="Voll",J13/0.35,J13/0.35*2)</f>
        <v>-6.3340537142857146E-4</v>
      </c>
      <c r="P13" s="3">
        <f t="shared" si="1"/>
        <v>0.43864868663660572</v>
      </c>
    </row>
    <row r="14" spans="1:16" x14ac:dyDescent="0.25">
      <c r="A14" s="3">
        <v>1E-4</v>
      </c>
      <c r="B14" s="3">
        <v>9.5539999999999997E-5</v>
      </c>
      <c r="C14" s="3">
        <v>2.297E-4</v>
      </c>
      <c r="D14" s="3">
        <v>-4.6729999999999997E-4</v>
      </c>
      <c r="E14" s="3">
        <v>0</v>
      </c>
      <c r="F14" s="3">
        <v>0</v>
      </c>
      <c r="G14" s="3">
        <v>0</v>
      </c>
      <c r="H14" s="3">
        <v>1.0350210999999999E-4</v>
      </c>
      <c r="I14" s="3">
        <v>2.4753168000000001E-5</v>
      </c>
      <c r="J14" s="3">
        <v>-2.3231578999999999E-4</v>
      </c>
      <c r="L14" s="3">
        <f t="shared" si="0"/>
        <v>0.20445110207575434</v>
      </c>
      <c r="M14" s="3"/>
      <c r="N14" s="2">
        <f>IF('Modell einstellen'!$B$1="Voll",H14/0.35,H14/0.35*2)</f>
        <v>2.9572031428571428E-4</v>
      </c>
      <c r="O14" s="2">
        <f>IF('Modell einstellen'!$B$1="Voll",J14/0.35,J14/0.35*2)</f>
        <v>-6.6375940000000001E-4</v>
      </c>
      <c r="P14" s="3">
        <f t="shared" si="1"/>
        <v>0.44552335422400691</v>
      </c>
    </row>
    <row r="15" spans="1:16" x14ac:dyDescent="0.25">
      <c r="A15" s="3">
        <v>1E-3</v>
      </c>
      <c r="B15" s="3">
        <v>8.8590000000000004E-5</v>
      </c>
      <c r="C15" s="3">
        <v>2.399E-4</v>
      </c>
      <c r="D15" s="3">
        <v>-4.7199999999999998E-4</v>
      </c>
      <c r="E15" s="3">
        <v>0</v>
      </c>
      <c r="F15" s="3">
        <v>0</v>
      </c>
      <c r="G15" s="3">
        <v>0</v>
      </c>
      <c r="H15" s="3">
        <v>1.108326E-4</v>
      </c>
      <c r="I15" s="3">
        <v>2.6061202999999999E-5</v>
      </c>
      <c r="J15" s="3">
        <v>-2.4457222999999998E-4</v>
      </c>
      <c r="L15" s="3">
        <f t="shared" si="0"/>
        <v>0.1876906779661017</v>
      </c>
      <c r="M15" s="3"/>
      <c r="N15" s="2">
        <f>IF('Modell einstellen'!$B$1="Voll",H15/0.35,H15/0.35*2)</f>
        <v>3.1666457142857143E-4</v>
      </c>
      <c r="O15" s="2">
        <f>IF('Modell einstellen'!$B$1="Voll",J15/0.35,J15/0.35*2)</f>
        <v>-6.9877779999999998E-4</v>
      </c>
      <c r="P15" s="3">
        <f t="shared" si="1"/>
        <v>0.4531691925939425</v>
      </c>
    </row>
    <row r="16" spans="1:16" x14ac:dyDescent="0.25">
      <c r="A16" s="3">
        <v>0.01</v>
      </c>
      <c r="B16" s="3">
        <v>7.7550000000000001E-5</v>
      </c>
      <c r="C16" s="3">
        <v>2.5290000000000002E-4</v>
      </c>
      <c r="D16" s="3">
        <v>-4.7580000000000002E-4</v>
      </c>
      <c r="E16" s="3">
        <v>0</v>
      </c>
      <c r="F16" s="3">
        <v>0</v>
      </c>
      <c r="G16" s="3">
        <v>0</v>
      </c>
      <c r="H16" s="3">
        <v>1.2081008E-4</v>
      </c>
      <c r="I16" s="3">
        <v>2.7762136000000002E-5</v>
      </c>
      <c r="J16" s="3">
        <v>-2.6095114000000003E-4</v>
      </c>
      <c r="L16" s="3">
        <f t="shared" si="0"/>
        <v>0.16298865069356872</v>
      </c>
      <c r="M16" s="3"/>
      <c r="N16" s="2">
        <f>IF('Modell einstellen'!$B$1="Voll",H16/0.35,H16/0.35*2)</f>
        <v>3.4517165714285713E-4</v>
      </c>
      <c r="O16" s="2">
        <f>IF('Modell einstellen'!$B$1="Voll",J16/0.35,J16/0.35*2)</f>
        <v>-7.4557468571428585E-4</v>
      </c>
      <c r="P16" s="3">
        <f t="shared" si="1"/>
        <v>0.46296053736343123</v>
      </c>
    </row>
    <row r="17" spans="1:16" x14ac:dyDescent="0.25">
      <c r="A17" s="3">
        <v>0.1</v>
      </c>
      <c r="B17" s="3">
        <v>6.2310000000000005E-5</v>
      </c>
      <c r="C17" s="3">
        <v>2.6879999999999997E-4</v>
      </c>
      <c r="D17" s="3">
        <v>-4.7849999999999998E-4</v>
      </c>
      <c r="E17" s="3">
        <v>0</v>
      </c>
      <c r="F17" s="3">
        <v>0</v>
      </c>
      <c r="G17" s="3">
        <v>0</v>
      </c>
      <c r="H17" s="3">
        <v>1.332308E-4</v>
      </c>
      <c r="I17" s="3">
        <v>2.9897567E-5</v>
      </c>
      <c r="J17" s="3">
        <v>-2.8134463000000003E-4</v>
      </c>
      <c r="L17" s="3">
        <f t="shared" si="0"/>
        <v>0.13021943573667713</v>
      </c>
      <c r="M17" s="3"/>
      <c r="N17" s="2">
        <f>IF('Modell einstellen'!$B$1="Voll",H17/0.35,H17/0.35*2)</f>
        <v>3.8065942857142861E-4</v>
      </c>
      <c r="O17" s="2">
        <f>IF('Modell einstellen'!$B$1="Voll",J17/0.35,J17/0.35*2)</f>
        <v>-8.0384180000000007E-4</v>
      </c>
      <c r="P17" s="3">
        <f t="shared" si="1"/>
        <v>0.47355017936542809</v>
      </c>
    </row>
    <row r="18" spans="1:16" x14ac:dyDescent="0.25">
      <c r="A18" s="3">
        <v>1</v>
      </c>
      <c r="B18" s="3">
        <v>4.2880000000000003E-5</v>
      </c>
      <c r="C18" s="3">
        <v>2.967E-4</v>
      </c>
      <c r="D18" s="3">
        <v>-4.8840000000000005E-4</v>
      </c>
      <c r="E18" s="3">
        <v>0</v>
      </c>
      <c r="F18" s="3">
        <v>0</v>
      </c>
      <c r="G18" s="3">
        <v>0</v>
      </c>
      <c r="H18" s="3">
        <v>1.4999073E-4</v>
      </c>
      <c r="I18" s="3">
        <v>3.3660050999999999E-5</v>
      </c>
      <c r="J18" s="3">
        <v>-3.1175832E-4</v>
      </c>
      <c r="L18" s="3">
        <f t="shared" si="0"/>
        <v>8.7796887796887796E-2</v>
      </c>
      <c r="M18" s="3"/>
      <c r="N18" s="2">
        <f>IF('Modell einstellen'!$B$1="Voll",H18/0.35,H18/0.35*2)</f>
        <v>4.2854494285714289E-4</v>
      </c>
      <c r="O18" s="2">
        <f>IF('Modell einstellen'!$B$1="Voll",J18/0.35,J18/0.35*2)</f>
        <v>-8.9073805714285725E-4</v>
      </c>
      <c r="P18" s="3">
        <f t="shared" si="1"/>
        <v>0.48111219613962503</v>
      </c>
    </row>
    <row r="19" spans="1:16" x14ac:dyDescent="0.25">
      <c r="A19" s="3">
        <v>10</v>
      </c>
      <c r="B19" s="3">
        <v>1.7329999999999998E-5</v>
      </c>
      <c r="C19" s="3">
        <v>3.4769999999999999E-4</v>
      </c>
      <c r="D19" s="3">
        <v>-5.1420000000000003E-4</v>
      </c>
      <c r="E19" s="3">
        <v>0</v>
      </c>
      <c r="F19" s="3">
        <v>0</v>
      </c>
      <c r="G19" s="3">
        <v>0</v>
      </c>
      <c r="H19" s="3">
        <v>1.7306169E-4</v>
      </c>
      <c r="I19" s="3">
        <v>4.0666162999999999E-5</v>
      </c>
      <c r="J19" s="3">
        <v>-3.5984639E-4</v>
      </c>
      <c r="L19" s="3">
        <f t="shared" si="0"/>
        <v>3.3702839362115905E-2</v>
      </c>
      <c r="M19" s="3"/>
      <c r="N19" s="2">
        <f>IF('Modell einstellen'!$B$1="Voll",H19/0.35,H19/0.35*2)</f>
        <v>4.9446197142857145E-4</v>
      </c>
      <c r="O19" s="2">
        <f>IF('Modell einstellen'!$B$1="Voll",J19/0.35,J19/0.35*2)</f>
        <v>-1.0281325428571429E-3</v>
      </c>
      <c r="P19" s="3">
        <f t="shared" si="1"/>
        <v>0.48093212773372551</v>
      </c>
    </row>
    <row r="20" spans="1:16" x14ac:dyDescent="0.25">
      <c r="A20" s="3">
        <v>100</v>
      </c>
      <c r="B20" s="3">
        <v>-3.5200000000000002E-5</v>
      </c>
      <c r="C20" s="3">
        <v>4.2539999999999999E-4</v>
      </c>
      <c r="D20" s="3">
        <v>-5.3989999999999995E-4</v>
      </c>
      <c r="E20" s="3">
        <v>0</v>
      </c>
      <c r="F20" s="3">
        <v>0</v>
      </c>
      <c r="G20" s="3">
        <v>0</v>
      </c>
      <c r="H20" s="3">
        <v>2.089425E-4</v>
      </c>
      <c r="I20" s="3">
        <v>5.1793901000000002E-5</v>
      </c>
      <c r="J20" s="3">
        <v>-4.3569361000000002E-4</v>
      </c>
      <c r="L20" s="3">
        <f t="shared" si="0"/>
        <v>-6.5197258751620676E-2</v>
      </c>
      <c r="M20" s="3"/>
      <c r="N20" s="2">
        <f>IF('Modell einstellen'!$B$1="Voll",H20/0.35,H20/0.35*2)</f>
        <v>5.9697857142857141E-4</v>
      </c>
      <c r="O20" s="2">
        <f>IF('Modell einstellen'!$B$1="Voll",J20/0.35,J20/0.35*2)</f>
        <v>-1.2448388857142858E-3</v>
      </c>
      <c r="P20" s="3">
        <f t="shared" si="1"/>
        <v>0.47956292037425102</v>
      </c>
    </row>
    <row r="21" spans="1:16" x14ac:dyDescent="0.25">
      <c r="A21" s="3">
        <v>1000</v>
      </c>
      <c r="B21" s="3">
        <v>-1.6090000000000001E-4</v>
      </c>
      <c r="C21" s="3">
        <v>5.3359999999999996E-4</v>
      </c>
      <c r="D21" s="3">
        <v>-5.2459999999999996E-4</v>
      </c>
      <c r="E21" s="3">
        <v>0</v>
      </c>
      <c r="F21" s="3">
        <v>0</v>
      </c>
      <c r="G21" s="3">
        <v>0</v>
      </c>
      <c r="H21" s="3">
        <v>2.6897230999999998E-4</v>
      </c>
      <c r="I21" s="3">
        <v>6.8546564E-5</v>
      </c>
      <c r="J21" s="3">
        <v>-5.5636743000000001E-4</v>
      </c>
      <c r="L21" s="3">
        <f t="shared" si="0"/>
        <v>-0.30670987418985896</v>
      </c>
      <c r="M21" s="3"/>
      <c r="N21" s="2">
        <f>IF('Modell einstellen'!$B$1="Voll",H21/0.35,H21/0.35*2)</f>
        <v>7.6849231428571428E-4</v>
      </c>
      <c r="O21" s="2">
        <f>IF('Modell einstellen'!$B$1="Voll",J21/0.35,J21/0.35*2)</f>
        <v>-1.5896212285714288E-3</v>
      </c>
      <c r="P21" s="3">
        <f t="shared" si="1"/>
        <v>0.48344366599604865</v>
      </c>
    </row>
    <row r="22" spans="1:16" x14ac:dyDescent="0.25">
      <c r="A22" s="3">
        <v>10000</v>
      </c>
      <c r="B22" s="3">
        <v>-4.3780000000000002E-4</v>
      </c>
      <c r="C22" s="3">
        <v>6.9079999999999999E-4</v>
      </c>
      <c r="D22" s="3">
        <v>-4.08E-4</v>
      </c>
      <c r="E22" s="3">
        <v>0</v>
      </c>
      <c r="F22" s="3">
        <v>0</v>
      </c>
      <c r="G22" s="3">
        <v>0</v>
      </c>
      <c r="H22" s="3">
        <v>3.7311240000000002E-4</v>
      </c>
      <c r="I22" s="3">
        <v>9.4938605E-5</v>
      </c>
      <c r="J22" s="3">
        <v>-7.5648453000000003E-4</v>
      </c>
      <c r="L22" s="3">
        <f t="shared" si="0"/>
        <v>-1.0730392156862745</v>
      </c>
      <c r="M22" s="3"/>
      <c r="N22" s="2">
        <f>IF('Modell einstellen'!$B$1="Voll",H22/0.35,H22/0.35*2)</f>
        <v>1.0660354285714287E-3</v>
      </c>
      <c r="O22" s="2">
        <f>IF('Modell einstellen'!$B$1="Voll",J22/0.35,J22/0.35*2)</f>
        <v>-2.1613843714285716E-3</v>
      </c>
      <c r="P22" s="3">
        <f t="shared" si="1"/>
        <v>0.49321881043621607</v>
      </c>
    </row>
    <row r="23" spans="1:16" x14ac:dyDescent="0.25">
      <c r="A23" s="3">
        <v>100000</v>
      </c>
      <c r="B23" s="3">
        <v>-9.0779999999999995E-4</v>
      </c>
      <c r="C23" s="3">
        <v>8.9709999999999996E-4</v>
      </c>
      <c r="D23" s="3">
        <v>-1.473E-4</v>
      </c>
      <c r="E23" s="3">
        <v>0</v>
      </c>
      <c r="F23" s="3">
        <v>0</v>
      </c>
      <c r="G23" s="3">
        <v>0</v>
      </c>
      <c r="H23" s="3">
        <v>5.2578944999999997E-4</v>
      </c>
      <c r="I23" s="3">
        <v>1.3191381000000001E-4</v>
      </c>
      <c r="J23" s="3">
        <v>-1.0436381E-3</v>
      </c>
      <c r="L23" s="3">
        <f t="shared" si="0"/>
        <v>-6.1629327902240325</v>
      </c>
      <c r="M23" s="3"/>
      <c r="N23" s="2">
        <f>IF('Modell einstellen'!$B$1="Voll",H23/0.35,H23/0.35*2)</f>
        <v>1.5022555714285714E-3</v>
      </c>
      <c r="O23" s="2">
        <f>IF('Modell einstellen'!$B$1="Voll",J23/0.35,J23/0.35*2)</f>
        <v>-2.981823142857143E-3</v>
      </c>
      <c r="P23" s="3">
        <f t="shared" si="1"/>
        <v>0.50380438391430893</v>
      </c>
    </row>
    <row r="24" spans="1:16" x14ac:dyDescent="0.25">
      <c r="A24" s="3">
        <v>1000000</v>
      </c>
      <c r="B24" s="3">
        <v>-1.567E-3</v>
      </c>
      <c r="C24" s="3">
        <v>1.1479999999999999E-3</v>
      </c>
      <c r="D24" s="3">
        <v>2.5989999999999997E-4</v>
      </c>
      <c r="E24" s="3">
        <v>0</v>
      </c>
      <c r="F24" s="3">
        <v>0</v>
      </c>
      <c r="G24" s="3">
        <v>0</v>
      </c>
      <c r="H24" s="3">
        <v>7.2353084000000001E-4</v>
      </c>
      <c r="I24" s="3">
        <v>1.7882339999999999E-4</v>
      </c>
      <c r="J24" s="3">
        <v>-1.4117285000000001E-3</v>
      </c>
      <c r="L24" s="3">
        <f t="shared" si="0"/>
        <v>6.0292420161600626</v>
      </c>
      <c r="M24" s="3"/>
      <c r="N24" s="2">
        <f>IF('Modell einstellen'!$B$1="Voll",H24/0.35,H24/0.35*2)</f>
        <v>2.0672309714285715E-3</v>
      </c>
      <c r="O24" s="2">
        <f>IF('Modell einstellen'!$B$1="Voll",J24/0.35,J24/0.35*2)</f>
        <v>-4.0335100000000006E-3</v>
      </c>
      <c r="P24" s="3">
        <f t="shared" si="1"/>
        <v>0.51251415551928003</v>
      </c>
    </row>
    <row r="25" spans="1:16" x14ac:dyDescent="0.25">
      <c r="A25" s="3">
        <v>10000000</v>
      </c>
      <c r="B25" s="3">
        <v>-2.1259999999999999E-3</v>
      </c>
      <c r="C25" s="3">
        <v>1.3569999999999999E-3</v>
      </c>
      <c r="D25" s="3">
        <v>6.0829999999999999E-4</v>
      </c>
      <c r="E25" s="3">
        <v>0</v>
      </c>
      <c r="F25" s="3">
        <v>0</v>
      </c>
      <c r="G25" s="3">
        <v>0</v>
      </c>
      <c r="H25" s="3">
        <v>8.8416636999999996E-4</v>
      </c>
      <c r="I25" s="3">
        <v>2.1881772E-4</v>
      </c>
      <c r="J25" s="3">
        <v>-1.7172447E-3</v>
      </c>
      <c r="L25" s="3">
        <f t="shared" si="0"/>
        <v>3.494986026631596</v>
      </c>
      <c r="M25" s="3"/>
      <c r="N25" s="2">
        <f>IF('Modell einstellen'!$B$1="Voll",H25/0.35,H25/0.35*2)</f>
        <v>2.5261896285714287E-3</v>
      </c>
      <c r="O25" s="2">
        <f>IF('Modell einstellen'!$B$1="Voll",J25/0.35,J25/0.35*2)</f>
        <v>-4.9064134285714284E-3</v>
      </c>
      <c r="P25" s="3">
        <f t="shared" si="1"/>
        <v>0.5148750029625947</v>
      </c>
    </row>
    <row r="26" spans="1:16" x14ac:dyDescent="0.25">
      <c r="A26" s="3">
        <v>100000000</v>
      </c>
      <c r="B26" s="3">
        <v>-2.552E-3</v>
      </c>
      <c r="C26" s="3">
        <v>1.518E-3</v>
      </c>
      <c r="D26" s="3">
        <v>8.7230000000000001E-4</v>
      </c>
      <c r="E26" s="3">
        <v>0</v>
      </c>
      <c r="F26" s="3">
        <v>0</v>
      </c>
      <c r="G26" s="3">
        <v>0</v>
      </c>
      <c r="H26" s="3">
        <v>1.0046841000000001E-3</v>
      </c>
      <c r="I26" s="3">
        <v>2.4987426000000002E-4</v>
      </c>
      <c r="J26" s="3">
        <v>-1.950065E-3</v>
      </c>
      <c r="L26" s="3">
        <f t="shared" si="0"/>
        <v>2.9255989911727616</v>
      </c>
      <c r="M26" s="3"/>
      <c r="N26" s="2">
        <f>IF('Modell einstellen'!$B$1="Voll",H26/0.35,H26/0.35*2)</f>
        <v>2.8705260000000004E-3</v>
      </c>
      <c r="O26" s="2">
        <f>IF('Modell einstellen'!$B$1="Voll",J26/0.35,J26/0.35*2)</f>
        <v>-5.5716142857142863E-3</v>
      </c>
      <c r="P26" s="3">
        <f t="shared" si="1"/>
        <v>0.51520544186988637</v>
      </c>
    </row>
    <row r="27" spans="1:16" x14ac:dyDescent="0.25">
      <c r="A27" s="3">
        <v>1000000000</v>
      </c>
      <c r="B27" s="3">
        <v>-2.7759999999999998E-3</v>
      </c>
      <c r="C27" s="3">
        <v>1.611E-3</v>
      </c>
      <c r="D27" s="3">
        <v>1.0039999999999999E-3</v>
      </c>
      <c r="E27" s="3">
        <v>0</v>
      </c>
      <c r="F27" s="3">
        <v>0</v>
      </c>
      <c r="G27" s="3">
        <v>0</v>
      </c>
      <c r="H27" s="3">
        <v>1.0682655000000001E-3</v>
      </c>
      <c r="I27" s="3">
        <v>2.6783471999999999E-4</v>
      </c>
      <c r="J27" s="3">
        <v>-2.0785166000000001E-3</v>
      </c>
      <c r="L27" s="3">
        <f t="shared" si="0"/>
        <v>2.7649402390438249</v>
      </c>
      <c r="M27" s="3"/>
      <c r="N27" s="2">
        <f>IF('Modell einstellen'!$B$1="Voll",H27/0.35,H27/0.35*2)</f>
        <v>3.0521871428571433E-3</v>
      </c>
      <c r="O27" s="2">
        <f>IF('Modell einstellen'!$B$1="Voll",J27/0.35,J27/0.35*2)</f>
        <v>-5.9386188571428581E-3</v>
      </c>
      <c r="P27" s="3">
        <f t="shared" si="1"/>
        <v>0.5139557220760228</v>
      </c>
    </row>
    <row r="28" spans="1:16" x14ac:dyDescent="0.25">
      <c r="A28" s="3">
        <v>10000000000</v>
      </c>
      <c r="B28" s="3">
        <v>-2.967E-3</v>
      </c>
      <c r="C28" s="3">
        <v>1.686E-3</v>
      </c>
      <c r="D28" s="3">
        <v>1.1199999999999999E-3</v>
      </c>
      <c r="E28" s="3">
        <v>0</v>
      </c>
      <c r="F28" s="3">
        <v>0</v>
      </c>
      <c r="G28" s="3">
        <v>0</v>
      </c>
      <c r="H28" s="3">
        <v>1.1234081E-3</v>
      </c>
      <c r="I28" s="3">
        <v>2.8241192E-4</v>
      </c>
      <c r="J28" s="3">
        <v>-2.1862642999999999E-3</v>
      </c>
      <c r="L28" s="3">
        <f t="shared" si="0"/>
        <v>2.6491071428571433</v>
      </c>
      <c r="M28" s="3"/>
      <c r="N28" s="2">
        <f>IF('Modell einstellen'!$B$1="Voll",H28/0.35,H28/0.35*2)</f>
        <v>3.209737428571429E-3</v>
      </c>
      <c r="O28" s="2">
        <f>IF('Modell einstellen'!$B$1="Voll",J28/0.35,J28/0.35*2)</f>
        <v>-6.2464694285714285E-3</v>
      </c>
      <c r="P28" s="3">
        <f t="shared" si="1"/>
        <v>0.5138482570474211</v>
      </c>
    </row>
    <row r="29" spans="1:16" x14ac:dyDescent="0.25">
      <c r="A29" s="3">
        <v>100000000000</v>
      </c>
      <c r="B29" s="3">
        <v>-3.0569999999999998E-3</v>
      </c>
      <c r="C29" s="3">
        <v>1.694E-3</v>
      </c>
      <c r="D29" s="3">
        <v>1.2019999999999999E-3</v>
      </c>
      <c r="E29" s="3">
        <v>0</v>
      </c>
      <c r="F29" s="3">
        <v>0</v>
      </c>
      <c r="G29" s="3">
        <v>0</v>
      </c>
      <c r="H29" s="3">
        <v>1.1559795999999999E-3</v>
      </c>
      <c r="I29" s="3">
        <v>2.8422707000000001E-4</v>
      </c>
      <c r="J29" s="3">
        <v>-2.2253317999999999E-3</v>
      </c>
      <c r="L29" s="3">
        <f t="shared" si="0"/>
        <v>2.543261231281198</v>
      </c>
      <c r="M29" s="3"/>
      <c r="N29" s="2">
        <f>IF('Modell einstellen'!$B$1="Voll",H29/0.35,H29/0.35*2)</f>
        <v>3.3027988571428571E-3</v>
      </c>
      <c r="O29" s="2">
        <f>IF('Modell einstellen'!$B$1="Voll",J29/0.35,J29/0.35*2)</f>
        <v>-6.358090857142857E-3</v>
      </c>
      <c r="P29" s="3">
        <f t="shared" si="1"/>
        <v>0.51946392892960958</v>
      </c>
    </row>
    <row r="30" spans="1:16" x14ac:dyDescent="0.25">
      <c r="A30" s="3">
        <v>1000000000000</v>
      </c>
      <c r="B30" s="3">
        <v>-3.192E-3</v>
      </c>
      <c r="C30" s="3">
        <v>1.7719999999999999E-3</v>
      </c>
      <c r="D30" s="3">
        <v>1.258E-3</v>
      </c>
      <c r="E30" s="3">
        <v>0</v>
      </c>
      <c r="F30" s="3">
        <v>0</v>
      </c>
      <c r="G30" s="3">
        <v>0</v>
      </c>
      <c r="H30" s="3">
        <v>1.1889868E-3</v>
      </c>
      <c r="I30" s="3">
        <v>2.9928925999999999E-4</v>
      </c>
      <c r="J30" s="3">
        <v>-2.3126840000000002E-3</v>
      </c>
      <c r="L30" s="3">
        <f t="shared" si="0"/>
        <v>2.5373608903020668</v>
      </c>
      <c r="M30" s="3"/>
      <c r="N30" s="2">
        <f>IF('Modell einstellen'!$B$1="Voll",H30/0.35,H30/0.35*2)</f>
        <v>3.3971051428571429E-3</v>
      </c>
      <c r="O30" s="2">
        <f>IF('Modell einstellen'!$B$1="Voll",J30/0.35,J30/0.35*2)</f>
        <v>-6.6076685714285726E-3</v>
      </c>
      <c r="P30" s="3">
        <f t="shared" si="1"/>
        <v>0.5141155471305201</v>
      </c>
    </row>
    <row r="31" spans="1:16" x14ac:dyDescent="0.25">
      <c r="A31" s="3">
        <v>10000000000000</v>
      </c>
      <c r="B31" s="3">
        <v>-3.3730000000000001E-3</v>
      </c>
      <c r="C31" s="3">
        <v>1.836E-3</v>
      </c>
      <c r="D31" s="3">
        <v>1.3760000000000001E-3</v>
      </c>
      <c r="E31" s="3">
        <v>0</v>
      </c>
      <c r="F31" s="3">
        <v>0</v>
      </c>
      <c r="G31" s="3">
        <v>0</v>
      </c>
      <c r="H31" s="3">
        <v>1.2423511999999999E-3</v>
      </c>
      <c r="I31" s="3">
        <v>3.1186852000000001E-4</v>
      </c>
      <c r="J31" s="3">
        <v>-2.4113423E-3</v>
      </c>
      <c r="L31" s="3">
        <f t="shared" si="0"/>
        <v>2.4513081395348837</v>
      </c>
      <c r="M31" s="3"/>
      <c r="N31" s="2">
        <f>IF('Modell einstellen'!$B$1="Voll",H31/0.35,H31/0.35*2)</f>
        <v>3.5495748571428569E-3</v>
      </c>
      <c r="O31" s="2">
        <f>IF('Modell einstellen'!$B$1="Voll",J31/0.35,J31/0.35*2)</f>
        <v>-6.8895494285714292E-3</v>
      </c>
      <c r="P31" s="3">
        <f t="shared" si="1"/>
        <v>0.51521146541492668</v>
      </c>
    </row>
    <row r="32" spans="1:16" x14ac:dyDescent="0.25">
      <c r="A32" s="3">
        <v>100000000000000</v>
      </c>
      <c r="B32" s="3">
        <v>-3.4039999999999999E-3</v>
      </c>
      <c r="C32" s="3">
        <v>1.8400000000000001E-3</v>
      </c>
      <c r="D32" s="3">
        <v>1.403E-3</v>
      </c>
      <c r="E32" s="3">
        <v>0</v>
      </c>
      <c r="F32" s="3">
        <v>0</v>
      </c>
      <c r="G32" s="3">
        <v>0</v>
      </c>
      <c r="H32" s="3">
        <v>1.2533123E-3</v>
      </c>
      <c r="I32" s="3">
        <v>3.1282346E-4</v>
      </c>
      <c r="J32" s="3">
        <v>-2.4257110000000001E-3</v>
      </c>
      <c r="L32" s="3">
        <f t="shared" si="0"/>
        <v>2.4262295081967213</v>
      </c>
      <c r="M32" s="3"/>
      <c r="N32" s="2">
        <f>IF('Modell einstellen'!$B$1="Voll",H32/0.35,H32/0.35*2)</f>
        <v>3.580892285714286E-3</v>
      </c>
      <c r="O32" s="2">
        <f>IF('Modell einstellen'!$B$1="Voll",J32/0.35,J32/0.35*2)</f>
        <v>-6.9306028571428577E-3</v>
      </c>
      <c r="P32" s="3">
        <f t="shared" si="1"/>
        <v>0.51667832647829848</v>
      </c>
    </row>
    <row r="33" spans="1:16" x14ac:dyDescent="0.25">
      <c r="A33" s="3">
        <v>1000000000000000</v>
      </c>
      <c r="B33" s="3">
        <v>-3.4060000000000002E-3</v>
      </c>
      <c r="C33" s="3">
        <v>1.843E-3</v>
      </c>
      <c r="D33" s="3">
        <v>1.402E-3</v>
      </c>
      <c r="E33" s="3">
        <v>0</v>
      </c>
      <c r="F33" s="3">
        <v>0</v>
      </c>
      <c r="G33" s="3">
        <v>0</v>
      </c>
      <c r="H33" s="3">
        <v>1.2532718000000001E-3</v>
      </c>
      <c r="I33" s="3">
        <v>3.1331966000000002E-4</v>
      </c>
      <c r="J33" s="3">
        <v>-2.4274638999999998E-3</v>
      </c>
      <c r="L33" s="3">
        <f t="shared" si="0"/>
        <v>2.4293865905848788</v>
      </c>
      <c r="M33" s="3"/>
      <c r="N33" s="2">
        <f>IF('Modell einstellen'!$B$1="Voll",H33/0.35,H33/0.35*2)</f>
        <v>3.5807765714285719E-3</v>
      </c>
      <c r="O33" s="2">
        <f>IF('Modell einstellen'!$B$1="Voll",J33/0.35,J33/0.35*2)</f>
        <v>-6.9356111428571432E-3</v>
      </c>
      <c r="P33" s="3">
        <f t="shared" si="1"/>
        <v>0.5162885429521733</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1.103E-4</v>
      </c>
      <c r="C3" s="3">
        <v>1.595E-4</v>
      </c>
      <c r="D3" s="3">
        <v>-4.0099999999999999E-4</v>
      </c>
      <c r="E3" s="3">
        <v>0</v>
      </c>
      <c r="F3" s="3">
        <v>0</v>
      </c>
      <c r="G3" s="3">
        <v>0</v>
      </c>
      <c r="H3" s="3">
        <v>6.2444491000000004E-5</v>
      </c>
      <c r="I3" s="3">
        <v>1.6326941999999999E-5</v>
      </c>
      <c r="J3" s="3">
        <v>-1.5949523000000001E-4</v>
      </c>
      <c r="L3" s="3">
        <f>-B3/D3</f>
        <v>0.27506234413965086</v>
      </c>
      <c r="M3" s="3"/>
      <c r="N3" s="2">
        <f>IF('Modell einstellen'!$B$1="Voll",H3/0.35,H3/0.35*2)</f>
        <v>1.7841283142857144E-4</v>
      </c>
      <c r="O3" s="2">
        <f>IF('Modell einstellen'!$B$1="Voll",J3/0.35,J3/0.35*2)</f>
        <v>-4.5570065714285718E-4</v>
      </c>
      <c r="P3" s="3">
        <f>-N3/O3</f>
        <v>0.39151321954894824</v>
      </c>
    </row>
    <row r="4" spans="1:16" x14ac:dyDescent="0.25">
      <c r="A4" s="3">
        <v>1E-14</v>
      </c>
      <c r="B4" s="3">
        <v>1.114E-4</v>
      </c>
      <c r="C4" s="3">
        <v>1.6689999999999999E-4</v>
      </c>
      <c r="D4" s="3">
        <v>-4.1060000000000001E-4</v>
      </c>
      <c r="E4" s="3">
        <v>0</v>
      </c>
      <c r="F4" s="3">
        <v>0</v>
      </c>
      <c r="G4" s="3">
        <v>0</v>
      </c>
      <c r="H4" s="3">
        <v>6.6046517000000005E-5</v>
      </c>
      <c r="I4" s="3">
        <v>1.7168305999999999E-5</v>
      </c>
      <c r="J4" s="3">
        <v>-1.6625831999999999E-4</v>
      </c>
      <c r="L4" s="3">
        <f t="shared" ref="L4:L33" si="0">-B4/D4</f>
        <v>0.2713102776424744</v>
      </c>
      <c r="M4" s="3"/>
      <c r="N4" s="2">
        <f>IF('Modell einstellen'!$B$1="Voll",H4/0.35,H4/0.35*2)</f>
        <v>1.887043342857143E-4</v>
      </c>
      <c r="O4" s="2">
        <f>IF('Modell einstellen'!$B$1="Voll",J4/0.35,J4/0.35*2)</f>
        <v>-4.7502377142857145E-4</v>
      </c>
      <c r="P4" s="3">
        <f t="shared" ref="P4:P33" si="1">-N4/O4</f>
        <v>0.39725240216549768</v>
      </c>
    </row>
    <row r="5" spans="1:16" x14ac:dyDescent="0.25">
      <c r="A5" s="3">
        <v>1E-13</v>
      </c>
      <c r="B5" s="3">
        <v>1.12E-4</v>
      </c>
      <c r="C5" s="3">
        <v>1.7459999999999999E-4</v>
      </c>
      <c r="D5" s="3">
        <v>-4.2000000000000002E-4</v>
      </c>
      <c r="E5" s="3">
        <v>0</v>
      </c>
      <c r="F5" s="3">
        <v>0</v>
      </c>
      <c r="G5" s="3">
        <v>0</v>
      </c>
      <c r="H5" s="3">
        <v>6.9909023999999997E-5</v>
      </c>
      <c r="I5" s="3">
        <v>1.8051369E-5</v>
      </c>
      <c r="J5" s="3">
        <v>-1.7344259E-4</v>
      </c>
      <c r="L5" s="3">
        <f t="shared" si="0"/>
        <v>0.26666666666666666</v>
      </c>
      <c r="M5" s="3"/>
      <c r="N5" s="2">
        <f>IF('Modell einstellen'!$B$1="Voll",H5/0.35,H5/0.35*2)</f>
        <v>1.9974006857142857E-4</v>
      </c>
      <c r="O5" s="2">
        <f>IF('Modell einstellen'!$B$1="Voll",J5/0.35,J5/0.35*2)</f>
        <v>-4.9555025714285712E-4</v>
      </c>
      <c r="P5" s="3">
        <f t="shared" si="1"/>
        <v>0.40306722818195923</v>
      </c>
    </row>
    <row r="6" spans="1:16" x14ac:dyDescent="0.25">
      <c r="A6" s="3">
        <v>9.9999999999999998E-13</v>
      </c>
      <c r="B6" s="3">
        <v>1.12E-4</v>
      </c>
      <c r="C6" s="3">
        <v>1.8369999999999999E-4</v>
      </c>
      <c r="D6" s="3">
        <v>-4.305E-4</v>
      </c>
      <c r="E6" s="3">
        <v>0</v>
      </c>
      <c r="F6" s="3">
        <v>0</v>
      </c>
      <c r="G6" s="3">
        <v>0</v>
      </c>
      <c r="H6" s="3">
        <v>7.4676175000000007E-5</v>
      </c>
      <c r="I6" s="3">
        <v>1.9114200000000001E-5</v>
      </c>
      <c r="J6" s="3">
        <v>-1.8220595000000001E-4</v>
      </c>
      <c r="L6" s="3">
        <f t="shared" si="0"/>
        <v>0.26016260162601623</v>
      </c>
      <c r="M6" s="3"/>
      <c r="N6" s="2">
        <f>IF('Modell einstellen'!$B$1="Voll",H6/0.35,H6/0.35*2)</f>
        <v>2.1336050000000004E-4</v>
      </c>
      <c r="O6" s="2">
        <f>IF('Modell einstellen'!$B$1="Voll",J6/0.35,J6/0.35*2)</f>
        <v>-5.2058842857142867E-4</v>
      </c>
      <c r="P6" s="3">
        <f t="shared" si="1"/>
        <v>0.4098448760866481</v>
      </c>
    </row>
    <row r="7" spans="1:16" x14ac:dyDescent="0.25">
      <c r="A7" s="3">
        <v>9.9999999999999994E-12</v>
      </c>
      <c r="B7" s="3">
        <v>1.111E-4</v>
      </c>
      <c r="C7" s="3">
        <v>1.93E-4</v>
      </c>
      <c r="D7" s="3">
        <v>-4.4030000000000002E-4</v>
      </c>
      <c r="E7" s="3">
        <v>0</v>
      </c>
      <c r="F7" s="3">
        <v>0</v>
      </c>
      <c r="G7" s="3">
        <v>0</v>
      </c>
      <c r="H7" s="3">
        <v>7.9778361000000002E-5</v>
      </c>
      <c r="I7" s="3">
        <v>2.0217951000000001E-5</v>
      </c>
      <c r="J7" s="3">
        <v>-1.9145651999999999E-4</v>
      </c>
      <c r="L7" s="3">
        <f t="shared" si="0"/>
        <v>0.25232795821031112</v>
      </c>
      <c r="M7" s="3"/>
      <c r="N7" s="2">
        <f>IF('Modell einstellen'!$B$1="Voll",H7/0.35,H7/0.35*2)</f>
        <v>2.2793817428571432E-4</v>
      </c>
      <c r="O7" s="2">
        <f>IF('Modell einstellen'!$B$1="Voll",J7/0.35,J7/0.35*2)</f>
        <v>-5.4701862857142855E-4</v>
      </c>
      <c r="P7" s="3">
        <f t="shared" si="1"/>
        <v>0.41669179508746956</v>
      </c>
    </row>
    <row r="8" spans="1:16" x14ac:dyDescent="0.25">
      <c r="A8" s="3">
        <v>1E-10</v>
      </c>
      <c r="B8" s="3">
        <v>1.0950000000000001E-4</v>
      </c>
      <c r="C8" s="3">
        <v>2.009E-4</v>
      </c>
      <c r="D8" s="3">
        <v>-4.4779999999999999E-4</v>
      </c>
      <c r="E8" s="3">
        <v>0</v>
      </c>
      <c r="F8" s="3">
        <v>0</v>
      </c>
      <c r="G8" s="3">
        <v>0</v>
      </c>
      <c r="H8" s="3">
        <v>8.4287397000000001E-5</v>
      </c>
      <c r="I8" s="3">
        <v>2.1164523999999999E-5</v>
      </c>
      <c r="J8" s="3">
        <v>-1.9952225E-4</v>
      </c>
      <c r="L8" s="3">
        <f t="shared" si="0"/>
        <v>0.24452880750334974</v>
      </c>
      <c r="M8" s="3"/>
      <c r="N8" s="2">
        <f>IF('Modell einstellen'!$B$1="Voll",H8/0.35,H8/0.35*2)</f>
        <v>2.4082113428571431E-4</v>
      </c>
      <c r="O8" s="2">
        <f>IF('Modell einstellen'!$B$1="Voll",J8/0.35,J8/0.35*2)</f>
        <v>-5.7006357142857145E-4</v>
      </c>
      <c r="P8" s="3">
        <f t="shared" si="1"/>
        <v>0.42244610312884906</v>
      </c>
    </row>
    <row r="9" spans="1:16" x14ac:dyDescent="0.25">
      <c r="A9" s="3">
        <v>1.0000000000000001E-9</v>
      </c>
      <c r="B9" s="3">
        <v>1.072E-4</v>
      </c>
      <c r="C9" s="3">
        <v>2.0929999999999999E-4</v>
      </c>
      <c r="D9" s="3">
        <v>-4.55E-4</v>
      </c>
      <c r="E9" s="3">
        <v>0</v>
      </c>
      <c r="F9" s="3">
        <v>0</v>
      </c>
      <c r="G9" s="3">
        <v>0</v>
      </c>
      <c r="H9" s="3">
        <v>8.9255874000000003E-5</v>
      </c>
      <c r="I9" s="3">
        <v>2.2180876000000001E-5</v>
      </c>
      <c r="J9" s="3">
        <v>-2.0830976999999999E-4</v>
      </c>
      <c r="L9" s="3">
        <f t="shared" si="0"/>
        <v>0.23560439560439561</v>
      </c>
      <c r="M9" s="3"/>
      <c r="N9" s="2">
        <f>IF('Modell einstellen'!$B$1="Voll",H9/0.35,H9/0.35*2)</f>
        <v>2.5501678285714288E-4</v>
      </c>
      <c r="O9" s="2">
        <f>IF('Modell einstellen'!$B$1="Voll",J9/0.35,J9/0.35*2)</f>
        <v>-5.9517077142857142E-4</v>
      </c>
      <c r="P9" s="3">
        <f t="shared" si="1"/>
        <v>0.42847665762388393</v>
      </c>
    </row>
    <row r="10" spans="1:16" x14ac:dyDescent="0.25">
      <c r="A10" s="3">
        <v>1E-8</v>
      </c>
      <c r="B10" s="3">
        <v>1.0399999999999999E-4</v>
      </c>
      <c r="C10" s="3">
        <v>2.1770000000000001E-4</v>
      </c>
      <c r="D10" s="3">
        <v>-4.615E-4</v>
      </c>
      <c r="E10" s="3">
        <v>0</v>
      </c>
      <c r="F10" s="3">
        <v>0</v>
      </c>
      <c r="G10" s="3">
        <v>0</v>
      </c>
      <c r="H10" s="3">
        <v>9.4506358999999995E-5</v>
      </c>
      <c r="I10" s="3">
        <v>2.3222131000000001E-5</v>
      </c>
      <c r="J10" s="3">
        <v>-2.1747271999999999E-4</v>
      </c>
      <c r="L10" s="3">
        <f t="shared" si="0"/>
        <v>0.22535211267605632</v>
      </c>
      <c r="M10" s="3"/>
      <c r="N10" s="2">
        <f>IF('Modell einstellen'!$B$1="Voll",H10/0.35,H10/0.35*2)</f>
        <v>2.7001816857142859E-4</v>
      </c>
      <c r="O10" s="2">
        <f>IF('Modell einstellen'!$B$1="Voll",J10/0.35,J10/0.35*2)</f>
        <v>-6.2135062857142864E-4</v>
      </c>
      <c r="P10" s="3">
        <f t="shared" si="1"/>
        <v>0.43456650103056604</v>
      </c>
    </row>
    <row r="11" spans="1:16" x14ac:dyDescent="0.25">
      <c r="A11" s="3">
        <v>9.9999999999999995E-8</v>
      </c>
      <c r="B11" s="3">
        <v>9.9469999999999995E-5</v>
      </c>
      <c r="C11" s="3">
        <v>2.2709999999999999E-4</v>
      </c>
      <c r="D11" s="3">
        <v>-4.6769999999999998E-4</v>
      </c>
      <c r="E11" s="3">
        <v>0</v>
      </c>
      <c r="F11" s="3">
        <v>0</v>
      </c>
      <c r="G11" s="3">
        <v>0</v>
      </c>
      <c r="H11" s="3">
        <v>1.0066229E-4</v>
      </c>
      <c r="I11" s="3">
        <v>2.4403290999999999E-5</v>
      </c>
      <c r="J11" s="3">
        <v>-2.2806709999999999E-4</v>
      </c>
      <c r="L11" s="3">
        <f t="shared" si="0"/>
        <v>0.21267906777849049</v>
      </c>
      <c r="M11" s="3"/>
      <c r="N11" s="2">
        <f>IF('Modell einstellen'!$B$1="Voll",H11/0.35,H11/0.35*2)</f>
        <v>2.8760654285714285E-4</v>
      </c>
      <c r="O11" s="2">
        <f>IF('Modell einstellen'!$B$1="Voll",J11/0.35,J11/0.35*2)</f>
        <v>-6.5162028571428578E-4</v>
      </c>
      <c r="P11" s="3">
        <f t="shared" si="1"/>
        <v>0.44137137710787738</v>
      </c>
    </row>
    <row r="12" spans="1:16" x14ac:dyDescent="0.25">
      <c r="A12" s="3">
        <v>9.9999999999999995E-7</v>
      </c>
      <c r="B12" s="3">
        <v>9.3839999999999996E-5</v>
      </c>
      <c r="C12" s="3">
        <v>2.363E-4</v>
      </c>
      <c r="D12" s="3">
        <v>-4.7249999999999999E-4</v>
      </c>
      <c r="E12" s="3">
        <v>0</v>
      </c>
      <c r="F12" s="3">
        <v>0</v>
      </c>
      <c r="G12" s="3">
        <v>0</v>
      </c>
      <c r="H12" s="3">
        <v>1.0698536E-4</v>
      </c>
      <c r="I12" s="3">
        <v>2.5570647000000001E-5</v>
      </c>
      <c r="J12" s="3">
        <v>-2.3877685E-4</v>
      </c>
      <c r="L12" s="3">
        <f t="shared" si="0"/>
        <v>0.19860317460317459</v>
      </c>
      <c r="M12" s="3"/>
      <c r="N12" s="2">
        <f>IF('Modell einstellen'!$B$1="Voll",H12/0.35,H12/0.35*2)</f>
        <v>3.056724571428572E-4</v>
      </c>
      <c r="O12" s="2">
        <f>IF('Modell einstellen'!$B$1="Voll",J12/0.35,J12/0.35*2)</f>
        <v>-6.8221957142857142E-4</v>
      </c>
      <c r="P12" s="3">
        <f t="shared" si="1"/>
        <v>0.4480558312080925</v>
      </c>
    </row>
    <row r="13" spans="1:16" x14ac:dyDescent="0.25">
      <c r="A13" s="3">
        <v>1.0000000000000001E-5</v>
      </c>
      <c r="B13" s="3">
        <v>8.4580000000000007E-5</v>
      </c>
      <c r="C13" s="3">
        <v>2.4850000000000002E-4</v>
      </c>
      <c r="D13" s="3">
        <v>-4.773E-4</v>
      </c>
      <c r="E13" s="3">
        <v>0</v>
      </c>
      <c r="F13" s="3">
        <v>0</v>
      </c>
      <c r="G13" s="3">
        <v>0</v>
      </c>
      <c r="H13" s="3">
        <v>1.1596888000000001E-4</v>
      </c>
      <c r="I13" s="3">
        <v>2.7162527999999999E-5</v>
      </c>
      <c r="J13" s="3">
        <v>-2.5374354000000002E-4</v>
      </c>
      <c r="L13" s="3">
        <f t="shared" si="0"/>
        <v>0.17720511208883302</v>
      </c>
      <c r="M13" s="3"/>
      <c r="N13" s="2">
        <f>IF('Modell einstellen'!$B$1="Voll",H13/0.35,H13/0.35*2)</f>
        <v>3.3133965714285716E-4</v>
      </c>
      <c r="O13" s="2">
        <f>IF('Modell einstellen'!$B$1="Voll",J13/0.35,J13/0.35*2)</f>
        <v>-7.24981542857143E-4</v>
      </c>
      <c r="P13" s="3">
        <f t="shared" si="1"/>
        <v>0.45703185192419077</v>
      </c>
    </row>
    <row r="14" spans="1:16" x14ac:dyDescent="0.25">
      <c r="A14" s="3">
        <v>1E-4</v>
      </c>
      <c r="B14" s="3">
        <v>7.1359999999999994E-5</v>
      </c>
      <c r="C14" s="3">
        <v>2.6219999999999998E-4</v>
      </c>
      <c r="D14" s="3">
        <v>-4.797E-4</v>
      </c>
      <c r="E14" s="3">
        <v>0</v>
      </c>
      <c r="F14" s="3">
        <v>0</v>
      </c>
      <c r="G14" s="3">
        <v>0</v>
      </c>
      <c r="H14" s="3">
        <v>1.2684615000000001E-4</v>
      </c>
      <c r="I14" s="3">
        <v>2.8977692E-5</v>
      </c>
      <c r="J14" s="3">
        <v>-2.7144393999999999E-4</v>
      </c>
      <c r="L14" s="3">
        <f t="shared" si="0"/>
        <v>0.14875964144256826</v>
      </c>
      <c r="M14" s="3"/>
      <c r="N14" s="2">
        <f>IF('Modell einstellen'!$B$1="Voll",H14/0.35,H14/0.35*2)</f>
        <v>3.6241757142857148E-4</v>
      </c>
      <c r="O14" s="2">
        <f>IF('Modell einstellen'!$B$1="Voll",J14/0.35,J14/0.35*2)</f>
        <v>-7.7555411428571427E-4</v>
      </c>
      <c r="P14" s="3">
        <f t="shared" si="1"/>
        <v>0.46730146195195965</v>
      </c>
    </row>
    <row r="15" spans="1:16" x14ac:dyDescent="0.25">
      <c r="A15" s="3">
        <v>1E-3</v>
      </c>
      <c r="B15" s="3">
        <v>5.0529999999999999E-5</v>
      </c>
      <c r="C15" s="3">
        <v>2.7920000000000001E-4</v>
      </c>
      <c r="D15" s="3">
        <v>-4.7830000000000003E-4</v>
      </c>
      <c r="E15" s="3">
        <v>0</v>
      </c>
      <c r="F15" s="3">
        <v>0</v>
      </c>
      <c r="G15" s="3">
        <v>0</v>
      </c>
      <c r="H15" s="3">
        <v>1.4174869999999999E-4</v>
      </c>
      <c r="I15" s="3">
        <v>3.1301823999999998E-5</v>
      </c>
      <c r="J15" s="3">
        <v>-2.9508223000000001E-4</v>
      </c>
      <c r="L15" s="3">
        <f t="shared" si="0"/>
        <v>0.10564499268241688</v>
      </c>
      <c r="M15" s="3"/>
      <c r="N15" s="2">
        <f>IF('Modell einstellen'!$B$1="Voll",H15/0.35,H15/0.35*2)</f>
        <v>4.049962857142857E-4</v>
      </c>
      <c r="O15" s="2">
        <f>IF('Modell einstellen'!$B$1="Voll",J15/0.35,J15/0.35*2)</f>
        <v>-8.4309208571428575E-4</v>
      </c>
      <c r="P15" s="3">
        <f t="shared" si="1"/>
        <v>0.48037016664812376</v>
      </c>
    </row>
    <row r="16" spans="1:16" x14ac:dyDescent="0.25">
      <c r="A16" s="3">
        <v>0.01</v>
      </c>
      <c r="B16" s="3">
        <v>1.7790000000000001E-5</v>
      </c>
      <c r="C16" s="3">
        <v>3.0049999999999999E-4</v>
      </c>
      <c r="D16" s="3">
        <v>-4.6979999999999998E-4</v>
      </c>
      <c r="E16" s="3">
        <v>0</v>
      </c>
      <c r="F16" s="3">
        <v>0</v>
      </c>
      <c r="G16" s="3">
        <v>0</v>
      </c>
      <c r="H16" s="3">
        <v>1.6233824000000001E-4</v>
      </c>
      <c r="I16" s="3">
        <v>3.4326708E-5</v>
      </c>
      <c r="J16" s="3">
        <v>-3.2700344E-4</v>
      </c>
      <c r="L16" s="3">
        <f t="shared" si="0"/>
        <v>3.7867177522349936E-2</v>
      </c>
      <c r="M16" s="3"/>
      <c r="N16" s="2">
        <f>IF('Modell einstellen'!$B$1="Voll",H16/0.35,H16/0.35*2)</f>
        <v>4.638235428571429E-4</v>
      </c>
      <c r="O16" s="2">
        <f>IF('Modell einstellen'!$B$1="Voll",J16/0.35,J16/0.35*2)</f>
        <v>-9.3429554285714294E-4</v>
      </c>
      <c r="P16" s="3">
        <f t="shared" si="1"/>
        <v>0.49644199461632577</v>
      </c>
    </row>
    <row r="17" spans="1:16" x14ac:dyDescent="0.25">
      <c r="A17" s="3">
        <v>0.1</v>
      </c>
      <c r="B17" s="3">
        <v>-3.7110000000000002E-5</v>
      </c>
      <c r="C17" s="3">
        <v>3.3710000000000001E-4</v>
      </c>
      <c r="D17" s="3">
        <v>-4.5429999999999998E-4</v>
      </c>
      <c r="E17" s="3">
        <v>0</v>
      </c>
      <c r="F17" s="3">
        <v>0</v>
      </c>
      <c r="G17" s="3">
        <v>0</v>
      </c>
      <c r="H17" s="3">
        <v>1.9394641E-4</v>
      </c>
      <c r="I17" s="3">
        <v>3.9612917000000001E-5</v>
      </c>
      <c r="J17" s="3">
        <v>-3.7803716999999998E-4</v>
      </c>
      <c r="L17" s="3">
        <f t="shared" si="0"/>
        <v>-8.1686110499669826E-2</v>
      </c>
      <c r="M17" s="3"/>
      <c r="N17" s="2">
        <f>IF('Modell einstellen'!$B$1="Voll",H17/0.35,H17/0.35*2)</f>
        <v>5.5413260000000003E-4</v>
      </c>
      <c r="O17" s="2">
        <f>IF('Modell einstellen'!$B$1="Voll",J17/0.35,J17/0.35*2)</f>
        <v>-1.0801062E-3</v>
      </c>
      <c r="P17" s="3">
        <f t="shared" si="1"/>
        <v>0.51303529227033418</v>
      </c>
    </row>
    <row r="18" spans="1:16" x14ac:dyDescent="0.25">
      <c r="A18" s="3">
        <v>1</v>
      </c>
      <c r="B18" s="3">
        <v>-1.3119999999999999E-4</v>
      </c>
      <c r="C18" s="3">
        <v>4.1149999999999997E-4</v>
      </c>
      <c r="D18" s="3">
        <v>-4.3619999999999998E-4</v>
      </c>
      <c r="E18" s="3">
        <v>0</v>
      </c>
      <c r="F18" s="3">
        <v>0</v>
      </c>
      <c r="G18" s="3">
        <v>0</v>
      </c>
      <c r="H18" s="3">
        <v>2.4246074E-4</v>
      </c>
      <c r="I18" s="3">
        <v>5.0586617000000001E-5</v>
      </c>
      <c r="J18" s="3">
        <v>-4.6617001999999999E-4</v>
      </c>
      <c r="L18" s="3">
        <f t="shared" si="0"/>
        <v>-0.30077945896377806</v>
      </c>
      <c r="M18" s="3"/>
      <c r="N18" s="2">
        <f>IF('Modell einstellen'!$B$1="Voll",H18/0.35,H18/0.35*2)</f>
        <v>6.927449714285715E-4</v>
      </c>
      <c r="O18" s="2">
        <f>IF('Modell einstellen'!$B$1="Voll",J18/0.35,J18/0.35*2)</f>
        <v>-1.3319143428571429E-3</v>
      </c>
      <c r="P18" s="3">
        <f t="shared" si="1"/>
        <v>0.52011225432300434</v>
      </c>
    </row>
    <row r="19" spans="1:16" x14ac:dyDescent="0.25">
      <c r="A19" s="3">
        <v>10</v>
      </c>
      <c r="B19" s="3">
        <v>-3.3300000000000002E-4</v>
      </c>
      <c r="C19" s="3">
        <v>5.3910000000000004E-4</v>
      </c>
      <c r="D19" s="3">
        <v>-3.6380000000000001E-4</v>
      </c>
      <c r="E19" s="3">
        <v>0</v>
      </c>
      <c r="F19" s="3">
        <v>0</v>
      </c>
      <c r="G19" s="3">
        <v>0</v>
      </c>
      <c r="H19" s="3">
        <v>3.2665187000000001E-4</v>
      </c>
      <c r="I19" s="3">
        <v>7.0681114000000002E-5</v>
      </c>
      <c r="J19" s="3">
        <v>-6.2299014999999997E-4</v>
      </c>
      <c r="L19" s="3">
        <f t="shared" si="0"/>
        <v>-0.91533809785596487</v>
      </c>
      <c r="M19" s="3"/>
      <c r="N19" s="2">
        <f>IF('Modell einstellen'!$B$1="Voll",H19/0.35,H19/0.35*2)</f>
        <v>9.3329105714285722E-4</v>
      </c>
      <c r="O19" s="2">
        <f>IF('Modell einstellen'!$B$1="Voll",J19/0.35,J19/0.35*2)</f>
        <v>-1.7799718571428571E-3</v>
      </c>
      <c r="P19" s="3">
        <f t="shared" si="1"/>
        <v>0.52432910857418857</v>
      </c>
    </row>
    <row r="20" spans="1:16" x14ac:dyDescent="0.25">
      <c r="A20" s="3">
        <v>100</v>
      </c>
      <c r="B20" s="3">
        <v>-7.0129999999999997E-4</v>
      </c>
      <c r="C20" s="3">
        <v>7.1650000000000001E-4</v>
      </c>
      <c r="D20" s="3">
        <v>-1.749E-4</v>
      </c>
      <c r="E20" s="3">
        <v>0</v>
      </c>
      <c r="F20" s="3">
        <v>0</v>
      </c>
      <c r="G20" s="3">
        <v>0</v>
      </c>
      <c r="H20" s="3">
        <v>4.5564565999999998E-4</v>
      </c>
      <c r="I20" s="3">
        <v>1.0085202E-4</v>
      </c>
      <c r="J20" s="3">
        <v>-8.6135808000000001E-4</v>
      </c>
      <c r="L20" s="3">
        <f t="shared" si="0"/>
        <v>-4.0097198399085192</v>
      </c>
      <c r="M20" s="3"/>
      <c r="N20" s="2">
        <f>IF('Modell einstellen'!$B$1="Voll",H20/0.35,H20/0.35*2)</f>
        <v>1.3018447428571429E-3</v>
      </c>
      <c r="O20" s="2">
        <f>IF('Modell einstellen'!$B$1="Voll",J20/0.35,J20/0.35*2)</f>
        <v>-2.461023085714286E-3</v>
      </c>
      <c r="P20" s="3">
        <f t="shared" si="1"/>
        <v>0.52898518116878868</v>
      </c>
    </row>
    <row r="21" spans="1:16" x14ac:dyDescent="0.25">
      <c r="A21" s="3">
        <v>1000</v>
      </c>
      <c r="B21" s="3">
        <v>-1.294E-3</v>
      </c>
      <c r="C21" s="3">
        <v>9.5149999999999998E-4</v>
      </c>
      <c r="D21" s="3">
        <v>1.8039999999999999E-4</v>
      </c>
      <c r="E21" s="3">
        <v>0</v>
      </c>
      <c r="F21" s="3">
        <v>0</v>
      </c>
      <c r="G21" s="3">
        <v>0</v>
      </c>
      <c r="H21" s="3">
        <v>6.4216841999999998E-4</v>
      </c>
      <c r="I21" s="3">
        <v>1.4339718000000001E-4</v>
      </c>
      <c r="J21" s="3">
        <v>-1.2021969999999999E-3</v>
      </c>
      <c r="L21" s="3">
        <f t="shared" si="0"/>
        <v>7.1729490022172948</v>
      </c>
      <c r="M21" s="3"/>
      <c r="N21" s="2">
        <f>IF('Modell einstellen'!$B$1="Voll",H21/0.35,H21/0.35*2)</f>
        <v>1.8347669142857145E-3</v>
      </c>
      <c r="O21" s="2">
        <f>IF('Modell einstellen'!$B$1="Voll",J21/0.35,J21/0.35*2)</f>
        <v>-3.4348485714285715E-3</v>
      </c>
      <c r="P21" s="3">
        <f t="shared" si="1"/>
        <v>0.53416238769519475</v>
      </c>
    </row>
    <row r="22" spans="1:16" x14ac:dyDescent="0.25">
      <c r="A22" s="3">
        <v>10000</v>
      </c>
      <c r="B22" s="3">
        <v>-1.9139999999999999E-3</v>
      </c>
      <c r="C22" s="3">
        <v>1.1900000000000001E-3</v>
      </c>
      <c r="D22" s="3">
        <v>5.6130000000000004E-4</v>
      </c>
      <c r="E22" s="3">
        <v>0</v>
      </c>
      <c r="F22" s="3">
        <v>0</v>
      </c>
      <c r="G22" s="3">
        <v>0</v>
      </c>
      <c r="H22" s="3">
        <v>8.2254291000000005E-4</v>
      </c>
      <c r="I22" s="3">
        <v>1.8804573E-4</v>
      </c>
      <c r="J22" s="3">
        <v>-1.5442574E-3</v>
      </c>
      <c r="L22" s="3">
        <f t="shared" si="0"/>
        <v>3.409941207910208</v>
      </c>
      <c r="M22" s="3"/>
      <c r="N22" s="2">
        <f>IF('Modell einstellen'!$B$1="Voll",H22/0.35,H22/0.35*2)</f>
        <v>2.3501226000000003E-3</v>
      </c>
      <c r="O22" s="2">
        <f>IF('Modell einstellen'!$B$1="Voll",J22/0.35,J22/0.35*2)</f>
        <v>-4.4121640000000005E-3</v>
      </c>
      <c r="P22" s="3">
        <f t="shared" si="1"/>
        <v>0.53264624796358429</v>
      </c>
    </row>
    <row r="23" spans="1:16" x14ac:dyDescent="0.25">
      <c r="A23" s="3">
        <v>100000</v>
      </c>
      <c r="B23" s="3">
        <v>-2.4369999999999999E-3</v>
      </c>
      <c r="C23" s="3">
        <v>1.3990000000000001E-3</v>
      </c>
      <c r="D23" s="3">
        <v>8.7529999999999997E-4</v>
      </c>
      <c r="E23" s="3">
        <v>0</v>
      </c>
      <c r="F23" s="3">
        <v>0</v>
      </c>
      <c r="G23" s="3">
        <v>0</v>
      </c>
      <c r="H23" s="3">
        <v>9.6936389000000002E-4</v>
      </c>
      <c r="I23" s="3">
        <v>2.2769448E-4</v>
      </c>
      <c r="J23" s="3">
        <v>-1.8344587E-3</v>
      </c>
      <c r="L23" s="3">
        <f t="shared" si="0"/>
        <v>2.7841882783045815</v>
      </c>
      <c r="M23" s="3"/>
      <c r="N23" s="2">
        <f>IF('Modell einstellen'!$B$1="Voll",H23/0.35,H23/0.35*2)</f>
        <v>2.7696111142857145E-3</v>
      </c>
      <c r="O23" s="2">
        <f>IF('Modell einstellen'!$B$1="Voll",J23/0.35,J23/0.35*2)</f>
        <v>-5.2413105714285719E-3</v>
      </c>
      <c r="P23" s="3">
        <f t="shared" si="1"/>
        <v>0.52841957684847307</v>
      </c>
    </row>
    <row r="24" spans="1:16" x14ac:dyDescent="0.25">
      <c r="A24" s="3">
        <v>1000000</v>
      </c>
      <c r="B24" s="3">
        <v>-2.7100000000000002E-3</v>
      </c>
      <c r="C24" s="3">
        <v>1.531E-3</v>
      </c>
      <c r="D24" s="3">
        <v>1.0169999999999999E-3</v>
      </c>
      <c r="E24" s="3">
        <v>0</v>
      </c>
      <c r="F24" s="3">
        <v>0</v>
      </c>
      <c r="G24" s="3">
        <v>0</v>
      </c>
      <c r="H24" s="3">
        <v>1.0441262000000001E-3</v>
      </c>
      <c r="I24" s="3">
        <v>2.5285956000000001E-4</v>
      </c>
      <c r="J24" s="3">
        <v>-2.0001560999999999E-3</v>
      </c>
      <c r="L24" s="3">
        <f t="shared" si="0"/>
        <v>2.6647000983284173</v>
      </c>
      <c r="M24" s="3"/>
      <c r="N24" s="2">
        <f>IF('Modell einstellen'!$B$1="Voll",H24/0.35,H24/0.35*2)</f>
        <v>2.9832177142857146E-3</v>
      </c>
      <c r="O24" s="2">
        <f>IF('Modell einstellen'!$B$1="Voll",J24/0.35,J24/0.35*2)</f>
        <v>-5.7147317142857146E-3</v>
      </c>
      <c r="P24" s="3">
        <f t="shared" si="1"/>
        <v>0.52202235615510217</v>
      </c>
    </row>
    <row r="25" spans="1:16" x14ac:dyDescent="0.25">
      <c r="A25" s="3">
        <v>10000000</v>
      </c>
      <c r="B25" s="3">
        <v>-2.9320000000000001E-3</v>
      </c>
      <c r="C25" s="3">
        <v>1.6329999999999999E-3</v>
      </c>
      <c r="D25" s="3">
        <v>1.1379999999999999E-3</v>
      </c>
      <c r="E25" s="3">
        <v>0</v>
      </c>
      <c r="F25" s="3">
        <v>0</v>
      </c>
      <c r="G25" s="3">
        <v>0</v>
      </c>
      <c r="H25" s="3">
        <v>1.1071504E-3</v>
      </c>
      <c r="I25" s="3">
        <v>2.7232838000000001E-4</v>
      </c>
      <c r="J25" s="3">
        <v>-2.1334738000000002E-3</v>
      </c>
      <c r="L25" s="3">
        <f t="shared" si="0"/>
        <v>2.5764499121265381</v>
      </c>
      <c r="M25" s="3"/>
      <c r="N25" s="2">
        <f>IF('Modell einstellen'!$B$1="Voll",H25/0.35,H25/0.35*2)</f>
        <v>3.1632868571428575E-3</v>
      </c>
      <c r="O25" s="2">
        <f>IF('Modell einstellen'!$B$1="Voll",J25/0.35,J25/0.35*2)</f>
        <v>-6.0956394285714291E-3</v>
      </c>
      <c r="P25" s="3">
        <f t="shared" si="1"/>
        <v>0.51894258087444056</v>
      </c>
    </row>
    <row r="26" spans="1:16" x14ac:dyDescent="0.25">
      <c r="A26" s="3">
        <v>100000000</v>
      </c>
      <c r="B26" s="3">
        <v>-3.0609999999999999E-3</v>
      </c>
      <c r="C26" s="3">
        <v>1.684E-3</v>
      </c>
      <c r="D26" s="3">
        <v>1.2160000000000001E-3</v>
      </c>
      <c r="E26" s="3">
        <v>0</v>
      </c>
      <c r="F26" s="3">
        <v>0</v>
      </c>
      <c r="G26" s="3">
        <v>0</v>
      </c>
      <c r="H26" s="3">
        <v>1.1420193000000001E-3</v>
      </c>
      <c r="I26" s="3">
        <v>2.8238895000000001E-4</v>
      </c>
      <c r="J26" s="3">
        <v>-2.2046092999999998E-3</v>
      </c>
      <c r="L26" s="3">
        <f t="shared" si="0"/>
        <v>2.5172697368421049</v>
      </c>
      <c r="M26" s="3"/>
      <c r="N26" s="2">
        <f>IF('Modell einstellen'!$B$1="Voll",H26/0.35,H26/0.35*2)</f>
        <v>3.2629122857142862E-3</v>
      </c>
      <c r="O26" s="2">
        <f>IF('Modell einstellen'!$B$1="Voll",J26/0.35,J26/0.35*2)</f>
        <v>-6.2988837142857138E-3</v>
      </c>
      <c r="P26" s="3">
        <f t="shared" si="1"/>
        <v>0.51801437107246184</v>
      </c>
    </row>
    <row r="27" spans="1:16" x14ac:dyDescent="0.25">
      <c r="A27" s="3">
        <v>1000000000</v>
      </c>
      <c r="B27" s="3">
        <v>-3.137E-3</v>
      </c>
      <c r="C27" s="3">
        <v>1.7260000000000001E-3</v>
      </c>
      <c r="D27" s="3">
        <v>1.2489999999999999E-3</v>
      </c>
      <c r="E27" s="3">
        <v>0</v>
      </c>
      <c r="F27" s="3">
        <v>0</v>
      </c>
      <c r="G27" s="3">
        <v>0</v>
      </c>
      <c r="H27" s="3">
        <v>1.1621555E-3</v>
      </c>
      <c r="I27" s="3">
        <v>2.9047304000000003E-4</v>
      </c>
      <c r="J27" s="3">
        <v>-2.2539299999999999E-3</v>
      </c>
      <c r="L27" s="3">
        <f t="shared" si="0"/>
        <v>2.5116092874299443</v>
      </c>
      <c r="M27" s="3"/>
      <c r="N27" s="2">
        <f>IF('Modell einstellen'!$B$1="Voll",H27/0.35,H27/0.35*2)</f>
        <v>3.3204442857142857E-3</v>
      </c>
      <c r="O27" s="2">
        <f>IF('Modell einstellen'!$B$1="Voll",J27/0.35,J27/0.35*2)</f>
        <v>-6.4397999999999999E-3</v>
      </c>
      <c r="P27" s="3">
        <f t="shared" si="1"/>
        <v>0.51561295160009402</v>
      </c>
    </row>
    <row r="28" spans="1:16" x14ac:dyDescent="0.25">
      <c r="A28" s="3">
        <v>10000000000</v>
      </c>
      <c r="B28" s="3">
        <v>-3.359E-3</v>
      </c>
      <c r="C28" s="3">
        <v>1.8010000000000001E-3</v>
      </c>
      <c r="D28" s="3">
        <v>1.3960000000000001E-3</v>
      </c>
      <c r="E28" s="3">
        <v>0</v>
      </c>
      <c r="F28" s="3">
        <v>0</v>
      </c>
      <c r="G28" s="3">
        <v>0</v>
      </c>
      <c r="H28" s="3">
        <v>1.2265326E-3</v>
      </c>
      <c r="I28" s="3">
        <v>3.0539256000000002E-4</v>
      </c>
      <c r="J28" s="3">
        <v>-2.3720225999999999E-3</v>
      </c>
      <c r="L28" s="3">
        <f t="shared" si="0"/>
        <v>2.4061604584527219</v>
      </c>
      <c r="M28" s="3"/>
      <c r="N28" s="2">
        <f>IF('Modell einstellen'!$B$1="Voll",H28/0.35,H28/0.35*2)</f>
        <v>3.5043788571428574E-3</v>
      </c>
      <c r="O28" s="2">
        <f>IF('Modell einstellen'!$B$1="Voll",J28/0.35,J28/0.35*2)</f>
        <v>-6.7772074285714287E-3</v>
      </c>
      <c r="P28" s="3">
        <f t="shared" si="1"/>
        <v>0.51708301598812767</v>
      </c>
    </row>
    <row r="29" spans="1:16" x14ac:dyDescent="0.25">
      <c r="A29" s="3">
        <v>100000000000</v>
      </c>
      <c r="B29" s="3">
        <v>-3.431E-3</v>
      </c>
      <c r="C29" s="3">
        <v>1.841E-3</v>
      </c>
      <c r="D29" s="3">
        <v>1.4289999999999999E-3</v>
      </c>
      <c r="E29" s="3">
        <v>0</v>
      </c>
      <c r="F29" s="3">
        <v>0</v>
      </c>
      <c r="G29" s="3">
        <v>0</v>
      </c>
      <c r="H29" s="3">
        <v>1.2475000999999999E-3</v>
      </c>
      <c r="I29" s="3">
        <v>3.1287903E-4</v>
      </c>
      <c r="J29" s="3">
        <v>-2.4200068E-3</v>
      </c>
      <c r="L29" s="3">
        <f t="shared" si="0"/>
        <v>2.4009797060881737</v>
      </c>
      <c r="M29" s="3"/>
      <c r="N29" s="2">
        <f>IF('Modell einstellen'!$B$1="Voll",H29/0.35,H29/0.35*2)</f>
        <v>3.5642860000000003E-3</v>
      </c>
      <c r="O29" s="2">
        <f>IF('Modell einstellen'!$B$1="Voll",J29/0.35,J29/0.35*2)</f>
        <v>-6.9143051428571436E-3</v>
      </c>
      <c r="P29" s="3">
        <f t="shared" si="1"/>
        <v>0.51549446059407766</v>
      </c>
    </row>
    <row r="30" spans="1:16" x14ac:dyDescent="0.25">
      <c r="A30" s="3">
        <v>1000000000000</v>
      </c>
      <c r="B30" s="3">
        <v>-3.437E-3</v>
      </c>
      <c r="C30" s="3">
        <v>1.8439999999999999E-3</v>
      </c>
      <c r="D30" s="3">
        <v>1.431E-3</v>
      </c>
      <c r="E30" s="3">
        <v>0</v>
      </c>
      <c r="F30" s="3">
        <v>0</v>
      </c>
      <c r="G30" s="3">
        <v>0</v>
      </c>
      <c r="H30" s="3">
        <v>1.2499195999999999E-3</v>
      </c>
      <c r="I30" s="3">
        <v>3.1354031999999998E-4</v>
      </c>
      <c r="J30" s="3">
        <v>-2.4248068000000001E-3</v>
      </c>
      <c r="L30" s="3">
        <f t="shared" si="0"/>
        <v>2.4018169112508736</v>
      </c>
      <c r="M30" s="3"/>
      <c r="N30" s="2">
        <f>IF('Modell einstellen'!$B$1="Voll",H30/0.35,H30/0.35*2)</f>
        <v>3.5711988571428574E-3</v>
      </c>
      <c r="O30" s="2">
        <f>IF('Modell einstellen'!$B$1="Voll",J30/0.35,J30/0.35*2)</f>
        <v>-6.9280194285714298E-3</v>
      </c>
      <c r="P30" s="3">
        <f t="shared" si="1"/>
        <v>0.51547183058048163</v>
      </c>
    </row>
    <row r="31" spans="1:16" x14ac:dyDescent="0.25">
      <c r="A31" s="3">
        <v>10000000000000</v>
      </c>
      <c r="B31" s="3">
        <v>-3.4380000000000001E-3</v>
      </c>
      <c r="C31" s="3">
        <v>1.846E-3</v>
      </c>
      <c r="D31" s="3">
        <v>1.4300000000000001E-3</v>
      </c>
      <c r="E31" s="3">
        <v>0</v>
      </c>
      <c r="F31" s="3">
        <v>0</v>
      </c>
      <c r="G31" s="3">
        <v>0</v>
      </c>
      <c r="H31" s="3">
        <v>1.2504059999999999E-3</v>
      </c>
      <c r="I31" s="3">
        <v>3.1379478999999999E-4</v>
      </c>
      <c r="J31" s="3">
        <v>-2.4262153999999999E-3</v>
      </c>
      <c r="L31" s="3">
        <f t="shared" si="0"/>
        <v>2.4041958041958043</v>
      </c>
      <c r="M31" s="3"/>
      <c r="N31" s="2">
        <f>IF('Modell einstellen'!$B$1="Voll",H31/0.35,H31/0.35*2)</f>
        <v>3.5725885714285714E-3</v>
      </c>
      <c r="O31" s="2">
        <f>IF('Modell einstellen'!$B$1="Voll",J31/0.35,J31/0.35*2)</f>
        <v>-6.9320440000000001E-3</v>
      </c>
      <c r="P31" s="3">
        <f t="shared" si="1"/>
        <v>0.51537303736510776</v>
      </c>
    </row>
    <row r="32" spans="1:16" x14ac:dyDescent="0.25">
      <c r="A32" s="3">
        <v>100000000000000</v>
      </c>
      <c r="B32" s="3">
        <v>-3.4390000000000002E-3</v>
      </c>
      <c r="C32" s="3">
        <v>1.846E-3</v>
      </c>
      <c r="D32" s="3">
        <v>1.431E-3</v>
      </c>
      <c r="E32" s="3">
        <v>0</v>
      </c>
      <c r="F32" s="3">
        <v>0</v>
      </c>
      <c r="G32" s="3">
        <v>0</v>
      </c>
      <c r="H32" s="3">
        <v>1.2510918E-3</v>
      </c>
      <c r="I32" s="3">
        <v>3.1387020999999998E-4</v>
      </c>
      <c r="J32" s="3">
        <v>-2.4271774000000001E-3</v>
      </c>
      <c r="L32" s="3">
        <f t="shared" si="0"/>
        <v>2.4032145352900072</v>
      </c>
      <c r="M32" s="3"/>
      <c r="N32" s="2">
        <f>IF('Modell einstellen'!$B$1="Voll",H32/0.35,H32/0.35*2)</f>
        <v>3.5745480000000003E-3</v>
      </c>
      <c r="O32" s="2">
        <f>IF('Modell einstellen'!$B$1="Voll",J32/0.35,J32/0.35*2)</f>
        <v>-6.9347925714285724E-3</v>
      </c>
      <c r="P32" s="3">
        <f t="shared" si="1"/>
        <v>0.51545132218188916</v>
      </c>
    </row>
    <row r="33" spans="1:16" x14ac:dyDescent="0.25">
      <c r="A33" s="3">
        <v>1000000000000000</v>
      </c>
      <c r="B33" s="3">
        <v>-3.4399999999999999E-3</v>
      </c>
      <c r="C33" s="3">
        <v>1.8469999999999999E-3</v>
      </c>
      <c r="D33" s="3">
        <v>1.431E-3</v>
      </c>
      <c r="E33" s="3">
        <v>0</v>
      </c>
      <c r="F33" s="3">
        <v>0</v>
      </c>
      <c r="G33" s="3">
        <v>0</v>
      </c>
      <c r="H33" s="3">
        <v>1.2517467E-3</v>
      </c>
      <c r="I33" s="3">
        <v>3.1396454999999999E-4</v>
      </c>
      <c r="J33" s="3">
        <v>-2.4281709000000002E-3</v>
      </c>
      <c r="L33" s="3">
        <f t="shared" si="0"/>
        <v>2.4039133473095737</v>
      </c>
      <c r="M33" s="3"/>
      <c r="N33" s="2">
        <f>IF('Modell einstellen'!$B$1="Voll",H33/0.35,H33/0.35*2)</f>
        <v>3.5764191428571432E-3</v>
      </c>
      <c r="O33" s="2">
        <f>IF('Modell einstellen'!$B$1="Voll",J33/0.35,J33/0.35*2)</f>
        <v>-6.9376311428571442E-3</v>
      </c>
      <c r="P33" s="3">
        <f t="shared" si="1"/>
        <v>0.51551013151504277</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15</vt:i4>
      </vt:variant>
      <vt:variant>
        <vt:lpstr>Benannte Bereiche</vt:lpstr>
      </vt:variant>
      <vt:variant>
        <vt:i4>9</vt:i4>
      </vt:variant>
    </vt:vector>
  </HeadingPairs>
  <TitlesOfParts>
    <vt:vector size="24" baseType="lpstr">
      <vt:lpstr>Modell einstellen</vt:lpstr>
      <vt:lpstr>Output</vt:lpstr>
      <vt:lpstr>CTE</vt:lpstr>
      <vt:lpstr>STUTT</vt:lpstr>
      <vt:lpstr>Comparison</vt:lpstr>
      <vt:lpstr>Mastercurve bestimmen</vt:lpstr>
      <vt:lpstr>Universal Mastercurve</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2022-01-22T08:29:43Z</dcterms:modified>
</cp:coreProperties>
</file>