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P33" i="11"/>
  <c r="O33" i="11"/>
  <c r="N33" i="11"/>
  <c r="O32" i="11"/>
  <c r="N32" i="11"/>
  <c r="P32" i="11" s="1"/>
  <c r="P31" i="11"/>
  <c r="O31" i="11"/>
  <c r="N31" i="11"/>
  <c r="O30" i="11"/>
  <c r="N30" i="11"/>
  <c r="P30" i="11" s="1"/>
  <c r="P29" i="11"/>
  <c r="O29" i="11"/>
  <c r="N29" i="11"/>
  <c r="O28" i="11"/>
  <c r="N28" i="11"/>
  <c r="P28" i="11" s="1"/>
  <c r="P27" i="11"/>
  <c r="O27" i="11"/>
  <c r="N27" i="11"/>
  <c r="O26" i="11"/>
  <c r="N26" i="11"/>
  <c r="P26" i="11" s="1"/>
  <c r="P25" i="11"/>
  <c r="O25" i="11"/>
  <c r="N25" i="11"/>
  <c r="O24" i="11"/>
  <c r="N24" i="11"/>
  <c r="P24" i="11" s="1"/>
  <c r="P23" i="11"/>
  <c r="O23" i="11"/>
  <c r="N23" i="11"/>
  <c r="O22" i="11"/>
  <c r="N22" i="11"/>
  <c r="P22" i="11" s="1"/>
  <c r="P21" i="11"/>
  <c r="O21" i="11"/>
  <c r="N21" i="11"/>
  <c r="O20" i="11"/>
  <c r="N20" i="11"/>
  <c r="P20" i="11" s="1"/>
  <c r="P19" i="11"/>
  <c r="O19" i="11"/>
  <c r="N19" i="11"/>
  <c r="O18" i="11"/>
  <c r="N18" i="11"/>
  <c r="P18" i="11" s="1"/>
  <c r="P17" i="11"/>
  <c r="O17" i="11"/>
  <c r="N17" i="11"/>
  <c r="O16" i="11"/>
  <c r="N16" i="11"/>
  <c r="P16" i="11" s="1"/>
  <c r="P15" i="11"/>
  <c r="O15" i="11"/>
  <c r="N15" i="11"/>
  <c r="O14" i="11"/>
  <c r="N14" i="11"/>
  <c r="P14" i="11" s="1"/>
  <c r="P13" i="11"/>
  <c r="O13" i="11"/>
  <c r="N13" i="11"/>
  <c r="O12" i="11"/>
  <c r="N12" i="11"/>
  <c r="P12" i="11" s="1"/>
  <c r="P11" i="11"/>
  <c r="O11" i="11"/>
  <c r="N11" i="11"/>
  <c r="O10" i="11"/>
  <c r="N10" i="11"/>
  <c r="P10" i="11" s="1"/>
  <c r="P9" i="11"/>
  <c r="O9" i="11"/>
  <c r="N9" i="11"/>
  <c r="O8" i="11"/>
  <c r="N8" i="11"/>
  <c r="P8" i="11" s="1"/>
  <c r="P7" i="11"/>
  <c r="O7" i="11"/>
  <c r="N7" i="11"/>
  <c r="O6" i="11"/>
  <c r="N6" i="11"/>
  <c r="P6" i="11" s="1"/>
  <c r="P5" i="11"/>
  <c r="O5" i="11"/>
  <c r="N5" i="11"/>
  <c r="O4" i="11"/>
  <c r="N4" i="11"/>
  <c r="P4" i="11" s="1"/>
  <c r="P3" i="11"/>
  <c r="O3" i="11"/>
  <c r="N3" i="11"/>
  <c r="A18" i="43" l="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<sst xmlns="http://schemas.openxmlformats.org/spreadsheetml/2006/main" count="309" uniqueCount="163">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</sst>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687122792"/>
        <c:axId val="6871267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1227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6712"/>
        <c:crossesAt val="-8.0000000000000019E-3"/>
        <c:crossBetween val="midCat"/>
      </c:valAx>
      <c:valAx>
        <c:axId val="687126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27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687123968"/>
        <c:axId val="6871259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12396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5928"/>
        <c:crosses val="autoZero"/>
        <c:crossBetween val="midCat"/>
      </c:valAx>
      <c:valAx>
        <c:axId val="68712592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396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687124752"/>
        <c:axId val="6871263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6871247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6320"/>
        <c:crosses val="autoZero"/>
        <c:crossBetween val="midCat"/>
        <c:majorUnit val="10000"/>
      </c:valAx>
      <c:valAx>
        <c:axId val="68712632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475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87125536"/>
        <c:axId val="6871271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1255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127104"/>
        <c:crosses val="autoZero"/>
        <c:crossBetween val="midCat"/>
        <c:majorUnit val="10000"/>
      </c:valAx>
      <c:valAx>
        <c:axId val="68712710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12553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87127888"/>
        <c:axId val="687120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1278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0440"/>
        <c:crosses val="autoZero"/>
        <c:crossBetween val="midCat"/>
        <c:majorUnit val="10000"/>
      </c:valAx>
      <c:valAx>
        <c:axId val="68712044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2788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5.8822277032040659E-6</c:v>
                </c:pt>
                <c:pt idx="1">
                  <c:v>3.1292460163817796E-7</c:v>
                </c:pt>
                <c:pt idx="2">
                  <c:v>3.4718330964651326E-6</c:v>
                </c:pt>
                <c:pt idx="3">
                  <c:v>4.6156941511685394E-6</c:v>
                </c:pt>
                <c:pt idx="4">
                  <c:v>4.9605879372074826E-6</c:v>
                </c:pt>
                <c:pt idx="5">
                  <c:v>5.0715933726541635E-6</c:v>
                </c:pt>
                <c:pt idx="6">
                  <c:v>5.101733771300321E-6</c:v>
                </c:pt>
                <c:pt idx="7">
                  <c:v>4.8484833132307447E-6</c:v>
                </c:pt>
                <c:pt idx="8">
                  <c:v>2.3494290079813154E-6</c:v>
                </c:pt>
                <c:pt idx="9">
                  <c:v>1.9635941321651737E-5</c:v>
                </c:pt>
                <c:pt idx="10">
                  <c:v>5.6438230560157287E-5</c:v>
                </c:pt>
                <c:pt idx="11">
                  <c:v>9.6370424747464401E-5</c:v>
                </c:pt>
                <c:pt idx="12">
                  <c:v>1.2158075574748361E-4</c:v>
                </c:pt>
                <c:pt idx="13">
                  <c:v>1.3192310963620831E-4</c:v>
                </c:pt>
                <c:pt idx="14">
                  <c:v>1.2397952283339808E-4</c:v>
                </c:pt>
                <c:pt idx="15">
                  <c:v>9.9573991067723118E-5</c:v>
                </c:pt>
                <c:pt idx="16">
                  <c:v>6.9148170083638413E-5</c:v>
                </c:pt>
                <c:pt idx="17">
                  <c:v>4.2395387991534269E-5</c:v>
                </c:pt>
                <c:pt idx="18">
                  <c:v>2.2662255004447853E-5</c:v>
                </c:pt>
                <c:pt idx="19">
                  <c:v>1.0238187651819631E-5</c:v>
                </c:pt>
                <c:pt idx="20">
                  <c:v>3.7673055354275083E-6</c:v>
                </c:pt>
                <c:pt idx="21">
                  <c:v>1.0874723665866416E-6</c:v>
                </c:pt>
                <c:pt idx="22">
                  <c:v>4.3265634545997811E-7</c:v>
                </c:pt>
                <c:pt idx="23">
                  <c:v>4.4314099117206064E-7</c:v>
                </c:pt>
                <c:pt idx="24">
                  <c:v>3.6912463764745561E-6</c:v>
                </c:pt>
                <c:pt idx="25">
                  <c:v>6.8933953209469683E-6</c:v>
                </c:pt>
                <c:pt idx="26">
                  <c:v>3.5096578114306925E-6</c:v>
                </c:pt>
                <c:pt idx="27">
                  <c:v>9.9295200893702312E-6</c:v>
                </c:pt>
                <c:pt idx="28">
                  <c:v>2.6026622173401142E-5</c:v>
                </c:pt>
                <c:pt idx="29">
                  <c:v>2.383951423653847E-5</c:v>
                </c:pt>
                <c:pt idx="30">
                  <c:v>8.705901078462246E-6</c:v>
                </c:pt>
              </c:numCache>
            </c:numRef>
          </c:yVal>
          <c:smooth val="1"/>
        </c:ser>
        <c:dLbls>
          <c:showLegendKey val="0"/>
          <c:showVal val="0"/>
          <c:showCatName val="0"/>
          <c:showSerName val="0"/>
          <c:showPercent val="0"/>
          <c:showBubbleSize val="0"/>
        </c:dLbls>
        <c:axId val="710151760"/>
        <c:axId val="710151368"/>
      </c:scatterChart>
      <c:valAx>
        <c:axId val="7101517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51368"/>
        <c:crossesAt val="-1.5000000000000005E-3"/>
        <c:crossBetween val="midCat"/>
      </c:valAx>
      <c:valAx>
        <c:axId val="710151368"/>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517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5924.3223454607651</c:v>
                </c:pt>
                <c:pt idx="1">
                  <c:v>5924.3223454382824</c:v>
                </c:pt>
                <c:pt idx="2">
                  <c:v>5924.3223452134616</c:v>
                </c:pt>
                <c:pt idx="3">
                  <c:v>5924.3223429652517</c:v>
                </c:pt>
                <c:pt idx="4">
                  <c:v>5924.3223204831502</c:v>
                </c:pt>
                <c:pt idx="5">
                  <c:v>5924.3220956624627</c:v>
                </c:pt>
                <c:pt idx="6">
                  <c:v>5924.3198474884048</c:v>
                </c:pt>
                <c:pt idx="7">
                  <c:v>5924.2973690295794</c:v>
                </c:pt>
                <c:pt idx="8">
                  <c:v>5924.0729116822522</c:v>
                </c:pt>
                <c:pt idx="9">
                  <c:v>5921.8601540583113</c:v>
                </c:pt>
                <c:pt idx="10">
                  <c:v>5902.2081103099545</c:v>
                </c:pt>
                <c:pt idx="11">
                  <c:v>5789.3269779329539</c:v>
                </c:pt>
                <c:pt idx="12">
                  <c:v>5647.0619575109667</c:v>
                </c:pt>
                <c:pt idx="13">
                  <c:v>5493.8054243942206</c:v>
                </c:pt>
                <c:pt idx="14">
                  <c:v>5309.5141162606951</c:v>
                </c:pt>
                <c:pt idx="15">
                  <c:v>5117.4278504261974</c:v>
                </c:pt>
                <c:pt idx="16">
                  <c:v>4888.6691773134917</c:v>
                </c:pt>
                <c:pt idx="17">
                  <c:v>4599.3359574428214</c:v>
                </c:pt>
                <c:pt idx="18">
                  <c:v>4272.2957947174973</c:v>
                </c:pt>
                <c:pt idx="19">
                  <c:v>3941.1873595578249</c:v>
                </c:pt>
                <c:pt idx="20">
                  <c:v>3608.4814380980879</c:v>
                </c:pt>
                <c:pt idx="21">
                  <c:v>3262.5497579342496</c:v>
                </c:pt>
                <c:pt idx="22">
                  <c:v>2841.3133485517315</c:v>
                </c:pt>
                <c:pt idx="23">
                  <c:v>2350.399363924254</c:v>
                </c:pt>
                <c:pt idx="24">
                  <c:v>1794.2863976892534</c:v>
                </c:pt>
                <c:pt idx="25">
                  <c:v>1192.7443975902963</c:v>
                </c:pt>
                <c:pt idx="26">
                  <c:v>712.56457401443936</c:v>
                </c:pt>
                <c:pt idx="27">
                  <c:v>405.79753627693225</c:v>
                </c:pt>
                <c:pt idx="28">
                  <c:v>227.75057802143948</c:v>
                </c:pt>
                <c:pt idx="29">
                  <c:v>157.27859013277902</c:v>
                </c:pt>
                <c:pt idx="30">
                  <c:v>137.32710648672062</c:v>
                </c:pt>
              </c:numCache>
            </c:numRef>
          </c:yVal>
          <c:smooth val="1"/>
        </c:ser>
        <c:dLbls>
          <c:showLegendKey val="0"/>
          <c:showVal val="0"/>
          <c:showCatName val="0"/>
          <c:showSerName val="0"/>
          <c:showPercent val="0"/>
          <c:showBubbleSize val="0"/>
        </c:dLbls>
        <c:axId val="710150192"/>
        <c:axId val="710147840"/>
      </c:scatterChart>
      <c:valAx>
        <c:axId val="710150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47840"/>
        <c:crosses val="autoZero"/>
        <c:crossBetween val="midCat"/>
      </c:valAx>
      <c:valAx>
        <c:axId val="710147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501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3.5604322043284579E-3</c:v>
                </c:pt>
                <c:pt idx="11">
                  <c:v>3.5604346398845741E-3</c:v>
                </c:pt>
                <c:pt idx="12">
                  <c:v>3.5604183712029604E-3</c:v>
                </c:pt>
                <c:pt idx="13">
                  <c:v>3.5601777903229229E-3</c:v>
                </c:pt>
                <c:pt idx="14">
                  <c:v>3.557843305653713E-3</c:v>
                </c:pt>
                <c:pt idx="15">
                  <c:v>3.5344189302547622E-3</c:v>
                </c:pt>
                <c:pt idx="16">
                  <c:v>3.2954061409795005E-3</c:v>
                </c:pt>
                <c:pt idx="17">
                  <c:v>1.2741328130697535E-3</c:v>
                </c:pt>
                <c:pt idx="18">
                  <c:v>2.8973638785561064E-3</c:v>
                </c:pt>
                <c:pt idx="19">
                  <c:v>4.8277902267649688E-4</c:v>
                </c:pt>
                <c:pt idx="20">
                  <c:v>2.8809430042563452E-3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5.8822277032040659E-6</c:v>
                </c:pt>
                <c:pt idx="1">
                  <c:v>3.1292460194521538E-7</c:v>
                </c:pt>
                <c:pt idx="2">
                  <c:v>3.4718330918595536E-6</c:v>
                </c:pt>
                <c:pt idx="3">
                  <c:v>4.6156941037310191E-6</c:v>
                </c:pt>
                <c:pt idx="4">
                  <c:v>4.9605874642137926E-6</c:v>
                </c:pt>
                <c:pt idx="5">
                  <c:v>5.0715886424095175E-6</c:v>
                </c:pt>
                <c:pt idx="6">
                  <c:v>5.1016864706767209E-6</c:v>
                </c:pt>
                <c:pt idx="7">
                  <c:v>4.8480104310528246E-6</c:v>
                </c:pt>
                <c:pt idx="8">
                  <c:v>2.3447125199785407E-6</c:v>
                </c:pt>
                <c:pt idx="9">
                  <c:v>1.9681923475731303E-5</c:v>
                </c:pt>
                <c:pt idx="10">
                  <c:v>5.6816037531299675E-5</c:v>
                </c:pt>
                <c:pt idx="11">
                  <c:v>9.4819587080092753E-5</c:v>
                </c:pt>
                <c:pt idx="12">
                  <c:v>1.2275007095534823E-4</c:v>
                </c:pt>
                <c:pt idx="13">
                  <c:v>1.3019703982156022E-4</c:v>
                </c:pt>
                <c:pt idx="14">
                  <c:v>1.2571848690057805E-4</c:v>
                </c:pt>
                <c:pt idx="15">
                  <c:v>9.765728892949371E-5</c:v>
                </c:pt>
                <c:pt idx="16">
                  <c:v>7.1706365369923939E-5</c:v>
                </c:pt>
                <c:pt idx="17">
                  <c:v>3.926943654964659E-5</c:v>
                </c:pt>
                <c:pt idx="18">
                  <c:v>2.6033047971545064E-5</c:v>
                </c:pt>
                <c:pt idx="19">
                  <c:v>6.7336645530616488E-6</c:v>
                </c:pt>
                <c:pt idx="20">
                  <c:v>7.8209824423340908E-6</c:v>
                </c:pt>
                <c:pt idx="21">
                  <c:v>3.1668333954250039E-6</c:v>
                </c:pt>
                <c:pt idx="22">
                  <c:v>9.3978148416304017E-6</c:v>
                </c:pt>
                <c:pt idx="23">
                  <c:v>1.2295080859287099E-5</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1.0212132999393992E-2</c:v>
                </c:pt>
                <c:pt idx="11">
                  <c:v>1.1765234582134416E-2</c:v>
                </c:pt>
                <c:pt idx="12">
                  <c:v>5.9468902018803022E-3</c:v>
                </c:pt>
                <c:pt idx="13">
                  <c:v>8.8211012205219406E-3</c:v>
                </c:pt>
                <c:pt idx="14">
                  <c:v>2.1076363790571106E-2</c:v>
                </c:pt>
                <c:pt idx="15">
                  <c:v>3.2928477671740779E-2</c:v>
                </c:pt>
                <c:pt idx="16">
                  <c:v>2.1420512950509157E-2</c:v>
                </c:pt>
                <c:pt idx="17">
                  <c:v>1.4331167612673642E-2</c:v>
                </c:pt>
                <c:pt idx="18">
                  <c:v>8.2461819576337553E-3</c:v>
                </c:pt>
                <c:pt idx="19">
                  <c:v>4.2275224623449299E-2</c:v>
                </c:pt>
                <c:pt idx="20">
                  <c:v>5.1981640146619906E-2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5.9504414561746483E-3</c:v>
                </c:pt>
                <c:pt idx="11">
                  <c:v>2.0835093811589038E-2</c:v>
                </c:pt>
                <c:pt idx="12">
                  <c:v>8.8393490240007352E-3</c:v>
                </c:pt>
                <c:pt idx="13">
                  <c:v>6.8347952382262593E-3</c:v>
                </c:pt>
                <c:pt idx="14">
                  <c:v>9.9789440688437016E-3</c:v>
                </c:pt>
                <c:pt idx="15">
                  <c:v>0.10229375928360507</c:v>
                </c:pt>
                <c:pt idx="16">
                  <c:v>0.37618912236102992</c:v>
                </c:pt>
                <c:pt idx="17">
                  <c:v>0.37810113279804586</c:v>
                </c:pt>
                <c:pt idx="18">
                  <c:v>0.37752967725041675</c:v>
                </c:pt>
                <c:pt idx="19">
                  <c:v>0.37690551253971288</c:v>
                </c:pt>
                <c:pt idx="20">
                  <c:v>0.37611606472559289</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710146664"/>
        <c:axId val="710152152"/>
      </c:scatterChart>
      <c:valAx>
        <c:axId val="7101466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52152"/>
        <c:crossesAt val="1.0000000000000005E-9"/>
        <c:crossBetween val="midCat"/>
      </c:valAx>
      <c:valAx>
        <c:axId val="710152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4666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-15.228303580211474</c:v>
                </c:pt>
                <c:pt idx="1">
                  <c:v>-10.887748608871126</c:v>
                </c:pt>
                <c:pt idx="2">
                  <c:v>-6.2347258950093387</c:v>
                </c:pt>
                <c:pt idx="3">
                  <c:v>0</c:v>
                </c:pt>
                <c:pt idx="4">
                  <c:v>12.013708800717376</c:v>
                </c:pt>
                <c:pt idx="5">
                  <c:v>32.069911490452888</c:v>
                </c:pt>
                <c:pt idx="6">
                  <c:v>36.229370550672115</c:v>
                </c:pt>
              </c:numCache>
            </c:numRef>
          </c:yVal>
          <c:smooth val="0"/>
        </c:ser>
        <c:dLbls>
          <c:showLegendKey val="0"/>
          <c:showVal val="0"/>
          <c:showCatName val="0"/>
          <c:showSerName val="0"/>
          <c:showPercent val="0"/>
          <c:showBubbleSize val="0"/>
        </c:dLbls>
        <c:axId val="710145096"/>
        <c:axId val="710148232"/>
      </c:scatterChart>
      <c:valAx>
        <c:axId val="710145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48232"/>
        <c:crossesAt val="-100"/>
        <c:crossBetween val="midCat"/>
      </c:valAx>
      <c:valAx>
        <c:axId val="710148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4509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710145488"/>
        <c:axId val="710149016"/>
      </c:scatterChart>
      <c:valAx>
        <c:axId val="7101454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49016"/>
        <c:crosses val="autoZero"/>
        <c:crossBetween val="midCat"/>
      </c:valAx>
      <c:valAx>
        <c:axId val="71014901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1014548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-15.228303580211474</c:v>
                </c:pt>
                <c:pt idx="1">
                  <c:v>-15.152706178512139</c:v>
                </c:pt>
                <c:pt idx="2">
                  <c:v>-15.076985262844383</c:v>
                </c:pt>
                <c:pt idx="3">
                  <c:v>-15.001017319239788</c:v>
                </c:pt>
                <c:pt idx="4">
                  <c:v>-14.924678833729928</c:v>
                </c:pt>
                <c:pt idx="5">
                  <c:v>-14.847846292346386</c:v>
                </c:pt>
                <c:pt idx="6">
                  <c:v>-14.770396181120736</c:v>
                </c:pt>
                <c:pt idx="7">
                  <c:v>-14.692204986084564</c:v>
                </c:pt>
                <c:pt idx="8">
                  <c:v>-14.613149193269443</c:v>
                </c:pt>
                <c:pt idx="9">
                  <c:v>-14.533105288706956</c:v>
                </c:pt>
                <c:pt idx="10">
                  <c:v>-14.451949758428681</c:v>
                </c:pt>
                <c:pt idx="11">
                  <c:v>-14.369559088466197</c:v>
                </c:pt>
                <c:pt idx="12">
                  <c:v>-14.285809764851081</c:v>
                </c:pt>
                <c:pt idx="13">
                  <c:v>-14.200578273614916</c:v>
                </c:pt>
                <c:pt idx="14">
                  <c:v>-14.11374110078928</c:v>
                </c:pt>
                <c:pt idx="15">
                  <c:v>-14.02517473240575</c:v>
                </c:pt>
                <c:pt idx="16">
                  <c:v>-13.934755654495904</c:v>
                </c:pt>
                <c:pt idx="17">
                  <c:v>-13.842360353091324</c:v>
                </c:pt>
                <c:pt idx="18">
                  <c:v>-13.74786531422359</c:v>
                </c:pt>
                <c:pt idx="19">
                  <c:v>-13.651147023924281</c:v>
                </c:pt>
                <c:pt idx="20">
                  <c:v>-13.552081968224972</c:v>
                </c:pt>
                <c:pt idx="21">
                  <c:v>-13.450546633157245</c:v>
                </c:pt>
                <c:pt idx="22">
                  <c:v>-13.346417504752679</c:v>
                </c:pt>
                <c:pt idx="23">
                  <c:v>-13.239571069042853</c:v>
                </c:pt>
                <c:pt idx="24">
                  <c:v>-13.129883812059344</c:v>
                </c:pt>
                <c:pt idx="25">
                  <c:v>-13.017232219833735</c:v>
                </c:pt>
                <c:pt idx="26">
                  <c:v>-12.901492778397603</c:v>
                </c:pt>
                <c:pt idx="27">
                  <c:v>-12.782541973782525</c:v>
                </c:pt>
                <c:pt idx="28">
                  <c:v>-12.660256292020087</c:v>
                </c:pt>
                <c:pt idx="29">
                  <c:v>-12.53451221914186</c:v>
                </c:pt>
                <c:pt idx="30">
                  <c:v>-12.405186241179425</c:v>
                </c:pt>
                <c:pt idx="31">
                  <c:v>-12.272154844164366</c:v>
                </c:pt>
                <c:pt idx="32">
                  <c:v>-12.135294514128255</c:v>
                </c:pt>
                <c:pt idx="33">
                  <c:v>-11.994481737102676</c:v>
                </c:pt>
                <c:pt idx="34">
                  <c:v>-11.849592999119206</c:v>
                </c:pt>
                <c:pt idx="35">
                  <c:v>-11.700504786209427</c:v>
                </c:pt>
                <c:pt idx="36">
                  <c:v>-11.547093584404914</c:v>
                </c:pt>
                <c:pt idx="37">
                  <c:v>-11.389235879737249</c:v>
                </c:pt>
                <c:pt idx="38">
                  <c:v>-11.226808158238009</c:v>
                </c:pt>
                <c:pt idx="39">
                  <c:v>-11.059686905938776</c:v>
                </c:pt>
                <c:pt idx="40">
                  <c:v>-10.887748608871124</c:v>
                </c:pt>
                <c:pt idx="41">
                  <c:v>-10.743925250176044</c:v>
                </c:pt>
                <c:pt idx="42">
                  <c:v>-10.595324690003579</c:v>
                </c:pt>
                <c:pt idx="43">
                  <c:v>-10.44211028561317</c:v>
                </c:pt>
                <c:pt idx="44">
                  <c:v>-10.284445394264269</c:v>
                </c:pt>
                <c:pt idx="45">
                  <c:v>-10.122493373216329</c:v>
                </c:pt>
                <c:pt idx="46">
                  <c:v>-9.9564175797287948</c:v>
                </c:pt>
                <c:pt idx="47">
                  <c:v>-9.7863813710611129</c:v>
                </c:pt>
                <c:pt idx="48">
                  <c:v>-9.6125481044727348</c:v>
                </c:pt>
                <c:pt idx="49">
                  <c:v>-9.4350811372231096</c:v>
                </c:pt>
                <c:pt idx="50">
                  <c:v>-9.2541438265716849</c:v>
                </c:pt>
                <c:pt idx="51">
                  <c:v>-9.0698995297779064</c:v>
                </c:pt>
                <c:pt idx="52">
                  <c:v>-8.8825116041012286</c:v>
                </c:pt>
                <c:pt idx="53">
                  <c:v>-8.6921434068010939</c:v>
                </c:pt>
                <c:pt idx="54">
                  <c:v>-8.4989582951369549</c:v>
                </c:pt>
                <c:pt idx="55">
                  <c:v>-8.3031196263682574</c:v>
                </c:pt>
                <c:pt idx="56">
                  <c:v>-8.1047907577544542</c:v>
                </c:pt>
                <c:pt idx="57">
                  <c:v>-7.9041350465549884</c:v>
                </c:pt>
                <c:pt idx="58">
                  <c:v>-7.701315850029312</c:v>
                </c:pt>
                <c:pt idx="59">
                  <c:v>-7.4964965254368732</c:v>
                </c:pt>
                <c:pt idx="60">
                  <c:v>-7.2898404300371205</c:v>
                </c:pt>
                <c:pt idx="61">
                  <c:v>-7.0815109210895004</c:v>
                </c:pt>
                <c:pt idx="62">
                  <c:v>-6.871671355853465</c:v>
                </c:pt>
                <c:pt idx="63">
                  <c:v>-6.6604850915884599</c:v>
                </c:pt>
                <c:pt idx="64">
                  <c:v>-6.4481154855539344</c:v>
                </c:pt>
                <c:pt idx="65">
                  <c:v>-6.2347258950093387</c:v>
                </c:pt>
                <c:pt idx="66">
                  <c:v>-6.0204127133005496</c:v>
                </c:pt>
                <c:pt idx="67">
                  <c:v>-5.8050044781191765</c:v>
                </c:pt>
                <c:pt idx="68">
                  <c:v>-5.5882627632432547</c:v>
                </c:pt>
                <c:pt idx="69">
                  <c:v>-5.3699491424508219</c:v>
                </c:pt>
                <c:pt idx="70">
                  <c:v>-5.1498251895199179</c:v>
                </c:pt>
                <c:pt idx="71">
                  <c:v>-4.9276524782285751</c:v>
                </c:pt>
                <c:pt idx="72">
                  <c:v>-4.7031925823548342</c:v>
                </c:pt>
                <c:pt idx="73">
                  <c:v>-4.4762070756767338</c:v>
                </c:pt>
                <c:pt idx="74">
                  <c:v>-4.2464575319723075</c:v>
                </c:pt>
                <c:pt idx="75">
                  <c:v>-4.0137055250195965</c:v>
                </c:pt>
                <c:pt idx="76">
                  <c:v>-3.7777126285966358</c:v>
                </c:pt>
                <c:pt idx="77">
                  <c:v>-3.5382404164814636</c:v>
                </c:pt>
                <c:pt idx="78">
                  <c:v>-3.2950504624521173</c:v>
                </c:pt>
                <c:pt idx="79">
                  <c:v>-3.0479043402866348</c:v>
                </c:pt>
                <c:pt idx="80">
                  <c:v>-2.7965636237630531</c:v>
                </c:pt>
                <c:pt idx="81">
                  <c:v>-2.5407898866594087</c:v>
                </c:pt>
                <c:pt idx="82">
                  <c:v>-2.2803447027537405</c:v>
                </c:pt>
                <c:pt idx="83">
                  <c:v>-2.0149896458240848</c:v>
                </c:pt>
                <c:pt idx="84">
                  <c:v>-1.7444862896484796</c:v>
                </c:pt>
                <c:pt idx="85">
                  <c:v>-1.4685962080049622</c:v>
                </c:pt>
                <c:pt idx="86">
                  <c:v>-1.1870809746715696</c:v>
                </c:pt>
                <c:pt idx="87">
                  <c:v>-0.8997021634263398</c:v>
                </c:pt>
                <c:pt idx="88">
                  <c:v>-0.60622134804731009</c:v>
                </c:pt>
                <c:pt idx="89">
                  <c:v>-0.30640010231251774</c:v>
                </c:pt>
                <c:pt idx="90">
                  <c:v>0</c:v>
                </c:pt>
                <c:pt idx="91">
                  <c:v>0.31316479042190054</c:v>
                </c:pt>
                <c:pt idx="92">
                  <c:v>0.63306972172362153</c:v>
                </c:pt>
                <c:pt idx="93">
                  <c:v>0.95963765198529571</c:v>
                </c:pt>
                <c:pt idx="94">
                  <c:v>1.2927914392870554</c:v>
                </c:pt>
                <c:pt idx="95">
                  <c:v>1.6324539417090334</c:v>
                </c:pt>
                <c:pt idx="96">
                  <c:v>1.9785480173313625</c:v>
                </c:pt>
                <c:pt idx="97">
                  <c:v>2.330996524234175</c:v>
                </c:pt>
                <c:pt idx="98">
                  <c:v>2.6897223204976037</c:v>
                </c:pt>
                <c:pt idx="99">
                  <c:v>3.0546482642017816</c:v>
                </c:pt>
                <c:pt idx="100">
                  <c:v>3.4256972134268406</c:v>
                </c:pt>
                <c:pt idx="101">
                  <c:v>3.8027920262529138</c:v>
                </c:pt>
                <c:pt idx="102">
                  <c:v>4.1858555607601344</c:v>
                </c:pt>
                <c:pt idx="103">
                  <c:v>4.5748106750286333</c:v>
                </c:pt>
                <c:pt idx="104">
                  <c:v>4.9695802271385441</c:v>
                </c:pt>
                <c:pt idx="105">
                  <c:v>5.3700870751700007</c:v>
                </c:pt>
                <c:pt idx="106">
                  <c:v>5.7762540772031334</c:v>
                </c:pt>
                <c:pt idx="107">
                  <c:v>6.188004091318076</c:v>
                </c:pt>
                <c:pt idx="108">
                  <c:v>6.6052599755949624</c:v>
                </c:pt>
                <c:pt idx="109">
                  <c:v>7.0279445881139226</c:v>
                </c:pt>
                <c:pt idx="110">
                  <c:v>7.4559807869550907</c:v>
                </c:pt>
                <c:pt idx="111">
                  <c:v>7.8892914301985995</c:v>
                </c:pt>
                <c:pt idx="112">
                  <c:v>8.327799375924581</c:v>
                </c:pt>
                <c:pt idx="113">
                  <c:v>8.7714274822131699</c:v>
                </c:pt>
                <c:pt idx="114">
                  <c:v>9.2200986071444948</c:v>
                </c:pt>
                <c:pt idx="115">
                  <c:v>9.6737356087986903</c:v>
                </c:pt>
                <c:pt idx="116">
                  <c:v>10.132261345255889</c:v>
                </c:pt>
                <c:pt idx="117">
                  <c:v>10.595598674596225</c:v>
                </c:pt>
                <c:pt idx="118">
                  <c:v>11.06367045489983</c:v>
                </c:pt>
                <c:pt idx="119">
                  <c:v>11.536399544246837</c:v>
                </c:pt>
                <c:pt idx="120">
                  <c:v>12.013708800717378</c:v>
                </c:pt>
                <c:pt idx="121">
                  <c:v>12.495467174785617</c:v>
                </c:pt>
                <c:pt idx="122">
                  <c:v>12.981327986501864</c:v>
                </c:pt>
                <c:pt idx="123">
                  <c:v>13.470890648310448</c:v>
                </c:pt>
                <c:pt idx="124">
                  <c:v>13.963754572655709</c:v>
                </c:pt>
                <c:pt idx="125">
                  <c:v>14.459519171981984</c:v>
                </c:pt>
                <c:pt idx="126">
                  <c:v>14.957783858733613</c:v>
                </c:pt>
                <c:pt idx="127">
                  <c:v>15.458148045354928</c:v>
                </c:pt>
                <c:pt idx="128">
                  <c:v>15.96021114429027</c:v>
                </c:pt>
                <c:pt idx="129">
                  <c:v>16.463572567983974</c:v>
                </c:pt>
                <c:pt idx="130">
                  <c:v>16.967831728880377</c:v>
                </c:pt>
                <c:pt idx="131">
                  <c:v>17.472588039423815</c:v>
                </c:pt>
                <c:pt idx="132">
                  <c:v>17.977440912058626</c:v>
                </c:pt>
                <c:pt idx="133">
                  <c:v>18.481989759229151</c:v>
                </c:pt>
                <c:pt idx="134">
                  <c:v>18.985833993379718</c:v>
                </c:pt>
                <c:pt idx="135">
                  <c:v>19.488573026954668</c:v>
                </c:pt>
                <c:pt idx="136">
                  <c:v>19.989806272398344</c:v>
                </c:pt>
                <c:pt idx="137">
                  <c:v>20.489133142155072</c:v>
                </c:pt>
                <c:pt idx="138">
                  <c:v>20.986153048669198</c:v>
                </c:pt>
                <c:pt idx="139">
                  <c:v>21.480465404385054</c:v>
                </c:pt>
                <c:pt idx="140">
                  <c:v>21.971669621746976</c:v>
                </c:pt>
                <c:pt idx="141">
                  <c:v>22.459365113199308</c:v>
                </c:pt>
                <c:pt idx="142">
                  <c:v>22.943151291186382</c:v>
                </c:pt>
                <c:pt idx="143">
                  <c:v>23.422627568152532</c:v>
                </c:pt>
                <c:pt idx="144">
                  <c:v>23.897393356542104</c:v>
                </c:pt>
                <c:pt idx="145">
                  <c:v>24.36704806879942</c:v>
                </c:pt>
                <c:pt idx="146">
                  <c:v>24.831191117368835</c:v>
                </c:pt>
                <c:pt idx="147">
                  <c:v>25.289421914694671</c:v>
                </c:pt>
                <c:pt idx="148">
                  <c:v>25.741339873221275</c:v>
                </c:pt>
                <c:pt idx="149">
                  <c:v>26.186544405392979</c:v>
                </c:pt>
                <c:pt idx="150">
                  <c:v>26.624634923654121</c:v>
                </c:pt>
                <c:pt idx="151">
                  <c:v>27.055210840449035</c:v>
                </c:pt>
                <c:pt idx="152">
                  <c:v>27.47787156822206</c:v>
                </c:pt>
                <c:pt idx="153">
                  <c:v>27.892216519417538</c:v>
                </c:pt>
                <c:pt idx="154">
                  <c:v>28.297845106479798</c:v>
                </c:pt>
                <c:pt idx="155">
                  <c:v>28.694356741853184</c:v>
                </c:pt>
                <c:pt idx="156">
                  <c:v>29.081350837982026</c:v>
                </c:pt>
                <c:pt idx="157">
                  <c:v>29.458426807310666</c:v>
                </c:pt>
                <c:pt idx="158">
                  <c:v>29.825184062283441</c:v>
                </c:pt>
                <c:pt idx="159">
                  <c:v>30.181222015344684</c:v>
                </c:pt>
                <c:pt idx="160">
                  <c:v>30.526140078938731</c:v>
                </c:pt>
                <c:pt idx="161">
                  <c:v>30.859537665509929</c:v>
                </c:pt>
                <c:pt idx="162">
                  <c:v>31.181014187502601</c:v>
                </c:pt>
                <c:pt idx="163">
                  <c:v>31.490169057361101</c:v>
                </c:pt>
                <c:pt idx="164">
                  <c:v>31.786601687529746</c:v>
                </c:pt>
                <c:pt idx="165">
                  <c:v>32.069911490452888</c:v>
                </c:pt>
                <c:pt idx="166">
                  <c:v>32.339829040380813</c:v>
                </c:pt>
                <c:pt idx="167">
                  <c:v>32.596609558787591</c:v>
                </c:pt>
                <c:pt idx="168">
                  <c:v>32.840639428953267</c:v>
                </c:pt>
                <c:pt idx="169">
                  <c:v>33.072305034157878</c:v>
                </c:pt>
                <c:pt idx="170">
                  <c:v>33.291992757681442</c:v>
                </c:pt>
                <c:pt idx="171">
                  <c:v>33.500088982804002</c:v>
                </c:pt>
                <c:pt idx="172">
                  <c:v>33.696980092805603</c:v>
                </c:pt>
                <c:pt idx="173">
                  <c:v>33.883052470966263</c:v>
                </c:pt>
                <c:pt idx="174">
                  <c:v>34.058692500566011</c:v>
                </c:pt>
                <c:pt idx="175">
                  <c:v>34.224286564884892</c:v>
                </c:pt>
                <c:pt idx="176">
                  <c:v>34.380221047202944</c:v>
                </c:pt>
                <c:pt idx="177">
                  <c:v>34.526882330800191</c:v>
                </c:pt>
                <c:pt idx="178">
                  <c:v>34.664656798956663</c:v>
                </c:pt>
                <c:pt idx="179">
                  <c:v>34.793930834952405</c:v>
                </c:pt>
                <c:pt idx="180">
                  <c:v>34.915090822067434</c:v>
                </c:pt>
                <c:pt idx="181">
                  <c:v>35.028523143581808</c:v>
                </c:pt>
                <c:pt idx="182">
                  <c:v>35.134614182775536</c:v>
                </c:pt>
                <c:pt idx="183">
                  <c:v>35.233750322928671</c:v>
                </c:pt>
                <c:pt idx="184">
                  <c:v>35.326317947321229</c:v>
                </c:pt>
                <c:pt idx="185">
                  <c:v>35.412703439233248</c:v>
                </c:pt>
                <c:pt idx="186">
                  <c:v>35.493293181944772</c:v>
                </c:pt>
                <c:pt idx="187">
                  <c:v>35.568473558735825</c:v>
                </c:pt>
                <c:pt idx="188">
                  <c:v>35.638630952886444</c:v>
                </c:pt>
                <c:pt idx="189">
                  <c:v>35.704151747676661</c:v>
                </c:pt>
                <c:pt idx="190">
                  <c:v>35.765422326386513</c:v>
                </c:pt>
                <c:pt idx="191">
                  <c:v>35.822829072296024</c:v>
                </c:pt>
                <c:pt idx="192">
                  <c:v>35.876758368685238</c:v>
                </c:pt>
                <c:pt idx="193">
                  <c:v>35.927596598834185</c:v>
                </c:pt>
                <c:pt idx="194">
                  <c:v>35.975730146022897</c:v>
                </c:pt>
                <c:pt idx="195">
                  <c:v>36.021545393531404</c:v>
                </c:pt>
                <c:pt idx="196">
                  <c:v>36.065428724639752</c:v>
                </c:pt>
                <c:pt idx="197">
                  <c:v>36.107766522627955</c:v>
                </c:pt>
                <c:pt idx="198">
                  <c:v>36.148945170776067</c:v>
                </c:pt>
                <c:pt idx="199">
                  <c:v>36.18935105236411</c:v>
                </c:pt>
                <c:pt idx="200">
                  <c:v>36.229370550672115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-15.228303580211474</c:v>
                </c:pt>
                <c:pt idx="1">
                  <c:v>-10.887748608871126</c:v>
                </c:pt>
                <c:pt idx="2">
                  <c:v>-6.2347258950093387</c:v>
                </c:pt>
                <c:pt idx="3">
                  <c:v>0</c:v>
                </c:pt>
                <c:pt idx="4">
                  <c:v>12.013708800717376</c:v>
                </c:pt>
                <c:pt idx="5">
                  <c:v>32.069911490452888</c:v>
                </c:pt>
                <c:pt idx="6">
                  <c:v>36.229370550672115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-15.315772306279404</c:v>
                </c:pt>
                <c:pt idx="1">
                  <c:v>-15.197758377589995</c:v>
                </c:pt>
                <c:pt idx="2">
                  <c:v>-15.089540712351351</c:v>
                </c:pt>
                <c:pt idx="3">
                  <c:v>-14.989586565218087</c:v>
                </c:pt>
                <c:pt idx="4">
                  <c:v>-14.896488756372861</c:v>
                </c:pt>
                <c:pt idx="5">
                  <c:v>-14.808958915087457</c:v>
                </c:pt>
                <c:pt idx="6">
                  <c:v>-14.725820952167394</c:v>
                </c:pt>
                <c:pt idx="7">
                  <c:v>-14.646004756834976</c:v>
                </c:pt>
                <c:pt idx="8">
                  <c:v>-14.56854011364338</c:v>
                </c:pt>
                <c:pt idx="9">
                  <c:v>-14.492550835052567</c:v>
                </c:pt>
                <c:pt idx="10">
                  <c:v>-14.417249105335479</c:v>
                </c:pt>
                <c:pt idx="11">
                  <c:v>-14.341930031521121</c:v>
                </c:pt>
                <c:pt idx="12">
                  <c:v>-14.265966397119033</c:v>
                </c:pt>
                <c:pt idx="13">
                  <c:v>-14.188803614407441</c:v>
                </c:pt>
                <c:pt idx="14">
                  <c:v>-14.109954871105559</c:v>
                </c:pt>
                <c:pt idx="15">
                  <c:v>-14.028996467288229</c:v>
                </c:pt>
                <c:pt idx="16">
                  <c:v>-13.945563338439189</c:v>
                </c:pt>
                <c:pt idx="17">
                  <c:v>-13.85934476057707</c:v>
                </c:pt>
                <c:pt idx="18">
                  <c:v>-13.77008023342623</c:v>
                </c:pt>
                <c:pt idx="19">
                  <c:v>-13.677555537642514</c:v>
                </c:pt>
                <c:pt idx="20">
                  <c:v>-13.581598962141804</c:v>
                </c:pt>
                <c:pt idx="21">
                  <c:v>-13.482077697617386</c:v>
                </c:pt>
                <c:pt idx="22">
                  <c:v>-13.37889439236989</c:v>
                </c:pt>
                <c:pt idx="23">
                  <c:v>-13.27198386661162</c:v>
                </c:pt>
                <c:pt idx="24">
                  <c:v>-13.161309981445015</c:v>
                </c:pt>
                <c:pt idx="25">
                  <c:v>-13.046862658752865</c:v>
                </c:pt>
                <c:pt idx="26">
                  <c:v>-12.928655048275916</c:v>
                </c:pt>
                <c:pt idx="27">
                  <c:v>-12.80672083819135</c:v>
                </c:pt>
                <c:pt idx="28">
                  <c:v>-12.681111705543675</c:v>
                </c:pt>
                <c:pt idx="29">
                  <c:v>-12.551894902917391</c:v>
                </c:pt>
                <c:pt idx="30">
                  <c:v>-12.419150977778806</c:v>
                </c:pt>
                <c:pt idx="31">
                  <c:v>-12.282971620952249</c:v>
                </c:pt>
                <c:pt idx="32">
                  <c:v>-12.143457640733956</c:v>
                </c:pt>
                <c:pt idx="33">
                  <c:v>-12.000717059184797</c:v>
                </c:pt>
                <c:pt idx="34">
                  <c:v>-11.854863327180832</c:v>
                </c:pt>
                <c:pt idx="35">
                  <c:v>-11.706013654838925</c:v>
                </c:pt>
                <c:pt idx="36">
                  <c:v>-11.554287453972194</c:v>
                </c:pt>
                <c:pt idx="37">
                  <c:v>-11.399804889268346</c:v>
                </c:pt>
                <c:pt idx="38">
                  <c:v>-11.242685534921707</c:v>
                </c:pt>
                <c:pt idx="39">
                  <c:v>-11.083047133487716</c:v>
                </c:pt>
                <c:pt idx="40">
                  <c:v>-10.921004453766633</c:v>
                </c:pt>
                <c:pt idx="41">
                  <c:v>-10.756668244561128</c:v>
                </c:pt>
                <c:pt idx="42">
                  <c:v>-10.590144281190335</c:v>
                </c:pt>
                <c:pt idx="43">
                  <c:v>-10.421532501680931</c:v>
                </c:pt>
                <c:pt idx="44">
                  <c:v>-10.250926229593698</c:v>
                </c:pt>
                <c:pt idx="45">
                  <c:v>-10.078411480482018</c:v>
                </c:pt>
                <c:pt idx="46">
                  <c:v>-9.9040663490166239</c:v>
                </c:pt>
                <c:pt idx="47">
                  <c:v>-9.7279604738488921</c:v>
                </c:pt>
                <c:pt idx="48">
                  <c:v>-9.5501545773229335</c:v>
                </c:pt>
                <c:pt idx="49">
                  <c:v>-9.3707000771846598</c:v>
                </c:pt>
                <c:pt idx="50">
                  <c:v>-9.1896387674738715</c:v>
                </c:pt>
                <c:pt idx="51">
                  <c:v>-9.007002565823468</c:v>
                </c:pt>
                <c:pt idx="52">
                  <c:v>-8.822813324427754</c:v>
                </c:pt>
                <c:pt idx="53">
                  <c:v>-8.6370827019797236</c:v>
                </c:pt>
                <c:pt idx="54">
                  <c:v>-8.4498120939152184</c:v>
                </c:pt>
                <c:pt idx="55">
                  <c:v>-8.2609926183397331</c:v>
                </c:pt>
                <c:pt idx="56">
                  <c:v>-8.0706051550516111</c:v>
                </c:pt>
                <c:pt idx="57">
                  <c:v>-7.8786204351132989</c:v>
                </c:pt>
                <c:pt idx="58">
                  <c:v>-7.684999178460246</c:v>
                </c:pt>
                <c:pt idx="59">
                  <c:v>-7.4896922770750383</c:v>
                </c:pt>
                <c:pt idx="60">
                  <c:v>-7.2926410212922086</c:v>
                </c:pt>
                <c:pt idx="61">
                  <c:v>-7.0937773668371573</c:v>
                </c:pt>
                <c:pt idx="62">
                  <c:v>-6.8930242402405657</c:v>
                </c:pt>
                <c:pt idx="63">
                  <c:v>-6.6902958803075645</c:v>
                </c:pt>
                <c:pt idx="64">
                  <c:v>-6.4854982133588939</c:v>
                </c:pt>
                <c:pt idx="65">
                  <c:v>-6.278529259999277</c:v>
                </c:pt>
                <c:pt idx="66">
                  <c:v>-6.0692795712060477</c:v>
                </c:pt>
                <c:pt idx="67">
                  <c:v>-5.857632691569127</c:v>
                </c:pt>
                <c:pt idx="68">
                  <c:v>-5.6434656475513165</c:v>
                </c:pt>
                <c:pt idx="69">
                  <c:v>-5.4266494586758514</c:v>
                </c:pt>
                <c:pt idx="70">
                  <c:v>-5.2070496695860395</c:v>
                </c:pt>
                <c:pt idx="71">
                  <c:v>-4.9845269009598248</c:v>
                </c:pt>
                <c:pt idx="72">
                  <c:v>-4.7589374172999754</c:v>
                </c:pt>
                <c:pt idx="73">
                  <c:v>-4.5301337096586121</c:v>
                </c:pt>
                <c:pt idx="74">
                  <c:v>-4.2979650913926601</c:v>
                </c:pt>
                <c:pt idx="75">
                  <c:v>-4.0622783050847655</c:v>
                </c:pt>
                <c:pt idx="76">
                  <c:v>-3.8229181388022169</c:v>
                </c:pt>
                <c:pt idx="77">
                  <c:v>-3.5797280499042339</c:v>
                </c:pt>
                <c:pt idx="78">
                  <c:v>-3.3325507946460307</c:v>
                </c:pt>
                <c:pt idx="79">
                  <c:v>-3.0812290618659453</c:v>
                </c:pt>
                <c:pt idx="80">
                  <c:v>-2.825606109079863</c:v>
                </c:pt>
                <c:pt idx="81">
                  <c:v>-2.5655263993451261</c:v>
                </c:pt>
                <c:pt idx="82">
                  <c:v>-2.3008362372940412</c:v>
                </c:pt>
                <c:pt idx="83">
                  <c:v>-2.0313844027750299</c:v>
                </c:pt>
                <c:pt idx="84">
                  <c:v>-1.757022780577427</c:v>
                </c:pt>
                <c:pt idx="85">
                  <c:v>-1.477606984753842</c:v>
                </c:pt>
                <c:pt idx="86">
                  <c:v>-1.1929969760919599</c:v>
                </c:pt>
                <c:pt idx="87">
                  <c:v>-0.90305767132558357</c:v>
                </c:pt>
                <c:pt idx="88">
                  <c:v>-0.60765954271265421</c:v>
                </c:pt>
                <c:pt idx="89">
                  <c:v>-0.30667920664593917</c:v>
                </c:pt>
                <c:pt idx="90">
                  <c:v>0</c:v>
                </c:pt>
                <c:pt idx="91">
                  <c:v>0.31248745704400527</c:v>
                </c:pt>
                <c:pt idx="92">
                  <c:v>0.63088471291618642</c:v>
                </c:pt>
                <c:pt idx="93">
                  <c:v>0.95528495250102696</c:v>
                </c:pt>
                <c:pt idx="94">
                  <c:v>1.2857724820503551</c:v>
                </c:pt>
                <c:pt idx="95">
                  <c:v>1.6224222322728805</c:v>
                </c:pt>
                <c:pt idx="96">
                  <c:v>1.9652992806690477</c:v>
                </c:pt>
                <c:pt idx="97">
                  <c:v>2.31445839414202</c:v>
                </c:pt>
                <c:pt idx="98">
                  <c:v>2.6699435928776842</c:v>
                </c:pt>
                <c:pt idx="99">
                  <c:v>3.0317877364486066</c:v>
                </c:pt>
                <c:pt idx="100">
                  <c:v>3.4000121330589463</c:v>
                </c:pt>
                <c:pt idx="101">
                  <c:v>3.7746261728094042</c:v>
                </c:pt>
                <c:pt idx="102">
                  <c:v>4.1556269858233117</c:v>
                </c:pt>
                <c:pt idx="103">
                  <c:v>4.5429991260370786</c:v>
                </c:pt>
                <c:pt idx="104">
                  <c:v>4.9367142814202225</c:v>
                </c:pt>
                <c:pt idx="105">
                  <c:v>5.3367310113523319</c:v>
                </c:pt>
                <c:pt idx="106">
                  <c:v>5.7429945118462804</c:v>
                </c:pt>
                <c:pt idx="107">
                  <c:v>6.1554364092692264</c:v>
                </c:pt>
                <c:pt idx="108">
                  <c:v>6.5739745831747776</c:v>
                </c:pt>
                <c:pt idx="109">
                  <c:v>6.9985130188219973</c:v>
                </c:pt>
                <c:pt idx="110">
                  <c:v>7.4289416899188065</c:v>
                </c:pt>
                <c:pt idx="111">
                  <c:v>7.865136472089497</c:v>
                </c:pt>
                <c:pt idx="112">
                  <c:v>8.306959087528103</c:v>
                </c:pt>
                <c:pt idx="113">
                  <c:v>8.7542570812614375</c:v>
                </c:pt>
                <c:pt idx="114">
                  <c:v>9.2068638294076717</c:v>
                </c:pt>
                <c:pt idx="115">
                  <c:v>9.66459857977841</c:v>
                </c:pt>
                <c:pt idx="116">
                  <c:v>10.127266525134216</c:v>
                </c:pt>
                <c:pt idx="117">
                  <c:v>10.594658909365702</c:v>
                </c:pt>
                <c:pt idx="118">
                  <c:v>11.066553166834261</c:v>
                </c:pt>
                <c:pt idx="119">
                  <c:v>11.542713095068677</c:v>
                </c:pt>
                <c:pt idx="120">
                  <c:v>12.022889060975798</c:v>
                </c:pt>
                <c:pt idx="121">
                  <c:v>12.506818240685631</c:v>
                </c:pt>
                <c:pt idx="122">
                  <c:v>12.994224893113213</c:v>
                </c:pt>
                <c:pt idx="123">
                  <c:v>13.484820667281701</c:v>
                </c:pt>
                <c:pt idx="124">
                  <c:v>13.978304943413143</c:v>
                </c:pt>
                <c:pt idx="125">
                  <c:v>14.474365207755563</c:v>
                </c:pt>
                <c:pt idx="126">
                  <c:v>14.972677461076875</c:v>
                </c:pt>
                <c:pt idx="127">
                  <c:v>15.472906660718412</c:v>
                </c:pt>
                <c:pt idx="128">
                  <c:v>15.974707196062749</c:v>
                </c:pt>
                <c:pt idx="129">
                  <c:v>16.477723397232669</c:v>
                </c:pt>
                <c:pt idx="130">
                  <c:v>16.981590076800064</c:v>
                </c:pt>
                <c:pt idx="131">
                  <c:v>17.485933104245841</c:v>
                </c:pt>
                <c:pt idx="132">
                  <c:v>17.990370012873704</c:v>
                </c:pt>
                <c:pt idx="133">
                  <c:v>18.494510638842847</c:v>
                </c:pt>
                <c:pt idx="134">
                  <c:v>18.997957791946874</c:v>
                </c:pt>
                <c:pt idx="135">
                  <c:v>19.500307957727887</c:v>
                </c:pt>
                <c:pt idx="136">
                  <c:v>20.001152030477098</c:v>
                </c:pt>
                <c:pt idx="137">
                  <c:v>20.500076076635295</c:v>
                </c:pt>
                <c:pt idx="138">
                  <c:v>20.996662128068461</c:v>
                </c:pt>
                <c:pt idx="139">
                  <c:v>21.490489004656052</c:v>
                </c:pt>
                <c:pt idx="140">
                  <c:v>21.981133165591295</c:v>
                </c:pt>
                <c:pt idx="141">
                  <c:v>22.468169588755249</c:v>
                </c:pt>
                <c:pt idx="142">
                  <c:v>22.951172677488081</c:v>
                </c:pt>
                <c:pt idx="143">
                  <c:v>23.429717194043285</c:v>
                </c:pt>
                <c:pt idx="144">
                  <c:v>23.903379218972614</c:v>
                </c:pt>
                <c:pt idx="145">
                  <c:v>24.371737135651507</c:v>
                </c:pt>
                <c:pt idx="146">
                  <c:v>24.834372639116893</c:v>
                </c:pt>
                <c:pt idx="147">
                  <c:v>25.290871768351241</c:v>
                </c:pt>
                <c:pt idx="148">
                  <c:v>25.740825961108879</c:v>
                </c:pt>
                <c:pt idx="149">
                  <c:v>26.183833130342702</c:v>
                </c:pt>
                <c:pt idx="150">
                  <c:v>26.619498761251236</c:v>
                </c:pt>
                <c:pt idx="151">
                  <c:v>27.047437027928389</c:v>
                </c:pt>
                <c:pt idx="152">
                  <c:v>27.467271928560002</c:v>
                </c:pt>
                <c:pt idx="153">
                  <c:v>27.878638438073548</c:v>
                </c:pt>
                <c:pt idx="154">
                  <c:v>28.281183677109393</c:v>
                </c:pt>
                <c:pt idx="155">
                  <c:v>28.67456809614395</c:v>
                </c:pt>
                <c:pt idx="156">
                  <c:v>29.058466673557234</c:v>
                </c:pt>
                <c:pt idx="157">
                  <c:v>29.432570126399469</c:v>
                </c:pt>
                <c:pt idx="158">
                  <c:v>29.796586132573172</c:v>
                </c:pt>
                <c:pt idx="159">
                  <c:v>30.150240563109616</c:v>
                </c:pt>
                <c:pt idx="160">
                  <c:v>30.493278723180108</c:v>
                </c:pt>
                <c:pt idx="161">
                  <c:v>30.825466600445242</c:v>
                </c:pt>
                <c:pt idx="162">
                  <c:v>31.146592119306682</c:v>
                </c:pt>
                <c:pt idx="163">
                  <c:v>31.456466399588475</c:v>
                </c:pt>
                <c:pt idx="164">
                  <c:v>31.754925018137097</c:v>
                </c:pt>
                <c:pt idx="165">
                  <c:v>32.04182927179086</c:v>
                </c:pt>
                <c:pt idx="166">
                  <c:v>32.317067440132185</c:v>
                </c:pt>
                <c:pt idx="167">
                  <c:v>32.580556046397689</c:v>
                </c:pt>
                <c:pt idx="168">
                  <c:v>32.832241114883423</c:v>
                </c:pt>
                <c:pt idx="169">
                  <c:v>33.072099423144394</c:v>
                </c:pt>
                <c:pt idx="170">
                  <c:v>33.300139747250043</c:v>
                </c:pt>
                <c:pt idx="171">
                  <c:v>33.516404098318667</c:v>
                </c:pt>
                <c:pt idx="172">
                  <c:v>33.720968948516656</c:v>
                </c:pt>
                <c:pt idx="173">
                  <c:v>33.913946444669946</c:v>
                </c:pt>
                <c:pt idx="174">
                  <c:v>34.095485607597091</c:v>
                </c:pt>
                <c:pt idx="175">
                  <c:v>34.265773515236091</c:v>
                </c:pt>
                <c:pt idx="176">
                  <c:v>34.425036467598147</c:v>
                </c:pt>
                <c:pt idx="177">
                  <c:v>34.573541131544616</c:v>
                </c:pt>
                <c:pt idx="178">
                  <c:v>34.711595663344653</c:v>
                </c:pt>
                <c:pt idx="179">
                  <c:v>34.839550806933801</c:v>
                </c:pt>
                <c:pt idx="180">
                  <c:v>34.957800965755126</c:v>
                </c:pt>
                <c:pt idx="181">
                  <c:v>35.066785246027315</c:v>
                </c:pt>
                <c:pt idx="182">
                  <c:v>35.166988469245553</c:v>
                </c:pt>
                <c:pt idx="183">
                  <c:v>35.258942151683442</c:v>
                </c:pt>
                <c:pt idx="184">
                  <c:v>35.34322544862632</c:v>
                </c:pt>
                <c:pt idx="185">
                  <c:v>35.420466061028023</c:v>
                </c:pt>
                <c:pt idx="186">
                  <c:v>35.491341102245663</c:v>
                </c:pt>
                <c:pt idx="187">
                  <c:v>35.556577922468584</c:v>
                </c:pt>
                <c:pt idx="188">
                  <c:v>35.616954888420437</c:v>
                </c:pt>
                <c:pt idx="189">
                  <c:v>35.673302115874222</c:v>
                </c:pt>
                <c:pt idx="190">
                  <c:v>35.726502152483548</c:v>
                </c:pt>
                <c:pt idx="191">
                  <c:v>35.777490608394487</c:v>
                </c:pt>
                <c:pt idx="192">
                  <c:v>35.827256732064576</c:v>
                </c:pt>
                <c:pt idx="193">
                  <c:v>35.876843928678213</c:v>
                </c:pt>
                <c:pt idx="194">
                  <c:v>35.927350218508735</c:v>
                </c:pt>
                <c:pt idx="195">
                  <c:v>35.979928632540712</c:v>
                </c:pt>
                <c:pt idx="196">
                  <c:v>36.035787542626764</c:v>
                </c:pt>
                <c:pt idx="197">
                  <c:v>36.096190923416486</c:v>
                </c:pt>
                <c:pt idx="198">
                  <c:v>36.162458543256371</c:v>
                </c:pt>
                <c:pt idx="199">
                  <c:v>36.235966081221662</c:v>
                </c:pt>
                <c:pt idx="200">
                  <c:v>36.318145167403983</c:v>
                </c:pt>
              </c:numCache>
            </c:numRef>
          </c:yVal>
          <c:smooth val="1"/>
        </c:ser>
        <c:dLbls>
          <c:showLegendKey val="0"/>
          <c:showVal val="0"/>
          <c:showCatName val="0"/>
          <c:showSerName val="0"/>
          <c:showPercent val="0"/>
          <c:showBubbleSize val="0"/>
        </c:dLbls>
        <c:axId val="247714280"/>
        <c:axId val="247716240"/>
      </c:scatterChart>
      <c:valAx>
        <c:axId val="247714280"/>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47716240"/>
        <c:crossesAt val="-1000"/>
        <c:crossBetween val="midCat"/>
      </c:valAx>
      <c:valAx>
        <c:axId val="247716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47714280"/>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85</v>
      </c>
    </row>
    <row r="22" spans="1:2" s="11" customFormat="1" x14ac:dyDescent="0.25">
      <c r="A22" s="61" t="s">
        <v>157</v>
      </c>
      <c r="B22" s="100">
        <f>CTE!N8-0.5</f>
        <v>95</v>
      </c>
    </row>
    <row r="23" spans="1:2" s="11" customFormat="1" x14ac:dyDescent="0.25">
      <c r="A23" s="61" t="s">
        <v>158</v>
      </c>
      <c r="B23" s="100">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0.30956573647859764</v>
      </c>
      <c r="D59" s="55">
        <v>1</v>
      </c>
    </row>
    <row r="60" spans="1:4" s="11" customFormat="1" x14ac:dyDescent="0.25">
      <c r="A60" s="54">
        <v>2</v>
      </c>
      <c r="B60" s="56">
        <f>'Shiftfunktion bestimmen'!N2</f>
        <v>2.9044515954042322E-3</v>
      </c>
      <c r="D60" s="55">
        <v>2</v>
      </c>
    </row>
    <row r="61" spans="1:4" s="11" customFormat="1" x14ac:dyDescent="0.25">
      <c r="A61" s="54">
        <v>3</v>
      </c>
      <c r="B61" s="56">
        <f>'Shiftfunktion bestimmen'!N3</f>
        <v>1.7599870371888943E-5</v>
      </c>
      <c r="D61" s="55">
        <v>3</v>
      </c>
    </row>
    <row r="62" spans="1:4" s="11" customFormat="1" x14ac:dyDescent="0.25">
      <c r="A62" s="54">
        <v>4</v>
      </c>
      <c r="B62" s="56">
        <f>'Shiftfunktion bestimmen'!N4</f>
        <v>-3.2641850185004796E-7</v>
      </c>
      <c r="D62" s="55">
        <v>4</v>
      </c>
    </row>
    <row r="63" spans="1:4" s="11" customFormat="1" x14ac:dyDescent="0.25">
      <c r="A63" s="54">
        <v>5</v>
      </c>
      <c r="B63" s="56">
        <f>'Shiftfunktion bestimmen'!N5</f>
        <v>-4.5042281800333797E-9</v>
      </c>
      <c r="D63" s="55">
        <v>5</v>
      </c>
    </row>
    <row r="64" spans="1:4" s="11" customFormat="1" x14ac:dyDescent="0.25">
      <c r="A64" s="54">
        <v>6</v>
      </c>
      <c r="B64" s="56">
        <f>'Shiftfunktion bestimmen'!N6</f>
        <v>2.2131559425962502E-11</v>
      </c>
      <c r="D64" s="55">
        <v>6</v>
      </c>
    </row>
    <row r="65" spans="1:5" s="11" customFormat="1" x14ac:dyDescent="0.25">
      <c r="A65" s="54">
        <v>7</v>
      </c>
      <c r="B65" s="56">
        <f>'Shiftfunktion bestimmen'!N7</f>
        <v>2.3087295426994287E-13</v>
      </c>
      <c r="D65" s="55">
        <v>7</v>
      </c>
    </row>
    <row r="66" spans="1:5" x14ac:dyDescent="0.25">
      <c r="A66" s="54">
        <v>8</v>
      </c>
      <c r="B66" s="56">
        <f>'Shiftfunktion bestimmen'!N8</f>
        <v>-9.4091806889256754E-16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1.0261612083607946E-3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0</v>
      </c>
      <c r="D78" s="51">
        <v>5</v>
      </c>
      <c r="E78" s="56">
        <f>'Mastercurve bestimmen'!A22</f>
        <v>5.31812225239524E-11</v>
      </c>
    </row>
    <row r="79" spans="1:5" x14ac:dyDescent="0.25">
      <c r="A79" s="50">
        <f t="shared" si="0"/>
        <v>6</v>
      </c>
      <c r="B79" s="56">
        <f>'Mastercurve bestimmen'!C23</f>
        <v>0</v>
      </c>
      <c r="D79" s="51">
        <v>6</v>
      </c>
      <c r="E79" s="56">
        <f>'Mastercurve bestimmen'!A23</f>
        <v>5.8953789402578301E-10</v>
      </c>
    </row>
    <row r="80" spans="1:5" x14ac:dyDescent="0.25">
      <c r="A80" s="50">
        <f t="shared" si="0"/>
        <v>7</v>
      </c>
      <c r="B80" s="56">
        <f>'Mastercurve bestimmen'!C24</f>
        <v>0</v>
      </c>
      <c r="D80" s="51">
        <v>7</v>
      </c>
      <c r="E80" s="56">
        <f>'Mastercurve bestimmen'!A24</f>
        <v>6.5352940755699598E-9</v>
      </c>
    </row>
    <row r="81" spans="1:5" x14ac:dyDescent="0.25">
      <c r="A81" s="50">
        <f t="shared" si="0"/>
        <v>8</v>
      </c>
      <c r="B81" s="56">
        <f>'Mastercurve bestimmen'!C25</f>
        <v>0</v>
      </c>
      <c r="D81" s="51">
        <v>8</v>
      </c>
      <c r="E81" s="56">
        <f>'Mastercurve bestimmen'!A25</f>
        <v>7.2446689325643296E-8</v>
      </c>
    </row>
    <row r="82" spans="1:5" x14ac:dyDescent="0.25">
      <c r="A82" s="50">
        <f t="shared" si="0"/>
        <v>9</v>
      </c>
      <c r="B82" s="56">
        <f>'Mastercurve bestimmen'!C26</f>
        <v>0</v>
      </c>
      <c r="D82" s="51">
        <f>A82</f>
        <v>9</v>
      </c>
      <c r="E82" s="56">
        <f>'Mastercurve bestimmen'!A26</f>
        <v>8.03104303120212E-7</v>
      </c>
    </row>
    <row r="83" spans="1:5" x14ac:dyDescent="0.25">
      <c r="A83" s="50">
        <f t="shared" si="0"/>
        <v>10</v>
      </c>
      <c r="B83" s="56">
        <f>'Mastercurve bestimmen'!C27</f>
        <v>7.2761897872501713E-4</v>
      </c>
      <c r="C83" s="11"/>
      <c r="D83" s="51">
        <f t="shared" ref="D83:D104" si="1">A83</f>
        <v>10</v>
      </c>
      <c r="E83" s="56">
        <f>'Mastercurve bestimmen'!A27</f>
        <v>8.9027742702096099E-6</v>
      </c>
    </row>
    <row r="84" spans="1:5" x14ac:dyDescent="0.25">
      <c r="A84" s="50">
        <f t="shared" si="0"/>
        <v>11</v>
      </c>
      <c r="B84" s="56">
        <f>'Mastercurve bestimmen'!C28</f>
        <v>3.1446025257017021E-2</v>
      </c>
      <c r="C84" s="11"/>
      <c r="D84" s="51">
        <f t="shared" si="1"/>
        <v>11</v>
      </c>
      <c r="E84" s="56">
        <f>'Mastercurve bestimmen'!A28</f>
        <v>9.86912775817142E-5</v>
      </c>
    </row>
    <row r="85" spans="1:5" x14ac:dyDescent="0.25">
      <c r="A85" s="50">
        <f t="shared" si="0"/>
        <v>12</v>
      </c>
      <c r="B85" s="56">
        <f>'Mastercurve bestimmen'!C29</f>
        <v>1.9599632072183452E-2</v>
      </c>
      <c r="C85" s="11"/>
      <c r="D85" s="51">
        <f t="shared" si="1"/>
        <v>12</v>
      </c>
      <c r="E85" s="56">
        <f>'Mastercurve bestimmen'!A29</f>
        <v>1.0940374286813801E-3</v>
      </c>
    </row>
    <row r="86" spans="1:5" x14ac:dyDescent="0.25">
      <c r="A86" s="50">
        <f t="shared" si="0"/>
        <v>13</v>
      </c>
      <c r="B86" s="56">
        <f>'Mastercurve bestimmen'!C30</f>
        <v>3.2516214564493037E-2</v>
      </c>
      <c r="C86" s="11"/>
      <c r="D86" s="51">
        <f t="shared" si="1"/>
        <v>13</v>
      </c>
      <c r="E86" s="56">
        <f>'Mastercurve bestimmen'!A30</f>
        <v>1.2127899493091E-2</v>
      </c>
    </row>
    <row r="87" spans="1:5" x14ac:dyDescent="0.25">
      <c r="A87" s="50">
        <f t="shared" si="0"/>
        <v>14</v>
      </c>
      <c r="B87" s="56">
        <f>'Mastercurve bestimmen'!C31</f>
        <v>3.2163923063268561E-2</v>
      </c>
      <c r="C87" s="11"/>
      <c r="D87" s="51">
        <f t="shared" si="1"/>
        <v>14</v>
      </c>
      <c r="E87" s="56">
        <f>'Mastercurve bestimmen'!A31</f>
        <v>0.13444324870292301</v>
      </c>
    </row>
    <row r="88" spans="1:5" x14ac:dyDescent="0.25">
      <c r="A88" s="50">
        <f t="shared" si="0"/>
        <v>15</v>
      </c>
      <c r="B88" s="56">
        <f>'Mastercurve bestimmen'!C32</f>
        <v>3.3900572605001088E-2</v>
      </c>
      <c r="C88" s="11"/>
      <c r="D88" s="51">
        <f t="shared" si="1"/>
        <v>15</v>
      </c>
      <c r="E88" s="56">
        <f>'Mastercurve bestimmen'!A32</f>
        <v>1.49036419143257</v>
      </c>
    </row>
    <row r="89" spans="1:5" x14ac:dyDescent="0.25">
      <c r="A89" s="50">
        <f t="shared" si="0"/>
        <v>16</v>
      </c>
      <c r="B89" s="56">
        <f>'Mastercurve bestimmen'!C33</f>
        <v>4.6234934193755559E-2</v>
      </c>
      <c r="C89" s="11"/>
      <c r="D89" s="51">
        <f t="shared" si="1"/>
        <v>16</v>
      </c>
      <c r="E89" s="56">
        <f>'Mastercurve bestimmen'!A33</f>
        <v>16.521360830937301</v>
      </c>
    </row>
    <row r="90" spans="1:5" x14ac:dyDescent="0.25">
      <c r="A90" s="50">
        <f t="shared" si="0"/>
        <v>17</v>
      </c>
      <c r="B90" s="56">
        <f>'Mastercurve bestimmen'!C34</f>
        <v>5.6671396993887152E-2</v>
      </c>
      <c r="C90" s="11"/>
      <c r="D90" s="51">
        <f t="shared" si="1"/>
        <v>17</v>
      </c>
      <c r="E90" s="56">
        <f>'Mastercurve bestimmen'!A34</f>
        <v>183.146753843879</v>
      </c>
    </row>
    <row r="91" spans="1:5" x14ac:dyDescent="0.25">
      <c r="A91" s="50">
        <f t="shared" si="0"/>
        <v>18</v>
      </c>
      <c r="B91" s="56">
        <f>'Mastercurve bestimmen'!C35</f>
        <v>5.870573738309863E-2</v>
      </c>
      <c r="C91" s="11"/>
      <c r="D91" s="51">
        <f t="shared" si="1"/>
        <v>18</v>
      </c>
      <c r="E91" s="56">
        <f>'Mastercurve bestimmen'!A35</f>
        <v>2030.26456396616</v>
      </c>
    </row>
    <row r="92" spans="1:5" x14ac:dyDescent="0.25">
      <c r="A92" s="50">
        <f t="shared" si="0"/>
        <v>19</v>
      </c>
      <c r="B92" s="56">
        <f>'Mastercurve bestimmen'!C36</f>
        <v>5.620235606497212E-2</v>
      </c>
      <c r="C92" s="11"/>
      <c r="D92" s="51">
        <f t="shared" si="1"/>
        <v>19</v>
      </c>
      <c r="E92" s="56">
        <f>'Mastercurve bestimmen'!A36</f>
        <v>22506.400540467101</v>
      </c>
    </row>
    <row r="93" spans="1:5" x14ac:dyDescent="0.25">
      <c r="A93" s="50">
        <f t="shared" si="0"/>
        <v>20</v>
      </c>
      <c r="B93" s="56">
        <f>'Mastercurve bestimmen'!C37</f>
        <v>6.3415296184233166E-2</v>
      </c>
      <c r="C93" s="11"/>
      <c r="D93" s="51">
        <f t="shared" si="1"/>
        <v>20</v>
      </c>
      <c r="E93" s="56">
        <f>'Mastercurve bestimmen'!A37</f>
        <v>249493.62476110301</v>
      </c>
    </row>
    <row r="94" spans="1:5" x14ac:dyDescent="0.25">
      <c r="A94" s="50">
        <f t="shared" si="0"/>
        <v>21</v>
      </c>
      <c r="B94" s="56">
        <f>'Mastercurve bestimmen'!C38</f>
        <v>3.5348869965799563E-2</v>
      </c>
      <c r="C94" s="11"/>
      <c r="D94" s="51">
        <f t="shared" si="1"/>
        <v>21</v>
      </c>
      <c r="E94" s="56">
        <f>'Mastercurve bestimmen'!A38</f>
        <v>2765749.6224023802</v>
      </c>
    </row>
    <row r="95" spans="1:5" x14ac:dyDescent="0.25">
      <c r="A95" s="50">
        <f t="shared" si="0"/>
        <v>22</v>
      </c>
      <c r="B95" s="56">
        <f>'Mastercurve bestimmen'!C39</f>
        <v>7.0460456800535406E-2</v>
      </c>
      <c r="C95" s="11"/>
      <c r="D95" s="51">
        <f t="shared" si="1"/>
        <v>22</v>
      </c>
      <c r="E95" s="56">
        <f>'Mastercurve bestimmen'!A39</f>
        <v>10000000</v>
      </c>
    </row>
    <row r="96" spans="1:5" x14ac:dyDescent="0.25">
      <c r="A96" s="50">
        <f t="shared" si="0"/>
        <v>23</v>
      </c>
      <c r="B96" s="56">
        <f>'Mastercurve bestimmen'!C40</f>
        <v>8.6875447409324694E-2</v>
      </c>
      <c r="C96" s="11"/>
      <c r="D96" s="51">
        <f t="shared" si="1"/>
        <v>23</v>
      </c>
      <c r="E96" s="56">
        <f>'Mastercurve bestimmen'!A40</f>
        <v>100000000</v>
      </c>
    </row>
    <row r="97" spans="1:5" x14ac:dyDescent="0.25">
      <c r="A97" s="50">
        <f t="shared" si="0"/>
        <v>24</v>
      </c>
      <c r="B97" s="56">
        <f>'Mastercurve bestimmen'!C41</f>
        <v>9.6215979999175721E-2</v>
      </c>
      <c r="C97" s="11"/>
      <c r="D97" s="51">
        <f t="shared" si="1"/>
        <v>24</v>
      </c>
      <c r="E97" s="56">
        <f>'Mastercurve bestimmen'!A41</f>
        <v>1000000000</v>
      </c>
    </row>
    <row r="98" spans="1:5" x14ac:dyDescent="0.25">
      <c r="A98" s="50">
        <f t="shared" si="0"/>
        <v>25</v>
      </c>
      <c r="B98" s="56">
        <f>'Mastercurve bestimmen'!C42</f>
        <v>0.11161416834614406</v>
      </c>
      <c r="C98" s="11"/>
      <c r="D98" s="51">
        <f t="shared" si="1"/>
        <v>25</v>
      </c>
      <c r="E98" s="56">
        <f>'Mastercurve bestimmen'!A42</f>
        <v>10000000000</v>
      </c>
    </row>
    <row r="99" spans="1:5" x14ac:dyDescent="0.25">
      <c r="A99" s="50">
        <f t="shared" si="0"/>
        <v>26</v>
      </c>
      <c r="B99" s="56">
        <f>'Mastercurve bestimmen'!C43</f>
        <v>6.6462351022397975E-2</v>
      </c>
      <c r="C99" s="11"/>
      <c r="D99" s="51">
        <f t="shared" si="1"/>
        <v>26</v>
      </c>
      <c r="E99" s="56">
        <f>'Mastercurve bestimmen'!A43</f>
        <v>100000000000</v>
      </c>
    </row>
    <row r="100" spans="1:5" x14ac:dyDescent="0.25">
      <c r="A100" s="50">
        <f t="shared" si="0"/>
        <v>27</v>
      </c>
      <c r="B100" s="56">
        <f>'Mastercurve bestimmen'!C44</f>
        <v>4.7100906601755713E-2</v>
      </c>
      <c r="C100" s="11"/>
      <c r="D100" s="51">
        <f t="shared" si="1"/>
        <v>27</v>
      </c>
      <c r="E100" s="56">
        <f>'Mastercurve bestimmen'!A44</f>
        <v>1000000000000</v>
      </c>
    </row>
    <row r="101" spans="1:5" x14ac:dyDescent="0.25">
      <c r="A101" s="50">
        <f t="shared" si="0"/>
        <v>28</v>
      </c>
      <c r="B101" s="56">
        <f>'Mastercurve bestimmen'!C45</f>
        <v>2.2598128773559236E-2</v>
      </c>
      <c r="C101" s="11"/>
      <c r="D101" s="51">
        <f t="shared" si="1"/>
        <v>28</v>
      </c>
      <c r="E101" s="56">
        <f>'Mastercurve bestimmen'!A45</f>
        <v>10000000000000</v>
      </c>
    </row>
    <row r="102" spans="1:5" x14ac:dyDescent="0.25">
      <c r="A102" s="50">
        <f t="shared" si="0"/>
        <v>29</v>
      </c>
      <c r="B102" s="56">
        <f>'Mastercurve bestimmen'!C46</f>
        <v>6.4467605952010509E-3</v>
      </c>
      <c r="C102" s="11"/>
      <c r="D102" s="51">
        <f t="shared" si="1"/>
        <v>29</v>
      </c>
      <c r="E102" s="56">
        <f>'Mastercurve bestimmen'!A46</f>
        <v>100000000000000</v>
      </c>
    </row>
    <row r="103" spans="1:5" x14ac:dyDescent="0.25">
      <c r="A103" s="50">
        <f t="shared" si="0"/>
        <v>30</v>
      </c>
      <c r="B103" s="56">
        <f>'Mastercurve bestimmen'!C47</f>
        <v>9.8307104636690784E-5</v>
      </c>
      <c r="C103" s="11"/>
      <c r="D103" s="51">
        <f t="shared" si="1"/>
        <v>30</v>
      </c>
      <c r="E103" s="56">
        <f>'Mastercurve bestimmen'!A47</f>
        <v>1000000000000000</v>
      </c>
    </row>
    <row r="104" spans="1:5" x14ac:dyDescent="0.25">
      <c r="A104" s="50">
        <f t="shared" si="0"/>
        <v>31</v>
      </c>
      <c r="B104" s="56">
        <f>'Mastercurve bestimmen'!C48</f>
        <v>1.1020901234699522E-2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03">
        <f>STUTT!D8</f>
        <v>5930.4079000000002</v>
      </c>
      <c r="D113" s="103"/>
    </row>
    <row r="114" spans="1:4" s="11" customFormat="1" x14ac:dyDescent="0.25">
      <c r="A114" s="61" t="str">
        <f>STUTT!B9</f>
        <v>MP,GXY,</v>
      </c>
      <c r="B114" s="52" t="str">
        <f>STUTT!C9</f>
        <v>MatID,</v>
      </c>
      <c r="C114" s="103">
        <f>STUTT!D9</f>
        <v>6613.9741000000004</v>
      </c>
      <c r="D114" s="103"/>
    </row>
    <row r="115" spans="1:4" x14ac:dyDescent="0.25">
      <c r="A115" s="61" t="str">
        <f>STUTT!B10</f>
        <v>MP,GYZ,</v>
      </c>
      <c r="B115" s="52" t="str">
        <f>STUTT!C10</f>
        <v>MatID,</v>
      </c>
      <c r="C115" s="103">
        <f>STUTT!D10</f>
        <v>6613.9741000000004</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6"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90">
        <f>(INDEX(L:L,ROW(L2)*2+1)+INDEX(L:L,ROW(L2)*2+2))/2</f>
        <v>2.5181388285714289E-5</v>
      </c>
      <c r="P5" s="90">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90">
        <f t="shared" ref="O6:O7" si="2">(INDEX(L:L,ROW(L3)*2+1)+INDEX(L:L,ROW(L3)*2+2))/2</f>
        <v>2.7886904000000003E-5</v>
      </c>
      <c r="P6" s="90">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90">
        <f t="shared" si="2"/>
        <v>5.0859113714285718E-5</v>
      </c>
      <c r="P7" s="90">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90">
        <f t="shared" ref="O8:O9" si="4">(INDEX(L:L,ROW(L5)*2+1)+INDEX(L:L,ROW(L5)*2+2))/2</f>
        <v>7.1150880000000002E-5</v>
      </c>
      <c r="P8" s="90">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90">
        <f t="shared" si="4"/>
        <v>7.0799597142857145E-5</v>
      </c>
      <c r="P9" s="90">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D108" zoomScale="120" zoomScaleNormal="120" zoomScaleSheetLayoutView="110" workbookViewId="0">
      <selection activeCell="B67" sqref="B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5924.2874974527258</v>
      </c>
      <c r="G16" s="26">
        <f>INDEX(Comparison!$AM$3:$AS$33,G14,$B$3)</f>
        <v>5924.3241993050724</v>
      </c>
      <c r="H16" s="26">
        <f>INDEX(Comparison!$AM$3:$AS$33,H14,$B$3)</f>
        <v>5924.3017770264787</v>
      </c>
      <c r="I16" s="26">
        <f>INDEX(Comparison!$AM$3:$AS$33,I14,$B$3)</f>
        <v>5924.2949982314785</v>
      </c>
      <c r="J16" s="26">
        <f>INDEX(Comparison!$AM$3:$AS$33,J14,$B$3)</f>
        <v>5924.2929325070927</v>
      </c>
      <c r="K16" s="26">
        <f>INDEX(Comparison!$AM$3:$AS$33,K14,$B$3)</f>
        <v>5924.292050062164</v>
      </c>
      <c r="L16" s="26">
        <f>INDEX(Comparison!$AM$3:$AS$33,L14,$B$3)</f>
        <v>5924.2896233399624</v>
      </c>
      <c r="M16" s="26">
        <f>INDEX(Comparison!$AM$3:$AS$33,M14,$B$3)</f>
        <v>5924.2686453119095</v>
      </c>
      <c r="N16" s="26">
        <f>INDEX(Comparison!$AM$3:$AS$33,N14,$B$3)</f>
        <v>5924.0589935262078</v>
      </c>
      <c r="O16" s="26">
        <f>INDEX(Comparison!$AM$3:$AS$33,O14,$B$3)</f>
        <v>5921.976437640149</v>
      </c>
      <c r="P16" s="26">
        <f>INDEX(Comparison!$AM$3:$AS$33,P14,$B$3)</f>
        <v>5902.5412392933085</v>
      </c>
      <c r="Q16" s="26">
        <f>INDEX(Comparison!$AM$3:$AS$33,Q14,$B$3)</f>
        <v>5788.7691117948852</v>
      </c>
      <c r="R16" s="26">
        <f>INDEX(Comparison!$AM$3:$AS$33,R14,$B$3)</f>
        <v>5647.748615055857</v>
      </c>
      <c r="S16" s="26">
        <f>INDEX(Comparison!$AM$3:$AS$33,S14,$B$3)</f>
        <v>5493.0807600988655</v>
      </c>
      <c r="T16" s="26">
        <f>INDEX(Comparison!$AM$3:$AS$33,T14,$B$3)</f>
        <v>5310.1724689095536</v>
      </c>
      <c r="U16" s="26">
        <f>INDEX(Comparison!$AM$3:$AS$33,U14,$B$3)</f>
        <v>5116.9183384452708</v>
      </c>
      <c r="V16" s="26">
        <f>INDEX(Comparison!$AM$3:$AS$33,V14,$B$3)</f>
        <v>4889.0072432178858</v>
      </c>
      <c r="W16" s="26">
        <f>INDEX(Comparison!$AM$3:$AS$33,W14,$B$3)</f>
        <v>4599.1409750767552</v>
      </c>
      <c r="X16" s="26">
        <f>INDEX(Comparison!$AM$3:$AS$33,X14,$B$3)</f>
        <v>4272.3926167684576</v>
      </c>
      <c r="Y16" s="26">
        <f>INDEX(Comparison!$AM$3:$AS$33,Y14,$B$3)</f>
        <v>3941.1470093551798</v>
      </c>
      <c r="Z16" s="26">
        <f>INDEX(Comparison!$AM$3:$AS$33,Z14,$B$3)</f>
        <v>3608.495032401398</v>
      </c>
      <c r="AA16" s="26">
        <f>INDEX(Comparison!$AM$3:$AS$33,AA14,$B$3)</f>
        <v>3262.5462100054015</v>
      </c>
      <c r="AB16" s="26">
        <f>INDEX(Comparison!$AM$3:$AS$33,AB14,$B$3)</f>
        <v>2841.314577864513</v>
      </c>
      <c r="AC16" s="26">
        <f>INDEX(Comparison!$AM$3:$AS$33,AC14,$B$3)</f>
        <v>2350.4004054830193</v>
      </c>
      <c r="AD16" s="26">
        <f>INDEX(Comparison!$AM$3:$AS$33,AD14,$B$3)</f>
        <v>1794.2797745605371</v>
      </c>
      <c r="AE16" s="26">
        <f>INDEX(Comparison!$AM$3:$AS$33,AE14,$B$3)</f>
        <v>1192.7526197056241</v>
      </c>
      <c r="AF16" s="26">
        <f>INDEX(Comparison!$AM$3:$AS$33,AF14,$B$3)</f>
        <v>712.56207316539314</v>
      </c>
      <c r="AG16" s="26">
        <f>INDEX(Comparison!$AM$3:$AS$33,AG14,$B$3)</f>
        <v>405.79350694215293</v>
      </c>
      <c r="AH16" s="26">
        <f>INDEX(Comparison!$AM$3:$AS$33,AH14,$B$3)</f>
        <v>227.75650575396227</v>
      </c>
      <c r="AI16" s="26">
        <f>INDEX(Comparison!$AM$3:$AS$33,AI14,$B$3)</f>
        <v>157.27484077697326</v>
      </c>
      <c r="AJ16" s="26">
        <f>INDEX(Comparison!$AM$3:$AS$33,AJ14,$B$3)</f>
        <v>137.32830205333357</v>
      </c>
    </row>
    <row r="17" spans="1:36" x14ac:dyDescent="0.25">
      <c r="A17" s="14" t="s">
        <v>20</v>
      </c>
      <c r="B17" s="14">
        <v>1.6109766939938219E-2</v>
      </c>
      <c r="C17" s="18">
        <f t="shared" ref="C17:C48" si="3">ABS(B17/$B$49)</f>
        <v>1.3147853577774735E-2</v>
      </c>
      <c r="D17" s="67"/>
      <c r="E17" s="66" t="s">
        <v>22</v>
      </c>
      <c r="F17" s="27">
        <f>($C$17+SUM(F18:F48))*$B$51</f>
        <v>5924.3223454607651</v>
      </c>
      <c r="G17" s="27">
        <f t="shared" ref="G17:M17" si="4">($C$17+SUM(G18:G48))*$B$51</f>
        <v>5924.3223454382824</v>
      </c>
      <c r="H17" s="27">
        <f t="shared" si="4"/>
        <v>5924.3223452134616</v>
      </c>
      <c r="I17" s="27">
        <f t="shared" si="4"/>
        <v>5924.3223429652517</v>
      </c>
      <c r="J17" s="27">
        <f t="shared" si="4"/>
        <v>5924.3223204831502</v>
      </c>
      <c r="K17" s="27">
        <f t="shared" si="4"/>
        <v>5924.3220956624627</v>
      </c>
      <c r="L17" s="27">
        <f t="shared" si="4"/>
        <v>5924.3198474884048</v>
      </c>
      <c r="M17" s="27">
        <f t="shared" si="4"/>
        <v>5924.2973690295794</v>
      </c>
      <c r="N17" s="27">
        <f t="shared" ref="N17" si="5">($C$17+SUM(N18:N48))*$B$51</f>
        <v>5924.0729116822522</v>
      </c>
      <c r="O17" s="27">
        <f t="shared" ref="O17" si="6">($C$17+SUM(O18:O48))*$B$51</f>
        <v>5921.8601540583113</v>
      </c>
      <c r="P17" s="27">
        <f t="shared" ref="P17" si="7">($C$17+SUM(P18:P48))*$B$51</f>
        <v>5902.2081103099545</v>
      </c>
      <c r="Q17" s="27">
        <f t="shared" ref="Q17" si="8">($C$17+SUM(Q18:Q48))*$B$51</f>
        <v>5789.3269779329539</v>
      </c>
      <c r="R17" s="27">
        <f t="shared" ref="R17" si="9">($C$17+SUM(R18:R48))*$B$51</f>
        <v>5647.0619575109667</v>
      </c>
      <c r="S17" s="27">
        <f t="shared" ref="S17:T17" si="10">($C$17+SUM(S18:S48))*$B$51</f>
        <v>5493.8054243942206</v>
      </c>
      <c r="T17" s="27">
        <f t="shared" si="10"/>
        <v>5309.5141162606951</v>
      </c>
      <c r="U17" s="27">
        <f t="shared" ref="U17" si="11">($C$17+SUM(U18:U48))*$B$51</f>
        <v>5117.4278504261974</v>
      </c>
      <c r="V17" s="27">
        <f t="shared" ref="V17" si="12">($C$17+SUM(V18:V48))*$B$51</f>
        <v>4888.6691773134917</v>
      </c>
      <c r="W17" s="27">
        <f t="shared" ref="W17" si="13">($C$17+SUM(W18:W48))*$B$51</f>
        <v>4599.3359574428214</v>
      </c>
      <c r="X17" s="27">
        <f t="shared" ref="X17" si="14">($C$17+SUM(X18:X48))*$B$51</f>
        <v>4272.2957947174973</v>
      </c>
      <c r="Y17" s="27">
        <f t="shared" ref="Y17" si="15">($C$17+SUM(Y18:Y48))*$B$51</f>
        <v>3941.1873595578249</v>
      </c>
      <c r="Z17" s="27">
        <f t="shared" ref="Z17:AA17" si="16">($C$17+SUM(Z18:Z48))*$B$51</f>
        <v>3608.4814380980879</v>
      </c>
      <c r="AA17" s="27">
        <f t="shared" si="16"/>
        <v>3262.5497579342496</v>
      </c>
      <c r="AB17" s="27">
        <f t="shared" ref="AB17" si="17">($C$17+SUM(AB18:AB48))*$B$51</f>
        <v>2841.3133485517315</v>
      </c>
      <c r="AC17" s="27">
        <f t="shared" ref="AC17" si="18">($C$17+SUM(AC18:AC48))*$B$51</f>
        <v>2350.399363924254</v>
      </c>
      <c r="AD17" s="27">
        <f t="shared" ref="AD17" si="19">($C$17+SUM(AD18:AD48))*$B$51</f>
        <v>1794.2863976892534</v>
      </c>
      <c r="AE17" s="27">
        <f t="shared" ref="AE17" si="20">($C$17+SUM(AE18:AE48))*$B$51</f>
        <v>1192.7443975902963</v>
      </c>
      <c r="AF17" s="27">
        <f t="shared" ref="AF17" si="21">($C$17+SUM(AF18:AF48))*$B$51</f>
        <v>712.56457401443936</v>
      </c>
      <c r="AG17" s="27">
        <f t="shared" ref="AG17:AH17" si="22">($C$17+SUM(AG18:AG48))*$B$51</f>
        <v>405.79753627693225</v>
      </c>
      <c r="AH17" s="27">
        <f t="shared" si="22"/>
        <v>227.75057802143948</v>
      </c>
      <c r="AI17" s="27">
        <f t="shared" ref="AI17" si="23">($C$17+SUM(AI18:AI48))*$B$51</f>
        <v>157.27859013277902</v>
      </c>
      <c r="AJ17" s="27">
        <f t="shared" ref="AJ17" si="24">($C$17+SUM(AJ18:AJ48))*$B$51</f>
        <v>137.32710648672062</v>
      </c>
    </row>
    <row r="18" spans="1:36" x14ac:dyDescent="0.25">
      <c r="A18" s="3">
        <f>0.000000000000001/10^5</f>
        <v>1.0000000000000001E-20</v>
      </c>
      <c r="B18" s="17">
        <v>1.2573320665391591E-3</v>
      </c>
      <c r="C18" s="18">
        <f t="shared" si="3"/>
        <v>1.0261612083607946E-3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0</v>
      </c>
      <c r="C22" s="18">
        <f t="shared" si="3"/>
        <v>0</v>
      </c>
      <c r="D22" s="17"/>
      <c r="F22" s="3">
        <f t="shared" si="25"/>
        <v>0</v>
      </c>
      <c r="G22" s="3">
        <f t="shared" si="25"/>
        <v>0</v>
      </c>
      <c r="H22" s="3">
        <f t="shared" si="25"/>
        <v>0</v>
      </c>
      <c r="I22" s="3">
        <f t="shared" si="25"/>
        <v>0</v>
      </c>
      <c r="J22" s="3">
        <f t="shared" si="25"/>
        <v>0</v>
      </c>
      <c r="K22" s="3">
        <f t="shared" si="25"/>
        <v>0</v>
      </c>
      <c r="L22" s="3">
        <f t="shared" si="25"/>
        <v>0</v>
      </c>
      <c r="M22" s="3">
        <f t="shared" si="25"/>
        <v>0</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0</v>
      </c>
      <c r="C23" s="18">
        <f t="shared" si="3"/>
        <v>0</v>
      </c>
      <c r="D23" s="17"/>
      <c r="F23" s="3">
        <f t="shared" si="25"/>
        <v>0</v>
      </c>
      <c r="G23" s="3">
        <f t="shared" si="25"/>
        <v>0</v>
      </c>
      <c r="H23" s="3">
        <f t="shared" si="25"/>
        <v>0</v>
      </c>
      <c r="I23" s="3">
        <f t="shared" si="25"/>
        <v>0</v>
      </c>
      <c r="J23" s="3">
        <f t="shared" si="25"/>
        <v>0</v>
      </c>
      <c r="K23" s="3">
        <f t="shared" si="25"/>
        <v>0</v>
      </c>
      <c r="L23" s="3">
        <f t="shared" si="25"/>
        <v>0</v>
      </c>
      <c r="M23" s="3">
        <f t="shared" si="25"/>
        <v>0</v>
      </c>
      <c r="N23" s="3">
        <f t="shared" si="25"/>
        <v>0</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0</v>
      </c>
      <c r="C24" s="18">
        <f t="shared" si="3"/>
        <v>0</v>
      </c>
      <c r="D24" s="17"/>
      <c r="F24" s="3">
        <f t="shared" si="25"/>
        <v>0</v>
      </c>
      <c r="G24" s="3">
        <f t="shared" si="25"/>
        <v>0</v>
      </c>
      <c r="H24" s="3">
        <f t="shared" si="25"/>
        <v>0</v>
      </c>
      <c r="I24" s="3">
        <f t="shared" si="25"/>
        <v>0</v>
      </c>
      <c r="J24" s="3">
        <f t="shared" si="25"/>
        <v>0</v>
      </c>
      <c r="K24" s="3">
        <f t="shared" si="25"/>
        <v>0</v>
      </c>
      <c r="L24" s="3">
        <f t="shared" si="25"/>
        <v>0</v>
      </c>
      <c r="M24" s="3">
        <f t="shared" si="25"/>
        <v>0</v>
      </c>
      <c r="N24" s="3">
        <f t="shared" si="25"/>
        <v>0</v>
      </c>
      <c r="O24" s="3">
        <f t="shared" si="25"/>
        <v>0</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0</v>
      </c>
      <c r="C25" s="18">
        <f t="shared" si="3"/>
        <v>0</v>
      </c>
      <c r="D25" s="17"/>
      <c r="F25" s="3">
        <f t="shared" si="25"/>
        <v>0</v>
      </c>
      <c r="G25" s="3">
        <f t="shared" si="25"/>
        <v>0</v>
      </c>
      <c r="H25" s="3">
        <f t="shared" si="25"/>
        <v>0</v>
      </c>
      <c r="I25" s="3">
        <f t="shared" si="25"/>
        <v>0</v>
      </c>
      <c r="J25" s="3">
        <f t="shared" si="25"/>
        <v>0</v>
      </c>
      <c r="K25" s="3">
        <f t="shared" si="25"/>
        <v>0</v>
      </c>
      <c r="L25" s="3">
        <f t="shared" si="25"/>
        <v>0</v>
      </c>
      <c r="M25" s="3">
        <f t="shared" si="25"/>
        <v>0</v>
      </c>
      <c r="N25" s="3">
        <f t="shared" si="25"/>
        <v>0</v>
      </c>
      <c r="O25" s="3">
        <f t="shared" si="25"/>
        <v>0</v>
      </c>
      <c r="P25" s="3">
        <f t="shared" si="25"/>
        <v>0</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0</v>
      </c>
      <c r="C26" s="18">
        <f t="shared" si="3"/>
        <v>0</v>
      </c>
      <c r="D26" s="17"/>
      <c r="F26" s="3">
        <f t="shared" si="25"/>
        <v>0</v>
      </c>
      <c r="G26" s="3">
        <f t="shared" si="25"/>
        <v>0</v>
      </c>
      <c r="H26" s="3">
        <f t="shared" si="25"/>
        <v>0</v>
      </c>
      <c r="I26" s="3">
        <f t="shared" si="25"/>
        <v>0</v>
      </c>
      <c r="J26" s="3">
        <f t="shared" si="25"/>
        <v>0</v>
      </c>
      <c r="K26" s="3">
        <f t="shared" si="25"/>
        <v>0</v>
      </c>
      <c r="L26" s="3">
        <f t="shared" si="25"/>
        <v>0</v>
      </c>
      <c r="M26" s="3">
        <f t="shared" si="25"/>
        <v>0</v>
      </c>
      <c r="N26" s="3">
        <f t="shared" si="25"/>
        <v>0</v>
      </c>
      <c r="O26" s="3">
        <f t="shared" si="25"/>
        <v>0</v>
      </c>
      <c r="P26" s="3">
        <f t="shared" si="25"/>
        <v>0</v>
      </c>
      <c r="Q26" s="3">
        <f t="shared" si="25"/>
        <v>0</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8.9153504022515843E-4</v>
      </c>
      <c r="C27" s="18">
        <f t="shared" si="3"/>
        <v>7.2761897872501713E-4</v>
      </c>
      <c r="D27" s="17"/>
      <c r="F27" s="3">
        <f t="shared" si="25"/>
        <v>7.2761897864328769E-4</v>
      </c>
      <c r="G27" s="3">
        <f t="shared" si="25"/>
        <v>7.2761897790772244E-4</v>
      </c>
      <c r="H27" s="3">
        <f t="shared" si="25"/>
        <v>7.2761897055207065E-4</v>
      </c>
      <c r="I27" s="3">
        <f t="shared" si="25"/>
        <v>7.2761889699555669E-4</v>
      </c>
      <c r="J27" s="3">
        <f t="shared" si="25"/>
        <v>7.2761816143082538E-4</v>
      </c>
      <c r="K27" s="3">
        <f t="shared" si="25"/>
        <v>7.2761080582441128E-4</v>
      </c>
      <c r="L27" s="3">
        <f t="shared" si="25"/>
        <v>7.2753725384988946E-4</v>
      </c>
      <c r="M27" s="3">
        <f t="shared" si="25"/>
        <v>7.2680214291374217E-4</v>
      </c>
      <c r="N27" s="3">
        <f t="shared" si="25"/>
        <v>7.1949176196071246E-4</v>
      </c>
      <c r="O27" s="3">
        <f t="shared" si="25"/>
        <v>6.5031248471175977E-4</v>
      </c>
      <c r="P27" s="3">
        <f t="shared" si="25"/>
        <v>2.3663814451550813E-4</v>
      </c>
      <c r="Q27" s="3">
        <f t="shared" si="25"/>
        <v>9.6318863173455903E-9</v>
      </c>
      <c r="R27" s="3">
        <f t="shared" si="25"/>
        <v>1.2022016379053301E-52</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3.853010189695881E-2</v>
      </c>
      <c r="C28" s="18">
        <f t="shared" si="3"/>
        <v>3.1446025257017021E-2</v>
      </c>
      <c r="D28" s="17"/>
      <c r="F28" s="3">
        <f t="shared" si="25"/>
        <v>3.1446025256698394E-2</v>
      </c>
      <c r="G28" s="3">
        <f t="shared" si="25"/>
        <v>3.1446025253830723E-2</v>
      </c>
      <c r="H28" s="3">
        <f t="shared" si="25"/>
        <v>3.1446025225153995E-2</v>
      </c>
      <c r="I28" s="3">
        <f t="shared" si="25"/>
        <v>3.1446024938386788E-2</v>
      </c>
      <c r="J28" s="3">
        <f t="shared" si="25"/>
        <v>3.1446022070714806E-2</v>
      </c>
      <c r="K28" s="3">
        <f t="shared" si="25"/>
        <v>3.1445993394009372E-2</v>
      </c>
      <c r="L28" s="3">
        <f t="shared" si="25"/>
        <v>3.1445706628393369E-2</v>
      </c>
      <c r="M28" s="3">
        <f t="shared" si="25"/>
        <v>3.1442839116060078E-2</v>
      </c>
      <c r="N28" s="3">
        <f t="shared" si="25"/>
        <v>3.1414178370549613E-2</v>
      </c>
      <c r="O28" s="3">
        <f t="shared" si="25"/>
        <v>3.1129003858197144E-2</v>
      </c>
      <c r="P28" s="3">
        <f t="shared" si="25"/>
        <v>2.8415833719674998E-2</v>
      </c>
      <c r="Q28" s="3">
        <f t="shared" si="25"/>
        <v>1.1415953664789735E-2</v>
      </c>
      <c r="R28" s="3">
        <f t="shared" si="25"/>
        <v>1.2503458119039281E-6</v>
      </c>
      <c r="S28" s="3">
        <f t="shared" si="25"/>
        <v>3.1060583307708917E-46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2.4014984873664335E-2</v>
      </c>
      <c r="C29" s="18">
        <f t="shared" si="3"/>
        <v>1.9599632072183452E-2</v>
      </c>
      <c r="D29" s="17"/>
      <c r="F29" s="3">
        <f t="shared" si="25"/>
        <v>1.9599632072165536E-2</v>
      </c>
      <c r="G29" s="3">
        <f t="shared" si="25"/>
        <v>1.9599632072004304E-2</v>
      </c>
      <c r="H29" s="3">
        <f t="shared" si="25"/>
        <v>1.9599632070391958E-2</v>
      </c>
      <c r="I29" s="3">
        <f t="shared" si="25"/>
        <v>1.9599632054268498E-2</v>
      </c>
      <c r="J29" s="3">
        <f t="shared" si="25"/>
        <v>1.9599631893033896E-2</v>
      </c>
      <c r="K29" s="3">
        <f t="shared" si="25"/>
        <v>1.9599630280687966E-2</v>
      </c>
      <c r="L29" s="3">
        <f t="shared" si="25"/>
        <v>1.9599614157235937E-2</v>
      </c>
      <c r="M29" s="3">
        <f t="shared" si="25"/>
        <v>1.9599452923445174E-2</v>
      </c>
      <c r="N29" s="3">
        <f t="shared" si="25"/>
        <v>1.9597840658486087E-2</v>
      </c>
      <c r="O29" s="3">
        <f t="shared" si="25"/>
        <v>1.9581725301528904E-2</v>
      </c>
      <c r="P29" s="3">
        <f t="shared" si="25"/>
        <v>1.9421298780490186E-2</v>
      </c>
      <c r="Q29" s="3">
        <f t="shared" si="25"/>
        <v>1.7887573308505919E-2</v>
      </c>
      <c r="R29" s="3">
        <f t="shared" si="25"/>
        <v>7.8574748092729504E-3</v>
      </c>
      <c r="S29" s="3">
        <f t="shared" si="25"/>
        <v>2.1018354110317127E-6</v>
      </c>
      <c r="T29" s="3">
        <f t="shared" si="25"/>
        <v>3.9423554375585182E-42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3.9841380595270148E-2</v>
      </c>
      <c r="C30" s="18">
        <f t="shared" si="3"/>
        <v>3.2516214564493037E-2</v>
      </c>
      <c r="D30" s="17"/>
      <c r="F30" s="3">
        <f t="shared" si="25"/>
        <v>3.2516214564490352E-2</v>
      </c>
      <c r="G30" s="3">
        <f t="shared" si="25"/>
        <v>3.2516214564466225E-2</v>
      </c>
      <c r="H30" s="3">
        <f t="shared" si="25"/>
        <v>3.2516214564224925E-2</v>
      </c>
      <c r="I30" s="3">
        <f t="shared" si="25"/>
        <v>3.2516214561811932E-2</v>
      </c>
      <c r="J30" s="3">
        <f t="shared" si="25"/>
        <v>3.2516214537681949E-2</v>
      </c>
      <c r="K30" s="3">
        <f t="shared" si="25"/>
        <v>3.2516214296382184E-2</v>
      </c>
      <c r="L30" s="3">
        <f t="shared" si="25"/>
        <v>3.2516211883384633E-2</v>
      </c>
      <c r="M30" s="3">
        <f t="shared" si="25"/>
        <v>3.2516187753418968E-2</v>
      </c>
      <c r="N30" s="3">
        <f t="shared" si="25"/>
        <v>3.2515946454747174E-2</v>
      </c>
      <c r="O30" s="3">
        <f t="shared" si="25"/>
        <v>3.2513533566512667E-2</v>
      </c>
      <c r="P30" s="3">
        <f t="shared" si="25"/>
        <v>3.2489414529809225E-2</v>
      </c>
      <c r="Q30" s="3">
        <f t="shared" si="25"/>
        <v>3.2249206028940575E-2</v>
      </c>
      <c r="R30" s="3">
        <f t="shared" si="25"/>
        <v>2.9942664372380315E-2</v>
      </c>
      <c r="S30" s="3">
        <f t="shared" si="25"/>
        <v>1.425622684529808E-2</v>
      </c>
      <c r="T30" s="3">
        <f t="shared" si="25"/>
        <v>8.5338724307411359E-6</v>
      </c>
      <c r="U30" s="3">
        <f t="shared" si="25"/>
        <v>5.0415216771250841E-38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3.9409725804921636E-2</v>
      </c>
      <c r="C31" s="18">
        <f t="shared" si="3"/>
        <v>3.2163923063268561E-2</v>
      </c>
      <c r="D31" s="17"/>
      <c r="F31" s="3">
        <f t="shared" si="25"/>
        <v>3.2163923063268325E-2</v>
      </c>
      <c r="G31" s="3">
        <f t="shared" si="25"/>
        <v>3.2163923063266167E-2</v>
      </c>
      <c r="H31" s="3">
        <f t="shared" si="25"/>
        <v>3.2163923063244636E-2</v>
      </c>
      <c r="I31" s="3">
        <f t="shared" si="25"/>
        <v>3.2163923063029322E-2</v>
      </c>
      <c r="J31" s="3">
        <f t="shared" si="25"/>
        <v>3.2163923060876183E-2</v>
      </c>
      <c r="K31" s="3">
        <f t="shared" si="25"/>
        <v>3.2163923039344768E-2</v>
      </c>
      <c r="L31" s="3">
        <f t="shared" si="25"/>
        <v>3.216392282403064E-2</v>
      </c>
      <c r="M31" s="3">
        <f t="shared" si="25"/>
        <v>3.2163920670889461E-2</v>
      </c>
      <c r="N31" s="3">
        <f t="shared" si="25"/>
        <v>3.2163899139485544E-2</v>
      </c>
      <c r="O31" s="3">
        <f t="shared" si="25"/>
        <v>3.2163683826239145E-2</v>
      </c>
      <c r="P31" s="3">
        <f t="shared" si="25"/>
        <v>3.2161530773048438E-2</v>
      </c>
      <c r="Q31" s="3">
        <f t="shared" si="25"/>
        <v>3.2140008166505252E-2</v>
      </c>
      <c r="R31" s="3">
        <f t="shared" si="25"/>
        <v>3.1925572677951715E-2</v>
      </c>
      <c r="S31" s="3">
        <f t="shared" si="25"/>
        <v>2.9858351884861828E-2</v>
      </c>
      <c r="T31" s="3">
        <f t="shared" si="25"/>
        <v>1.5287525275967117E-2</v>
      </c>
      <c r="U31" s="3">
        <f t="shared" si="25"/>
        <v>1.8925647615164907E-5</v>
      </c>
      <c r="V31" s="3">
        <f t="shared" si="26"/>
        <v>1.6002445754668752E-34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4.153760312026946E-2</v>
      </c>
      <c r="C32" s="18">
        <f t="shared" si="3"/>
        <v>3.3900572605001088E-2</v>
      </c>
      <c r="D32" s="17"/>
      <c r="F32" s="3">
        <f t="shared" si="25"/>
        <v>3.3900572605001067E-2</v>
      </c>
      <c r="G32" s="3">
        <f t="shared" si="25"/>
        <v>3.3900572605000859E-2</v>
      </c>
      <c r="H32" s="3">
        <f t="shared" si="25"/>
        <v>3.3900572604998812E-2</v>
      </c>
      <c r="I32" s="3">
        <f t="shared" si="25"/>
        <v>3.3900572604978342E-2</v>
      </c>
      <c r="J32" s="3">
        <f t="shared" si="25"/>
        <v>3.3900572604773624E-2</v>
      </c>
      <c r="K32" s="3">
        <f t="shared" si="25"/>
        <v>3.3900572602726442E-2</v>
      </c>
      <c r="L32" s="3">
        <f t="shared" si="25"/>
        <v>3.3900572582254589E-2</v>
      </c>
      <c r="M32" s="3">
        <f t="shared" si="25"/>
        <v>3.3900572377536069E-2</v>
      </c>
      <c r="N32" s="3">
        <f t="shared" si="25"/>
        <v>3.3900570330350932E-2</v>
      </c>
      <c r="O32" s="3">
        <f t="shared" si="25"/>
        <v>3.3900549858506358E-2</v>
      </c>
      <c r="P32" s="3">
        <f t="shared" si="25"/>
        <v>3.3900345140740556E-2</v>
      </c>
      <c r="Q32" s="3">
        <f t="shared" si="25"/>
        <v>3.3898298031074782E-2</v>
      </c>
      <c r="R32" s="3">
        <f t="shared" si="25"/>
        <v>3.3877833732118917E-2</v>
      </c>
      <c r="S32" s="3">
        <f t="shared" si="25"/>
        <v>3.3673868996351247E-2</v>
      </c>
      <c r="T32" s="3">
        <f t="shared" si="25"/>
        <v>3.1700555727290997E-2</v>
      </c>
      <c r="U32" s="3">
        <f t="shared" si="25"/>
        <v>1.7330274936414196E-2</v>
      </c>
      <c r="V32" s="3">
        <f t="shared" si="26"/>
        <v>4.1322940898553394E-5</v>
      </c>
      <c r="W32" s="3">
        <f t="shared" si="26"/>
        <v>2.4549854174392952E-31</v>
      </c>
      <c r="X32" s="3">
        <f t="shared" si="26"/>
        <v>1.3447014196382663E-293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5.6650616767124434E-2</v>
      </c>
      <c r="C33" s="18">
        <f t="shared" si="3"/>
        <v>4.6234934193755559E-2</v>
      </c>
      <c r="D33" s="17"/>
      <c r="F33" s="3">
        <f t="shared" si="25"/>
        <v>4.6234934193755552E-2</v>
      </c>
      <c r="G33" s="3">
        <f t="shared" si="25"/>
        <v>4.6234934193755531E-2</v>
      </c>
      <c r="H33" s="3">
        <f t="shared" si="25"/>
        <v>4.6234934193755274E-2</v>
      </c>
      <c r="I33" s="3">
        <f t="shared" si="25"/>
        <v>4.6234934193752762E-2</v>
      </c>
      <c r="J33" s="3">
        <f t="shared" si="25"/>
        <v>4.6234934193727574E-2</v>
      </c>
      <c r="K33" s="3">
        <f t="shared" si="25"/>
        <v>4.6234934193475706E-2</v>
      </c>
      <c r="L33" s="3">
        <f t="shared" si="25"/>
        <v>4.6234934190957068E-2</v>
      </c>
      <c r="M33" s="3">
        <f t="shared" si="25"/>
        <v>4.6234934165770611E-2</v>
      </c>
      <c r="N33" s="3">
        <f t="shared" si="25"/>
        <v>4.623493391390613E-2</v>
      </c>
      <c r="O33" s="3">
        <f t="shared" si="25"/>
        <v>4.6234931395261337E-2</v>
      </c>
      <c r="P33" s="3">
        <f t="shared" si="25"/>
        <v>4.6234906208820981E-2</v>
      </c>
      <c r="Q33" s="3">
        <f t="shared" si="25"/>
        <v>4.6234654345172002E-2</v>
      </c>
      <c r="R33" s="3">
        <f t="shared" si="25"/>
        <v>4.623213578414221E-2</v>
      </c>
      <c r="S33" s="3">
        <f t="shared" si="25"/>
        <v>4.6206957718319973E-2</v>
      </c>
      <c r="T33" s="3">
        <f t="shared" si="25"/>
        <v>4.5955929989233632E-2</v>
      </c>
      <c r="U33" s="3">
        <f t="shared" ref="P33:AE48" si="27">$C33*EXP(-U$15/$A33)</f>
        <v>4.3519449888254652E-2</v>
      </c>
      <c r="V33" s="3">
        <f t="shared" si="27"/>
        <v>2.524072210371928E-2</v>
      </c>
      <c r="W33" s="3">
        <f t="shared" si="27"/>
        <v>1.0871402091118267E-4</v>
      </c>
      <c r="X33" s="3">
        <f t="shared" si="27"/>
        <v>2.3884898200979105E-28</v>
      </c>
      <c r="Y33" s="3">
        <f t="shared" si="27"/>
        <v>6.2589538859155745E-265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6.9438178051778682E-2</v>
      </c>
      <c r="C34" s="18">
        <f t="shared" si="3"/>
        <v>5.6671396993887152E-2</v>
      </c>
      <c r="D34" s="17"/>
      <c r="F34" s="3">
        <f t="shared" ref="F34:O48" si="28">$C34*EXP(-F$15/$A34)</f>
        <v>5.6671396993887152E-2</v>
      </c>
      <c r="G34" s="3">
        <f t="shared" si="28"/>
        <v>5.6671396993887152E-2</v>
      </c>
      <c r="H34" s="3">
        <f t="shared" si="28"/>
        <v>5.6671396993887117E-2</v>
      </c>
      <c r="I34" s="3">
        <f t="shared" si="28"/>
        <v>5.6671396993886847E-2</v>
      </c>
      <c r="J34" s="3">
        <f t="shared" si="28"/>
        <v>5.6671396993884057E-2</v>
      </c>
      <c r="K34" s="3">
        <f t="shared" si="28"/>
        <v>5.6671396993856211E-2</v>
      </c>
      <c r="L34" s="3">
        <f t="shared" si="28"/>
        <v>5.6671396993577719E-2</v>
      </c>
      <c r="M34" s="3">
        <f t="shared" si="28"/>
        <v>5.6671396990792836E-2</v>
      </c>
      <c r="N34" s="3">
        <f t="shared" si="28"/>
        <v>5.6671396962943987E-2</v>
      </c>
      <c r="O34" s="3">
        <f t="shared" si="28"/>
        <v>5.6671396684455526E-2</v>
      </c>
      <c r="P34" s="3">
        <f t="shared" si="27"/>
        <v>5.6671393899571022E-2</v>
      </c>
      <c r="Q34" s="3">
        <f t="shared" si="27"/>
        <v>5.667136605073346E-2</v>
      </c>
      <c r="R34" s="3">
        <f t="shared" si="27"/>
        <v>5.6671087563110525E-2</v>
      </c>
      <c r="S34" s="3">
        <f t="shared" si="27"/>
        <v>5.6668302762148147E-2</v>
      </c>
      <c r="T34" s="3">
        <f t="shared" si="27"/>
        <v>5.6640462277852487E-2</v>
      </c>
      <c r="U34" s="3">
        <f t="shared" si="27"/>
        <v>5.6362808601239676E-2</v>
      </c>
      <c r="V34" s="3">
        <f t="shared" si="27"/>
        <v>5.3660040454998101E-2</v>
      </c>
      <c r="W34" s="3">
        <f t="shared" si="27"/>
        <v>3.2827264266820991E-2</v>
      </c>
      <c r="X34" s="3">
        <f t="shared" si="27"/>
        <v>2.4103030325200834E-4</v>
      </c>
      <c r="Y34" s="3">
        <f t="shared" si="27"/>
        <v>1.0975926888226822E-25</v>
      </c>
      <c r="Z34" s="3">
        <f t="shared" si="27"/>
        <v>4.2085916452074825E-239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7.1930809214183739E-2</v>
      </c>
      <c r="C35" s="18">
        <f t="shared" si="3"/>
        <v>5.870573738309863E-2</v>
      </c>
      <c r="D35" s="17"/>
      <c r="F35" s="3">
        <f t="shared" si="28"/>
        <v>5.870573738309863E-2</v>
      </c>
      <c r="G35" s="3">
        <f t="shared" si="28"/>
        <v>5.870573738309863E-2</v>
      </c>
      <c r="H35" s="3">
        <f t="shared" si="28"/>
        <v>5.870573738309863E-2</v>
      </c>
      <c r="I35" s="3">
        <f t="shared" si="28"/>
        <v>5.8705737383098602E-2</v>
      </c>
      <c r="J35" s="3">
        <f t="shared" si="28"/>
        <v>5.8705737383098346E-2</v>
      </c>
      <c r="K35" s="3">
        <f t="shared" si="28"/>
        <v>5.8705737383095737E-2</v>
      </c>
      <c r="L35" s="3">
        <f t="shared" si="28"/>
        <v>5.8705737383069716E-2</v>
      </c>
      <c r="M35" s="3">
        <f t="shared" si="28"/>
        <v>5.8705737382809473E-2</v>
      </c>
      <c r="N35" s="3">
        <f t="shared" si="28"/>
        <v>5.8705737380207096E-2</v>
      </c>
      <c r="O35" s="3">
        <f t="shared" si="28"/>
        <v>5.8705737354183316E-2</v>
      </c>
      <c r="P35" s="3">
        <f t="shared" si="27"/>
        <v>5.8705737093945491E-2</v>
      </c>
      <c r="Q35" s="3">
        <f t="shared" si="27"/>
        <v>5.8705734491567296E-2</v>
      </c>
      <c r="R35" s="3">
        <f t="shared" si="27"/>
        <v>5.8705708467791745E-2</v>
      </c>
      <c r="S35" s="3">
        <f t="shared" si="27"/>
        <v>5.870544823067067E-2</v>
      </c>
      <c r="T35" s="3">
        <f t="shared" si="27"/>
        <v>5.8702845922907532E-2</v>
      </c>
      <c r="U35" s="3">
        <f t="shared" si="27"/>
        <v>5.8676829188993702E-2</v>
      </c>
      <c r="V35" s="3">
        <f t="shared" si="27"/>
        <v>5.841729518236554E-2</v>
      </c>
      <c r="W35" s="3">
        <f t="shared" si="27"/>
        <v>5.5884261789791993E-2</v>
      </c>
      <c r="X35" s="3">
        <f t="shared" si="27"/>
        <v>3.5873211441656325E-2</v>
      </c>
      <c r="Y35" s="3">
        <f t="shared" si="27"/>
        <v>4.2616486952821178E-4</v>
      </c>
      <c r="Z35" s="3">
        <f t="shared" si="27"/>
        <v>2.3858961435974219E-23</v>
      </c>
      <c r="AA35" s="3">
        <f t="shared" si="27"/>
        <v>7.2175603681982916E-216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6.886347283427563E-2</v>
      </c>
      <c r="C36" s="18">
        <f t="shared" si="3"/>
        <v>5.620235606497212E-2</v>
      </c>
      <c r="D36" s="17"/>
      <c r="F36" s="3">
        <f t="shared" si="28"/>
        <v>5.620235606497212E-2</v>
      </c>
      <c r="G36" s="3">
        <f t="shared" si="28"/>
        <v>5.620235606497212E-2</v>
      </c>
      <c r="H36" s="3">
        <f t="shared" si="28"/>
        <v>5.620235606497212E-2</v>
      </c>
      <c r="I36" s="3">
        <f t="shared" si="28"/>
        <v>5.620235606497212E-2</v>
      </c>
      <c r="J36" s="3">
        <f t="shared" si="28"/>
        <v>5.6202356064972092E-2</v>
      </c>
      <c r="K36" s="3">
        <f t="shared" si="28"/>
        <v>5.620235606497187E-2</v>
      </c>
      <c r="L36" s="3">
        <f t="shared" si="28"/>
        <v>5.6202356064969622E-2</v>
      </c>
      <c r="M36" s="3">
        <f t="shared" si="28"/>
        <v>5.6202356064947147E-2</v>
      </c>
      <c r="N36" s="3">
        <f t="shared" si="28"/>
        <v>5.6202356064722403E-2</v>
      </c>
      <c r="O36" s="3">
        <f t="shared" si="28"/>
        <v>5.6202356062474951E-2</v>
      </c>
      <c r="P36" s="3">
        <f t="shared" si="27"/>
        <v>5.6202356040000401E-2</v>
      </c>
      <c r="Q36" s="3">
        <f t="shared" si="27"/>
        <v>5.6202355815254908E-2</v>
      </c>
      <c r="R36" s="3">
        <f t="shared" si="27"/>
        <v>5.6202353567800054E-2</v>
      </c>
      <c r="S36" s="3">
        <f t="shared" si="27"/>
        <v>5.6202331093256418E-2</v>
      </c>
      <c r="T36" s="3">
        <f t="shared" si="27"/>
        <v>5.6202106348314386E-2</v>
      </c>
      <c r="U36" s="3">
        <f t="shared" si="27"/>
        <v>5.6199858948323175E-2</v>
      </c>
      <c r="V36" s="3">
        <f t="shared" si="27"/>
        <v>5.617738989059326E-2</v>
      </c>
      <c r="W36" s="3">
        <f t="shared" si="27"/>
        <v>5.595319280105629E-2</v>
      </c>
      <c r="X36" s="3">
        <f t="shared" si="27"/>
        <v>5.3759848271926126E-2</v>
      </c>
      <c r="Y36" s="3">
        <f t="shared" si="27"/>
        <v>3.6040403512381941E-2</v>
      </c>
      <c r="Z36" s="3">
        <f t="shared" si="27"/>
        <v>6.6085434375253501E-4</v>
      </c>
      <c r="AA36" s="3">
        <f t="shared" si="27"/>
        <v>2.8396629220425699E-21</v>
      </c>
      <c r="AB36" s="3">
        <f t="shared" si="27"/>
        <v>6.0936458420746932E-195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7.7701324852147896E-2</v>
      </c>
      <c r="C37" s="18">
        <f t="shared" si="3"/>
        <v>6.3415296184233166E-2</v>
      </c>
      <c r="D37" s="17"/>
      <c r="F37" s="3">
        <f t="shared" si="28"/>
        <v>6.3415296184233166E-2</v>
      </c>
      <c r="G37" s="3">
        <f t="shared" si="28"/>
        <v>6.3415296184233166E-2</v>
      </c>
      <c r="H37" s="3">
        <f t="shared" si="28"/>
        <v>6.3415296184233166E-2</v>
      </c>
      <c r="I37" s="3">
        <f t="shared" si="28"/>
        <v>6.3415296184233166E-2</v>
      </c>
      <c r="J37" s="3">
        <f t="shared" si="28"/>
        <v>6.3415296184233166E-2</v>
      </c>
      <c r="K37" s="3">
        <f t="shared" si="28"/>
        <v>6.3415296184233139E-2</v>
      </c>
      <c r="L37" s="3">
        <f t="shared" si="28"/>
        <v>6.3415296184232917E-2</v>
      </c>
      <c r="M37" s="3">
        <f t="shared" si="28"/>
        <v>6.3415296184230627E-2</v>
      </c>
      <c r="N37" s="3">
        <f t="shared" si="28"/>
        <v>6.3415296184207756E-2</v>
      </c>
      <c r="O37" s="3">
        <f t="shared" si="28"/>
        <v>6.3415296183978995E-2</v>
      </c>
      <c r="P37" s="3">
        <f t="shared" si="27"/>
        <v>6.3415296181691408E-2</v>
      </c>
      <c r="Q37" s="3">
        <f t="shared" si="27"/>
        <v>6.3415296158815568E-2</v>
      </c>
      <c r="R37" s="3">
        <f t="shared" si="27"/>
        <v>6.3415295930057153E-2</v>
      </c>
      <c r="S37" s="3">
        <f t="shared" si="27"/>
        <v>6.3415293642473031E-2</v>
      </c>
      <c r="T37" s="3">
        <f t="shared" si="27"/>
        <v>6.3415270766636417E-2</v>
      </c>
      <c r="U37" s="3">
        <f t="shared" si="27"/>
        <v>6.341504200872404E-2</v>
      </c>
      <c r="V37" s="3">
        <f t="shared" si="27"/>
        <v>6.3412754474985816E-2</v>
      </c>
      <c r="W37" s="3">
        <f t="shared" si="27"/>
        <v>6.338988367554009E-2</v>
      </c>
      <c r="X37" s="3">
        <f t="shared" si="27"/>
        <v>6.3161628869646769E-2</v>
      </c>
      <c r="Y37" s="3">
        <f t="shared" si="27"/>
        <v>6.0923800586834956E-2</v>
      </c>
      <c r="Z37" s="3">
        <f t="shared" si="27"/>
        <v>4.2474047922776689E-2</v>
      </c>
      <c r="AA37" s="3">
        <f t="shared" si="27"/>
        <v>1.1521003286609653E-3</v>
      </c>
      <c r="AB37" s="3">
        <f t="shared" si="27"/>
        <v>2.4840296677128562E-19</v>
      </c>
      <c r="AC37" s="3">
        <f t="shared" si="27"/>
        <v>5.3928899520607241E-176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4.3312169044979122E-2</v>
      </c>
      <c r="C38" s="18">
        <f t="shared" si="3"/>
        <v>3.5348869965799563E-2</v>
      </c>
      <c r="D38" s="17"/>
      <c r="F38" s="3">
        <f t="shared" si="28"/>
        <v>3.5348869965799563E-2</v>
      </c>
      <c r="G38" s="3">
        <f t="shared" si="28"/>
        <v>3.5348869965799563E-2</v>
      </c>
      <c r="H38" s="3">
        <f t="shared" si="28"/>
        <v>3.5348869965799563E-2</v>
      </c>
      <c r="I38" s="3">
        <f t="shared" si="28"/>
        <v>3.5348869965799563E-2</v>
      </c>
      <c r="J38" s="3">
        <f t="shared" si="28"/>
        <v>3.5348869965799563E-2</v>
      </c>
      <c r="K38" s="3">
        <f t="shared" si="28"/>
        <v>3.5348869965799563E-2</v>
      </c>
      <c r="L38" s="3">
        <f t="shared" si="28"/>
        <v>3.5348869965799549E-2</v>
      </c>
      <c r="M38" s="3">
        <f t="shared" si="28"/>
        <v>3.5348869965799432E-2</v>
      </c>
      <c r="N38" s="3">
        <f t="shared" si="28"/>
        <v>3.5348869965798287E-2</v>
      </c>
      <c r="O38" s="3">
        <f t="shared" si="28"/>
        <v>3.5348869965786782E-2</v>
      </c>
      <c r="P38" s="3">
        <f t="shared" si="27"/>
        <v>3.5348869965671756E-2</v>
      </c>
      <c r="Q38" s="3">
        <f t="shared" si="27"/>
        <v>3.5348869964521475E-2</v>
      </c>
      <c r="R38" s="3">
        <f t="shared" si="27"/>
        <v>3.5348869953018627E-2</v>
      </c>
      <c r="S38" s="3">
        <f t="shared" si="27"/>
        <v>3.5348869837990196E-2</v>
      </c>
      <c r="T38" s="3">
        <f t="shared" si="27"/>
        <v>3.5348868687705946E-2</v>
      </c>
      <c r="U38" s="3">
        <f t="shared" si="27"/>
        <v>3.5348857184865495E-2</v>
      </c>
      <c r="V38" s="3">
        <f t="shared" si="27"/>
        <v>3.5348742156666828E-2</v>
      </c>
      <c r="W38" s="3">
        <f t="shared" si="27"/>
        <v>3.534759189526706E-2</v>
      </c>
      <c r="X38" s="3">
        <f t="shared" si="27"/>
        <v>3.5336091339715173E-2</v>
      </c>
      <c r="Y38" s="3">
        <f t="shared" si="27"/>
        <v>3.5221291381145159E-2</v>
      </c>
      <c r="Z38" s="3">
        <f t="shared" si="27"/>
        <v>3.4093606088711266E-2</v>
      </c>
      <c r="AA38" s="3">
        <f t="shared" si="27"/>
        <v>2.462348830366894E-2</v>
      </c>
      <c r="AB38" s="3">
        <f t="shared" si="27"/>
        <v>9.5085865200724979E-4</v>
      </c>
      <c r="AC38" s="3">
        <f t="shared" si="27"/>
        <v>7.010997500481536E-18</v>
      </c>
      <c r="AD38" s="3">
        <f t="shared" si="27"/>
        <v>3.329801230865503E-159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8.6333600448441059E-2</v>
      </c>
      <c r="C39" s="18">
        <f t="shared" si="3"/>
        <v>7.0460456800535406E-2</v>
      </c>
      <c r="D39" s="17"/>
      <c r="F39" s="3">
        <f t="shared" si="28"/>
        <v>7.0460456800535406E-2</v>
      </c>
      <c r="G39" s="3">
        <f t="shared" si="28"/>
        <v>7.0460456800535406E-2</v>
      </c>
      <c r="H39" s="3">
        <f t="shared" si="28"/>
        <v>7.0460456800535406E-2</v>
      </c>
      <c r="I39" s="3">
        <f t="shared" si="28"/>
        <v>7.0460456800535406E-2</v>
      </c>
      <c r="J39" s="3">
        <f t="shared" si="28"/>
        <v>7.0460456800535406E-2</v>
      </c>
      <c r="K39" s="3">
        <f t="shared" si="28"/>
        <v>7.0460456800535406E-2</v>
      </c>
      <c r="L39" s="3">
        <f t="shared" si="28"/>
        <v>7.0460456800535393E-2</v>
      </c>
      <c r="M39" s="3">
        <f t="shared" si="28"/>
        <v>7.0460456800535337E-2</v>
      </c>
      <c r="N39" s="3">
        <f t="shared" si="28"/>
        <v>7.0460456800534699E-2</v>
      </c>
      <c r="O39" s="3">
        <f t="shared" si="28"/>
        <v>7.0460456800528357E-2</v>
      </c>
      <c r="P39" s="3">
        <f t="shared" si="27"/>
        <v>7.0460456800464949E-2</v>
      </c>
      <c r="Q39" s="3">
        <f t="shared" si="27"/>
        <v>7.0460456799830803E-2</v>
      </c>
      <c r="R39" s="3">
        <f t="shared" si="27"/>
        <v>7.0460456793489362E-2</v>
      </c>
      <c r="S39" s="3">
        <f t="shared" si="27"/>
        <v>7.046045673007495E-2</v>
      </c>
      <c r="T39" s="3">
        <f t="shared" si="27"/>
        <v>7.0460456095930837E-2</v>
      </c>
      <c r="U39" s="3">
        <f t="shared" si="27"/>
        <v>7.0460449754490076E-2</v>
      </c>
      <c r="V39" s="3">
        <f t="shared" si="27"/>
        <v>7.046038634011384E-2</v>
      </c>
      <c r="W39" s="3">
        <f t="shared" si="27"/>
        <v>7.0459752199490411E-2</v>
      </c>
      <c r="X39" s="3">
        <f t="shared" si="27"/>
        <v>7.0453411107145897E-2</v>
      </c>
      <c r="Y39" s="3">
        <f t="shared" si="27"/>
        <v>7.0390031562222802E-2</v>
      </c>
      <c r="Z39" s="3">
        <f t="shared" si="27"/>
        <v>6.9759363541260527E-2</v>
      </c>
      <c r="AA39" s="3">
        <f t="shared" si="27"/>
        <v>6.3755257805030718E-2</v>
      </c>
      <c r="AB39" s="3">
        <f t="shared" si="27"/>
        <v>2.5920953472465518E-2</v>
      </c>
      <c r="AC39" s="3">
        <f t="shared" si="27"/>
        <v>3.1988997897769058E-6</v>
      </c>
      <c r="AD39" s="3">
        <f t="shared" si="27"/>
        <v>2.621182526031257E-45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0.10644651632969827</v>
      </c>
      <c r="C40" s="18">
        <f t="shared" si="3"/>
        <v>8.6875447409324694E-2</v>
      </c>
      <c r="D40" s="17"/>
      <c r="F40" s="3">
        <f t="shared" si="28"/>
        <v>8.6875447409324694E-2</v>
      </c>
      <c r="G40" s="3">
        <f t="shared" si="28"/>
        <v>8.6875447409324694E-2</v>
      </c>
      <c r="H40" s="3">
        <f t="shared" si="28"/>
        <v>8.6875447409324694E-2</v>
      </c>
      <c r="I40" s="3">
        <f t="shared" si="28"/>
        <v>8.6875447409324694E-2</v>
      </c>
      <c r="J40" s="3">
        <f t="shared" si="28"/>
        <v>8.6875447409324694E-2</v>
      </c>
      <c r="K40" s="3">
        <f t="shared" si="28"/>
        <v>8.6875447409324694E-2</v>
      </c>
      <c r="L40" s="3">
        <f t="shared" si="28"/>
        <v>8.6875447409324694E-2</v>
      </c>
      <c r="M40" s="3">
        <f t="shared" si="28"/>
        <v>8.687544740932468E-2</v>
      </c>
      <c r="N40" s="3">
        <f t="shared" si="28"/>
        <v>8.687544740932461E-2</v>
      </c>
      <c r="O40" s="3">
        <f t="shared" si="28"/>
        <v>8.6875447409323819E-2</v>
      </c>
      <c r="P40" s="3">
        <f t="shared" si="27"/>
        <v>8.6875447409316006E-2</v>
      </c>
      <c r="Q40" s="3">
        <f t="shared" si="27"/>
        <v>8.6875447409237819E-2</v>
      </c>
      <c r="R40" s="3">
        <f t="shared" si="27"/>
        <v>8.6875447408455944E-2</v>
      </c>
      <c r="S40" s="3">
        <f t="shared" si="27"/>
        <v>8.6875447400637143E-2</v>
      </c>
      <c r="T40" s="3">
        <f t="shared" si="27"/>
        <v>8.6875447322449242E-2</v>
      </c>
      <c r="U40" s="3">
        <f t="shared" si="27"/>
        <v>8.6875446540570223E-2</v>
      </c>
      <c r="V40" s="3">
        <f t="shared" si="27"/>
        <v>8.6875438721780385E-2</v>
      </c>
      <c r="W40" s="3">
        <f t="shared" si="27"/>
        <v>8.6875360533920726E-2</v>
      </c>
      <c r="X40" s="3">
        <f t="shared" si="27"/>
        <v>8.687457865919436E-2</v>
      </c>
      <c r="Y40" s="3">
        <f t="shared" si="27"/>
        <v>8.6866760298946522E-2</v>
      </c>
      <c r="Z40" s="3">
        <f t="shared" si="27"/>
        <v>8.6788615385163456E-2</v>
      </c>
      <c r="AA40" s="3">
        <f t="shared" si="27"/>
        <v>8.6011022264486509E-2</v>
      </c>
      <c r="AB40" s="3">
        <f t="shared" si="27"/>
        <v>7.8608155524572149E-2</v>
      </c>
      <c r="AC40" s="3">
        <f t="shared" si="27"/>
        <v>3.1959691044461398E-2</v>
      </c>
      <c r="AD40" s="3">
        <f t="shared" si="27"/>
        <v>3.9441392104677881E-6</v>
      </c>
      <c r="AE40" s="3">
        <f t="shared" si="27"/>
        <v>3.2318326481349039E-45</v>
      </c>
      <c r="AF40" s="3">
        <f t="shared" si="29"/>
        <v>0</v>
      </c>
      <c r="AG40" s="3">
        <f t="shared" si="29"/>
        <v>0</v>
      </c>
      <c r="AH40" s="3">
        <f t="shared" si="29"/>
        <v>0</v>
      </c>
      <c r="AI40" s="3">
        <f t="shared" si="29"/>
        <v>0</v>
      </c>
      <c r="AJ40" s="3">
        <f t="shared" si="29"/>
        <v>0</v>
      </c>
    </row>
    <row r="41" spans="1:36" x14ac:dyDescent="0.25">
      <c r="A41" s="3">
        <f t="shared" si="30"/>
        <v>1000000000</v>
      </c>
      <c r="B41" s="17">
        <v>0.11789125917135572</v>
      </c>
      <c r="C41" s="18">
        <f t="shared" si="3"/>
        <v>9.6215979999175721E-2</v>
      </c>
      <c r="D41" s="17"/>
      <c r="F41" s="3">
        <f t="shared" si="28"/>
        <v>9.6215979999175721E-2</v>
      </c>
      <c r="G41" s="3">
        <f t="shared" si="28"/>
        <v>9.6215979999175721E-2</v>
      </c>
      <c r="H41" s="3">
        <f t="shared" si="28"/>
        <v>9.6215979999175721E-2</v>
      </c>
      <c r="I41" s="3">
        <f t="shared" si="28"/>
        <v>9.6215979999175721E-2</v>
      </c>
      <c r="J41" s="3">
        <f t="shared" si="28"/>
        <v>9.6215979999175721E-2</v>
      </c>
      <c r="K41" s="3">
        <f t="shared" si="28"/>
        <v>9.6215979999175721E-2</v>
      </c>
      <c r="L41" s="3">
        <f t="shared" si="28"/>
        <v>9.6215979999175721E-2</v>
      </c>
      <c r="M41" s="3">
        <f t="shared" si="28"/>
        <v>9.6215979999175721E-2</v>
      </c>
      <c r="N41" s="3">
        <f t="shared" si="28"/>
        <v>9.6215979999175708E-2</v>
      </c>
      <c r="O41" s="3">
        <f t="shared" si="28"/>
        <v>9.6215979999175624E-2</v>
      </c>
      <c r="P41" s="3">
        <f t="shared" si="27"/>
        <v>9.6215979999174764E-2</v>
      </c>
      <c r="Q41" s="3">
        <f t="shared" si="27"/>
        <v>9.621597999916609E-2</v>
      </c>
      <c r="R41" s="3">
        <f t="shared" si="27"/>
        <v>9.6215979999079507E-2</v>
      </c>
      <c r="S41" s="3">
        <f t="shared" si="27"/>
        <v>9.6215979998213561E-2</v>
      </c>
      <c r="T41" s="3">
        <f t="shared" si="27"/>
        <v>9.6215979989554126E-2</v>
      </c>
      <c r="U41" s="3">
        <f t="shared" si="27"/>
        <v>9.6215979902959742E-2</v>
      </c>
      <c r="V41" s="3">
        <f t="shared" si="27"/>
        <v>9.6215979037015925E-2</v>
      </c>
      <c r="W41" s="3">
        <f t="shared" si="27"/>
        <v>9.6215970377578203E-2</v>
      </c>
      <c r="X41" s="3">
        <f t="shared" si="27"/>
        <v>9.6215883783243833E-2</v>
      </c>
      <c r="Y41" s="3">
        <f t="shared" si="27"/>
        <v>9.6215017844186512E-2</v>
      </c>
      <c r="Z41" s="3">
        <f t="shared" si="27"/>
        <v>9.6206358882239662E-2</v>
      </c>
      <c r="AA41" s="3">
        <f t="shared" si="27"/>
        <v>9.6119812111134559E-2</v>
      </c>
      <c r="AB41" s="3">
        <f t="shared" si="27"/>
        <v>9.5258615002197206E-2</v>
      </c>
      <c r="AC41" s="3">
        <f t="shared" si="27"/>
        <v>8.7059818916253681E-2</v>
      </c>
      <c r="AD41" s="3">
        <f t="shared" si="27"/>
        <v>3.539588095385944E-2</v>
      </c>
      <c r="AE41" s="3">
        <f t="shared" si="27"/>
        <v>4.3681987339912254E-6</v>
      </c>
      <c r="AF41" s="3">
        <f t="shared" si="29"/>
        <v>3.5793075570423486E-45</v>
      </c>
      <c r="AG41" s="3">
        <f t="shared" si="29"/>
        <v>0</v>
      </c>
      <c r="AH41" s="3">
        <f t="shared" si="29"/>
        <v>0</v>
      </c>
      <c r="AI41" s="3">
        <f t="shared" si="29"/>
        <v>0</v>
      </c>
      <c r="AJ41" s="3">
        <f t="shared" si="29"/>
        <v>0</v>
      </c>
    </row>
    <row r="42" spans="1:36" x14ac:dyDescent="0.25">
      <c r="A42" s="3">
        <f t="shared" si="30"/>
        <v>10000000000</v>
      </c>
      <c r="B42" s="17">
        <v>0.13675831029111093</v>
      </c>
      <c r="C42" s="18">
        <f t="shared" si="3"/>
        <v>0.11161416834614406</v>
      </c>
      <c r="D42" s="17"/>
      <c r="F42" s="3">
        <f t="shared" si="28"/>
        <v>0.11161416834614406</v>
      </c>
      <c r="G42" s="3">
        <f t="shared" si="28"/>
        <v>0.11161416834614406</v>
      </c>
      <c r="H42" s="3">
        <f t="shared" si="28"/>
        <v>0.11161416834614406</v>
      </c>
      <c r="I42" s="3">
        <f t="shared" si="28"/>
        <v>0.11161416834614406</v>
      </c>
      <c r="J42" s="3">
        <f t="shared" si="28"/>
        <v>0.11161416834614406</v>
      </c>
      <c r="K42" s="3">
        <f t="shared" si="28"/>
        <v>0.11161416834614406</v>
      </c>
      <c r="L42" s="3">
        <f t="shared" si="28"/>
        <v>0.11161416834614406</v>
      </c>
      <c r="M42" s="3">
        <f t="shared" si="28"/>
        <v>0.11161416834614406</v>
      </c>
      <c r="N42" s="3">
        <f t="shared" si="28"/>
        <v>0.11161416834614406</v>
      </c>
      <c r="O42" s="3">
        <f t="shared" si="28"/>
        <v>0.11161416834614404</v>
      </c>
      <c r="P42" s="3">
        <f t="shared" si="27"/>
        <v>0.11161416834614395</v>
      </c>
      <c r="Q42" s="3">
        <f t="shared" si="27"/>
        <v>0.11161416834614295</v>
      </c>
      <c r="R42" s="3">
        <f t="shared" si="27"/>
        <v>0.11161416834613289</v>
      </c>
      <c r="S42" s="3">
        <f t="shared" si="27"/>
        <v>0.11161416834603245</v>
      </c>
      <c r="T42" s="3">
        <f t="shared" si="27"/>
        <v>0.11161416834502792</v>
      </c>
      <c r="U42" s="3">
        <f t="shared" si="27"/>
        <v>0.11161416833498264</v>
      </c>
      <c r="V42" s="3">
        <f t="shared" si="27"/>
        <v>0.1116141682345299</v>
      </c>
      <c r="W42" s="3">
        <f t="shared" si="27"/>
        <v>0.11161416723000238</v>
      </c>
      <c r="X42" s="3">
        <f t="shared" si="27"/>
        <v>0.11161415718472778</v>
      </c>
      <c r="Y42" s="3">
        <f t="shared" si="27"/>
        <v>0.11161405673203152</v>
      </c>
      <c r="Z42" s="3">
        <f t="shared" si="27"/>
        <v>0.11161305221004128</v>
      </c>
      <c r="AA42" s="3">
        <f t="shared" si="27"/>
        <v>0.11160300748736168</v>
      </c>
      <c r="AB42" s="3">
        <f t="shared" si="27"/>
        <v>0.11150260996628437</v>
      </c>
      <c r="AC42" s="3">
        <f t="shared" si="27"/>
        <v>0.11050358881515158</v>
      </c>
      <c r="AD42" s="3">
        <f t="shared" si="27"/>
        <v>0.10099267590255591</v>
      </c>
      <c r="AE42" s="3">
        <f t="shared" si="27"/>
        <v>4.1060557877994765E-2</v>
      </c>
      <c r="AF42" s="3">
        <f t="shared" si="29"/>
        <v>5.0672754034131009E-6</v>
      </c>
      <c r="AG42" s="3">
        <f t="shared" si="29"/>
        <v>4.1521318624803578E-45</v>
      </c>
      <c r="AH42" s="3">
        <f t="shared" si="29"/>
        <v>0</v>
      </c>
      <c r="AI42" s="3">
        <f t="shared" si="29"/>
        <v>0</v>
      </c>
      <c r="AJ42" s="3">
        <f t="shared" si="29"/>
        <v>0</v>
      </c>
    </row>
    <row r="43" spans="1:36" x14ac:dyDescent="0.25">
      <c r="A43" s="3">
        <f t="shared" si="30"/>
        <v>100000000000</v>
      </c>
      <c r="B43" s="17">
        <v>8.1434812071614959E-2</v>
      </c>
      <c r="C43" s="18">
        <f t="shared" si="3"/>
        <v>6.6462351022397975E-2</v>
      </c>
      <c r="D43" s="17"/>
      <c r="F43" s="3">
        <f t="shared" si="28"/>
        <v>6.6462351022397975E-2</v>
      </c>
      <c r="G43" s="3">
        <f t="shared" si="28"/>
        <v>6.6462351022397975E-2</v>
      </c>
      <c r="H43" s="3">
        <f t="shared" si="28"/>
        <v>6.6462351022397975E-2</v>
      </c>
      <c r="I43" s="3">
        <f t="shared" si="28"/>
        <v>6.6462351022397975E-2</v>
      </c>
      <c r="J43" s="3">
        <f t="shared" si="28"/>
        <v>6.6462351022397975E-2</v>
      </c>
      <c r="K43" s="3">
        <f t="shared" si="28"/>
        <v>6.6462351022397975E-2</v>
      </c>
      <c r="L43" s="3">
        <f t="shared" si="28"/>
        <v>6.6462351022397975E-2</v>
      </c>
      <c r="M43" s="3">
        <f t="shared" si="28"/>
        <v>6.6462351022397975E-2</v>
      </c>
      <c r="N43" s="3">
        <f t="shared" si="28"/>
        <v>6.6462351022397975E-2</v>
      </c>
      <c r="O43" s="3">
        <f t="shared" si="28"/>
        <v>6.6462351022397975E-2</v>
      </c>
      <c r="P43" s="3">
        <f t="shared" si="27"/>
        <v>6.6462351022397961E-2</v>
      </c>
      <c r="Q43" s="3">
        <f t="shared" si="27"/>
        <v>6.6462351022397906E-2</v>
      </c>
      <c r="R43" s="3">
        <f t="shared" si="27"/>
        <v>6.6462351022397309E-2</v>
      </c>
      <c r="S43" s="3">
        <f t="shared" si="27"/>
        <v>6.6462351022391328E-2</v>
      </c>
      <c r="T43" s="3">
        <f t="shared" si="27"/>
        <v>6.6462351022331514E-2</v>
      </c>
      <c r="U43" s="3">
        <f t="shared" si="27"/>
        <v>6.6462351021733354E-2</v>
      </c>
      <c r="V43" s="3">
        <f t="shared" si="27"/>
        <v>6.6462351015751736E-2</v>
      </c>
      <c r="W43" s="3">
        <f t="shared" si="27"/>
        <v>6.6462350955935626E-2</v>
      </c>
      <c r="X43" s="3">
        <f t="shared" si="27"/>
        <v>6.6462350357774466E-2</v>
      </c>
      <c r="Y43" s="3">
        <f t="shared" si="27"/>
        <v>6.6462344376163204E-2</v>
      </c>
      <c r="Z43" s="3">
        <f t="shared" si="27"/>
        <v>6.6462284560080187E-2</v>
      </c>
      <c r="AA43" s="3">
        <f t="shared" si="27"/>
        <v>6.6461686402210854E-2</v>
      </c>
      <c r="AB43" s="3">
        <f t="shared" si="27"/>
        <v>6.645570511959642E-2</v>
      </c>
      <c r="AC43" s="3">
        <f t="shared" si="27"/>
        <v>6.6395921891476806E-2</v>
      </c>
      <c r="AD43" s="3">
        <f t="shared" si="27"/>
        <v>6.5801039580303963E-2</v>
      </c>
      <c r="AE43" s="3">
        <f t="shared" si="27"/>
        <v>6.0137622095706202E-2</v>
      </c>
      <c r="AF43" s="3">
        <f t="shared" si="29"/>
        <v>2.4450132553060007E-2</v>
      </c>
      <c r="AG43" s="3">
        <f t="shared" si="29"/>
        <v>3.0173860682664816E-6</v>
      </c>
      <c r="AH43" s="3">
        <f t="shared" si="29"/>
        <v>2.4724499534828656E-45</v>
      </c>
      <c r="AI43" s="3">
        <f t="shared" si="29"/>
        <v>0</v>
      </c>
      <c r="AJ43" s="3">
        <f t="shared" si="29"/>
        <v>0</v>
      </c>
    </row>
    <row r="44" spans="1:36" x14ac:dyDescent="0.25">
      <c r="A44" s="3">
        <f t="shared" si="30"/>
        <v>1000000000000</v>
      </c>
      <c r="B44" s="17">
        <v>5.7711673127904255E-2</v>
      </c>
      <c r="C44" s="18">
        <f t="shared" si="3"/>
        <v>4.7100906601755713E-2</v>
      </c>
      <c r="D44" s="17"/>
      <c r="F44" s="3">
        <f t="shared" si="28"/>
        <v>4.7100906601755713E-2</v>
      </c>
      <c r="G44" s="3">
        <f t="shared" si="28"/>
        <v>4.7100906601755713E-2</v>
      </c>
      <c r="H44" s="3">
        <f t="shared" si="28"/>
        <v>4.7100906601755713E-2</v>
      </c>
      <c r="I44" s="3">
        <f t="shared" si="28"/>
        <v>4.7100906601755713E-2</v>
      </c>
      <c r="J44" s="3">
        <f t="shared" si="28"/>
        <v>4.7100906601755713E-2</v>
      </c>
      <c r="K44" s="3">
        <f t="shared" si="28"/>
        <v>4.7100906601755713E-2</v>
      </c>
      <c r="L44" s="3">
        <f t="shared" si="28"/>
        <v>4.7100906601755713E-2</v>
      </c>
      <c r="M44" s="3">
        <f t="shared" si="28"/>
        <v>4.7100906601755713E-2</v>
      </c>
      <c r="N44" s="3">
        <f t="shared" si="28"/>
        <v>4.7100906601755713E-2</v>
      </c>
      <c r="O44" s="3">
        <f t="shared" si="28"/>
        <v>4.7100906601755713E-2</v>
      </c>
      <c r="P44" s="3">
        <f t="shared" si="27"/>
        <v>4.7100906601755713E-2</v>
      </c>
      <c r="Q44" s="3">
        <f t="shared" si="27"/>
        <v>4.7100906601755706E-2</v>
      </c>
      <c r="R44" s="3">
        <f t="shared" si="27"/>
        <v>4.7100906601755664E-2</v>
      </c>
      <c r="S44" s="3">
        <f t="shared" si="27"/>
        <v>4.7100906601755241E-2</v>
      </c>
      <c r="T44" s="3">
        <f t="shared" si="27"/>
        <v>4.7100906601751001E-2</v>
      </c>
      <c r="U44" s="3">
        <f t="shared" si="27"/>
        <v>4.7100906601708611E-2</v>
      </c>
      <c r="V44" s="3">
        <f t="shared" si="27"/>
        <v>4.7100906601284701E-2</v>
      </c>
      <c r="W44" s="3">
        <f t="shared" si="27"/>
        <v>4.7100906597045619E-2</v>
      </c>
      <c r="X44" s="3">
        <f t="shared" si="27"/>
        <v>4.7100906554654806E-2</v>
      </c>
      <c r="Y44" s="3">
        <f t="shared" si="27"/>
        <v>4.7100906130746648E-2</v>
      </c>
      <c r="Z44" s="3">
        <f t="shared" si="27"/>
        <v>4.7100901891665291E-2</v>
      </c>
      <c r="AA44" s="3">
        <f t="shared" si="27"/>
        <v>4.7100859500872665E-2</v>
      </c>
      <c r="AB44" s="3">
        <f t="shared" si="27"/>
        <v>4.7100435595044732E-2</v>
      </c>
      <c r="AC44" s="3">
        <f t="shared" si="27"/>
        <v>4.7096196746592218E-2</v>
      </c>
      <c r="AD44" s="3">
        <f t="shared" si="27"/>
        <v>4.7053829237759068E-2</v>
      </c>
      <c r="AE44" s="3">
        <f t="shared" si="27"/>
        <v>4.6632244750503336E-2</v>
      </c>
      <c r="AF44" s="3">
        <f t="shared" si="29"/>
        <v>4.2618662716685518E-2</v>
      </c>
      <c r="AG44" s="3">
        <f t="shared" si="29"/>
        <v>1.7327455199322189E-2</v>
      </c>
      <c r="AH44" s="3">
        <f t="shared" si="29"/>
        <v>2.1383778514690686E-6</v>
      </c>
      <c r="AI44" s="3">
        <f t="shared" si="29"/>
        <v>1.7521895109799264E-45</v>
      </c>
      <c r="AJ44" s="3">
        <f t="shared" si="29"/>
        <v>0</v>
      </c>
    </row>
    <row r="45" spans="1:36" x14ac:dyDescent="0.25">
      <c r="A45" s="3">
        <f t="shared" si="30"/>
        <v>10000000000000</v>
      </c>
      <c r="B45" s="17">
        <v>2.7688974908889007E-2</v>
      </c>
      <c r="C45" s="18">
        <f t="shared" si="3"/>
        <v>2.2598128773559236E-2</v>
      </c>
      <c r="D45" s="17"/>
      <c r="F45" s="3">
        <f t="shared" si="28"/>
        <v>2.2598128773559236E-2</v>
      </c>
      <c r="G45" s="3">
        <f t="shared" si="28"/>
        <v>2.2598128773559236E-2</v>
      </c>
      <c r="H45" s="3">
        <f t="shared" si="28"/>
        <v>2.2598128773559236E-2</v>
      </c>
      <c r="I45" s="3">
        <f t="shared" si="28"/>
        <v>2.2598128773559236E-2</v>
      </c>
      <c r="J45" s="3">
        <f t="shared" si="28"/>
        <v>2.2598128773559236E-2</v>
      </c>
      <c r="K45" s="3">
        <f t="shared" si="28"/>
        <v>2.2598128773559236E-2</v>
      </c>
      <c r="L45" s="3">
        <f t="shared" si="28"/>
        <v>2.2598128773559236E-2</v>
      </c>
      <c r="M45" s="3">
        <f t="shared" si="28"/>
        <v>2.2598128773559236E-2</v>
      </c>
      <c r="N45" s="3">
        <f t="shared" si="28"/>
        <v>2.2598128773559236E-2</v>
      </c>
      <c r="O45" s="3">
        <f t="shared" si="28"/>
        <v>2.2598128773559236E-2</v>
      </c>
      <c r="P45" s="3">
        <f t="shared" si="27"/>
        <v>2.2598128773559236E-2</v>
      </c>
      <c r="Q45" s="3">
        <f t="shared" si="27"/>
        <v>2.2598128773559236E-2</v>
      </c>
      <c r="R45" s="3">
        <f t="shared" si="27"/>
        <v>2.2598128773559233E-2</v>
      </c>
      <c r="S45" s="3">
        <f t="shared" si="27"/>
        <v>2.2598128773559212E-2</v>
      </c>
      <c r="T45" s="3">
        <f t="shared" si="27"/>
        <v>2.2598128773559011E-2</v>
      </c>
      <c r="U45" s="3">
        <f t="shared" si="27"/>
        <v>2.2598128773556974E-2</v>
      </c>
      <c r="V45" s="3">
        <f t="shared" si="27"/>
        <v>2.259812877353664E-2</v>
      </c>
      <c r="W45" s="3">
        <f t="shared" si="27"/>
        <v>2.2598128773333254E-2</v>
      </c>
      <c r="X45" s="3">
        <f t="shared" si="27"/>
        <v>2.2598128771299422E-2</v>
      </c>
      <c r="Y45" s="3">
        <f t="shared" si="27"/>
        <v>2.2598128750961108E-2</v>
      </c>
      <c r="Z45" s="3">
        <f t="shared" si="27"/>
        <v>2.259812854757795E-2</v>
      </c>
      <c r="AA45" s="3">
        <f t="shared" si="27"/>
        <v>2.2598126513746472E-2</v>
      </c>
      <c r="AB45" s="3">
        <f t="shared" si="27"/>
        <v>2.2598106175441762E-2</v>
      </c>
      <c r="AC45" s="3">
        <f t="shared" si="27"/>
        <v>2.2597902793401403E-2</v>
      </c>
      <c r="AD45" s="3">
        <f t="shared" si="27"/>
        <v>2.2595869073668756E-2</v>
      </c>
      <c r="AE45" s="3">
        <f t="shared" si="27"/>
        <v>2.257554194008465E-2</v>
      </c>
      <c r="AF45" s="3">
        <f t="shared" si="29"/>
        <v>2.2373273635304614E-2</v>
      </c>
      <c r="AG45" s="3">
        <f t="shared" si="29"/>
        <v>2.0447632491911463E-2</v>
      </c>
      <c r="AH45" s="3">
        <f t="shared" si="29"/>
        <v>8.313386984737263E-3</v>
      </c>
      <c r="AI45" s="3">
        <f t="shared" si="29"/>
        <v>1.0259534590831774E-6</v>
      </c>
      <c r="AJ45" s="3">
        <f t="shared" si="29"/>
        <v>8.4066755953542913E-46</v>
      </c>
    </row>
    <row r="46" spans="1:36" x14ac:dyDescent="0.25">
      <c r="A46" s="3">
        <f t="shared" si="30"/>
        <v>100000000000000</v>
      </c>
      <c r="B46" s="17">
        <v>7.8990696155778039E-3</v>
      </c>
      <c r="C46" s="18">
        <f t="shared" si="3"/>
        <v>6.4467605952010509E-3</v>
      </c>
      <c r="D46" s="17"/>
      <c r="F46" s="3">
        <f t="shared" si="28"/>
        <v>6.4467605952010509E-3</v>
      </c>
      <c r="G46" s="3">
        <f t="shared" si="28"/>
        <v>6.4467605952010509E-3</v>
      </c>
      <c r="H46" s="3">
        <f t="shared" si="28"/>
        <v>6.4467605952010509E-3</v>
      </c>
      <c r="I46" s="3">
        <f t="shared" si="28"/>
        <v>6.4467605952010509E-3</v>
      </c>
      <c r="J46" s="3">
        <f t="shared" si="28"/>
        <v>6.4467605952010509E-3</v>
      </c>
      <c r="K46" s="3">
        <f t="shared" si="28"/>
        <v>6.4467605952010509E-3</v>
      </c>
      <c r="L46" s="3">
        <f t="shared" si="28"/>
        <v>6.4467605952010509E-3</v>
      </c>
      <c r="M46" s="3">
        <f t="shared" si="28"/>
        <v>6.4467605952010509E-3</v>
      </c>
      <c r="N46" s="3">
        <f t="shared" si="28"/>
        <v>6.4467605952010509E-3</v>
      </c>
      <c r="O46" s="3">
        <f t="shared" si="28"/>
        <v>6.4467605952010509E-3</v>
      </c>
      <c r="P46" s="3">
        <f t="shared" si="27"/>
        <v>6.4467605952010509E-3</v>
      </c>
      <c r="Q46" s="3">
        <f t="shared" si="27"/>
        <v>6.4467605952010509E-3</v>
      </c>
      <c r="R46" s="3">
        <f t="shared" si="27"/>
        <v>6.4467605952010509E-3</v>
      </c>
      <c r="S46" s="3">
        <f t="shared" si="27"/>
        <v>6.4467605952010501E-3</v>
      </c>
      <c r="T46" s="3">
        <f t="shared" si="27"/>
        <v>6.4467605952010449E-3</v>
      </c>
      <c r="U46" s="3">
        <f t="shared" si="27"/>
        <v>6.4467605952009868E-3</v>
      </c>
      <c r="V46" s="3">
        <f t="shared" si="27"/>
        <v>6.4467605952004065E-3</v>
      </c>
      <c r="W46" s="3">
        <f t="shared" si="27"/>
        <v>6.4467605951946047E-3</v>
      </c>
      <c r="X46" s="3">
        <f t="shared" si="27"/>
        <v>6.4467605951365834E-3</v>
      </c>
      <c r="Y46" s="3">
        <f t="shared" si="27"/>
        <v>6.4467605945563748E-3</v>
      </c>
      <c r="Z46" s="3">
        <f t="shared" si="27"/>
        <v>6.4467605887542903E-3</v>
      </c>
      <c r="AA46" s="3">
        <f t="shared" si="27"/>
        <v>6.4467605307334452E-3</v>
      </c>
      <c r="AB46" s="3">
        <f t="shared" si="27"/>
        <v>6.446759950525024E-3</v>
      </c>
      <c r="AC46" s="3">
        <f t="shared" si="27"/>
        <v>6.4467541484436791E-3</v>
      </c>
      <c r="AD46" s="3">
        <f t="shared" si="27"/>
        <v>6.4466961279174362E-3</v>
      </c>
      <c r="AE46" s="3">
        <f t="shared" si="27"/>
        <v>6.4461159513742594E-3</v>
      </c>
      <c r="AF46" s="3">
        <f t="shared" si="29"/>
        <v>6.4403170569119561E-3</v>
      </c>
      <c r="AG46" s="3">
        <f t="shared" si="29"/>
        <v>6.3826142554994887E-3</v>
      </c>
      <c r="AH46" s="3">
        <f t="shared" si="29"/>
        <v>5.8332702116576842E-3</v>
      </c>
      <c r="AI46" s="3">
        <f t="shared" si="29"/>
        <v>2.3716306851286374E-3</v>
      </c>
      <c r="AJ46" s="3">
        <f t="shared" si="29"/>
        <v>2.9268247821768274E-7</v>
      </c>
    </row>
    <row r="47" spans="1:36" x14ac:dyDescent="0.25">
      <c r="A47" s="3">
        <f t="shared" si="30"/>
        <v>1000000000000000</v>
      </c>
      <c r="B47" s="17">
        <v>1.2045346678596411E-4</v>
      </c>
      <c r="C47" s="18">
        <f t="shared" si="3"/>
        <v>9.8307104636690784E-5</v>
      </c>
      <c r="D47" s="17"/>
      <c r="F47" s="3">
        <f t="shared" si="28"/>
        <v>9.8307104636690784E-5</v>
      </c>
      <c r="G47" s="3">
        <f t="shared" si="28"/>
        <v>9.8307104636690784E-5</v>
      </c>
      <c r="H47" s="3">
        <f t="shared" si="28"/>
        <v>9.8307104636690784E-5</v>
      </c>
      <c r="I47" s="3">
        <f t="shared" si="28"/>
        <v>9.8307104636690784E-5</v>
      </c>
      <c r="J47" s="3">
        <f t="shared" si="28"/>
        <v>9.8307104636690784E-5</v>
      </c>
      <c r="K47" s="3">
        <f t="shared" si="28"/>
        <v>9.8307104636690784E-5</v>
      </c>
      <c r="L47" s="3">
        <f t="shared" si="28"/>
        <v>9.8307104636690784E-5</v>
      </c>
      <c r="M47" s="3">
        <f t="shared" si="28"/>
        <v>9.8307104636690784E-5</v>
      </c>
      <c r="N47" s="3">
        <f t="shared" si="28"/>
        <v>9.8307104636690784E-5</v>
      </c>
      <c r="O47" s="3">
        <f t="shared" si="28"/>
        <v>9.8307104636690784E-5</v>
      </c>
      <c r="P47" s="3">
        <f t="shared" si="27"/>
        <v>9.8307104636690784E-5</v>
      </c>
      <c r="Q47" s="3">
        <f t="shared" si="27"/>
        <v>9.8307104636690784E-5</v>
      </c>
      <c r="R47" s="3">
        <f t="shared" si="27"/>
        <v>9.8307104636690784E-5</v>
      </c>
      <c r="S47" s="3">
        <f t="shared" si="27"/>
        <v>9.8307104636690784E-5</v>
      </c>
      <c r="T47" s="3">
        <f t="shared" si="27"/>
        <v>9.830710463669077E-5</v>
      </c>
      <c r="U47" s="3">
        <f t="shared" si="27"/>
        <v>9.8307104636690689E-5</v>
      </c>
      <c r="V47" s="3">
        <f t="shared" si="27"/>
        <v>9.8307104636689808E-5</v>
      </c>
      <c r="W47" s="3">
        <f t="shared" si="27"/>
        <v>9.8307104636680945E-5</v>
      </c>
      <c r="X47" s="3">
        <f t="shared" si="27"/>
        <v>9.8307104636592474E-5</v>
      </c>
      <c r="Y47" s="3">
        <f t="shared" si="27"/>
        <v>9.8307104635707711E-5</v>
      </c>
      <c r="Z47" s="3">
        <f t="shared" si="27"/>
        <v>9.8307104626860079E-5</v>
      </c>
      <c r="AA47" s="3">
        <f t="shared" si="27"/>
        <v>9.8307104538383679E-5</v>
      </c>
      <c r="AB47" s="3">
        <f t="shared" si="27"/>
        <v>9.8307103653619737E-5</v>
      </c>
      <c r="AC47" s="3">
        <f t="shared" si="27"/>
        <v>9.8307094805980821E-5</v>
      </c>
      <c r="AD47" s="3">
        <f t="shared" si="27"/>
        <v>9.8307006329635308E-5</v>
      </c>
      <c r="AE47" s="3">
        <f t="shared" si="27"/>
        <v>9.8306121570559762E-5</v>
      </c>
      <c r="AF47" s="3">
        <f t="shared" si="29"/>
        <v>9.8297274417746255E-5</v>
      </c>
      <c r="AG47" s="3">
        <f t="shared" si="29"/>
        <v>9.8208846669225986E-5</v>
      </c>
      <c r="AH47" s="3">
        <f t="shared" si="29"/>
        <v>9.7328932601917784E-5</v>
      </c>
      <c r="AI47" s="3">
        <f t="shared" si="29"/>
        <v>8.8951946734054199E-5</v>
      </c>
      <c r="AJ47" s="3">
        <f t="shared" si="29"/>
        <v>3.6165162716928314E-5</v>
      </c>
    </row>
    <row r="48" spans="1:36" x14ac:dyDescent="0.25">
      <c r="A48" s="3">
        <f t="shared" si="30"/>
        <v>1E+16</v>
      </c>
      <c r="B48" s="17">
        <v>1.3503660449885834E-2</v>
      </c>
      <c r="C48" s="18">
        <f t="shared" si="3"/>
        <v>1.1020901234699522E-2</v>
      </c>
      <c r="D48" s="17"/>
      <c r="F48" s="3">
        <f t="shared" si="28"/>
        <v>1.1020901234699522E-2</v>
      </c>
      <c r="G48" s="3">
        <f t="shared" si="28"/>
        <v>1.1020901234699522E-2</v>
      </c>
      <c r="H48" s="3">
        <f t="shared" si="28"/>
        <v>1.1020901234699522E-2</v>
      </c>
      <c r="I48" s="3">
        <f t="shared" si="28"/>
        <v>1.1020901234699522E-2</v>
      </c>
      <c r="J48" s="3">
        <f t="shared" si="28"/>
        <v>1.1020901234699522E-2</v>
      </c>
      <c r="K48" s="3">
        <f t="shared" si="28"/>
        <v>1.1020901234699522E-2</v>
      </c>
      <c r="L48" s="3">
        <f t="shared" si="28"/>
        <v>1.1020901234699522E-2</v>
      </c>
      <c r="M48" s="3">
        <f t="shared" si="28"/>
        <v>1.1020901234699522E-2</v>
      </c>
      <c r="N48" s="3">
        <f t="shared" si="28"/>
        <v>1.1020901234699522E-2</v>
      </c>
      <c r="O48" s="3">
        <f t="shared" si="28"/>
        <v>1.1020901234699522E-2</v>
      </c>
      <c r="P48" s="3">
        <f t="shared" si="27"/>
        <v>1.1020901234699522E-2</v>
      </c>
      <c r="Q48" s="3">
        <f t="shared" si="27"/>
        <v>1.1020901234699522E-2</v>
      </c>
      <c r="R48" s="3">
        <f t="shared" si="27"/>
        <v>1.1020901234699522E-2</v>
      </c>
      <c r="S48" s="3">
        <f t="shared" si="27"/>
        <v>1.1020901234699522E-2</v>
      </c>
      <c r="T48" s="3">
        <f t="shared" si="27"/>
        <v>1.1020901234699522E-2</v>
      </c>
      <c r="U48" s="3">
        <f t="shared" si="27"/>
        <v>1.102090123469952E-2</v>
      </c>
      <c r="V48" s="3">
        <f t="shared" si="27"/>
        <v>1.1020901234699511E-2</v>
      </c>
      <c r="W48" s="3">
        <f t="shared" si="27"/>
        <v>1.1020901234699412E-2</v>
      </c>
      <c r="X48" s="3">
        <f t="shared" si="27"/>
        <v>1.1020901234698418E-2</v>
      </c>
      <c r="Y48" s="3">
        <f t="shared" si="27"/>
        <v>1.1020901234688501E-2</v>
      </c>
      <c r="Z48" s="3">
        <f t="shared" si="27"/>
        <v>1.1020901234589313E-2</v>
      </c>
      <c r="AA48" s="3">
        <f t="shared" si="27"/>
        <v>1.1020901233597431E-2</v>
      </c>
      <c r="AB48" s="3">
        <f t="shared" si="27"/>
        <v>1.102090122367862E-2</v>
      </c>
      <c r="AC48" s="3">
        <f t="shared" si="27"/>
        <v>1.102090112449051E-2</v>
      </c>
      <c r="AD48" s="3">
        <f t="shared" si="27"/>
        <v>1.1020900132609453E-2</v>
      </c>
      <c r="AE48" s="3">
        <f t="shared" si="27"/>
        <v>1.1020890213803798E-2</v>
      </c>
      <c r="AF48" s="3">
        <f t="shared" si="29"/>
        <v>1.1020791026238218E-2</v>
      </c>
      <c r="AG48" s="3">
        <f t="shared" si="29"/>
        <v>1.1019799199678722E-2</v>
      </c>
      <c r="AH48" s="3">
        <f t="shared" si="29"/>
        <v>1.1009885842079082E-2</v>
      </c>
      <c r="AI48" s="3">
        <f t="shared" si="29"/>
        <v>1.0911241435180264E-2</v>
      </c>
      <c r="AJ48" s="3">
        <f t="shared" si="29"/>
        <v>9.9721238176348342E-3</v>
      </c>
    </row>
    <row r="49" spans="1:36" x14ac:dyDescent="0.25">
      <c r="B49" s="16">
        <f>SUM(B17:B48)</f>
        <v>1.2252773309835403</v>
      </c>
      <c r="C49" s="18">
        <f>SUM(C17:C48)</f>
        <v>0.99999999999999989</v>
      </c>
      <c r="F49" s="3">
        <f t="shared" ref="F49:AJ49" si="31">F16-F17</f>
        <v>-3.4848008039261913E-2</v>
      </c>
      <c r="G49" s="3">
        <f t="shared" si="31"/>
        <v>1.8538667900429573E-3</v>
      </c>
      <c r="H49" s="3">
        <f t="shared" si="31"/>
        <v>-2.0568186982927728E-2</v>
      </c>
      <c r="I49" s="3">
        <f t="shared" si="31"/>
        <v>-2.7344733773134067E-2</v>
      </c>
      <c r="J49" s="3">
        <f t="shared" si="31"/>
        <v>-2.9387976057478227E-2</v>
      </c>
      <c r="K49" s="3">
        <f t="shared" si="31"/>
        <v>-3.004560029876302E-2</v>
      </c>
      <c r="L49" s="3">
        <f t="shared" si="31"/>
        <v>-3.0224148442357546E-2</v>
      </c>
      <c r="M49" s="3">
        <f t="shared" si="31"/>
        <v>-2.8723717669890902E-2</v>
      </c>
      <c r="N49" s="3">
        <f t="shared" si="31"/>
        <v>-1.3918156044383068E-2</v>
      </c>
      <c r="O49" s="3">
        <f t="shared" si="31"/>
        <v>0.11628358183770615</v>
      </c>
      <c r="P49" s="3">
        <f t="shared" si="31"/>
        <v>0.33312898335407226</v>
      </c>
      <c r="Q49" s="3">
        <f t="shared" si="31"/>
        <v>-0.55786613806867535</v>
      </c>
      <c r="R49" s="3">
        <f t="shared" si="31"/>
        <v>0.68665754489029496</v>
      </c>
      <c r="S49" s="3">
        <f t="shared" si="31"/>
        <v>-0.72466429535506904</v>
      </c>
      <c r="T49" s="3">
        <f t="shared" si="31"/>
        <v>0.6583526488584539</v>
      </c>
      <c r="U49" s="3">
        <f t="shared" si="31"/>
        <v>-0.50951198092661798</v>
      </c>
      <c r="V49" s="3">
        <f t="shared" si="31"/>
        <v>0.3380659043941705</v>
      </c>
      <c r="W49" s="3">
        <f t="shared" si="31"/>
        <v>-0.19498236606614228</v>
      </c>
      <c r="X49" s="3">
        <f t="shared" si="31"/>
        <v>9.6822050960327033E-2</v>
      </c>
      <c r="Y49" s="3">
        <f t="shared" si="31"/>
        <v>-4.0350202645186073E-2</v>
      </c>
      <c r="Z49" s="3">
        <f t="shared" si="31"/>
        <v>1.3594303310128453E-2</v>
      </c>
      <c r="AA49" s="3">
        <f t="shared" si="31"/>
        <v>-3.5479288480928517E-3</v>
      </c>
      <c r="AB49" s="3">
        <f t="shared" si="31"/>
        <v>1.2293127815610205E-3</v>
      </c>
      <c r="AC49" s="3">
        <f t="shared" si="31"/>
        <v>1.0415587653369585E-3</v>
      </c>
      <c r="AD49" s="3">
        <f t="shared" si="31"/>
        <v>-6.623128716228166E-3</v>
      </c>
      <c r="AE49" s="3">
        <f t="shared" si="31"/>
        <v>8.2221153277259873E-3</v>
      </c>
      <c r="AF49" s="3">
        <f t="shared" si="31"/>
        <v>-2.5008490462141708E-3</v>
      </c>
      <c r="AG49" s="3">
        <f t="shared" si="31"/>
        <v>-4.0293347793181056E-3</v>
      </c>
      <c r="AH49" s="3">
        <f t="shared" si="31"/>
        <v>5.9277325227924393E-3</v>
      </c>
      <c r="AI49" s="3">
        <f t="shared" si="31"/>
        <v>-3.7493558057519749E-3</v>
      </c>
      <c r="AJ49" s="3">
        <f t="shared" si="31"/>
        <v>1.1955666129495057E-3</v>
      </c>
    </row>
    <row r="50" spans="1:36" x14ac:dyDescent="0.25">
      <c r="F50" s="57">
        <f t="shared" ref="F50:AJ50" si="32">F49/F17</f>
        <v>-5.8821931028048413E-6</v>
      </c>
      <c r="G50" s="57">
        <f t="shared" si="32"/>
        <v>3.129246995600149E-7</v>
      </c>
      <c r="H50" s="57">
        <f t="shared" si="32"/>
        <v>-3.471821042881931E-6</v>
      </c>
      <c r="I50" s="57">
        <f t="shared" si="32"/>
        <v>-4.6156728466343774E-6</v>
      </c>
      <c r="J50" s="57">
        <f t="shared" si="32"/>
        <v>-4.9605633298968663E-6</v>
      </c>
      <c r="K50" s="57">
        <f t="shared" si="32"/>
        <v>-5.0715676517252723E-6</v>
      </c>
      <c r="L50" s="57">
        <f t="shared" si="32"/>
        <v>-5.1017077437456334E-6</v>
      </c>
      <c r="M50" s="57">
        <f t="shared" si="32"/>
        <v>-4.8484598055542823E-6</v>
      </c>
      <c r="N50" s="57">
        <f t="shared" si="32"/>
        <v>-2.3494234881776202E-6</v>
      </c>
      <c r="O50" s="57">
        <f t="shared" si="32"/>
        <v>1.9636326899414506E-5</v>
      </c>
      <c r="P50" s="57">
        <f t="shared" si="32"/>
        <v>5.6441416013807411E-5</v>
      </c>
      <c r="Q50" s="57">
        <f t="shared" si="32"/>
        <v>-9.636113838362923E-5</v>
      </c>
      <c r="R50" s="57">
        <f t="shared" si="32"/>
        <v>1.2159553942506243E-4</v>
      </c>
      <c r="S50" s="57">
        <f t="shared" si="32"/>
        <v>-1.3190570822500049E-4</v>
      </c>
      <c r="T50" s="57">
        <f t="shared" si="32"/>
        <v>1.2399489566139595E-4</v>
      </c>
      <c r="U50" s="57">
        <f t="shared" si="32"/>
        <v>-9.9564077075201755E-5</v>
      </c>
      <c r="V50" s="57">
        <f t="shared" si="32"/>
        <v>6.9152951883717049E-5</v>
      </c>
      <c r="W50" s="57">
        <f t="shared" si="32"/>
        <v>-4.2393590698808239E-5</v>
      </c>
      <c r="X50" s="57">
        <f t="shared" si="32"/>
        <v>2.2662768593888835E-5</v>
      </c>
      <c r="Y50" s="57">
        <f t="shared" si="32"/>
        <v>-1.0238082832406399E-5</v>
      </c>
      <c r="Z50" s="57">
        <f t="shared" si="32"/>
        <v>3.7673197280719736E-6</v>
      </c>
      <c r="AA50" s="57">
        <f t="shared" si="32"/>
        <v>-1.0874711839917794E-6</v>
      </c>
      <c r="AB50" s="57">
        <f t="shared" si="32"/>
        <v>4.3265653265157234E-7</v>
      </c>
      <c r="AC50" s="57">
        <f t="shared" si="32"/>
        <v>4.4314118754608574E-7</v>
      </c>
      <c r="AD50" s="57">
        <f t="shared" si="32"/>
        <v>-3.6912327512250383E-6</v>
      </c>
      <c r="AE50" s="57">
        <f t="shared" si="32"/>
        <v>6.8934428401735879E-6</v>
      </c>
      <c r="AF50" s="57">
        <f t="shared" si="32"/>
        <v>-3.5096454937759703E-6</v>
      </c>
      <c r="AG50" s="57">
        <f t="shared" si="32"/>
        <v>-9.9294214949800209E-6</v>
      </c>
      <c r="AH50" s="57">
        <f t="shared" si="32"/>
        <v>2.6027299576093404E-5</v>
      </c>
      <c r="AI50" s="57">
        <f t="shared" si="32"/>
        <v>-2.3838945927647641E-5</v>
      </c>
      <c r="AJ50" s="57">
        <f t="shared" si="32"/>
        <v>8.7059768718356834E-6</v>
      </c>
    </row>
    <row r="51" spans="1:36" x14ac:dyDescent="0.25">
      <c r="A51" s="13" t="s">
        <v>21</v>
      </c>
      <c r="B51" s="3">
        <f>STUTT!D8</f>
        <v>5930.4079000000002</v>
      </c>
      <c r="E51" s="11" t="s">
        <v>24</v>
      </c>
      <c r="F51" s="20">
        <f t="shared" ref="F51:AJ51" si="33">(F16-F17)^2</f>
        <v>1.2143836643044629E-3</v>
      </c>
      <c r="G51" s="20">
        <f t="shared" si="33"/>
        <v>3.4368220752241783E-6</v>
      </c>
      <c r="H51" s="20">
        <f t="shared" si="33"/>
        <v>4.230503157646776E-4</v>
      </c>
      <c r="I51" s="20">
        <f t="shared" si="33"/>
        <v>7.4773446512357887E-4</v>
      </c>
      <c r="J51" s="20">
        <f t="shared" si="33"/>
        <v>8.6365313675491353E-4</v>
      </c>
      <c r="K51" s="20">
        <f t="shared" si="33"/>
        <v>9.0273809731302845E-4</v>
      </c>
      <c r="L51" s="20">
        <f t="shared" si="33"/>
        <v>9.1349914906566402E-4</v>
      </c>
      <c r="M51" s="20">
        <f t="shared" si="33"/>
        <v>8.2505195677960285E-4</v>
      </c>
      <c r="N51" s="20">
        <f t="shared" si="33"/>
        <v>1.9371506767579692E-4</v>
      </c>
      <c r="O51" s="20">
        <f t="shared" si="33"/>
        <v>1.3521871405006504E-2</v>
      </c>
      <c r="P51" s="20">
        <f t="shared" si="33"/>
        <v>0.11097491955051775</v>
      </c>
      <c r="Q51" s="20">
        <f t="shared" si="33"/>
        <v>0.31121462800365834</v>
      </c>
      <c r="R51" s="20">
        <f t="shared" si="33"/>
        <v>0.47149858395476746</v>
      </c>
      <c r="S51" s="20">
        <f t="shared" si="33"/>
        <v>0.52513834096245871</v>
      </c>
      <c r="T51" s="20">
        <f t="shared" si="33"/>
        <v>0.43342821025894268</v>
      </c>
      <c r="U51" s="20">
        <f t="shared" si="33"/>
        <v>0.25960245870776633</v>
      </c>
      <c r="V51" s="20">
        <f t="shared" si="33"/>
        <v>0.11428855571384842</v>
      </c>
      <c r="W51" s="20">
        <f t="shared" si="33"/>
        <v>3.8018123076751113E-2</v>
      </c>
      <c r="X51" s="20">
        <f t="shared" si="33"/>
        <v>9.3745095521641647E-3</v>
      </c>
      <c r="Y51" s="20">
        <f t="shared" si="33"/>
        <v>1.6281388535075811E-3</v>
      </c>
      <c r="Z51" s="20">
        <f t="shared" si="33"/>
        <v>1.848050824877694E-4</v>
      </c>
      <c r="AA51" s="20">
        <f t="shared" si="33"/>
        <v>1.258779911112947E-5</v>
      </c>
      <c r="AB51" s="20">
        <f t="shared" si="33"/>
        <v>1.5112099149092935E-6</v>
      </c>
      <c r="AC51" s="20">
        <f t="shared" si="33"/>
        <v>1.0848446616502493E-6</v>
      </c>
      <c r="AD51" s="20">
        <f t="shared" si="33"/>
        <v>4.3865833991726157E-5</v>
      </c>
      <c r="AE51" s="20">
        <f t="shared" si="33"/>
        <v>6.7603180462426615E-5</v>
      </c>
      <c r="AF51" s="20">
        <f t="shared" si="33"/>
        <v>6.2542459519503275E-6</v>
      </c>
      <c r="AG51" s="20">
        <f t="shared" si="33"/>
        <v>1.6235538763822485E-5</v>
      </c>
      <c r="AH51" s="20">
        <f t="shared" si="33"/>
        <v>3.513801286177122E-5</v>
      </c>
      <c r="AI51" s="20">
        <f t="shared" si="33"/>
        <v>1.4057668958126041E-5</v>
      </c>
      <c r="AJ51" s="20">
        <f t="shared" si="33"/>
        <v>1.4293795259995533E-6</v>
      </c>
    </row>
    <row r="52" spans="1:36" x14ac:dyDescent="0.25">
      <c r="A52" s="13"/>
    </row>
    <row r="53" spans="1:36" x14ac:dyDescent="0.25">
      <c r="E53" s="109" t="s">
        <v>25</v>
      </c>
      <c r="F53" s="109"/>
      <c r="G53" s="21">
        <f>SUM(F51:AJ51)</f>
        <v>2.295160175510937</v>
      </c>
      <c r="I53" s="3">
        <f>G53+C123</f>
        <v>2.295160175510937</v>
      </c>
      <c r="K53" s="3">
        <f>SUM(Z51:AJ51)</f>
        <v>3.8457279669128078E-4</v>
      </c>
    </row>
    <row r="55" spans="1:36" x14ac:dyDescent="0.25">
      <c r="E55" s="30" t="s">
        <v>30</v>
      </c>
      <c r="F55" s="31">
        <f t="shared" ref="F55:AJ55" si="34">ABS(F17-F16)/F16</f>
        <v>5.8822277032040659E-6</v>
      </c>
      <c r="G55" s="31">
        <f t="shared" si="34"/>
        <v>3.1292460163817796E-7</v>
      </c>
      <c r="H55" s="31">
        <f t="shared" si="34"/>
        <v>3.4718330964651326E-6</v>
      </c>
      <c r="I55" s="31">
        <f t="shared" si="34"/>
        <v>4.6156941511685394E-6</v>
      </c>
      <c r="J55" s="31">
        <f t="shared" si="34"/>
        <v>4.9605879372074826E-6</v>
      </c>
      <c r="K55" s="31">
        <f t="shared" si="34"/>
        <v>5.0715933726541635E-6</v>
      </c>
      <c r="L55" s="31">
        <f t="shared" si="34"/>
        <v>5.101733771300321E-6</v>
      </c>
      <c r="M55" s="31">
        <f t="shared" si="34"/>
        <v>4.8484833132307447E-6</v>
      </c>
      <c r="N55" s="31">
        <f t="shared" si="34"/>
        <v>2.3494290079813154E-6</v>
      </c>
      <c r="O55" s="31">
        <f t="shared" si="34"/>
        <v>1.9635941321651737E-5</v>
      </c>
      <c r="P55" s="31">
        <f t="shared" si="34"/>
        <v>5.6438230560157287E-5</v>
      </c>
      <c r="Q55" s="31">
        <f t="shared" si="34"/>
        <v>9.6370424747464401E-5</v>
      </c>
      <c r="R55" s="31">
        <f t="shared" si="34"/>
        <v>1.2158075574748361E-4</v>
      </c>
      <c r="S55" s="31">
        <f t="shared" si="34"/>
        <v>1.3192310963620831E-4</v>
      </c>
      <c r="T55" s="31">
        <f t="shared" si="34"/>
        <v>1.2397952283339808E-4</v>
      </c>
      <c r="U55" s="31">
        <f t="shared" si="34"/>
        <v>9.9573991067723118E-5</v>
      </c>
      <c r="V55" s="31">
        <f t="shared" si="34"/>
        <v>6.9148170083638413E-5</v>
      </c>
      <c r="W55" s="31">
        <f t="shared" si="34"/>
        <v>4.2395387991534269E-5</v>
      </c>
      <c r="X55" s="31">
        <f t="shared" si="34"/>
        <v>2.2662255004447853E-5</v>
      </c>
      <c r="Y55" s="31">
        <f t="shared" si="34"/>
        <v>1.0238187651819631E-5</v>
      </c>
      <c r="Z55" s="31">
        <f t="shared" si="34"/>
        <v>3.7673055354275083E-6</v>
      </c>
      <c r="AA55" s="31">
        <f t="shared" si="34"/>
        <v>1.0874723665866416E-6</v>
      </c>
      <c r="AB55" s="31">
        <f t="shared" si="34"/>
        <v>4.3265634545997811E-7</v>
      </c>
      <c r="AC55" s="31">
        <f t="shared" si="34"/>
        <v>4.4314099117206064E-7</v>
      </c>
      <c r="AD55" s="31">
        <f t="shared" si="34"/>
        <v>3.6912463764745561E-6</v>
      </c>
      <c r="AE55" s="31">
        <f t="shared" si="34"/>
        <v>6.8933953209469683E-6</v>
      </c>
      <c r="AF55" s="31">
        <f t="shared" si="34"/>
        <v>3.5096578114306925E-6</v>
      </c>
      <c r="AG55" s="31">
        <f t="shared" si="34"/>
        <v>9.9295200893702312E-6</v>
      </c>
      <c r="AH55" s="31">
        <f t="shared" si="34"/>
        <v>2.6026622173401142E-5</v>
      </c>
      <c r="AI55" s="31">
        <f t="shared" si="34"/>
        <v>2.383951423653847E-5</v>
      </c>
      <c r="AJ55" s="31">
        <f t="shared" si="34"/>
        <v>8.705901078462246E-6</v>
      </c>
    </row>
    <row r="56" spans="1:36" x14ac:dyDescent="0.25">
      <c r="E56" s="13" t="s">
        <v>31</v>
      </c>
      <c r="F56" s="32">
        <f>AVERAGE(F55:AJ55)</f>
        <v>2.9641513416956362E-5</v>
      </c>
    </row>
    <row r="57" spans="1:36" x14ac:dyDescent="0.25">
      <c r="A57" s="42"/>
      <c r="B57" s="15"/>
      <c r="C57" s="15"/>
      <c r="D57" s="15"/>
      <c r="F57" s="60">
        <f>AVERAGE(S55:X55)</f>
        <v>8.1613739436158333E-5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1.0000000000000001E-5</v>
      </c>
      <c r="B64" s="42">
        <f>10^B65</f>
        <v>100000</v>
      </c>
      <c r="C64" s="15"/>
      <c r="D64" s="15"/>
      <c r="E64" s="15"/>
      <c r="F64" s="15"/>
      <c r="G64" s="15"/>
      <c r="H64" s="15"/>
      <c r="I64" s="15"/>
    </row>
    <row r="65" spans="1:13" x14ac:dyDescent="0.25">
      <c r="A65" s="15">
        <v>-5</v>
      </c>
      <c r="B65" s="43">
        <v>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-15.228303580211474</v>
      </c>
    </row>
    <row r="119" spans="1:14" x14ac:dyDescent="0.25">
      <c r="L119" s="11">
        <f>L118+1</f>
        <v>2</v>
      </c>
      <c r="M119" s="11">
        <f t="shared" ref="M119:M124" si="35">INDEX($B$125:$K$126,1,L119)</f>
        <v>0</v>
      </c>
      <c r="N119" s="11">
        <f t="shared" ref="N119:N124" si="36">IF(L119=$B$3,0,INDEX($B$125:$K$126,2,L119))</f>
        <v>-10.887748608871126</v>
      </c>
    </row>
    <row r="120" spans="1:14" x14ac:dyDescent="0.25">
      <c r="L120" s="11">
        <f t="shared" ref="L120:L124" si="37">L119+1</f>
        <v>3</v>
      </c>
      <c r="M120" s="11">
        <f t="shared" si="35"/>
        <v>25</v>
      </c>
      <c r="N120" s="11">
        <f t="shared" si="36"/>
        <v>-6.2347258950093387</v>
      </c>
    </row>
    <row r="121" spans="1:14" x14ac:dyDescent="0.25">
      <c r="A121" s="3">
        <f>(A165+A204+A243+A282+A321+A360+A399)*10^9</f>
        <v>100517770067475.72</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12.013708800717376</v>
      </c>
    </row>
    <row r="123" spans="1:14" x14ac:dyDescent="0.25">
      <c r="A123" s="109"/>
      <c r="B123" s="109"/>
      <c r="C123" s="3"/>
      <c r="D123" s="3"/>
      <c r="E123" s="3"/>
      <c r="F123" s="3"/>
      <c r="G123" s="3"/>
      <c r="H123" s="3"/>
      <c r="I123" s="3"/>
      <c r="J123" s="3"/>
      <c r="K123" s="3"/>
      <c r="L123" s="11">
        <f t="shared" si="37"/>
        <v>6</v>
      </c>
      <c r="M123" s="11">
        <f t="shared" si="35"/>
        <v>125</v>
      </c>
      <c r="N123" s="11">
        <f t="shared" si="36"/>
        <v>32.069911490452888</v>
      </c>
    </row>
    <row r="124" spans="1:14" x14ac:dyDescent="0.25">
      <c r="B124" s="3"/>
      <c r="C124" s="3"/>
      <c r="D124" s="3"/>
      <c r="E124" s="3"/>
      <c r="F124" s="3"/>
      <c r="G124" s="3"/>
      <c r="H124" s="3"/>
      <c r="I124" s="3"/>
      <c r="J124" s="3"/>
      <c r="K124" s="3"/>
      <c r="L124" s="11">
        <f t="shared" si="37"/>
        <v>7</v>
      </c>
      <c r="M124" s="11">
        <f t="shared" si="35"/>
        <v>160</v>
      </c>
      <c r="N124" s="11">
        <f t="shared" si="36"/>
        <v>36.229370550672115</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-15.228303580211474</v>
      </c>
      <c r="C126" s="3">
        <v>-10.887748608871126</v>
      </c>
      <c r="D126" s="3">
        <v>-6.2347258950093387</v>
      </c>
      <c r="E126" s="3">
        <v>1.1217519629749219E-4</v>
      </c>
      <c r="F126" s="3">
        <v>12.013708800717376</v>
      </c>
      <c r="G126" s="3">
        <v>32.069911490452888</v>
      </c>
      <c r="H126" s="3">
        <v>36.229370550672115</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9" t="s">
        <v>22</v>
      </c>
      <c r="B131" s="27">
        <f>($C$17+SUM(B132:B162))*$B$51</f>
        <v>5930.2615286920636</v>
      </c>
      <c r="C131" s="27">
        <f t="shared" ref="C131:AF131" si="40">($C$17+SUM(C132:C162))*$B$51</f>
        <v>5929.0928664339972</v>
      </c>
      <c r="D131" s="27">
        <f t="shared" si="40"/>
        <v>5924.855627142686</v>
      </c>
      <c r="E131" s="27">
        <f t="shared" si="40"/>
        <v>5924.3223454634244</v>
      </c>
      <c r="F131" s="27">
        <f t="shared" si="40"/>
        <v>5924.3223454632571</v>
      </c>
      <c r="G131" s="27">
        <f t="shared" si="40"/>
        <v>5924.3223454632025</v>
      </c>
      <c r="H131" s="27">
        <f t="shared" si="40"/>
        <v>5924.3223454626541</v>
      </c>
      <c r="I131" s="27">
        <f t="shared" si="40"/>
        <v>5924.3223454571817</v>
      </c>
      <c r="J131" s="27">
        <f t="shared" si="40"/>
        <v>5924.3223454024455</v>
      </c>
      <c r="K131" s="27">
        <f t="shared" si="40"/>
        <v>5924.3223448550916</v>
      </c>
      <c r="L131" s="27">
        <f t="shared" si="40"/>
        <v>5924.322339381546</v>
      </c>
      <c r="M131" s="27">
        <f t="shared" si="40"/>
        <v>5924.3222846461085</v>
      </c>
      <c r="N131" s="27">
        <f t="shared" si="40"/>
        <v>5924.3217372936815</v>
      </c>
      <c r="O131" s="27">
        <f t="shared" si="40"/>
        <v>5924.3162639639722</v>
      </c>
      <c r="P131" s="27">
        <f t="shared" si="40"/>
        <v>5924.2615501102055</v>
      </c>
      <c r="Q131" s="27">
        <f t="shared" si="40"/>
        <v>5923.7163424970104</v>
      </c>
      <c r="R131" s="27">
        <f t="shared" si="40"/>
        <v>5918.444796175977</v>
      </c>
      <c r="S131" s="27">
        <f t="shared" si="40"/>
        <v>5876.534800370393</v>
      </c>
      <c r="T131" s="27">
        <f t="shared" si="40"/>
        <v>5721.9372261590961</v>
      </c>
      <c r="U131" s="27">
        <f t="shared" si="40"/>
        <v>5590.9730926806706</v>
      </c>
      <c r="V131" s="27">
        <f t="shared" si="40"/>
        <v>5415.0492979863693</v>
      </c>
      <c r="W131" s="27">
        <f t="shared" si="40"/>
        <v>5230.0914345354804</v>
      </c>
      <c r="X131" s="27">
        <f t="shared" si="40"/>
        <v>5029.4469962080975</v>
      </c>
      <c r="Y131" s="27">
        <f t="shared" si="40"/>
        <v>4774.9011799297141</v>
      </c>
      <c r="Z131" s="27">
        <f t="shared" si="40"/>
        <v>4468.0061399652659</v>
      </c>
      <c r="AA131" s="27">
        <f t="shared" si="40"/>
        <v>4141.0593563194843</v>
      </c>
      <c r="AB131" s="27">
        <f t="shared" si="40"/>
        <v>3815.9668793218784</v>
      </c>
      <c r="AC131" s="27">
        <f t="shared" si="40"/>
        <v>3477.4745209232296</v>
      </c>
      <c r="AD131" s="27">
        <f t="shared" si="40"/>
        <v>3137.9252552979278</v>
      </c>
      <c r="AE131" s="27">
        <f t="shared" si="40"/>
        <v>2647.2428567192801</v>
      </c>
      <c r="AF131" s="27">
        <f t="shared" si="40"/>
        <v>2127.0516425413252</v>
      </c>
    </row>
    <row r="132" spans="1:33" x14ac:dyDescent="0.25">
      <c r="B132" s="3">
        <f t="shared" ref="B132:Z133" si="41">$C18*EXP(-B$129/$A18/EXP(-$B$126))</f>
        <v>1.0014797175755925E-3</v>
      </c>
      <c r="C132" s="3">
        <f t="shared" ref="C132:AF132" si="42">$C18*EXP(-C$129/$A18/EXP(-$B$126))</f>
        <v>8.0441700658303921E-4</v>
      </c>
      <c r="D132" s="3">
        <f t="shared" si="42"/>
        <v>8.9923271453781165E-5</v>
      </c>
      <c r="E132" s="3">
        <f t="shared" si="42"/>
        <v>2.7401898001406275E-14</v>
      </c>
      <c r="F132" s="3">
        <f t="shared" si="42"/>
        <v>1.8917603376878694E-109</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0</v>
      </c>
      <c r="C136" s="3">
        <f t="shared" si="49"/>
        <v>0</v>
      </c>
      <c r="D136" s="3">
        <f t="shared" si="49"/>
        <v>0</v>
      </c>
      <c r="E136" s="3">
        <f t="shared" si="49"/>
        <v>0</v>
      </c>
      <c r="F136" s="3">
        <f t="shared" si="49"/>
        <v>0</v>
      </c>
      <c r="G136" s="3">
        <f t="shared" si="49"/>
        <v>0</v>
      </c>
      <c r="H136" s="3">
        <f t="shared" si="49"/>
        <v>0</v>
      </c>
      <c r="I136" s="3">
        <f t="shared" si="49"/>
        <v>0</v>
      </c>
      <c r="J136" s="3">
        <f t="shared" si="49"/>
        <v>0</v>
      </c>
      <c r="K136" s="3">
        <f t="shared" si="49"/>
        <v>0</v>
      </c>
      <c r="L136" s="3">
        <f t="shared" si="49"/>
        <v>0</v>
      </c>
      <c r="M136" s="3">
        <f t="shared" si="49"/>
        <v>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0</v>
      </c>
      <c r="C137" s="3">
        <f t="shared" si="51"/>
        <v>0</v>
      </c>
      <c r="D137" s="3">
        <f t="shared" si="51"/>
        <v>0</v>
      </c>
      <c r="E137" s="3">
        <f t="shared" si="51"/>
        <v>0</v>
      </c>
      <c r="F137" s="3">
        <f t="shared" si="51"/>
        <v>0</v>
      </c>
      <c r="G137" s="3">
        <f t="shared" si="51"/>
        <v>0</v>
      </c>
      <c r="H137" s="3">
        <f t="shared" si="51"/>
        <v>0</v>
      </c>
      <c r="I137" s="3">
        <f t="shared" si="51"/>
        <v>0</v>
      </c>
      <c r="J137" s="3">
        <f t="shared" si="51"/>
        <v>0</v>
      </c>
      <c r="K137" s="3">
        <f t="shared" si="51"/>
        <v>0</v>
      </c>
      <c r="L137" s="3">
        <f t="shared" si="51"/>
        <v>0</v>
      </c>
      <c r="M137" s="3">
        <f t="shared" si="51"/>
        <v>0</v>
      </c>
      <c r="N137" s="3">
        <f t="shared" si="51"/>
        <v>0</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0</v>
      </c>
      <c r="C138" s="3">
        <f t="shared" si="53"/>
        <v>0</v>
      </c>
      <c r="D138" s="3">
        <f t="shared" si="53"/>
        <v>0</v>
      </c>
      <c r="E138" s="3">
        <f t="shared" si="53"/>
        <v>0</v>
      </c>
      <c r="F138" s="3">
        <f t="shared" si="53"/>
        <v>0</v>
      </c>
      <c r="G138" s="3">
        <f t="shared" si="53"/>
        <v>0</v>
      </c>
      <c r="H138" s="3">
        <f t="shared" si="53"/>
        <v>0</v>
      </c>
      <c r="I138" s="3">
        <f t="shared" si="53"/>
        <v>0</v>
      </c>
      <c r="J138" s="3">
        <f t="shared" si="53"/>
        <v>0</v>
      </c>
      <c r="K138" s="3">
        <f t="shared" si="53"/>
        <v>0</v>
      </c>
      <c r="L138" s="3">
        <f t="shared" si="53"/>
        <v>0</v>
      </c>
      <c r="M138" s="3">
        <f t="shared" si="53"/>
        <v>0</v>
      </c>
      <c r="N138" s="3">
        <f t="shared" si="53"/>
        <v>0</v>
      </c>
      <c r="O138" s="3">
        <f t="shared" si="53"/>
        <v>0</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0</v>
      </c>
      <c r="C139" s="3">
        <f t="shared" si="55"/>
        <v>0</v>
      </c>
      <c r="D139" s="3">
        <f t="shared" si="55"/>
        <v>0</v>
      </c>
      <c r="E139" s="3">
        <f t="shared" si="55"/>
        <v>0</v>
      </c>
      <c r="F139" s="3">
        <f t="shared" si="55"/>
        <v>0</v>
      </c>
      <c r="G139" s="3">
        <f t="shared" si="55"/>
        <v>0</v>
      </c>
      <c r="H139" s="3">
        <f t="shared" si="55"/>
        <v>0</v>
      </c>
      <c r="I139" s="3">
        <f t="shared" si="55"/>
        <v>0</v>
      </c>
      <c r="J139" s="3">
        <f t="shared" si="55"/>
        <v>0</v>
      </c>
      <c r="K139" s="3">
        <f t="shared" si="55"/>
        <v>0</v>
      </c>
      <c r="L139" s="3">
        <f t="shared" si="55"/>
        <v>0</v>
      </c>
      <c r="M139" s="3">
        <f t="shared" si="55"/>
        <v>0</v>
      </c>
      <c r="N139" s="3">
        <f t="shared" si="55"/>
        <v>0</v>
      </c>
      <c r="O139" s="3">
        <f t="shared" si="55"/>
        <v>0</v>
      </c>
      <c r="P139" s="3">
        <f t="shared" si="55"/>
        <v>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0</v>
      </c>
      <c r="C140" s="3">
        <f t="shared" si="57"/>
        <v>0</v>
      </c>
      <c r="D140" s="3">
        <f t="shared" si="57"/>
        <v>0</v>
      </c>
      <c r="E140" s="3">
        <f t="shared" si="57"/>
        <v>0</v>
      </c>
      <c r="F140" s="3">
        <f t="shared" si="57"/>
        <v>0</v>
      </c>
      <c r="G140" s="3">
        <f t="shared" si="57"/>
        <v>0</v>
      </c>
      <c r="H140" s="3">
        <f t="shared" si="57"/>
        <v>0</v>
      </c>
      <c r="I140" s="3">
        <f t="shared" si="57"/>
        <v>0</v>
      </c>
      <c r="J140" s="3">
        <f t="shared" si="57"/>
        <v>0</v>
      </c>
      <c r="K140" s="3">
        <f t="shared" si="57"/>
        <v>0</v>
      </c>
      <c r="L140" s="3">
        <f t="shared" si="57"/>
        <v>0</v>
      </c>
      <c r="M140" s="3">
        <f t="shared" si="57"/>
        <v>0</v>
      </c>
      <c r="N140" s="3">
        <f t="shared" si="57"/>
        <v>0</v>
      </c>
      <c r="O140" s="3">
        <f t="shared" si="57"/>
        <v>0</v>
      </c>
      <c r="P140" s="3">
        <f t="shared" si="57"/>
        <v>0</v>
      </c>
      <c r="Q140" s="3">
        <f t="shared" si="57"/>
        <v>0</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7.2761897872501713E-4</v>
      </c>
      <c r="C141" s="3">
        <f t="shared" si="59"/>
        <v>7.2761897872501702E-4</v>
      </c>
      <c r="D141" s="3">
        <f t="shared" si="59"/>
        <v>7.2761897872501507E-4</v>
      </c>
      <c r="E141" s="3">
        <f t="shared" si="59"/>
        <v>7.2761897872499729E-4</v>
      </c>
      <c r="F141" s="3">
        <f t="shared" si="59"/>
        <v>7.2761897872481818E-4</v>
      </c>
      <c r="G141" s="3">
        <f t="shared" si="59"/>
        <v>7.2761897872302729E-4</v>
      </c>
      <c r="H141" s="3">
        <f t="shared" si="59"/>
        <v>7.2761897870511909E-4</v>
      </c>
      <c r="I141" s="3">
        <f t="shared" si="59"/>
        <v>7.2761897852603665E-4</v>
      </c>
      <c r="J141" s="3">
        <f t="shared" si="59"/>
        <v>7.2761897673521243E-4</v>
      </c>
      <c r="K141" s="3">
        <f t="shared" si="59"/>
        <v>7.2761895882697081E-4</v>
      </c>
      <c r="L141" s="3">
        <f t="shared" si="59"/>
        <v>7.2761877974457877E-4</v>
      </c>
      <c r="M141" s="3">
        <f t="shared" si="59"/>
        <v>7.2761698892308171E-4</v>
      </c>
      <c r="N141" s="3">
        <f t="shared" si="59"/>
        <v>7.2759908095052753E-4</v>
      </c>
      <c r="O141" s="3">
        <f t="shared" si="59"/>
        <v>7.2742002546431685E-4</v>
      </c>
      <c r="P141" s="3">
        <f t="shared" si="59"/>
        <v>7.2563189232943248E-4</v>
      </c>
      <c r="Q141" s="3">
        <f t="shared" si="59"/>
        <v>7.0799054280469174E-4</v>
      </c>
      <c r="R141" s="3">
        <f t="shared" si="59"/>
        <v>5.5352647723686909E-4</v>
      </c>
      <c r="S141" s="3">
        <f t="shared" si="59"/>
        <v>4.72332501742952E-5</v>
      </c>
      <c r="T141" s="3">
        <f t="shared" si="59"/>
        <v>9.6681224802823311E-16</v>
      </c>
      <c r="U141" s="3">
        <f t="shared" si="59"/>
        <v>1.2482031397852758E-122</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3.1446025257017021E-2</v>
      </c>
      <c r="C142" s="3">
        <f t="shared" si="61"/>
        <v>3.1446025257017021E-2</v>
      </c>
      <c r="D142" s="3">
        <f t="shared" si="61"/>
        <v>3.1446025257017014E-2</v>
      </c>
      <c r="E142" s="3">
        <f t="shared" si="61"/>
        <v>3.1446025257016945E-2</v>
      </c>
      <c r="F142" s="3">
        <f t="shared" si="61"/>
        <v>3.1446025257016244E-2</v>
      </c>
      <c r="G142" s="3">
        <f t="shared" si="61"/>
        <v>3.1446025257009264E-2</v>
      </c>
      <c r="H142" s="3">
        <f t="shared" si="61"/>
        <v>3.1446025256939444E-2</v>
      </c>
      <c r="I142" s="3">
        <f t="shared" si="61"/>
        <v>3.1446025256241281E-2</v>
      </c>
      <c r="J142" s="3">
        <f t="shared" si="61"/>
        <v>3.1446025249259574E-2</v>
      </c>
      <c r="K142" s="3">
        <f t="shared" si="61"/>
        <v>3.144602517944256E-2</v>
      </c>
      <c r="L142" s="3">
        <f t="shared" si="61"/>
        <v>3.1446024481272407E-2</v>
      </c>
      <c r="M142" s="3">
        <f t="shared" si="61"/>
        <v>3.1446017499571745E-2</v>
      </c>
      <c r="N142" s="3">
        <f t="shared" si="61"/>
        <v>3.1445947682650369E-2</v>
      </c>
      <c r="O142" s="3">
        <f t="shared" si="61"/>
        <v>3.1445249521961996E-2</v>
      </c>
      <c r="P142" s="3">
        <f t="shared" si="61"/>
        <v>3.14382687675498E-2</v>
      </c>
      <c r="Q142" s="3">
        <f t="shared" si="61"/>
        <v>3.1368546400588504E-2</v>
      </c>
      <c r="R142" s="3">
        <f t="shared" si="61"/>
        <v>3.067977088926974E-2</v>
      </c>
      <c r="S142" s="3">
        <f t="shared" si="61"/>
        <v>2.4571365405465111E-2</v>
      </c>
      <c r="T142" s="3">
        <f t="shared" si="61"/>
        <v>2.6680936812727186E-3</v>
      </c>
      <c r="U142" s="3">
        <f t="shared" si="61"/>
        <v>6.0802146729479938E-13</v>
      </c>
      <c r="V142" s="3">
        <f t="shared" si="61"/>
        <v>2.2966631425457948E-109</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1.9599632072183452E-2</v>
      </c>
      <c r="C143" s="3">
        <f t="shared" si="63"/>
        <v>1.9599632072183452E-2</v>
      </c>
      <c r="D143" s="3">
        <f t="shared" si="63"/>
        <v>1.9599632072183452E-2</v>
      </c>
      <c r="E143" s="3">
        <f t="shared" si="63"/>
        <v>1.9599632072183449E-2</v>
      </c>
      <c r="F143" s="3">
        <f t="shared" si="63"/>
        <v>1.9599632072183407E-2</v>
      </c>
      <c r="G143" s="3">
        <f t="shared" si="63"/>
        <v>1.9599632072183019E-2</v>
      </c>
      <c r="H143" s="3">
        <f t="shared" si="63"/>
        <v>1.9599632072179091E-2</v>
      </c>
      <c r="I143" s="3">
        <f t="shared" si="63"/>
        <v>1.9599632072139838E-2</v>
      </c>
      <c r="J143" s="3">
        <f t="shared" si="63"/>
        <v>1.9599632071747291E-2</v>
      </c>
      <c r="K143" s="3">
        <f t="shared" si="63"/>
        <v>1.9599632067821834E-2</v>
      </c>
      <c r="L143" s="3">
        <f t="shared" si="63"/>
        <v>1.9599632028567283E-2</v>
      </c>
      <c r="M143" s="3">
        <f t="shared" si="63"/>
        <v>1.9599631636021759E-2</v>
      </c>
      <c r="N143" s="3">
        <f t="shared" si="63"/>
        <v>1.9599627710566957E-2</v>
      </c>
      <c r="O143" s="3">
        <f t="shared" si="63"/>
        <v>1.9599588456062168E-2</v>
      </c>
      <c r="P143" s="3">
        <f t="shared" si="63"/>
        <v>1.959919591533836E-2</v>
      </c>
      <c r="Q143" s="3">
        <f t="shared" si="63"/>
        <v>1.959527094047378E-2</v>
      </c>
      <c r="R143" s="3">
        <f t="shared" si="63"/>
        <v>1.9556064397155643E-2</v>
      </c>
      <c r="S143" s="3">
        <f t="shared" si="63"/>
        <v>1.9168287650505E-2</v>
      </c>
      <c r="T143" s="3">
        <f t="shared" si="63"/>
        <v>1.5689240174419975E-2</v>
      </c>
      <c r="U143" s="3">
        <f t="shared" si="63"/>
        <v>2.1173265548240653E-3</v>
      </c>
      <c r="V143" s="3">
        <f t="shared" si="63"/>
        <v>4.2427473834420284E-12</v>
      </c>
      <c r="W143" s="3">
        <f t="shared" si="63"/>
        <v>4.4283350660854329E-99</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3.2516214564493037E-2</v>
      </c>
      <c r="C144" s="3">
        <f t="shared" si="65"/>
        <v>3.2516214564493037E-2</v>
      </c>
      <c r="D144" s="3">
        <f t="shared" si="65"/>
        <v>3.2516214564493037E-2</v>
      </c>
      <c r="E144" s="3">
        <f t="shared" si="65"/>
        <v>3.2516214564493037E-2</v>
      </c>
      <c r="F144" s="3">
        <f t="shared" si="65"/>
        <v>3.251621456449303E-2</v>
      </c>
      <c r="G144" s="3">
        <f t="shared" si="65"/>
        <v>3.2516214564492975E-2</v>
      </c>
      <c r="H144" s="3">
        <f t="shared" si="65"/>
        <v>3.2516214564492385E-2</v>
      </c>
      <c r="I144" s="3">
        <f t="shared" si="65"/>
        <v>3.2516214564486508E-2</v>
      </c>
      <c r="J144" s="3">
        <f t="shared" si="65"/>
        <v>3.2516214564427763E-2</v>
      </c>
      <c r="K144" s="3">
        <f t="shared" si="65"/>
        <v>3.2516214563840289E-2</v>
      </c>
      <c r="L144" s="3">
        <f t="shared" si="65"/>
        <v>3.251621455796555E-2</v>
      </c>
      <c r="M144" s="3">
        <f t="shared" si="65"/>
        <v>3.2516214499218141E-2</v>
      </c>
      <c r="N144" s="3">
        <f t="shared" si="65"/>
        <v>3.2516213911744099E-2</v>
      </c>
      <c r="O144" s="3">
        <f t="shared" si="65"/>
        <v>3.2516208037004252E-2</v>
      </c>
      <c r="P144" s="3">
        <f t="shared" si="65"/>
        <v>3.2516149289664169E-2</v>
      </c>
      <c r="Q144" s="3">
        <f t="shared" si="65"/>
        <v>3.251556182210092E-2</v>
      </c>
      <c r="R144" s="3">
        <f t="shared" si="65"/>
        <v>3.2509687730192881E-2</v>
      </c>
      <c r="S144" s="3">
        <f t="shared" si="65"/>
        <v>3.2451005144547442E-2</v>
      </c>
      <c r="T144" s="3">
        <f t="shared" si="65"/>
        <v>3.1869973824414533E-2</v>
      </c>
      <c r="U144" s="3">
        <f t="shared" si="65"/>
        <v>2.660218086059302E-2</v>
      </c>
      <c r="V144" s="3">
        <f t="shared" si="65"/>
        <v>4.3678990429034852E-3</v>
      </c>
      <c r="W144" s="3">
        <f t="shared" si="65"/>
        <v>6.2205114212580604E-11</v>
      </c>
      <c r="X144" s="3">
        <f t="shared" si="65"/>
        <v>2.1348191609491665E-89</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3.2163923063268561E-2</v>
      </c>
      <c r="C145" s="3">
        <f t="shared" si="68"/>
        <v>3.2163923063268561E-2</v>
      </c>
      <c r="D145" s="3">
        <f t="shared" si="68"/>
        <v>3.2163923063268561E-2</v>
      </c>
      <c r="E145" s="3">
        <f t="shared" si="68"/>
        <v>3.2163923063268561E-2</v>
      </c>
      <c r="F145" s="3">
        <f t="shared" si="68"/>
        <v>3.2163923063268561E-2</v>
      </c>
      <c r="G145" s="3">
        <f t="shared" si="68"/>
        <v>3.2163923063268554E-2</v>
      </c>
      <c r="H145" s="3">
        <f t="shared" si="68"/>
        <v>3.2163923063268506E-2</v>
      </c>
      <c r="I145" s="3">
        <f t="shared" si="68"/>
        <v>3.2163923063267978E-2</v>
      </c>
      <c r="J145" s="3">
        <f t="shared" si="68"/>
        <v>3.2163923063262739E-2</v>
      </c>
      <c r="K145" s="3">
        <f t="shared" si="68"/>
        <v>3.2163923063210316E-2</v>
      </c>
      <c r="L145" s="3">
        <f t="shared" si="68"/>
        <v>3.2163923062686103E-2</v>
      </c>
      <c r="M145" s="3">
        <f t="shared" si="68"/>
        <v>3.2163923057444019E-2</v>
      </c>
      <c r="N145" s="3">
        <f t="shared" si="68"/>
        <v>3.2163923005023139E-2</v>
      </c>
      <c r="O145" s="3">
        <f t="shared" si="68"/>
        <v>3.2163922480814337E-2</v>
      </c>
      <c r="P145" s="3">
        <f t="shared" si="68"/>
        <v>3.2163917238726802E-2</v>
      </c>
      <c r="Q145" s="3">
        <f t="shared" si="68"/>
        <v>3.2163864817898423E-2</v>
      </c>
      <c r="R145" s="3">
        <f t="shared" si="68"/>
        <v>3.2163340614313578E-2</v>
      </c>
      <c r="S145" s="3">
        <f t="shared" si="68"/>
        <v>3.2158099048330197E-2</v>
      </c>
      <c r="T145" s="3">
        <f t="shared" si="68"/>
        <v>3.2105730346685964E-2</v>
      </c>
      <c r="U145" s="3">
        <f t="shared" si="68"/>
        <v>3.1586710955148083E-2</v>
      </c>
      <c r="V145" s="3">
        <f t="shared" si="68"/>
        <v>2.6836318109102846E-2</v>
      </c>
      <c r="W145" s="3">
        <f t="shared" si="68"/>
        <v>5.2590606674869774E-3</v>
      </c>
      <c r="X145" s="3">
        <f t="shared" si="68"/>
        <v>4.3929946700080496E-10</v>
      </c>
      <c r="Y145" s="3">
        <f t="shared" si="68"/>
        <v>7.2658366849612323E-81</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3.3900572605001088E-2</v>
      </c>
      <c r="C146" s="3">
        <f t="shared" si="70"/>
        <v>3.3900572605001088E-2</v>
      </c>
      <c r="D146" s="3">
        <f t="shared" si="70"/>
        <v>3.3900572605001088E-2</v>
      </c>
      <c r="E146" s="3">
        <f t="shared" si="70"/>
        <v>3.3900572605001088E-2</v>
      </c>
      <c r="F146" s="3">
        <f t="shared" si="70"/>
        <v>3.3900572605001088E-2</v>
      </c>
      <c r="G146" s="3">
        <f t="shared" si="70"/>
        <v>3.3900572605001088E-2</v>
      </c>
      <c r="H146" s="3">
        <f t="shared" si="70"/>
        <v>3.3900572605001081E-2</v>
      </c>
      <c r="I146" s="3">
        <f t="shared" si="70"/>
        <v>3.3900572605001032E-2</v>
      </c>
      <c r="J146" s="3">
        <f t="shared" si="70"/>
        <v>3.3900572605000533E-2</v>
      </c>
      <c r="K146" s="3">
        <f t="shared" si="70"/>
        <v>3.3900572604995551E-2</v>
      </c>
      <c r="L146" s="3">
        <f t="shared" si="70"/>
        <v>3.3900572604945708E-2</v>
      </c>
      <c r="M146" s="3">
        <f t="shared" si="70"/>
        <v>3.3900572604447295E-2</v>
      </c>
      <c r="N146" s="3">
        <f t="shared" si="70"/>
        <v>3.390057259946317E-2</v>
      </c>
      <c r="O146" s="3">
        <f t="shared" si="70"/>
        <v>3.3900572549621921E-2</v>
      </c>
      <c r="P146" s="3">
        <f t="shared" si="70"/>
        <v>3.3900572051209429E-2</v>
      </c>
      <c r="Q146" s="3">
        <f t="shared" si="70"/>
        <v>3.3900567067084914E-2</v>
      </c>
      <c r="R146" s="3">
        <f t="shared" si="70"/>
        <v>3.3900517225880097E-2</v>
      </c>
      <c r="S146" s="3">
        <f t="shared" si="70"/>
        <v>3.3900018817862108E-2</v>
      </c>
      <c r="T146" s="3">
        <f t="shared" si="70"/>
        <v>3.3895035140684274E-2</v>
      </c>
      <c r="U146" s="3">
        <f t="shared" si="70"/>
        <v>3.3845238647196615E-2</v>
      </c>
      <c r="V146" s="3">
        <f t="shared" si="70"/>
        <v>3.3351279716667806E-2</v>
      </c>
      <c r="W146" s="3">
        <f t="shared" si="70"/>
        <v>2.8791329770228007E-2</v>
      </c>
      <c r="X146" s="3">
        <f t="shared" si="70"/>
        <v>6.6184140681556846E-3</v>
      </c>
      <c r="Y146" s="3">
        <f t="shared" si="70"/>
        <v>2.7269428751947222E-9</v>
      </c>
      <c r="Z146" s="3">
        <f t="shared" si="70"/>
        <v>3.8450066812140373E-73</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4.6234934193755559E-2</v>
      </c>
      <c r="C147" s="3">
        <f t="shared" si="72"/>
        <v>4.6234934193755559E-2</v>
      </c>
      <c r="D147" s="3">
        <f t="shared" si="72"/>
        <v>4.6234934193755559E-2</v>
      </c>
      <c r="E147" s="3">
        <f t="shared" si="72"/>
        <v>4.6234934193755559E-2</v>
      </c>
      <c r="F147" s="3">
        <f t="shared" si="72"/>
        <v>4.6234934193755559E-2</v>
      </c>
      <c r="G147" s="3">
        <f t="shared" si="72"/>
        <v>4.6234934193755559E-2</v>
      </c>
      <c r="H147" s="3">
        <f t="shared" si="72"/>
        <v>4.6234934193755559E-2</v>
      </c>
      <c r="I147" s="3">
        <f t="shared" si="72"/>
        <v>4.6234934193755552E-2</v>
      </c>
      <c r="J147" s="3">
        <f t="shared" si="72"/>
        <v>4.6234934193755489E-2</v>
      </c>
      <c r="K147" s="3">
        <f t="shared" si="72"/>
        <v>4.6234934193754879E-2</v>
      </c>
      <c r="L147" s="3">
        <f t="shared" si="72"/>
        <v>4.6234934193748745E-2</v>
      </c>
      <c r="M147" s="3">
        <f t="shared" si="72"/>
        <v>4.6234934193687426E-2</v>
      </c>
      <c r="N147" s="3">
        <f t="shared" si="72"/>
        <v>4.6234934193074229E-2</v>
      </c>
      <c r="O147" s="3">
        <f t="shared" si="72"/>
        <v>4.6234934186942279E-2</v>
      </c>
      <c r="P147" s="3">
        <f t="shared" si="72"/>
        <v>4.6234934125622761E-2</v>
      </c>
      <c r="Q147" s="3">
        <f t="shared" si="72"/>
        <v>4.6234933512427599E-2</v>
      </c>
      <c r="R147" s="3">
        <f t="shared" si="72"/>
        <v>4.623492738047643E-2</v>
      </c>
      <c r="S147" s="3">
        <f t="shared" si="72"/>
        <v>4.6234866061009426E-2</v>
      </c>
      <c r="T147" s="3">
        <f t="shared" si="72"/>
        <v>4.6234252870812308E-2</v>
      </c>
      <c r="U147" s="3">
        <f t="shared" si="72"/>
        <v>4.622812141610743E-2</v>
      </c>
      <c r="V147" s="3">
        <f t="shared" si="72"/>
        <v>4.6166851573752062E-2</v>
      </c>
      <c r="W147" s="3">
        <f t="shared" si="72"/>
        <v>4.5558601759841583E-2</v>
      </c>
      <c r="X147" s="3">
        <f t="shared" si="72"/>
        <v>3.9899887593727056E-2</v>
      </c>
      <c r="Y147" s="3">
        <f t="shared" si="72"/>
        <v>1.0592159878573312E-2</v>
      </c>
      <c r="Z147" s="3">
        <f t="shared" si="72"/>
        <v>1.8412513554943894E-8</v>
      </c>
      <c r="AA147" s="3">
        <f t="shared" ref="AA147" si="73">$C33*EXP(-AA$129/$A33/EXP(-$B$126))</f>
        <v>4.6387247268924069E-66</v>
      </c>
      <c r="AB147" s="3">
        <f t="shared" si="67"/>
        <v>0</v>
      </c>
      <c r="AC147" s="3">
        <f t="shared" si="67"/>
        <v>0</v>
      </c>
      <c r="AD147" s="3">
        <f t="shared" si="67"/>
        <v>0</v>
      </c>
      <c r="AE147" s="3">
        <f t="shared" si="67"/>
        <v>0</v>
      </c>
      <c r="AF147" s="3">
        <f t="shared" si="67"/>
        <v>0</v>
      </c>
    </row>
    <row r="148" spans="1:32" x14ac:dyDescent="0.25">
      <c r="B148" s="3">
        <f t="shared" ref="B148:Z148" si="74">$C34*EXP(-B$129/$A34/EXP(-$B$126))</f>
        <v>5.6671396993887152E-2</v>
      </c>
      <c r="C148" s="3">
        <f t="shared" si="74"/>
        <v>5.6671396993887152E-2</v>
      </c>
      <c r="D148" s="3">
        <f t="shared" si="74"/>
        <v>5.6671396993887152E-2</v>
      </c>
      <c r="E148" s="3">
        <f t="shared" si="74"/>
        <v>5.6671396993887152E-2</v>
      </c>
      <c r="F148" s="3">
        <f t="shared" si="74"/>
        <v>5.6671396993887152E-2</v>
      </c>
      <c r="G148" s="3">
        <f t="shared" si="74"/>
        <v>5.6671396993887152E-2</v>
      </c>
      <c r="H148" s="3">
        <f t="shared" si="74"/>
        <v>5.6671396993887152E-2</v>
      </c>
      <c r="I148" s="3">
        <f t="shared" si="74"/>
        <v>5.6671396993887152E-2</v>
      </c>
      <c r="J148" s="3">
        <f t="shared" si="74"/>
        <v>5.6671396993887145E-2</v>
      </c>
      <c r="K148" s="3">
        <f t="shared" si="74"/>
        <v>5.6671396993887076E-2</v>
      </c>
      <c r="L148" s="3">
        <f t="shared" si="74"/>
        <v>5.6671396993886396E-2</v>
      </c>
      <c r="M148" s="3">
        <f t="shared" si="74"/>
        <v>5.6671396993879623E-2</v>
      </c>
      <c r="N148" s="3">
        <f t="shared" si="74"/>
        <v>5.6671396993811816E-2</v>
      </c>
      <c r="O148" s="3">
        <f t="shared" si="74"/>
        <v>5.6671396993133803E-2</v>
      </c>
      <c r="P148" s="3">
        <f t="shared" si="74"/>
        <v>5.6671396986353657E-2</v>
      </c>
      <c r="Q148" s="3">
        <f t="shared" si="74"/>
        <v>5.6671396918552212E-2</v>
      </c>
      <c r="R148" s="3">
        <f t="shared" si="74"/>
        <v>5.66713962405377E-2</v>
      </c>
      <c r="S148" s="3">
        <f t="shared" si="74"/>
        <v>5.6671389460393087E-2</v>
      </c>
      <c r="T148" s="3">
        <f t="shared" si="74"/>
        <v>5.6671321658991566E-2</v>
      </c>
      <c r="U148" s="3">
        <f t="shared" si="74"/>
        <v>5.6670643649437767E-2</v>
      </c>
      <c r="V148" s="3">
        <f t="shared" si="74"/>
        <v>5.6663864000023573E-2</v>
      </c>
      <c r="W148" s="3">
        <f t="shared" si="74"/>
        <v>5.6596112098519072E-2</v>
      </c>
      <c r="X148" s="3">
        <f t="shared" si="74"/>
        <v>5.5923032670555005E-2</v>
      </c>
      <c r="Y148" s="3">
        <f t="shared" si="74"/>
        <v>4.9617157748523683E-2</v>
      </c>
      <c r="Z148" s="3">
        <f t="shared" si="74"/>
        <v>1.4998352643131494E-2</v>
      </c>
      <c r="AA148" s="3">
        <f>$C34*EXP(-AA$129/$A34/EXP(-$B$126))</f>
        <v>9.5534522987644441E-8</v>
      </c>
      <c r="AB148" s="3">
        <f t="shared" si="67"/>
        <v>1.0503357036440015E-59</v>
      </c>
      <c r="AC148" s="3">
        <f t="shared" si="67"/>
        <v>0</v>
      </c>
      <c r="AD148" s="3">
        <f t="shared" si="67"/>
        <v>0</v>
      </c>
      <c r="AE148" s="3">
        <f t="shared" si="67"/>
        <v>0</v>
      </c>
      <c r="AF148" s="3">
        <f t="shared" si="67"/>
        <v>0</v>
      </c>
    </row>
    <row r="149" spans="1:32" x14ac:dyDescent="0.25">
      <c r="B149" s="3">
        <f t="shared" ref="B149:Z149" si="75">$C35*EXP(-B$129/$A35/EXP(-$B$126))</f>
        <v>5.870573738309863E-2</v>
      </c>
      <c r="C149" s="3">
        <f t="shared" si="75"/>
        <v>5.870573738309863E-2</v>
      </c>
      <c r="D149" s="3">
        <f t="shared" si="75"/>
        <v>5.870573738309863E-2</v>
      </c>
      <c r="E149" s="3">
        <f t="shared" si="75"/>
        <v>5.870573738309863E-2</v>
      </c>
      <c r="F149" s="3">
        <f t="shared" si="75"/>
        <v>5.870573738309863E-2</v>
      </c>
      <c r="G149" s="3">
        <f t="shared" si="75"/>
        <v>5.870573738309863E-2</v>
      </c>
      <c r="H149" s="3">
        <f t="shared" si="75"/>
        <v>5.870573738309863E-2</v>
      </c>
      <c r="I149" s="3">
        <f t="shared" si="75"/>
        <v>5.870573738309863E-2</v>
      </c>
      <c r="J149" s="3">
        <f t="shared" si="75"/>
        <v>5.870573738309863E-2</v>
      </c>
      <c r="K149" s="3">
        <f t="shared" si="75"/>
        <v>5.8705737383098623E-2</v>
      </c>
      <c r="L149" s="3">
        <f t="shared" si="75"/>
        <v>5.8705737383098561E-2</v>
      </c>
      <c r="M149" s="3">
        <f t="shared" si="75"/>
        <v>5.8705737383097929E-2</v>
      </c>
      <c r="N149" s="3">
        <f t="shared" si="75"/>
        <v>5.8705737383091594E-2</v>
      </c>
      <c r="O149" s="3">
        <f t="shared" si="75"/>
        <v>5.8705737383028235E-2</v>
      </c>
      <c r="P149" s="3">
        <f t="shared" si="75"/>
        <v>5.8705737382394652E-2</v>
      </c>
      <c r="Q149" s="3">
        <f t="shared" si="75"/>
        <v>5.8705737376058845E-2</v>
      </c>
      <c r="R149" s="3">
        <f t="shared" si="75"/>
        <v>5.8705737312700734E-2</v>
      </c>
      <c r="S149" s="3">
        <f t="shared" si="75"/>
        <v>5.8705736679119644E-2</v>
      </c>
      <c r="T149" s="3">
        <f t="shared" si="75"/>
        <v>5.8705730343309129E-2</v>
      </c>
      <c r="U149" s="3">
        <f t="shared" si="75"/>
        <v>5.8705666985241635E-2</v>
      </c>
      <c r="V149" s="3">
        <f t="shared" si="75"/>
        <v>5.8705033408327466E-2</v>
      </c>
      <c r="W149" s="3">
        <f t="shared" si="75"/>
        <v>5.8698698015254569E-2</v>
      </c>
      <c r="X149" s="3">
        <f t="shared" si="75"/>
        <v>5.8635381676391492E-2</v>
      </c>
      <c r="Y149" s="3">
        <f t="shared" si="75"/>
        <v>5.8005962506320792E-2</v>
      </c>
      <c r="Z149" s="3">
        <f t="shared" si="75"/>
        <v>5.2071663056383923E-2</v>
      </c>
      <c r="AA149" s="3">
        <f t="shared" ref="AA149" si="76">$C35*EXP(-AA$129/$A35/EXP(-$B$126))</f>
        <v>1.7696588657724187E-2</v>
      </c>
      <c r="AB149" s="3">
        <f t="shared" si="67"/>
        <v>3.6372289147619693E-7</v>
      </c>
      <c r="AC149" s="3">
        <f t="shared" si="67"/>
        <v>4.8930699257978271E-54</v>
      </c>
      <c r="AD149" s="3">
        <f t="shared" si="67"/>
        <v>0</v>
      </c>
      <c r="AE149" s="3">
        <f t="shared" si="67"/>
        <v>0</v>
      </c>
      <c r="AF149" s="3">
        <f t="shared" si="67"/>
        <v>0</v>
      </c>
    </row>
    <row r="150" spans="1:32" x14ac:dyDescent="0.25">
      <c r="B150" s="3">
        <f t="shared" ref="B150:Z150" si="77">$C36*EXP(-B$129/$A36/EXP(-$B$126))</f>
        <v>5.620235606497212E-2</v>
      </c>
      <c r="C150" s="3">
        <f t="shared" si="77"/>
        <v>5.620235606497212E-2</v>
      </c>
      <c r="D150" s="3">
        <f t="shared" si="77"/>
        <v>5.620235606497212E-2</v>
      </c>
      <c r="E150" s="3">
        <f t="shared" si="77"/>
        <v>5.620235606497212E-2</v>
      </c>
      <c r="F150" s="3">
        <f t="shared" si="77"/>
        <v>5.620235606497212E-2</v>
      </c>
      <c r="G150" s="3">
        <f t="shared" si="77"/>
        <v>5.620235606497212E-2</v>
      </c>
      <c r="H150" s="3">
        <f t="shared" si="77"/>
        <v>5.620235606497212E-2</v>
      </c>
      <c r="I150" s="3">
        <f t="shared" si="77"/>
        <v>5.620235606497212E-2</v>
      </c>
      <c r="J150" s="3">
        <f t="shared" si="77"/>
        <v>5.620235606497212E-2</v>
      </c>
      <c r="K150" s="3">
        <f t="shared" si="77"/>
        <v>5.620235606497212E-2</v>
      </c>
      <c r="L150" s="3">
        <f t="shared" si="77"/>
        <v>5.6202356064972113E-2</v>
      </c>
      <c r="M150" s="3">
        <f t="shared" si="77"/>
        <v>5.6202356064972057E-2</v>
      </c>
      <c r="N150" s="3">
        <f t="shared" si="77"/>
        <v>5.6202356064971516E-2</v>
      </c>
      <c r="O150" s="3">
        <f t="shared" si="77"/>
        <v>5.6202356064966041E-2</v>
      </c>
      <c r="P150" s="3">
        <f t="shared" si="77"/>
        <v>5.6202356064911321E-2</v>
      </c>
      <c r="Q150" s="3">
        <f t="shared" si="77"/>
        <v>5.6202356064364155E-2</v>
      </c>
      <c r="R150" s="3">
        <f t="shared" si="77"/>
        <v>5.6202356058892448E-2</v>
      </c>
      <c r="S150" s="3">
        <f t="shared" si="77"/>
        <v>5.6202356004175384E-2</v>
      </c>
      <c r="T150" s="3">
        <f t="shared" si="77"/>
        <v>5.6202355457004763E-2</v>
      </c>
      <c r="U150" s="3">
        <f t="shared" si="77"/>
        <v>5.6202349985298834E-2</v>
      </c>
      <c r="V150" s="3">
        <f t="shared" si="77"/>
        <v>5.6202295268268879E-2</v>
      </c>
      <c r="W150" s="3">
        <f t="shared" si="77"/>
        <v>5.6201748100899174E-2</v>
      </c>
      <c r="X150" s="3">
        <f t="shared" si="77"/>
        <v>5.6196276720181064E-2</v>
      </c>
      <c r="Y150" s="3">
        <f t="shared" si="77"/>
        <v>5.6141592200338243E-2</v>
      </c>
      <c r="Z150" s="3">
        <f t="shared" si="77"/>
        <v>5.5597665213220779E-2</v>
      </c>
      <c r="AA150" s="3">
        <f t="shared" ref="AA150" si="78">$C36*EXP(-AA$129/$A36/EXP(-$B$126))</f>
        <v>5.043997261134938E-2</v>
      </c>
      <c r="AB150" s="3">
        <f t="shared" si="67"/>
        <v>1.905275234240009E-2</v>
      </c>
      <c r="AC150" s="3">
        <f t="shared" si="67"/>
        <v>1.1266435237218857E-6</v>
      </c>
      <c r="AD150" s="3">
        <f t="shared" si="67"/>
        <v>5.8894474006826718E-49</v>
      </c>
      <c r="AE150" s="3">
        <f t="shared" si="67"/>
        <v>0</v>
      </c>
      <c r="AF150" s="3">
        <f t="shared" si="67"/>
        <v>0</v>
      </c>
    </row>
    <row r="151" spans="1:32" x14ac:dyDescent="0.25">
      <c r="B151" s="3">
        <f t="shared" ref="B151:Z151" si="79">$C37*EXP(-B$129/$A37/EXP(-$B$126))</f>
        <v>6.3415296184233166E-2</v>
      </c>
      <c r="C151" s="3">
        <f t="shared" si="79"/>
        <v>6.3415296184233166E-2</v>
      </c>
      <c r="D151" s="3">
        <f t="shared" si="79"/>
        <v>6.3415296184233166E-2</v>
      </c>
      <c r="E151" s="3">
        <f t="shared" si="79"/>
        <v>6.3415296184233166E-2</v>
      </c>
      <c r="F151" s="3">
        <f t="shared" si="79"/>
        <v>6.3415296184233166E-2</v>
      </c>
      <c r="G151" s="3">
        <f t="shared" si="79"/>
        <v>6.3415296184233166E-2</v>
      </c>
      <c r="H151" s="3">
        <f t="shared" si="79"/>
        <v>6.3415296184233166E-2</v>
      </c>
      <c r="I151" s="3">
        <f t="shared" si="79"/>
        <v>6.3415296184233166E-2</v>
      </c>
      <c r="J151" s="3">
        <f t="shared" si="79"/>
        <v>6.3415296184233166E-2</v>
      </c>
      <c r="K151" s="3">
        <f t="shared" si="79"/>
        <v>6.3415296184233166E-2</v>
      </c>
      <c r="L151" s="3">
        <f t="shared" si="79"/>
        <v>6.3415296184233166E-2</v>
      </c>
      <c r="M151" s="3">
        <f t="shared" si="79"/>
        <v>6.3415296184233153E-2</v>
      </c>
      <c r="N151" s="3">
        <f t="shared" si="79"/>
        <v>6.3415296184233097E-2</v>
      </c>
      <c r="O151" s="3">
        <f t="shared" si="79"/>
        <v>6.3415296184232542E-2</v>
      </c>
      <c r="P151" s="3">
        <f t="shared" si="79"/>
        <v>6.3415296184226977E-2</v>
      </c>
      <c r="Q151" s="3">
        <f t="shared" si="79"/>
        <v>6.3415296184171285E-2</v>
      </c>
      <c r="R151" s="3">
        <f t="shared" si="79"/>
        <v>6.3415296183614342E-2</v>
      </c>
      <c r="S151" s="3">
        <f t="shared" si="79"/>
        <v>6.3415296178044936E-2</v>
      </c>
      <c r="T151" s="3">
        <f t="shared" si="79"/>
        <v>6.3415296122350875E-2</v>
      </c>
      <c r="U151" s="3">
        <f t="shared" si="79"/>
        <v>6.3415295565410298E-2</v>
      </c>
      <c r="V151" s="3">
        <f t="shared" si="79"/>
        <v>6.3415289996004723E-2</v>
      </c>
      <c r="W151" s="3">
        <f t="shared" si="79"/>
        <v>6.3415234301975903E-2</v>
      </c>
      <c r="X151" s="3">
        <f t="shared" si="79"/>
        <v>6.3414677364377919E-2</v>
      </c>
      <c r="Y151" s="3">
        <f t="shared" si="79"/>
        <v>6.3409108257409502E-2</v>
      </c>
      <c r="Z151" s="3">
        <f t="shared" si="79"/>
        <v>6.3353444080128135E-2</v>
      </c>
      <c r="AA151" s="3">
        <f t="shared" ref="AA151" si="80">$C37*EXP(-AA$129/$A37/EXP(-$B$126))</f>
        <v>6.2799482829393891E-2</v>
      </c>
      <c r="AB151" s="3">
        <f t="shared" si="67"/>
        <v>5.7519413026967468E-2</v>
      </c>
      <c r="AC151" s="3">
        <f t="shared" si="67"/>
        <v>2.3900018025056986E-2</v>
      </c>
      <c r="AD151" s="3">
        <f t="shared" si="67"/>
        <v>3.6663680375436729E-6</v>
      </c>
      <c r="AE151" s="3">
        <f t="shared" si="67"/>
        <v>2.6461493672176197E-44</v>
      </c>
      <c r="AF151" s="3">
        <f t="shared" si="67"/>
        <v>0</v>
      </c>
    </row>
    <row r="152" spans="1:32" x14ac:dyDescent="0.25">
      <c r="B152" s="3">
        <f t="shared" ref="B152:Z152" si="81">$C38*EXP(-B$129/$A38/EXP(-$B$126))</f>
        <v>3.5348869965799563E-2</v>
      </c>
      <c r="C152" s="3">
        <f t="shared" si="81"/>
        <v>3.5348869965799563E-2</v>
      </c>
      <c r="D152" s="3">
        <f t="shared" si="81"/>
        <v>3.5348869965799563E-2</v>
      </c>
      <c r="E152" s="3">
        <f t="shared" si="81"/>
        <v>3.5348869965799563E-2</v>
      </c>
      <c r="F152" s="3">
        <f t="shared" si="81"/>
        <v>3.5348869965799563E-2</v>
      </c>
      <c r="G152" s="3">
        <f t="shared" si="81"/>
        <v>3.5348869965799563E-2</v>
      </c>
      <c r="H152" s="3">
        <f t="shared" si="81"/>
        <v>3.5348869965799563E-2</v>
      </c>
      <c r="I152" s="3">
        <f t="shared" si="81"/>
        <v>3.5348869965799563E-2</v>
      </c>
      <c r="J152" s="3">
        <f t="shared" si="81"/>
        <v>3.5348869965799563E-2</v>
      </c>
      <c r="K152" s="3">
        <f t="shared" si="81"/>
        <v>3.5348869965799563E-2</v>
      </c>
      <c r="L152" s="3">
        <f t="shared" si="81"/>
        <v>3.5348869965799563E-2</v>
      </c>
      <c r="M152" s="3">
        <f t="shared" si="81"/>
        <v>3.5348869965799563E-2</v>
      </c>
      <c r="N152" s="3">
        <f t="shared" si="81"/>
        <v>3.5348869965799556E-2</v>
      </c>
      <c r="O152" s="3">
        <f t="shared" si="81"/>
        <v>3.5348869965799529E-2</v>
      </c>
      <c r="P152" s="3">
        <f t="shared" si="81"/>
        <v>3.5348869965799251E-2</v>
      </c>
      <c r="Q152" s="3">
        <f t="shared" si="81"/>
        <v>3.5348869965796448E-2</v>
      </c>
      <c r="R152" s="3">
        <f t="shared" si="81"/>
        <v>3.5348869965768449E-2</v>
      </c>
      <c r="S152" s="3">
        <f t="shared" si="81"/>
        <v>3.5348869965488396E-2</v>
      </c>
      <c r="T152" s="3">
        <f t="shared" si="81"/>
        <v>3.5348869962687886E-2</v>
      </c>
      <c r="U152" s="3">
        <f t="shared" si="81"/>
        <v>3.5348869934682801E-2</v>
      </c>
      <c r="V152" s="3">
        <f t="shared" si="81"/>
        <v>3.5348869654631902E-2</v>
      </c>
      <c r="W152" s="3">
        <f t="shared" si="81"/>
        <v>3.5348866854123064E-2</v>
      </c>
      <c r="X152" s="3">
        <f t="shared" si="81"/>
        <v>3.5348838849046868E-2</v>
      </c>
      <c r="Y152" s="3">
        <f t="shared" si="81"/>
        <v>3.5348558799505221E-2</v>
      </c>
      <c r="Z152" s="3">
        <f t="shared" si="81"/>
        <v>3.5345758426113233E-2</v>
      </c>
      <c r="AA152" s="3">
        <f t="shared" ref="AA152" si="82">$C38*EXP(-AA$129/$A38/EXP(-$B$126))</f>
        <v>3.5317766891064625E-2</v>
      </c>
      <c r="AB152" s="3">
        <f t="shared" si="67"/>
        <v>3.5039067859396936E-2</v>
      </c>
      <c r="AC152" s="3">
        <f t="shared" si="67"/>
        <v>3.2370218305638895E-2</v>
      </c>
      <c r="AD152" s="3">
        <f t="shared" si="67"/>
        <v>1.4658059146404298E-2</v>
      </c>
      <c r="AE152" s="3">
        <f t="shared" si="67"/>
        <v>5.313551380468768E-6</v>
      </c>
      <c r="AF152" s="3">
        <f t="shared" si="67"/>
        <v>2.081943939334389E-40</v>
      </c>
    </row>
    <row r="153" spans="1:32" x14ac:dyDescent="0.25">
      <c r="B153" s="3">
        <f t="shared" ref="B153:Z153" si="83">$C39*EXP(-B$129/$A39/EXP(-$B$126))</f>
        <v>7.0460456800535406E-2</v>
      </c>
      <c r="C153" s="3">
        <f t="shared" si="83"/>
        <v>7.0460456800535406E-2</v>
      </c>
      <c r="D153" s="3">
        <f t="shared" si="83"/>
        <v>7.0460456800535406E-2</v>
      </c>
      <c r="E153" s="3">
        <f t="shared" si="83"/>
        <v>7.0460456800535406E-2</v>
      </c>
      <c r="F153" s="3">
        <f t="shared" si="83"/>
        <v>7.0460456800535406E-2</v>
      </c>
      <c r="G153" s="3">
        <f t="shared" si="83"/>
        <v>7.0460456800535406E-2</v>
      </c>
      <c r="H153" s="3">
        <f t="shared" si="83"/>
        <v>7.0460456800535406E-2</v>
      </c>
      <c r="I153" s="3">
        <f t="shared" si="83"/>
        <v>7.0460456800535406E-2</v>
      </c>
      <c r="J153" s="3">
        <f t="shared" si="83"/>
        <v>7.0460456800535406E-2</v>
      </c>
      <c r="K153" s="3">
        <f t="shared" si="83"/>
        <v>7.0460456800535406E-2</v>
      </c>
      <c r="L153" s="3">
        <f t="shared" si="83"/>
        <v>7.0460456800535406E-2</v>
      </c>
      <c r="M153" s="3">
        <f t="shared" si="83"/>
        <v>7.0460456800535406E-2</v>
      </c>
      <c r="N153" s="3">
        <f t="shared" si="83"/>
        <v>7.0460456800535406E-2</v>
      </c>
      <c r="O153" s="3">
        <f t="shared" si="83"/>
        <v>7.0460456800535393E-2</v>
      </c>
      <c r="P153" s="3">
        <f t="shared" si="83"/>
        <v>7.046045680053524E-2</v>
      </c>
      <c r="Q153" s="3">
        <f t="shared" si="83"/>
        <v>7.04604568005337E-2</v>
      </c>
      <c r="R153" s="3">
        <f t="shared" si="83"/>
        <v>7.0460456800518254E-2</v>
      </c>
      <c r="S153" s="3">
        <f t="shared" si="83"/>
        <v>7.0460456800363863E-2</v>
      </c>
      <c r="T153" s="3">
        <f t="shared" si="83"/>
        <v>7.0460456798819959E-2</v>
      </c>
      <c r="U153" s="3">
        <f t="shared" si="83"/>
        <v>7.0460456783380934E-2</v>
      </c>
      <c r="V153" s="3">
        <f t="shared" si="83"/>
        <v>7.0460456628990725E-2</v>
      </c>
      <c r="W153" s="3">
        <f t="shared" si="83"/>
        <v>7.0460455085088677E-2</v>
      </c>
      <c r="X153" s="3">
        <f t="shared" si="83"/>
        <v>7.0460439646070017E-2</v>
      </c>
      <c r="Y153" s="3">
        <f t="shared" si="83"/>
        <v>7.0460285256069496E-2</v>
      </c>
      <c r="Z153" s="3">
        <f t="shared" si="83"/>
        <v>7.0458741374670231E-2</v>
      </c>
      <c r="AA153" s="3">
        <f t="shared" ref="AA153" si="84">$C39*EXP(-AA$129/$A39/EXP(-$B$126))</f>
        <v>7.0443304421125938E-2</v>
      </c>
      <c r="AB153" s="3">
        <f t="shared" si="67"/>
        <v>7.0289120779773034E-2</v>
      </c>
      <c r="AC153" s="3">
        <f t="shared" si="67"/>
        <v>6.8765723944650553E-2</v>
      </c>
      <c r="AD153" s="3">
        <f t="shared" si="67"/>
        <v>5.5234586223056582E-2</v>
      </c>
      <c r="AE153" s="3">
        <f t="shared" si="67"/>
        <v>6.1745023413555507E-3</v>
      </c>
      <c r="AF153" s="3">
        <f t="shared" si="67"/>
        <v>1.8815272246209412E-12</v>
      </c>
    </row>
    <row r="154" spans="1:32" x14ac:dyDescent="0.25">
      <c r="B154" s="3">
        <f t="shared" ref="B154:Z154" si="85">$C40*EXP(-B$129/$A40/EXP(-$B$126))</f>
        <v>8.6875447409324694E-2</v>
      </c>
      <c r="C154" s="3">
        <f t="shared" si="85"/>
        <v>8.6875447409324694E-2</v>
      </c>
      <c r="D154" s="3">
        <f t="shared" si="85"/>
        <v>8.6875447409324694E-2</v>
      </c>
      <c r="E154" s="3">
        <f t="shared" si="85"/>
        <v>8.6875447409324694E-2</v>
      </c>
      <c r="F154" s="3">
        <f t="shared" si="85"/>
        <v>8.6875447409324694E-2</v>
      </c>
      <c r="G154" s="3">
        <f t="shared" si="85"/>
        <v>8.6875447409324694E-2</v>
      </c>
      <c r="H154" s="3">
        <f t="shared" si="85"/>
        <v>8.6875447409324694E-2</v>
      </c>
      <c r="I154" s="3">
        <f t="shared" si="85"/>
        <v>8.6875447409324694E-2</v>
      </c>
      <c r="J154" s="3">
        <f t="shared" si="85"/>
        <v>8.6875447409324694E-2</v>
      </c>
      <c r="K154" s="3">
        <f t="shared" si="85"/>
        <v>8.6875447409324694E-2</v>
      </c>
      <c r="L154" s="3">
        <f t="shared" si="85"/>
        <v>8.6875447409324694E-2</v>
      </c>
      <c r="M154" s="3">
        <f t="shared" si="85"/>
        <v>8.6875447409324694E-2</v>
      </c>
      <c r="N154" s="3">
        <f t="shared" si="85"/>
        <v>8.6875447409324694E-2</v>
      </c>
      <c r="O154" s="3">
        <f t="shared" si="85"/>
        <v>8.6875447409324694E-2</v>
      </c>
      <c r="P154" s="3">
        <f t="shared" si="85"/>
        <v>8.687544740932468E-2</v>
      </c>
      <c r="Q154" s="3">
        <f t="shared" si="85"/>
        <v>8.6875447409324486E-2</v>
      </c>
      <c r="R154" s="3">
        <f t="shared" si="85"/>
        <v>8.6875447409322584E-2</v>
      </c>
      <c r="S154" s="3">
        <f t="shared" si="85"/>
        <v>8.6875447409303544E-2</v>
      </c>
      <c r="T154" s="3">
        <f t="shared" si="85"/>
        <v>8.6875447409113182E-2</v>
      </c>
      <c r="U154" s="3">
        <f t="shared" si="85"/>
        <v>8.6875447407209608E-2</v>
      </c>
      <c r="V154" s="3">
        <f t="shared" si="85"/>
        <v>8.6875447388173793E-2</v>
      </c>
      <c r="W154" s="3">
        <f t="shared" si="85"/>
        <v>8.6875447197815703E-2</v>
      </c>
      <c r="X154" s="3">
        <f t="shared" si="85"/>
        <v>8.6875445294234771E-2</v>
      </c>
      <c r="Y154" s="3">
        <f t="shared" si="85"/>
        <v>8.6875426258427813E-2</v>
      </c>
      <c r="Z154" s="3">
        <f t="shared" si="85"/>
        <v>8.6875235900587697E-2</v>
      </c>
      <c r="AA154" s="3">
        <f t="shared" ref="AA154:AF154" si="86">$C40*EXP(-AA$129/$A40/EXP(-$B$126))</f>
        <v>8.6873332345126966E-2</v>
      </c>
      <c r="AB154" s="3">
        <f t="shared" si="86"/>
        <v>8.6854299084391892E-2</v>
      </c>
      <c r="AC154" s="3">
        <f t="shared" si="86"/>
        <v>8.6664195678397074E-2</v>
      </c>
      <c r="AD154" s="3">
        <f t="shared" si="86"/>
        <v>8.478589701780409E-2</v>
      </c>
      <c r="AE154" s="3">
        <f t="shared" si="86"/>
        <v>6.8102445094572542E-2</v>
      </c>
      <c r="AF154" s="3">
        <f t="shared" si="86"/>
        <v>7.6129602019711891E-3</v>
      </c>
    </row>
    <row r="155" spans="1:32" x14ac:dyDescent="0.25">
      <c r="B155" s="3">
        <f t="shared" ref="B155:Z155" si="87">$C41*EXP(-B$129/$A41/EXP(-$B$126))</f>
        <v>9.6215979999175721E-2</v>
      </c>
      <c r="C155" s="3">
        <f t="shared" si="87"/>
        <v>9.6215979999175721E-2</v>
      </c>
      <c r="D155" s="3">
        <f t="shared" si="87"/>
        <v>9.6215979999175721E-2</v>
      </c>
      <c r="E155" s="3">
        <f t="shared" si="87"/>
        <v>9.6215979999175721E-2</v>
      </c>
      <c r="F155" s="3">
        <f t="shared" si="87"/>
        <v>9.6215979999175721E-2</v>
      </c>
      <c r="G155" s="3">
        <f t="shared" si="87"/>
        <v>9.6215979999175721E-2</v>
      </c>
      <c r="H155" s="3">
        <f t="shared" si="87"/>
        <v>9.6215979999175721E-2</v>
      </c>
      <c r="I155" s="3">
        <f t="shared" si="87"/>
        <v>9.6215979999175721E-2</v>
      </c>
      <c r="J155" s="3">
        <f t="shared" si="87"/>
        <v>9.6215979999175721E-2</v>
      </c>
      <c r="K155" s="3">
        <f t="shared" si="87"/>
        <v>9.6215979999175721E-2</v>
      </c>
      <c r="L155" s="3">
        <f t="shared" si="87"/>
        <v>9.6215979999175721E-2</v>
      </c>
      <c r="M155" s="3">
        <f t="shared" si="87"/>
        <v>9.6215979999175721E-2</v>
      </c>
      <c r="N155" s="3">
        <f t="shared" si="87"/>
        <v>9.6215979999175721E-2</v>
      </c>
      <c r="O155" s="3">
        <f t="shared" si="87"/>
        <v>9.6215979999175721E-2</v>
      </c>
      <c r="P155" s="3">
        <f t="shared" si="87"/>
        <v>9.6215979999175721E-2</v>
      </c>
      <c r="Q155" s="3">
        <f t="shared" si="87"/>
        <v>9.6215979999175694E-2</v>
      </c>
      <c r="R155" s="3">
        <f t="shared" si="87"/>
        <v>9.6215979999175485E-2</v>
      </c>
      <c r="S155" s="3">
        <f t="shared" si="87"/>
        <v>9.6215979999173376E-2</v>
      </c>
      <c r="T155" s="3">
        <f t="shared" si="87"/>
        <v>9.6215979999152296E-2</v>
      </c>
      <c r="U155" s="3">
        <f t="shared" si="87"/>
        <v>9.6215979998941478E-2</v>
      </c>
      <c r="V155" s="3">
        <f t="shared" si="87"/>
        <v>9.6215979996833234E-2</v>
      </c>
      <c r="W155" s="3">
        <f t="shared" si="87"/>
        <v>9.6215979975750751E-2</v>
      </c>
      <c r="X155" s="3">
        <f t="shared" si="87"/>
        <v>9.6215979764926046E-2</v>
      </c>
      <c r="Y155" s="3">
        <f t="shared" si="87"/>
        <v>9.6215977656679025E-2</v>
      </c>
      <c r="Z155" s="3">
        <f t="shared" si="87"/>
        <v>9.6215956574211225E-2</v>
      </c>
      <c r="AA155" s="3">
        <f t="shared" ref="AA155:AF155" si="88">$C41*EXP(-AA$129/$A41/EXP(-$B$126))</f>
        <v>9.6215745749787474E-2</v>
      </c>
      <c r="AB155" s="3">
        <f t="shared" si="88"/>
        <v>9.6213637530956977E-2</v>
      </c>
      <c r="AC155" s="3">
        <f t="shared" si="88"/>
        <v>9.6192557883152952E-2</v>
      </c>
      <c r="AD155" s="3">
        <f t="shared" si="88"/>
        <v>9.5982015249366087E-2</v>
      </c>
      <c r="AE155" s="3">
        <f t="shared" si="88"/>
        <v>9.3901768738420391E-2</v>
      </c>
      <c r="AF155" s="3">
        <f t="shared" si="88"/>
        <v>7.5424572655622871E-2</v>
      </c>
    </row>
    <row r="156" spans="1:32" x14ac:dyDescent="0.25">
      <c r="B156" s="3">
        <f t="shared" ref="B156:Z156" si="89">$C42*EXP(-B$129/$A42/EXP(-$B$126))</f>
        <v>0.11161416834614406</v>
      </c>
      <c r="C156" s="3">
        <f t="shared" si="89"/>
        <v>0.11161416834614406</v>
      </c>
      <c r="D156" s="3">
        <f t="shared" si="89"/>
        <v>0.11161416834614406</v>
      </c>
      <c r="E156" s="3">
        <f t="shared" si="89"/>
        <v>0.11161416834614406</v>
      </c>
      <c r="F156" s="3">
        <f t="shared" si="89"/>
        <v>0.11161416834614406</v>
      </c>
      <c r="G156" s="3">
        <f t="shared" si="89"/>
        <v>0.11161416834614406</v>
      </c>
      <c r="H156" s="3">
        <f t="shared" si="89"/>
        <v>0.11161416834614406</v>
      </c>
      <c r="I156" s="3">
        <f t="shared" si="89"/>
        <v>0.11161416834614406</v>
      </c>
      <c r="J156" s="3">
        <f t="shared" si="89"/>
        <v>0.11161416834614406</v>
      </c>
      <c r="K156" s="3">
        <f t="shared" si="89"/>
        <v>0.11161416834614406</v>
      </c>
      <c r="L156" s="3">
        <f t="shared" si="89"/>
        <v>0.11161416834614406</v>
      </c>
      <c r="M156" s="3">
        <f t="shared" si="89"/>
        <v>0.11161416834614406</v>
      </c>
      <c r="N156" s="3">
        <f t="shared" si="89"/>
        <v>0.11161416834614406</v>
      </c>
      <c r="O156" s="3">
        <f t="shared" si="89"/>
        <v>0.11161416834614406</v>
      </c>
      <c r="P156" s="3">
        <f t="shared" si="89"/>
        <v>0.11161416834614406</v>
      </c>
      <c r="Q156" s="3">
        <f t="shared" si="89"/>
        <v>0.11161416834614406</v>
      </c>
      <c r="R156" s="3">
        <f t="shared" si="89"/>
        <v>0.11161416834614403</v>
      </c>
      <c r="S156" s="3">
        <f t="shared" si="89"/>
        <v>0.11161416834614378</v>
      </c>
      <c r="T156" s="3">
        <f t="shared" si="89"/>
        <v>0.11161416834614134</v>
      </c>
      <c r="U156" s="3">
        <f t="shared" si="89"/>
        <v>0.11161416834611688</v>
      </c>
      <c r="V156" s="3">
        <f t="shared" si="89"/>
        <v>0.11161416834587232</v>
      </c>
      <c r="W156" s="3">
        <f t="shared" si="89"/>
        <v>0.11161416834342668</v>
      </c>
      <c r="X156" s="3">
        <f t="shared" si="89"/>
        <v>0.11161416831897021</v>
      </c>
      <c r="Y156" s="3">
        <f t="shared" si="89"/>
        <v>0.11161416807440559</v>
      </c>
      <c r="Z156" s="3">
        <f t="shared" si="89"/>
        <v>0.11161416562875946</v>
      </c>
      <c r="AA156" s="3">
        <f t="shared" ref="AA156:AF156" si="90">$C42*EXP(-AA$129/$A42/EXP(-$B$126))</f>
        <v>0.1116141411723011</v>
      </c>
      <c r="AB156" s="3">
        <f t="shared" si="90"/>
        <v>0.11161389660801226</v>
      </c>
      <c r="AC156" s="3">
        <f t="shared" si="90"/>
        <v>0.11161145099459689</v>
      </c>
      <c r="AD156" s="3">
        <f t="shared" si="90"/>
        <v>0.11158699780752032</v>
      </c>
      <c r="AE156" s="3">
        <f t="shared" si="90"/>
        <v>0.11134276040566951</v>
      </c>
      <c r="AF156" s="3">
        <f t="shared" si="90"/>
        <v>0.10892959593677193</v>
      </c>
    </row>
    <row r="157" spans="1:32" x14ac:dyDescent="0.25">
      <c r="B157" s="3">
        <f t="shared" ref="B157:Z157" si="91">$C43*EXP(-B$129/$A43/EXP(-$B$126))</f>
        <v>6.6462351022397975E-2</v>
      </c>
      <c r="C157" s="3">
        <f t="shared" si="91"/>
        <v>6.6462351022397975E-2</v>
      </c>
      <c r="D157" s="3">
        <f t="shared" si="91"/>
        <v>6.6462351022397975E-2</v>
      </c>
      <c r="E157" s="3">
        <f t="shared" si="91"/>
        <v>6.6462351022397975E-2</v>
      </c>
      <c r="F157" s="3">
        <f t="shared" si="91"/>
        <v>6.6462351022397975E-2</v>
      </c>
      <c r="G157" s="3">
        <f t="shared" si="91"/>
        <v>6.6462351022397975E-2</v>
      </c>
      <c r="H157" s="3">
        <f t="shared" si="91"/>
        <v>6.6462351022397975E-2</v>
      </c>
      <c r="I157" s="3">
        <f t="shared" si="91"/>
        <v>6.6462351022397975E-2</v>
      </c>
      <c r="J157" s="3">
        <f t="shared" si="91"/>
        <v>6.6462351022397975E-2</v>
      </c>
      <c r="K157" s="3">
        <f t="shared" si="91"/>
        <v>6.6462351022397975E-2</v>
      </c>
      <c r="L157" s="3">
        <f t="shared" si="91"/>
        <v>6.6462351022397975E-2</v>
      </c>
      <c r="M157" s="3">
        <f t="shared" si="91"/>
        <v>6.6462351022397975E-2</v>
      </c>
      <c r="N157" s="3">
        <f t="shared" si="91"/>
        <v>6.6462351022397975E-2</v>
      </c>
      <c r="O157" s="3">
        <f t="shared" si="91"/>
        <v>6.6462351022397975E-2</v>
      </c>
      <c r="P157" s="3">
        <f t="shared" si="91"/>
        <v>6.6462351022397975E-2</v>
      </c>
      <c r="Q157" s="3">
        <f t="shared" si="91"/>
        <v>6.6462351022397975E-2</v>
      </c>
      <c r="R157" s="3">
        <f t="shared" si="91"/>
        <v>6.6462351022397975E-2</v>
      </c>
      <c r="S157" s="3">
        <f t="shared" si="91"/>
        <v>6.6462351022397961E-2</v>
      </c>
      <c r="T157" s="3">
        <f t="shared" si="91"/>
        <v>6.6462351022397809E-2</v>
      </c>
      <c r="U157" s="3">
        <f t="shared" si="91"/>
        <v>6.6462351022396365E-2</v>
      </c>
      <c r="V157" s="3">
        <f t="shared" si="91"/>
        <v>6.6462351022381794E-2</v>
      </c>
      <c r="W157" s="3">
        <f t="shared" si="91"/>
        <v>6.646235102223616E-2</v>
      </c>
      <c r="X157" s="3">
        <f t="shared" si="91"/>
        <v>6.6462351020779867E-2</v>
      </c>
      <c r="Y157" s="3">
        <f t="shared" si="91"/>
        <v>6.6462351006216891E-2</v>
      </c>
      <c r="Z157" s="3">
        <f t="shared" si="91"/>
        <v>6.6462350860587174E-2</v>
      </c>
      <c r="AA157" s="3">
        <f t="shared" ref="AA157:AF157" si="92">$C43*EXP(-AA$129/$A43/EXP(-$B$126))</f>
        <v>6.6462349404290064E-2</v>
      </c>
      <c r="AB157" s="3">
        <f t="shared" si="92"/>
        <v>6.646233484132065E-2</v>
      </c>
      <c r="AC157" s="3">
        <f t="shared" si="92"/>
        <v>6.6462189211801984E-2</v>
      </c>
      <c r="AD157" s="3">
        <f t="shared" si="92"/>
        <v>6.646073293416549E-2</v>
      </c>
      <c r="AE157" s="3">
        <f t="shared" si="92"/>
        <v>6.6446171912682456E-2</v>
      </c>
      <c r="AF157" s="3">
        <f t="shared" si="92"/>
        <v>6.6300737043837973E-2</v>
      </c>
    </row>
    <row r="158" spans="1:32" x14ac:dyDescent="0.25">
      <c r="B158" s="3">
        <f t="shared" ref="B158:Z158" si="93">$C44*EXP(-B$129/$A44/EXP(-$B$126))</f>
        <v>4.7100906601755713E-2</v>
      </c>
      <c r="C158" s="3">
        <f t="shared" si="93"/>
        <v>4.7100906601755713E-2</v>
      </c>
      <c r="D158" s="3">
        <f t="shared" si="93"/>
        <v>4.7100906601755713E-2</v>
      </c>
      <c r="E158" s="3">
        <f t="shared" si="93"/>
        <v>4.7100906601755713E-2</v>
      </c>
      <c r="F158" s="3">
        <f t="shared" si="93"/>
        <v>4.7100906601755713E-2</v>
      </c>
      <c r="G158" s="3">
        <f t="shared" si="93"/>
        <v>4.7100906601755713E-2</v>
      </c>
      <c r="H158" s="3">
        <f t="shared" si="93"/>
        <v>4.7100906601755713E-2</v>
      </c>
      <c r="I158" s="3">
        <f t="shared" si="93"/>
        <v>4.7100906601755713E-2</v>
      </c>
      <c r="J158" s="3">
        <f t="shared" si="93"/>
        <v>4.7100906601755713E-2</v>
      </c>
      <c r="K158" s="3">
        <f t="shared" si="93"/>
        <v>4.7100906601755713E-2</v>
      </c>
      <c r="L158" s="3">
        <f t="shared" si="93"/>
        <v>4.7100906601755713E-2</v>
      </c>
      <c r="M158" s="3">
        <f t="shared" si="93"/>
        <v>4.7100906601755713E-2</v>
      </c>
      <c r="N158" s="3">
        <f t="shared" si="93"/>
        <v>4.7100906601755713E-2</v>
      </c>
      <c r="O158" s="3">
        <f t="shared" si="93"/>
        <v>4.7100906601755713E-2</v>
      </c>
      <c r="P158" s="3">
        <f t="shared" si="93"/>
        <v>4.7100906601755713E-2</v>
      </c>
      <c r="Q158" s="3">
        <f t="shared" si="93"/>
        <v>4.7100906601755713E-2</v>
      </c>
      <c r="R158" s="3">
        <f t="shared" si="93"/>
        <v>4.7100906601755713E-2</v>
      </c>
      <c r="S158" s="3">
        <f t="shared" si="93"/>
        <v>4.7100906601755713E-2</v>
      </c>
      <c r="T158" s="3">
        <f t="shared" si="93"/>
        <v>4.7100906601755699E-2</v>
      </c>
      <c r="U158" s="3">
        <f t="shared" si="93"/>
        <v>4.7100906601755595E-2</v>
      </c>
      <c r="V158" s="3">
        <f t="shared" si="93"/>
        <v>4.7100906601754568E-2</v>
      </c>
      <c r="W158" s="3">
        <f t="shared" si="93"/>
        <v>4.7100906601744243E-2</v>
      </c>
      <c r="X158" s="3">
        <f t="shared" si="93"/>
        <v>4.710090660164104E-2</v>
      </c>
      <c r="Y158" s="3">
        <f t="shared" si="93"/>
        <v>4.7100906600608984E-2</v>
      </c>
      <c r="Z158" s="3">
        <f t="shared" si="93"/>
        <v>4.7100906590288413E-2</v>
      </c>
      <c r="AA158" s="3">
        <f t="shared" ref="AA158:AF158" si="94">$C44*EXP(-AA$129/$A44/EXP(-$B$126))</f>
        <v>4.7100906487082747E-2</v>
      </c>
      <c r="AB158" s="3">
        <f t="shared" si="94"/>
        <v>4.710090545502605E-2</v>
      </c>
      <c r="AC158" s="3">
        <f t="shared" si="94"/>
        <v>4.7100895134460315E-2</v>
      </c>
      <c r="AD158" s="3">
        <f t="shared" si="94"/>
        <v>4.7100791928927382E-2</v>
      </c>
      <c r="AE158" s="3">
        <f t="shared" si="94"/>
        <v>4.7099759886035625E-2</v>
      </c>
      <c r="AF158" s="3">
        <f t="shared" si="94"/>
        <v>4.7089440700777377E-2</v>
      </c>
    </row>
    <row r="159" spans="1:32" x14ac:dyDescent="0.25">
      <c r="A159" s="11" t="s">
        <v>75</v>
      </c>
      <c r="B159" s="3">
        <f t="shared" ref="B159:Z159" si="95">$C45*EXP(-B$129/$A45/EXP(-$B$126))</f>
        <v>2.2598128773559236E-2</v>
      </c>
      <c r="C159" s="3">
        <f t="shared" si="95"/>
        <v>2.2598128773559236E-2</v>
      </c>
      <c r="D159" s="3">
        <f t="shared" si="95"/>
        <v>2.2598128773559236E-2</v>
      </c>
      <c r="E159" s="3">
        <f t="shared" si="95"/>
        <v>2.2598128773559236E-2</v>
      </c>
      <c r="F159" s="3">
        <f t="shared" si="95"/>
        <v>2.2598128773559236E-2</v>
      </c>
      <c r="G159" s="3">
        <f t="shared" si="95"/>
        <v>2.2598128773559236E-2</v>
      </c>
      <c r="H159" s="3">
        <f t="shared" si="95"/>
        <v>2.2598128773559236E-2</v>
      </c>
      <c r="I159" s="3">
        <f t="shared" si="95"/>
        <v>2.2598128773559236E-2</v>
      </c>
      <c r="J159" s="3">
        <f t="shared" si="95"/>
        <v>2.2598128773559236E-2</v>
      </c>
      <c r="K159" s="3">
        <f t="shared" si="95"/>
        <v>2.2598128773559236E-2</v>
      </c>
      <c r="L159" s="3">
        <f t="shared" si="95"/>
        <v>2.2598128773559236E-2</v>
      </c>
      <c r="M159" s="3">
        <f t="shared" si="95"/>
        <v>2.2598128773559236E-2</v>
      </c>
      <c r="N159" s="3">
        <f t="shared" si="95"/>
        <v>2.2598128773559236E-2</v>
      </c>
      <c r="O159" s="3">
        <f t="shared" si="95"/>
        <v>2.2598128773559236E-2</v>
      </c>
      <c r="P159" s="3">
        <f t="shared" si="95"/>
        <v>2.2598128773559236E-2</v>
      </c>
      <c r="Q159" s="3">
        <f t="shared" si="95"/>
        <v>2.2598128773559236E-2</v>
      </c>
      <c r="R159" s="3">
        <f t="shared" si="95"/>
        <v>2.2598128773559236E-2</v>
      </c>
      <c r="S159" s="3">
        <f t="shared" si="95"/>
        <v>2.2598128773559236E-2</v>
      </c>
      <c r="T159" s="3">
        <f t="shared" si="95"/>
        <v>2.2598128773559236E-2</v>
      </c>
      <c r="U159" s="3">
        <f t="shared" si="95"/>
        <v>2.2598128773559233E-2</v>
      </c>
      <c r="V159" s="3">
        <f t="shared" si="95"/>
        <v>2.2598128773559181E-2</v>
      </c>
      <c r="W159" s="3">
        <f t="shared" si="95"/>
        <v>2.2598128773558688E-2</v>
      </c>
      <c r="X159" s="3">
        <f t="shared" si="95"/>
        <v>2.2598128773553734E-2</v>
      </c>
      <c r="Y159" s="3">
        <f t="shared" si="95"/>
        <v>2.2598128773504218E-2</v>
      </c>
      <c r="Z159" s="3">
        <f t="shared" si="95"/>
        <v>2.2598128773009058E-2</v>
      </c>
      <c r="AA159" s="3">
        <f t="shared" ref="AA159:AF159" si="96">$C45*EXP(-AA$129/$A45/EXP(-$B$126))</f>
        <v>2.2598128768057443E-2</v>
      </c>
      <c r="AB159" s="3">
        <f t="shared" si="96"/>
        <v>2.2598128718541301E-2</v>
      </c>
      <c r="AC159" s="3">
        <f t="shared" si="96"/>
        <v>2.2598128223379921E-2</v>
      </c>
      <c r="AD159" s="3">
        <f t="shared" si="96"/>
        <v>2.2598123271766662E-2</v>
      </c>
      <c r="AE159" s="3">
        <f t="shared" si="96"/>
        <v>2.2598073755693799E-2</v>
      </c>
      <c r="AF159" s="3">
        <f t="shared" si="96"/>
        <v>2.2597578600932446E-2</v>
      </c>
    </row>
    <row r="160" spans="1:32" x14ac:dyDescent="0.25">
      <c r="B160" s="3">
        <f t="shared" ref="B160:Z160" si="97">$C46*EXP(-B$129/$A46/EXP(-$B$126))</f>
        <v>6.4467605952010509E-3</v>
      </c>
      <c r="C160" s="3">
        <f t="shared" si="97"/>
        <v>6.4467605952010509E-3</v>
      </c>
      <c r="D160" s="3">
        <f t="shared" si="97"/>
        <v>6.4467605952010509E-3</v>
      </c>
      <c r="E160" s="3">
        <f t="shared" si="97"/>
        <v>6.4467605952010509E-3</v>
      </c>
      <c r="F160" s="3">
        <f t="shared" si="97"/>
        <v>6.4467605952010509E-3</v>
      </c>
      <c r="G160" s="3">
        <f t="shared" si="97"/>
        <v>6.4467605952010509E-3</v>
      </c>
      <c r="H160" s="3">
        <f t="shared" si="97"/>
        <v>6.4467605952010509E-3</v>
      </c>
      <c r="I160" s="3">
        <f t="shared" si="97"/>
        <v>6.4467605952010509E-3</v>
      </c>
      <c r="J160" s="3">
        <f t="shared" si="97"/>
        <v>6.4467605952010509E-3</v>
      </c>
      <c r="K160" s="3">
        <f t="shared" si="97"/>
        <v>6.4467605952010509E-3</v>
      </c>
      <c r="L160" s="3">
        <f t="shared" si="97"/>
        <v>6.4467605952010509E-3</v>
      </c>
      <c r="M160" s="3">
        <f t="shared" si="97"/>
        <v>6.4467605952010509E-3</v>
      </c>
      <c r="N160" s="3">
        <f t="shared" si="97"/>
        <v>6.4467605952010509E-3</v>
      </c>
      <c r="O160" s="3">
        <f t="shared" si="97"/>
        <v>6.4467605952010509E-3</v>
      </c>
      <c r="P160" s="3">
        <f t="shared" si="97"/>
        <v>6.4467605952010509E-3</v>
      </c>
      <c r="Q160" s="3">
        <f t="shared" si="97"/>
        <v>6.4467605952010509E-3</v>
      </c>
      <c r="R160" s="3">
        <f t="shared" si="97"/>
        <v>6.4467605952010509E-3</v>
      </c>
      <c r="S160" s="3">
        <f t="shared" si="97"/>
        <v>6.4467605952010509E-3</v>
      </c>
      <c r="T160" s="3">
        <f t="shared" si="97"/>
        <v>6.4467605952010509E-3</v>
      </c>
      <c r="U160" s="3">
        <f t="shared" si="97"/>
        <v>6.4467605952010509E-3</v>
      </c>
      <c r="V160" s="3">
        <f t="shared" si="97"/>
        <v>6.4467605952010492E-3</v>
      </c>
      <c r="W160" s="3">
        <f t="shared" si="97"/>
        <v>6.4467605952010353E-3</v>
      </c>
      <c r="X160" s="3">
        <f t="shared" si="97"/>
        <v>6.4467605952008939E-3</v>
      </c>
      <c r="Y160" s="3">
        <f t="shared" si="97"/>
        <v>6.446760595199481E-3</v>
      </c>
      <c r="Z160" s="3">
        <f t="shared" si="97"/>
        <v>6.446760595185356E-3</v>
      </c>
      <c r="AA160" s="3">
        <f t="shared" ref="AA160:AF160" si="98">$C46*EXP(-AA$129/$A46/EXP(-$B$126))</f>
        <v>6.4467605950440966E-3</v>
      </c>
      <c r="AB160" s="3">
        <f t="shared" si="98"/>
        <v>6.446760593631507E-3</v>
      </c>
      <c r="AC160" s="3">
        <f t="shared" si="98"/>
        <v>6.4467605795056164E-3</v>
      </c>
      <c r="AD160" s="3">
        <f t="shared" si="98"/>
        <v>6.4467604382467134E-3</v>
      </c>
      <c r="AE160" s="3">
        <f t="shared" si="98"/>
        <v>6.446759025657842E-3</v>
      </c>
      <c r="AF160" s="3">
        <f t="shared" si="98"/>
        <v>6.4467448997861561E-3</v>
      </c>
    </row>
    <row r="161" spans="1:34" x14ac:dyDescent="0.25">
      <c r="A161" s="11" t="s">
        <v>75</v>
      </c>
      <c r="B161" s="3">
        <f t="shared" ref="B161:Z161" si="99">$C47*EXP(-B$129/$A47/EXP(-$B$126))</f>
        <v>9.8307104636690784E-5</v>
      </c>
      <c r="C161" s="3">
        <f t="shared" si="99"/>
        <v>9.8307104636690784E-5</v>
      </c>
      <c r="D161" s="3">
        <f t="shared" si="99"/>
        <v>9.8307104636690784E-5</v>
      </c>
      <c r="E161" s="3">
        <f t="shared" si="99"/>
        <v>9.8307104636690784E-5</v>
      </c>
      <c r="F161" s="3">
        <f t="shared" si="99"/>
        <v>9.8307104636690784E-5</v>
      </c>
      <c r="G161" s="3">
        <f t="shared" si="99"/>
        <v>9.8307104636690784E-5</v>
      </c>
      <c r="H161" s="3">
        <f t="shared" si="99"/>
        <v>9.8307104636690784E-5</v>
      </c>
      <c r="I161" s="3">
        <f t="shared" si="99"/>
        <v>9.8307104636690784E-5</v>
      </c>
      <c r="J161" s="3">
        <f t="shared" si="99"/>
        <v>9.8307104636690784E-5</v>
      </c>
      <c r="K161" s="3">
        <f t="shared" si="99"/>
        <v>9.8307104636690784E-5</v>
      </c>
      <c r="L161" s="3">
        <f t="shared" si="99"/>
        <v>9.8307104636690784E-5</v>
      </c>
      <c r="M161" s="3">
        <f t="shared" si="99"/>
        <v>9.8307104636690784E-5</v>
      </c>
      <c r="N161" s="3">
        <f t="shared" si="99"/>
        <v>9.8307104636690784E-5</v>
      </c>
      <c r="O161" s="3">
        <f t="shared" si="99"/>
        <v>9.8307104636690784E-5</v>
      </c>
      <c r="P161" s="3">
        <f t="shared" si="99"/>
        <v>9.8307104636690784E-5</v>
      </c>
      <c r="Q161" s="3">
        <f t="shared" si="99"/>
        <v>9.8307104636690784E-5</v>
      </c>
      <c r="R161" s="3">
        <f t="shared" si="99"/>
        <v>9.8307104636690784E-5</v>
      </c>
      <c r="S161" s="3">
        <f t="shared" si="99"/>
        <v>9.8307104636690784E-5</v>
      </c>
      <c r="T161" s="3">
        <f t="shared" si="99"/>
        <v>9.8307104636690784E-5</v>
      </c>
      <c r="U161" s="3">
        <f t="shared" si="99"/>
        <v>9.8307104636690784E-5</v>
      </c>
      <c r="V161" s="3">
        <f t="shared" si="99"/>
        <v>9.8307104636690784E-5</v>
      </c>
      <c r="W161" s="3">
        <f t="shared" si="99"/>
        <v>9.8307104636690757E-5</v>
      </c>
      <c r="X161" s="3">
        <f t="shared" si="99"/>
        <v>9.830710463669054E-5</v>
      </c>
      <c r="Y161" s="3">
        <f t="shared" si="99"/>
        <v>9.8307104636688399E-5</v>
      </c>
      <c r="Z161" s="3">
        <f t="shared" si="99"/>
        <v>9.830710463666685E-5</v>
      </c>
      <c r="AA161" s="3">
        <f t="shared" ref="AA161:AF161" si="100">$C47*EXP(-AA$129/$A47/EXP(-$B$126))</f>
        <v>9.8307104636451446E-5</v>
      </c>
      <c r="AB161" s="3">
        <f t="shared" si="100"/>
        <v>9.830710463429738E-5</v>
      </c>
      <c r="AC161" s="3">
        <f t="shared" si="100"/>
        <v>9.8307104612756709E-5</v>
      </c>
      <c r="AD161" s="3">
        <f t="shared" si="100"/>
        <v>9.830710439735001E-5</v>
      </c>
      <c r="AE161" s="3">
        <f t="shared" si="100"/>
        <v>9.8307102243283073E-5</v>
      </c>
      <c r="AF161" s="3">
        <f t="shared" si="100"/>
        <v>9.8307080702616267E-5</v>
      </c>
    </row>
    <row r="162" spans="1:34" x14ac:dyDescent="0.25">
      <c r="B162" s="3">
        <f t="shared" ref="B162:Z162" si="101">$C48*EXP(-B$129/$A48/EXP(-$B$126))</f>
        <v>1.1020901234699522E-2</v>
      </c>
      <c r="C162" s="3">
        <f t="shared" si="101"/>
        <v>1.1020901234699522E-2</v>
      </c>
      <c r="D162" s="3">
        <f t="shared" si="101"/>
        <v>1.1020901234699522E-2</v>
      </c>
      <c r="E162" s="3">
        <f t="shared" si="101"/>
        <v>1.1020901234699522E-2</v>
      </c>
      <c r="F162" s="3">
        <f t="shared" si="101"/>
        <v>1.1020901234699522E-2</v>
      </c>
      <c r="G162" s="3">
        <f t="shared" si="101"/>
        <v>1.1020901234699522E-2</v>
      </c>
      <c r="H162" s="3">
        <f t="shared" si="101"/>
        <v>1.1020901234699522E-2</v>
      </c>
      <c r="I162" s="3">
        <f t="shared" si="101"/>
        <v>1.1020901234699522E-2</v>
      </c>
      <c r="J162" s="3">
        <f t="shared" si="101"/>
        <v>1.1020901234699522E-2</v>
      </c>
      <c r="K162" s="3">
        <f t="shared" si="101"/>
        <v>1.1020901234699522E-2</v>
      </c>
      <c r="L162" s="3">
        <f t="shared" si="101"/>
        <v>1.1020901234699522E-2</v>
      </c>
      <c r="M162" s="3">
        <f t="shared" si="101"/>
        <v>1.1020901234699522E-2</v>
      </c>
      <c r="N162" s="3">
        <f t="shared" si="101"/>
        <v>1.1020901234699522E-2</v>
      </c>
      <c r="O162" s="3">
        <f t="shared" si="101"/>
        <v>1.1020901234699522E-2</v>
      </c>
      <c r="P162" s="3">
        <f t="shared" si="101"/>
        <v>1.1020901234699522E-2</v>
      </c>
      <c r="Q162" s="3">
        <f t="shared" si="101"/>
        <v>1.1020901234699522E-2</v>
      </c>
      <c r="R162" s="3">
        <f t="shared" si="101"/>
        <v>1.1020901234699522E-2</v>
      </c>
      <c r="S162" s="3">
        <f t="shared" si="101"/>
        <v>1.1020901234699522E-2</v>
      </c>
      <c r="T162" s="3">
        <f t="shared" si="101"/>
        <v>1.1020901234699522E-2</v>
      </c>
      <c r="U162" s="3">
        <f t="shared" si="101"/>
        <v>1.1020901234699522E-2</v>
      </c>
      <c r="V162" s="3">
        <f t="shared" si="101"/>
        <v>1.1020901234699522E-2</v>
      </c>
      <c r="W162" s="3">
        <f t="shared" si="101"/>
        <v>1.1020901234699522E-2</v>
      </c>
      <c r="X162" s="3">
        <f t="shared" si="101"/>
        <v>1.102090123469952E-2</v>
      </c>
      <c r="Y162" s="3">
        <f t="shared" si="101"/>
        <v>1.1020901234699494E-2</v>
      </c>
      <c r="Z162" s="3">
        <f t="shared" si="101"/>
        <v>1.1020901234699254E-2</v>
      </c>
      <c r="AA162" s="3">
        <f t="shared" ref="AA162:AF162" si="102">$C48*EXP(-AA$129/$A48/EXP(-$B$126))</f>
        <v>1.1020901234696838E-2</v>
      </c>
      <c r="AB162" s="3">
        <f t="shared" si="102"/>
        <v>1.1020901234672691E-2</v>
      </c>
      <c r="AC162" s="3">
        <f t="shared" si="102"/>
        <v>1.1020901234431205E-2</v>
      </c>
      <c r="AD162" s="3">
        <f t="shared" si="102"/>
        <v>1.1020901232016347E-2</v>
      </c>
      <c r="AE162" s="3">
        <f t="shared" si="102"/>
        <v>1.1020901207867778E-2</v>
      </c>
      <c r="AF162" s="3">
        <f t="shared" si="102"/>
        <v>1.1020900966382089E-2</v>
      </c>
    </row>
    <row r="163" spans="1:34" x14ac:dyDescent="0.25">
      <c r="A163" s="80">
        <f>AVERAGE(B163:AF163)</f>
        <v>1.0375596806834061E-3</v>
      </c>
      <c r="B163" s="81">
        <f>IF($A$64&lt;=B129,IF($B$64&gt;=B129,ABS((B131-B130)/B130),0),0)</f>
        <v>0</v>
      </c>
      <c r="C163" s="81">
        <f t="shared" ref="C163:AF163" si="103">IF($A$64&lt;=C129,IF($B$64&gt;=C129,ABS((C131-C130)/C130),0),0)</f>
        <v>0</v>
      </c>
      <c r="D163" s="81">
        <f t="shared" si="103"/>
        <v>0</v>
      </c>
      <c r="E163" s="81">
        <f t="shared" si="103"/>
        <v>0</v>
      </c>
      <c r="F163" s="81">
        <f t="shared" si="103"/>
        <v>0</v>
      </c>
      <c r="G163" s="81">
        <f t="shared" si="103"/>
        <v>0</v>
      </c>
      <c r="H163" s="81">
        <f t="shared" si="103"/>
        <v>0</v>
      </c>
      <c r="I163" s="81">
        <f t="shared" si="103"/>
        <v>0</v>
      </c>
      <c r="J163" s="81">
        <f t="shared" si="103"/>
        <v>0</v>
      </c>
      <c r="K163" s="81">
        <f t="shared" si="103"/>
        <v>0</v>
      </c>
      <c r="L163" s="81">
        <f t="shared" si="103"/>
        <v>3.5604322043284579E-3</v>
      </c>
      <c r="M163" s="81">
        <f t="shared" si="103"/>
        <v>3.5604346398845741E-3</v>
      </c>
      <c r="N163" s="81">
        <f t="shared" si="103"/>
        <v>3.5604183712029604E-3</v>
      </c>
      <c r="O163" s="81">
        <f t="shared" si="103"/>
        <v>3.5601777903229229E-3</v>
      </c>
      <c r="P163" s="81">
        <f t="shared" si="103"/>
        <v>3.557843305653713E-3</v>
      </c>
      <c r="Q163" s="81">
        <f t="shared" si="103"/>
        <v>3.5344189302547622E-3</v>
      </c>
      <c r="R163" s="81">
        <f t="shared" si="103"/>
        <v>3.2954061409795005E-3</v>
      </c>
      <c r="S163" s="81">
        <f t="shared" si="103"/>
        <v>1.2741328130697535E-3</v>
      </c>
      <c r="T163" s="81">
        <f t="shared" si="103"/>
        <v>2.8973638785561064E-3</v>
      </c>
      <c r="U163" s="81">
        <f t="shared" si="103"/>
        <v>4.8277902267649688E-4</v>
      </c>
      <c r="V163" s="81">
        <f t="shared" si="103"/>
        <v>2.8809430042563452E-3</v>
      </c>
      <c r="W163" s="81">
        <f t="shared" si="103"/>
        <v>0</v>
      </c>
      <c r="X163" s="81">
        <f t="shared" si="103"/>
        <v>0</v>
      </c>
      <c r="Y163" s="81">
        <f t="shared" si="103"/>
        <v>0</v>
      </c>
      <c r="Z163" s="81">
        <f t="shared" si="103"/>
        <v>0</v>
      </c>
      <c r="AA163" s="81">
        <f t="shared" si="103"/>
        <v>0</v>
      </c>
      <c r="AB163" s="81">
        <f t="shared" si="103"/>
        <v>0</v>
      </c>
      <c r="AC163" s="81">
        <f t="shared" si="103"/>
        <v>0</v>
      </c>
      <c r="AD163" s="81">
        <f t="shared" si="103"/>
        <v>0</v>
      </c>
      <c r="AE163" s="81">
        <f t="shared" si="103"/>
        <v>0</v>
      </c>
      <c r="AF163" s="81">
        <f t="shared" si="103"/>
        <v>0</v>
      </c>
    </row>
    <row r="164" spans="1:34" x14ac:dyDescent="0.25">
      <c r="B164" s="21">
        <f>(B131-B130)^2</f>
        <v>231.79155580201538</v>
      </c>
      <c r="C164" s="21">
        <f t="shared" ref="C164:AF164" si="104">(C131-C130)^2</f>
        <v>269.96236187679824</v>
      </c>
      <c r="D164" s="21">
        <f t="shared" si="104"/>
        <v>426.21793486748959</v>
      </c>
      <c r="E164" s="21">
        <f t="shared" si="104"/>
        <v>448.2409881483768</v>
      </c>
      <c r="F164" s="21">
        <f t="shared" si="104"/>
        <v>448.15375079502053</v>
      </c>
      <c r="G164" s="21">
        <f t="shared" si="104"/>
        <v>448.11868720870376</v>
      </c>
      <c r="H164" s="21">
        <f t="shared" si="104"/>
        <v>448.10756979717985</v>
      </c>
      <c r="I164" s="21">
        <f t="shared" si="104"/>
        <v>448.10585966663444</v>
      </c>
      <c r="J164" s="21">
        <f t="shared" si="104"/>
        <v>448.10586198399875</v>
      </c>
      <c r="K164" s="21">
        <f t="shared" si="104"/>
        <v>448.10588515733417</v>
      </c>
      <c r="L164" s="21">
        <f t="shared" si="104"/>
        <v>448.10611689099039</v>
      </c>
      <c r="M164" s="21">
        <f t="shared" si="104"/>
        <v>448.1067238662352</v>
      </c>
      <c r="N164" s="21">
        <f t="shared" si="104"/>
        <v>448.10253137738113</v>
      </c>
      <c r="O164" s="21">
        <f t="shared" si="104"/>
        <v>448.04093176952784</v>
      </c>
      <c r="P164" s="21">
        <f t="shared" si="104"/>
        <v>447.44318296813037</v>
      </c>
      <c r="Q164" s="21">
        <f t="shared" si="104"/>
        <v>441.46873574479918</v>
      </c>
      <c r="R164" s="21">
        <f t="shared" si="104"/>
        <v>382.91305702333614</v>
      </c>
      <c r="S164" s="21">
        <f t="shared" si="104"/>
        <v>56.205579350174197</v>
      </c>
      <c r="T164" s="21">
        <f t="shared" si="104"/>
        <v>276.44741416879776</v>
      </c>
      <c r="U164" s="21">
        <f t="shared" si="104"/>
        <v>7.2786753903882753</v>
      </c>
      <c r="V164" s="21">
        <f t="shared" si="104"/>
        <v>241.97773356238773</v>
      </c>
      <c r="W164" s="21">
        <f t="shared" si="104"/>
        <v>7787.24784772354</v>
      </c>
      <c r="X164" s="21">
        <f t="shared" si="104"/>
        <v>30310.004848627246</v>
      </c>
      <c r="Y164" s="21">
        <f t="shared" si="104"/>
        <v>59688.022682020586</v>
      </c>
      <c r="Z164" s="21">
        <f t="shared" si="104"/>
        <v>63915.884103427336</v>
      </c>
      <c r="AA164" s="21">
        <f t="shared" si="104"/>
        <v>44934.623670507703</v>
      </c>
      <c r="AB164" s="21">
        <f t="shared" si="104"/>
        <v>30528.772771499243</v>
      </c>
      <c r="AC164" s="21">
        <f t="shared" si="104"/>
        <v>15613.207753173285</v>
      </c>
      <c r="AD164" s="21">
        <f t="shared" si="104"/>
        <v>19963.351490452613</v>
      </c>
      <c r="AE164" s="21">
        <f t="shared" si="104"/>
        <v>7095.770353495057</v>
      </c>
      <c r="AF164" s="21">
        <f t="shared" si="104"/>
        <v>4561.4117812673849</v>
      </c>
    </row>
    <row r="165" spans="1:34" x14ac:dyDescent="0.25">
      <c r="A165" s="72">
        <f>SUM(B165:AF165)</f>
        <v>3646.090682112148</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448.10611689099039</v>
      </c>
      <c r="M165" s="60">
        <f t="shared" si="105"/>
        <v>448.1067238662352</v>
      </c>
      <c r="N165" s="60">
        <f t="shared" si="105"/>
        <v>448.10253137738113</v>
      </c>
      <c r="O165" s="60">
        <f t="shared" si="105"/>
        <v>448.04093176952784</v>
      </c>
      <c r="P165" s="60">
        <f t="shared" si="105"/>
        <v>447.44318296813037</v>
      </c>
      <c r="Q165" s="60">
        <f t="shared" si="105"/>
        <v>441.46873574479918</v>
      </c>
      <c r="R165" s="60">
        <f t="shared" si="105"/>
        <v>382.91305702333614</v>
      </c>
      <c r="S165" s="60">
        <f t="shared" si="105"/>
        <v>56.205579350174197</v>
      </c>
      <c r="T165" s="60">
        <f t="shared" si="105"/>
        <v>276.44741416879776</v>
      </c>
      <c r="U165" s="60">
        <f t="shared" si="105"/>
        <v>7.2786753903882753</v>
      </c>
      <c r="V165" s="60">
        <f t="shared" si="105"/>
        <v>241.97773356238773</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1" t="s">
        <v>22</v>
      </c>
      <c r="B170" s="27">
        <f>($C$17+SUM(B171:B201))*$B$51</f>
        <v>5925.2616096002357</v>
      </c>
      <c r="C170" s="27">
        <f t="shared" ref="C170:AF170" si="106">($C$17+SUM(C171:C201))*$B$51</f>
        <v>5924.3223455099478</v>
      </c>
      <c r="D170" s="27">
        <f t="shared" si="106"/>
        <v>5924.3223454632589</v>
      </c>
      <c r="E170" s="27">
        <f t="shared" si="106"/>
        <v>5924.3223454632171</v>
      </c>
      <c r="F170" s="27">
        <f t="shared" si="106"/>
        <v>5924.3223454627969</v>
      </c>
      <c r="G170" s="27">
        <f t="shared" si="106"/>
        <v>5924.322345458595</v>
      </c>
      <c r="H170" s="27">
        <f t="shared" si="106"/>
        <v>5924.3223454165854</v>
      </c>
      <c r="I170" s="27">
        <f t="shared" si="106"/>
        <v>5924.3223449964898</v>
      </c>
      <c r="J170" s="27">
        <f t="shared" si="106"/>
        <v>5924.3223407955375</v>
      </c>
      <c r="K170" s="27">
        <f t="shared" si="106"/>
        <v>5924.3222987860181</v>
      </c>
      <c r="L170" s="27">
        <f t="shared" si="106"/>
        <v>5924.3218786919779</v>
      </c>
      <c r="M170" s="27">
        <f t="shared" si="106"/>
        <v>5924.3176778661946</v>
      </c>
      <c r="N170" s="27">
        <f t="shared" si="106"/>
        <v>5924.2756810636492</v>
      </c>
      <c r="O170" s="27">
        <f t="shared" si="106"/>
        <v>5923.8568524961602</v>
      </c>
      <c r="P170" s="27">
        <f t="shared" si="106"/>
        <v>5919.7767378075396</v>
      </c>
      <c r="Q170" s="27">
        <f t="shared" si="106"/>
        <v>5886.0741530856794</v>
      </c>
      <c r="R170" s="27">
        <f t="shared" si="106"/>
        <v>5740.1068010154022</v>
      </c>
      <c r="S170" s="27">
        <f t="shared" si="106"/>
        <v>5607.8969569232786</v>
      </c>
      <c r="T170" s="27">
        <f t="shared" si="106"/>
        <v>5438.1576267108503</v>
      </c>
      <c r="U170" s="27">
        <f t="shared" si="106"/>
        <v>5254.0708691674354</v>
      </c>
      <c r="V170" s="27">
        <f t="shared" si="106"/>
        <v>5056.9609639315358</v>
      </c>
      <c r="W170" s="27">
        <f t="shared" si="106"/>
        <v>4810.8598127924315</v>
      </c>
      <c r="X170" s="27">
        <f t="shared" si="106"/>
        <v>4509.8750174239349</v>
      </c>
      <c r="Y170" s="27">
        <f t="shared" si="106"/>
        <v>4183.3515437969991</v>
      </c>
      <c r="Z170" s="27">
        <f t="shared" si="106"/>
        <v>3856.8325799452182</v>
      </c>
      <c r="AA170" s="27">
        <f t="shared" si="106"/>
        <v>3520.2592040130985</v>
      </c>
      <c r="AB170" s="27">
        <f t="shared" si="106"/>
        <v>3180.1489792066595</v>
      </c>
      <c r="AC170" s="27">
        <f t="shared" si="106"/>
        <v>2702.411329311431</v>
      </c>
      <c r="AD170" s="27">
        <f t="shared" si="106"/>
        <v>2191.3781062869666</v>
      </c>
      <c r="AE170" s="27">
        <f t="shared" si="106"/>
        <v>1618.9640219786645</v>
      </c>
      <c r="AF170" s="27">
        <f t="shared" si="106"/>
        <v>1019.1940929722601</v>
      </c>
      <c r="AG170" s="27"/>
      <c r="AH170" s="27"/>
    </row>
    <row r="171" spans="1:34" x14ac:dyDescent="0.25">
      <c r="B171" s="3">
        <f t="shared" ref="B171:AF171" si="107">$C18*EXP(-B$168/$A18/EXP(-$C$126))</f>
        <v>1.5838103429143205E-4</v>
      </c>
      <c r="C171" s="3">
        <f t="shared" si="107"/>
        <v>7.8721146275773182E-12</v>
      </c>
      <c r="D171" s="3">
        <f t="shared" si="107"/>
        <v>7.2439218281284783E-85</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0</v>
      </c>
      <c r="C175" s="3">
        <f t="shared" si="111"/>
        <v>0</v>
      </c>
      <c r="D175" s="3">
        <f t="shared" si="111"/>
        <v>0</v>
      </c>
      <c r="E175" s="3">
        <f t="shared" si="111"/>
        <v>0</v>
      </c>
      <c r="F175" s="3">
        <f t="shared" si="111"/>
        <v>0</v>
      </c>
      <c r="G175" s="3">
        <f t="shared" si="111"/>
        <v>0</v>
      </c>
      <c r="H175" s="3">
        <f t="shared" si="111"/>
        <v>0</v>
      </c>
      <c r="I175" s="3">
        <f t="shared" si="111"/>
        <v>0</v>
      </c>
      <c r="J175" s="3">
        <f t="shared" si="111"/>
        <v>0</v>
      </c>
      <c r="K175" s="3">
        <f t="shared" si="111"/>
        <v>0</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0</v>
      </c>
      <c r="C176" s="3">
        <f t="shared" si="112"/>
        <v>0</v>
      </c>
      <c r="D176" s="3">
        <f t="shared" si="112"/>
        <v>0</v>
      </c>
      <c r="E176" s="3">
        <f t="shared" si="112"/>
        <v>0</v>
      </c>
      <c r="F176" s="3">
        <f t="shared" si="112"/>
        <v>0</v>
      </c>
      <c r="G176" s="3">
        <f t="shared" si="112"/>
        <v>0</v>
      </c>
      <c r="H176" s="3">
        <f t="shared" si="112"/>
        <v>0</v>
      </c>
      <c r="I176" s="3">
        <f t="shared" si="112"/>
        <v>0</v>
      </c>
      <c r="J176" s="3">
        <f t="shared" si="112"/>
        <v>0</v>
      </c>
      <c r="K176" s="3">
        <f t="shared" si="112"/>
        <v>0</v>
      </c>
      <c r="L176" s="3">
        <f t="shared" si="112"/>
        <v>0</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0</v>
      </c>
      <c r="C177" s="3">
        <f t="shared" si="113"/>
        <v>0</v>
      </c>
      <c r="D177" s="3">
        <f t="shared" si="113"/>
        <v>0</v>
      </c>
      <c r="E177" s="3">
        <f t="shared" si="113"/>
        <v>0</v>
      </c>
      <c r="F177" s="3">
        <f t="shared" si="113"/>
        <v>0</v>
      </c>
      <c r="G177" s="3">
        <f t="shared" si="113"/>
        <v>0</v>
      </c>
      <c r="H177" s="3">
        <f t="shared" si="113"/>
        <v>0</v>
      </c>
      <c r="I177" s="3">
        <f t="shared" si="113"/>
        <v>0</v>
      </c>
      <c r="J177" s="3">
        <f t="shared" si="113"/>
        <v>0</v>
      </c>
      <c r="K177" s="3">
        <f t="shared" si="113"/>
        <v>0</v>
      </c>
      <c r="L177" s="3">
        <f t="shared" si="113"/>
        <v>0</v>
      </c>
      <c r="M177" s="3">
        <f t="shared" si="113"/>
        <v>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0</v>
      </c>
      <c r="C178" s="3">
        <f t="shared" si="114"/>
        <v>0</v>
      </c>
      <c r="D178" s="3">
        <f t="shared" si="114"/>
        <v>0</v>
      </c>
      <c r="E178" s="3">
        <f t="shared" si="114"/>
        <v>0</v>
      </c>
      <c r="F178" s="3">
        <f t="shared" si="114"/>
        <v>0</v>
      </c>
      <c r="G178" s="3">
        <f t="shared" si="114"/>
        <v>0</v>
      </c>
      <c r="H178" s="3">
        <f t="shared" si="114"/>
        <v>0</v>
      </c>
      <c r="I178" s="3">
        <f t="shared" si="114"/>
        <v>0</v>
      </c>
      <c r="J178" s="3">
        <f t="shared" si="114"/>
        <v>0</v>
      </c>
      <c r="K178" s="3">
        <f t="shared" si="114"/>
        <v>0</v>
      </c>
      <c r="L178" s="3">
        <f t="shared" si="114"/>
        <v>0</v>
      </c>
      <c r="M178" s="3">
        <f t="shared" si="114"/>
        <v>0</v>
      </c>
      <c r="N178" s="3">
        <f t="shared" si="114"/>
        <v>0</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0</v>
      </c>
      <c r="C179" s="3">
        <f t="shared" si="115"/>
        <v>0</v>
      </c>
      <c r="D179" s="3">
        <f t="shared" si="115"/>
        <v>0</v>
      </c>
      <c r="E179" s="3">
        <f t="shared" si="115"/>
        <v>0</v>
      </c>
      <c r="F179" s="3">
        <f t="shared" si="115"/>
        <v>0</v>
      </c>
      <c r="G179" s="3">
        <f t="shared" si="115"/>
        <v>0</v>
      </c>
      <c r="H179" s="3">
        <f t="shared" si="115"/>
        <v>0</v>
      </c>
      <c r="I179" s="3">
        <f t="shared" si="115"/>
        <v>0</v>
      </c>
      <c r="J179" s="3">
        <f t="shared" si="115"/>
        <v>0</v>
      </c>
      <c r="K179" s="3">
        <f t="shared" si="115"/>
        <v>0</v>
      </c>
      <c r="L179" s="3">
        <f t="shared" si="115"/>
        <v>0</v>
      </c>
      <c r="M179" s="3">
        <f t="shared" si="115"/>
        <v>0</v>
      </c>
      <c r="N179" s="3">
        <f t="shared" si="115"/>
        <v>0</v>
      </c>
      <c r="O179" s="3">
        <f t="shared" si="115"/>
        <v>0</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7.2761897872501561E-4</v>
      </c>
      <c r="C180" s="3">
        <f t="shared" si="116"/>
        <v>7.2761897872500184E-4</v>
      </c>
      <c r="D180" s="3">
        <f t="shared" si="116"/>
        <v>7.2761897872486447E-4</v>
      </c>
      <c r="E180" s="3">
        <f t="shared" si="116"/>
        <v>7.2761897872348992E-4</v>
      </c>
      <c r="F180" s="3">
        <f t="shared" si="116"/>
        <v>7.2761897870974538E-4</v>
      </c>
      <c r="G180" s="3">
        <f t="shared" si="116"/>
        <v>7.2761897857229934E-4</v>
      </c>
      <c r="H180" s="3">
        <f t="shared" si="116"/>
        <v>7.2761897719783965E-4</v>
      </c>
      <c r="I180" s="3">
        <f t="shared" si="116"/>
        <v>7.276189634532424E-4</v>
      </c>
      <c r="J180" s="3">
        <f t="shared" si="116"/>
        <v>7.2761882600728381E-4</v>
      </c>
      <c r="K180" s="3">
        <f t="shared" si="116"/>
        <v>7.2761745154912585E-4</v>
      </c>
      <c r="L180" s="3">
        <f t="shared" si="116"/>
        <v>7.2760370711034397E-4</v>
      </c>
      <c r="M180" s="3">
        <f t="shared" si="116"/>
        <v>7.2746627700123593E-4</v>
      </c>
      <c r="N180" s="3">
        <f t="shared" si="116"/>
        <v>7.2609340278375636E-4</v>
      </c>
      <c r="O180" s="3">
        <f t="shared" si="116"/>
        <v>7.1250635571236788E-4</v>
      </c>
      <c r="P180" s="3">
        <f t="shared" si="116"/>
        <v>5.8986314430901595E-4</v>
      </c>
      <c r="Q180" s="3">
        <f t="shared" si="116"/>
        <v>8.9202381631382912E-5</v>
      </c>
      <c r="R180" s="3">
        <f t="shared" si="116"/>
        <v>5.5799246318865869E-13</v>
      </c>
      <c r="S180" s="3">
        <f t="shared" si="116"/>
        <v>5.1185525232948432E-95</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3.1446025257017014E-2</v>
      </c>
      <c r="C181" s="3">
        <f t="shared" si="117"/>
        <v>3.1446025257016959E-2</v>
      </c>
      <c r="D181" s="3">
        <f t="shared" si="117"/>
        <v>3.1446025257016424E-2</v>
      </c>
      <c r="E181" s="3">
        <f t="shared" si="117"/>
        <v>3.1446025257011068E-2</v>
      </c>
      <c r="F181" s="3">
        <f t="shared" si="117"/>
        <v>3.1446025256957486E-2</v>
      </c>
      <c r="G181" s="3">
        <f t="shared" si="117"/>
        <v>3.1446025256421636E-2</v>
      </c>
      <c r="H181" s="3">
        <f t="shared" si="117"/>
        <v>3.1446025251063173E-2</v>
      </c>
      <c r="I181" s="3">
        <f t="shared" si="117"/>
        <v>3.1446025197478529E-2</v>
      </c>
      <c r="J181" s="3">
        <f t="shared" si="117"/>
        <v>3.1446024661632085E-2</v>
      </c>
      <c r="K181" s="3">
        <f t="shared" si="117"/>
        <v>3.1446019303168163E-2</v>
      </c>
      <c r="L181" s="3">
        <f t="shared" si="117"/>
        <v>3.1445965718579175E-2</v>
      </c>
      <c r="M181" s="3">
        <f t="shared" si="117"/>
        <v>3.1445429877711296E-2</v>
      </c>
      <c r="N181" s="3">
        <f t="shared" si="117"/>
        <v>3.1440071971198358E-2</v>
      </c>
      <c r="O181" s="3">
        <f t="shared" si="117"/>
        <v>3.1386543091012555E-2</v>
      </c>
      <c r="P181" s="3">
        <f t="shared" si="117"/>
        <v>3.0856241286250977E-2</v>
      </c>
      <c r="Q181" s="3">
        <f t="shared" si="117"/>
        <v>2.602186317861865E-2</v>
      </c>
      <c r="R181" s="3">
        <f t="shared" si="117"/>
        <v>4.7346955720427809E-3</v>
      </c>
      <c r="S181" s="3">
        <f t="shared" si="117"/>
        <v>1.8829065784221063E-10</v>
      </c>
      <c r="T181" s="3">
        <f t="shared" si="117"/>
        <v>1.8629272588296369E-84</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1.9599632072183452E-2</v>
      </c>
      <c r="C182" s="3">
        <f t="shared" si="118"/>
        <v>1.9599632072183449E-2</v>
      </c>
      <c r="D182" s="3">
        <f t="shared" si="118"/>
        <v>1.9599632072183421E-2</v>
      </c>
      <c r="E182" s="3">
        <f t="shared" si="118"/>
        <v>1.9599632072183116E-2</v>
      </c>
      <c r="F182" s="3">
        <f t="shared" si="118"/>
        <v>1.9599632072180104E-2</v>
      </c>
      <c r="G182" s="3">
        <f t="shared" si="118"/>
        <v>1.9599632072149976E-2</v>
      </c>
      <c r="H182" s="3">
        <f t="shared" si="118"/>
        <v>1.9599632071848696E-2</v>
      </c>
      <c r="I182" s="3">
        <f t="shared" si="118"/>
        <v>1.9599632068835908E-2</v>
      </c>
      <c r="J182" s="3">
        <f t="shared" si="118"/>
        <v>1.959963203870799E-2</v>
      </c>
      <c r="K182" s="3">
        <f t="shared" si="118"/>
        <v>1.9599631737428822E-2</v>
      </c>
      <c r="L182" s="3">
        <f t="shared" si="118"/>
        <v>1.95996287246374E-2</v>
      </c>
      <c r="M182" s="3">
        <f t="shared" si="118"/>
        <v>1.9599598596748653E-2</v>
      </c>
      <c r="N182" s="3">
        <f t="shared" si="118"/>
        <v>1.959929732040832E-2</v>
      </c>
      <c r="O182" s="3">
        <f t="shared" si="118"/>
        <v>1.9596284811702988E-2</v>
      </c>
      <c r="P182" s="3">
        <f t="shared" si="118"/>
        <v>1.9566185179969938E-2</v>
      </c>
      <c r="Q182" s="3">
        <f t="shared" si="118"/>
        <v>1.9267719976237708E-2</v>
      </c>
      <c r="R182" s="3">
        <f t="shared" si="118"/>
        <v>1.6522356571600422E-2</v>
      </c>
      <c r="S182" s="3">
        <f t="shared" si="118"/>
        <v>3.5521282369510567E-3</v>
      </c>
      <c r="T182" s="3">
        <f t="shared" si="118"/>
        <v>7.4929889382021393E-10</v>
      </c>
      <c r="U182" s="3">
        <f t="shared" si="118"/>
        <v>1.3071325982322201E-76</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3.2516214564493037E-2</v>
      </c>
      <c r="C183" s="3">
        <f t="shared" si="119"/>
        <v>3.2516214564493037E-2</v>
      </c>
      <c r="D183" s="3">
        <f t="shared" si="119"/>
        <v>3.251621456449303E-2</v>
      </c>
      <c r="E183" s="3">
        <f t="shared" si="119"/>
        <v>3.2516214564492989E-2</v>
      </c>
      <c r="F183" s="3">
        <f t="shared" si="119"/>
        <v>3.2516214564492538E-2</v>
      </c>
      <c r="G183" s="3">
        <f t="shared" si="119"/>
        <v>3.2516214564488027E-2</v>
      </c>
      <c r="H183" s="3">
        <f t="shared" si="119"/>
        <v>3.2516214564442938E-2</v>
      </c>
      <c r="I183" s="3">
        <f t="shared" si="119"/>
        <v>3.2516214563992049E-2</v>
      </c>
      <c r="J183" s="3">
        <f t="shared" si="119"/>
        <v>3.2516214559483184E-2</v>
      </c>
      <c r="K183" s="3">
        <f t="shared" si="119"/>
        <v>3.2516214514394473E-2</v>
      </c>
      <c r="L183" s="3">
        <f t="shared" si="119"/>
        <v>3.2516214063507437E-2</v>
      </c>
      <c r="M183" s="3">
        <f t="shared" si="119"/>
        <v>3.251620955463734E-2</v>
      </c>
      <c r="N183" s="3">
        <f t="shared" si="119"/>
        <v>3.251616446597079E-2</v>
      </c>
      <c r="O183" s="3">
        <f t="shared" si="119"/>
        <v>3.2515713582743987E-2</v>
      </c>
      <c r="P183" s="3">
        <f t="shared" si="119"/>
        <v>3.251120509432949E-2</v>
      </c>
      <c r="Q183" s="3">
        <f t="shared" si="119"/>
        <v>3.2466154577900974E-2</v>
      </c>
      <c r="R183" s="3">
        <f t="shared" si="119"/>
        <v>3.2019068617716577E-2</v>
      </c>
      <c r="S183" s="3">
        <f t="shared" si="119"/>
        <v>2.7873218708476113E-2</v>
      </c>
      <c r="T183" s="3">
        <f t="shared" si="119"/>
        <v>6.9658063876371868E-3</v>
      </c>
      <c r="U183" s="3">
        <f t="shared" si="119"/>
        <v>6.6193320301973883E-9</v>
      </c>
      <c r="V183" s="3">
        <f t="shared" si="119"/>
        <v>3.9741278583563245E-69</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3.2163923063268561E-2</v>
      </c>
      <c r="C184" s="3">
        <f t="shared" si="120"/>
        <v>3.2163923063268561E-2</v>
      </c>
      <c r="D184" s="3">
        <f t="shared" si="120"/>
        <v>3.2163923063268561E-2</v>
      </c>
      <c r="E184" s="3">
        <f t="shared" si="120"/>
        <v>3.2163923063268554E-2</v>
      </c>
      <c r="F184" s="3">
        <f t="shared" si="120"/>
        <v>3.2163923063268512E-2</v>
      </c>
      <c r="G184" s="3">
        <f t="shared" si="120"/>
        <v>3.2163923063268117E-2</v>
      </c>
      <c r="H184" s="3">
        <f t="shared" si="120"/>
        <v>3.2163923063264092E-2</v>
      </c>
      <c r="I184" s="3">
        <f t="shared" si="120"/>
        <v>3.2163923063223854E-2</v>
      </c>
      <c r="J184" s="3">
        <f t="shared" si="120"/>
        <v>3.2163923062821523E-2</v>
      </c>
      <c r="K184" s="3">
        <f t="shared" si="120"/>
        <v>3.216392305879822E-2</v>
      </c>
      <c r="L184" s="3">
        <f t="shared" si="120"/>
        <v>3.2163923018565126E-2</v>
      </c>
      <c r="M184" s="3">
        <f t="shared" si="120"/>
        <v>3.2163922616234235E-2</v>
      </c>
      <c r="N184" s="3">
        <f t="shared" si="120"/>
        <v>3.2163918592925583E-2</v>
      </c>
      <c r="O184" s="3">
        <f t="shared" si="120"/>
        <v>3.216387835986672E-2</v>
      </c>
      <c r="P184" s="3">
        <f t="shared" si="120"/>
        <v>3.2163476032046057E-2</v>
      </c>
      <c r="Q184" s="3">
        <f t="shared" si="120"/>
        <v>3.2159453030621607E-2</v>
      </c>
      <c r="R184" s="3">
        <f t="shared" si="120"/>
        <v>3.2119250681788253E-2</v>
      </c>
      <c r="S184" s="3">
        <f t="shared" si="120"/>
        <v>3.1719980973080562E-2</v>
      </c>
      <c r="T184" s="3">
        <f t="shared" si="120"/>
        <v>2.7990332011391755E-2</v>
      </c>
      <c r="U184" s="3">
        <f t="shared" si="120"/>
        <v>8.0123399612102037E-3</v>
      </c>
      <c r="V184" s="3">
        <f t="shared" si="120"/>
        <v>2.9598693978688341E-8</v>
      </c>
      <c r="W184" s="3">
        <f t="shared" si="120"/>
        <v>1.4008910285426703E-62</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3.3900572605001088E-2</v>
      </c>
      <c r="C185" s="3">
        <f t="shared" si="121"/>
        <v>3.3900572605001088E-2</v>
      </c>
      <c r="D185" s="3">
        <f t="shared" si="121"/>
        <v>3.3900572605001088E-2</v>
      </c>
      <c r="E185" s="3">
        <f t="shared" si="121"/>
        <v>3.3900572605001088E-2</v>
      </c>
      <c r="F185" s="3">
        <f t="shared" si="121"/>
        <v>3.3900572605001081E-2</v>
      </c>
      <c r="G185" s="3">
        <f t="shared" si="121"/>
        <v>3.3900572605001046E-2</v>
      </c>
      <c r="H185" s="3">
        <f t="shared" si="121"/>
        <v>3.3900572605000664E-2</v>
      </c>
      <c r="I185" s="3">
        <f t="shared" si="121"/>
        <v>3.3900572604996841E-2</v>
      </c>
      <c r="J185" s="3">
        <f t="shared" si="121"/>
        <v>3.3900572604958587E-2</v>
      </c>
      <c r="K185" s="3">
        <f t="shared" si="121"/>
        <v>3.3900572604576053E-2</v>
      </c>
      <c r="L185" s="3">
        <f t="shared" si="121"/>
        <v>3.3900572600750731E-2</v>
      </c>
      <c r="M185" s="3">
        <f t="shared" si="121"/>
        <v>3.3900572562497511E-2</v>
      </c>
      <c r="N185" s="3">
        <f t="shared" si="121"/>
        <v>3.3900572179965317E-2</v>
      </c>
      <c r="O185" s="3">
        <f t="shared" si="121"/>
        <v>3.3900568354643612E-2</v>
      </c>
      <c r="P185" s="3">
        <f t="shared" si="121"/>
        <v>3.3900530101450291E-2</v>
      </c>
      <c r="Q185" s="3">
        <f t="shared" si="121"/>
        <v>3.3900147571891151E-2</v>
      </c>
      <c r="R185" s="3">
        <f t="shared" si="121"/>
        <v>3.3896322513694739E-2</v>
      </c>
      <c r="S185" s="3">
        <f t="shared" si="121"/>
        <v>3.3858095661318421E-2</v>
      </c>
      <c r="T185" s="3">
        <f t="shared" si="121"/>
        <v>3.3478190218926999E-2</v>
      </c>
      <c r="U185" s="3">
        <f t="shared" si="121"/>
        <v>2.9905868693326107E-2</v>
      </c>
      <c r="V185" s="3">
        <f t="shared" si="121"/>
        <v>9.6761126785163912E-3</v>
      </c>
      <c r="W185" s="3">
        <f t="shared" si="121"/>
        <v>1.2165945498843167E-7</v>
      </c>
      <c r="X185" s="3">
        <f t="shared" si="121"/>
        <v>1.2011447888234755E-56</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4.6234934193755559E-2</v>
      </c>
      <c r="C186" s="3">
        <f t="shared" si="122"/>
        <v>4.6234934193755559E-2</v>
      </c>
      <c r="D186" s="3">
        <f t="shared" si="122"/>
        <v>4.6234934193755559E-2</v>
      </c>
      <c r="E186" s="3">
        <f t="shared" si="122"/>
        <v>4.6234934193755559E-2</v>
      </c>
      <c r="F186" s="3">
        <f t="shared" si="122"/>
        <v>4.6234934193755559E-2</v>
      </c>
      <c r="G186" s="3">
        <f t="shared" si="122"/>
        <v>4.6234934193755552E-2</v>
      </c>
      <c r="H186" s="3">
        <f t="shared" si="122"/>
        <v>4.623493419375551E-2</v>
      </c>
      <c r="I186" s="3">
        <f t="shared" si="122"/>
        <v>4.6234934193755038E-2</v>
      </c>
      <c r="J186" s="3">
        <f t="shared" si="122"/>
        <v>4.6234934193750327E-2</v>
      </c>
      <c r="K186" s="3">
        <f t="shared" si="122"/>
        <v>4.6234934193703267E-2</v>
      </c>
      <c r="L186" s="3">
        <f t="shared" si="122"/>
        <v>4.6234934193232637E-2</v>
      </c>
      <c r="M186" s="3">
        <f t="shared" si="122"/>
        <v>4.623493418852636E-2</v>
      </c>
      <c r="N186" s="3">
        <f t="shared" si="122"/>
        <v>4.6234934141463555E-2</v>
      </c>
      <c r="O186" s="3">
        <f t="shared" si="122"/>
        <v>4.6234933670835518E-2</v>
      </c>
      <c r="P186" s="3">
        <f t="shared" si="122"/>
        <v>4.6234928964555444E-2</v>
      </c>
      <c r="Q186" s="3">
        <f t="shared" si="122"/>
        <v>4.6234881901781065E-2</v>
      </c>
      <c r="R186" s="3">
        <f t="shared" si="122"/>
        <v>4.6234411276672063E-2</v>
      </c>
      <c r="S186" s="3">
        <f t="shared" si="122"/>
        <v>4.6229705289051209E-2</v>
      </c>
      <c r="T186" s="3">
        <f t="shared" si="122"/>
        <v>4.6182671749843092E-2</v>
      </c>
      <c r="U186" s="3">
        <f t="shared" si="122"/>
        <v>4.571496016557839E-2</v>
      </c>
      <c r="V186" s="3">
        <f t="shared" si="122"/>
        <v>4.1290606515542921E-2</v>
      </c>
      <c r="W186" s="3">
        <f t="shared" si="122"/>
        <v>1.4920398685523556E-2</v>
      </c>
      <c r="X186" s="3">
        <f t="shared" si="122"/>
        <v>5.6633328297580928E-7</v>
      </c>
      <c r="Y186" s="3">
        <f t="shared" si="122"/>
        <v>3.5155126161114556E-51</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5.6671396993887152E-2</v>
      </c>
      <c r="C187" s="3">
        <f t="shared" si="123"/>
        <v>5.6671396993887152E-2</v>
      </c>
      <c r="D187" s="3">
        <f t="shared" si="123"/>
        <v>5.6671396993887152E-2</v>
      </c>
      <c r="E187" s="3">
        <f t="shared" si="123"/>
        <v>5.6671396993887152E-2</v>
      </c>
      <c r="F187" s="3">
        <f t="shared" si="123"/>
        <v>5.6671396993887152E-2</v>
      </c>
      <c r="G187" s="3">
        <f t="shared" si="123"/>
        <v>5.6671396993887152E-2</v>
      </c>
      <c r="H187" s="3">
        <f t="shared" si="123"/>
        <v>5.6671396993887145E-2</v>
      </c>
      <c r="I187" s="3">
        <f t="shared" si="123"/>
        <v>5.6671396993887097E-2</v>
      </c>
      <c r="J187" s="3">
        <f t="shared" si="123"/>
        <v>5.6671396993886576E-2</v>
      </c>
      <c r="K187" s="3">
        <f t="shared" si="123"/>
        <v>5.6671396993881372E-2</v>
      </c>
      <c r="L187" s="3">
        <f t="shared" si="123"/>
        <v>5.667139699382933E-2</v>
      </c>
      <c r="M187" s="3">
        <f t="shared" si="123"/>
        <v>5.6671396993308955E-2</v>
      </c>
      <c r="N187" s="3">
        <f t="shared" si="123"/>
        <v>5.6671396988105187E-2</v>
      </c>
      <c r="O187" s="3">
        <f t="shared" si="123"/>
        <v>5.6671396936067493E-2</v>
      </c>
      <c r="P187" s="3">
        <f t="shared" si="123"/>
        <v>5.6671396415690529E-2</v>
      </c>
      <c r="Q187" s="3">
        <f t="shared" si="123"/>
        <v>5.6671391211921204E-2</v>
      </c>
      <c r="R187" s="3">
        <f t="shared" si="123"/>
        <v>5.6671339174254216E-2</v>
      </c>
      <c r="S187" s="3">
        <f t="shared" si="123"/>
        <v>5.667081880021238E-2</v>
      </c>
      <c r="T187" s="3">
        <f t="shared" si="123"/>
        <v>5.6665615322589909E-2</v>
      </c>
      <c r="U187" s="3">
        <f t="shared" si="123"/>
        <v>5.6613606817023772E-2</v>
      </c>
      <c r="V187" s="3">
        <f t="shared" si="123"/>
        <v>5.6096139923716724E-2</v>
      </c>
      <c r="W187" s="3">
        <f t="shared" si="123"/>
        <v>5.1174606367461677E-2</v>
      </c>
      <c r="X187" s="3">
        <f t="shared" si="123"/>
        <v>2.0430069382170922E-2</v>
      </c>
      <c r="Y187" s="3">
        <f t="shared" si="123"/>
        <v>2.1009859547239014E-6</v>
      </c>
      <c r="Z187" s="3">
        <f t="shared" si="123"/>
        <v>2.7794330986142566E-46</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5.870573738309863E-2</v>
      </c>
      <c r="C188" s="3">
        <f t="shared" si="124"/>
        <v>5.870573738309863E-2</v>
      </c>
      <c r="D188" s="3">
        <f t="shared" si="124"/>
        <v>5.870573738309863E-2</v>
      </c>
      <c r="E188" s="3">
        <f t="shared" si="124"/>
        <v>5.870573738309863E-2</v>
      </c>
      <c r="F188" s="3">
        <f t="shared" si="124"/>
        <v>5.870573738309863E-2</v>
      </c>
      <c r="G188" s="3">
        <f t="shared" si="124"/>
        <v>5.870573738309863E-2</v>
      </c>
      <c r="H188" s="3">
        <f t="shared" si="124"/>
        <v>5.870573738309863E-2</v>
      </c>
      <c r="I188" s="3">
        <f t="shared" si="124"/>
        <v>5.8705737383098623E-2</v>
      </c>
      <c r="J188" s="3">
        <f t="shared" si="124"/>
        <v>5.8705737383098575E-2</v>
      </c>
      <c r="K188" s="3">
        <f t="shared" si="124"/>
        <v>5.8705737383098089E-2</v>
      </c>
      <c r="L188" s="3">
        <f t="shared" si="124"/>
        <v>5.8705737383093225E-2</v>
      </c>
      <c r="M188" s="3">
        <f t="shared" si="124"/>
        <v>5.8705737383044597E-2</v>
      </c>
      <c r="N188" s="3">
        <f t="shared" si="124"/>
        <v>5.8705737382558326E-2</v>
      </c>
      <c r="O188" s="3">
        <f t="shared" si="124"/>
        <v>5.8705737377695577E-2</v>
      </c>
      <c r="P188" s="3">
        <f t="shared" si="124"/>
        <v>5.8705737329068156E-2</v>
      </c>
      <c r="Q188" s="3">
        <f t="shared" si="124"/>
        <v>5.8705736842793899E-2</v>
      </c>
      <c r="R188" s="3">
        <f t="shared" si="124"/>
        <v>5.8705731980051551E-2</v>
      </c>
      <c r="S188" s="3">
        <f t="shared" si="124"/>
        <v>5.8705683352650223E-2</v>
      </c>
      <c r="T188" s="3">
        <f t="shared" si="124"/>
        <v>5.8705197080852263E-2</v>
      </c>
      <c r="U188" s="3">
        <f t="shared" si="124"/>
        <v>5.8700334584401305E-2</v>
      </c>
      <c r="V188" s="3">
        <f t="shared" si="124"/>
        <v>5.8651731765969585E-2</v>
      </c>
      <c r="W188" s="3">
        <f t="shared" si="124"/>
        <v>5.8167911417112139E-2</v>
      </c>
      <c r="X188" s="3">
        <f t="shared" si="124"/>
        <v>5.3543872213794017E-2</v>
      </c>
      <c r="Y188" s="3">
        <f t="shared" si="124"/>
        <v>2.3386909128735985E-2</v>
      </c>
      <c r="Z188" s="3">
        <f t="shared" si="124"/>
        <v>5.9102160197306815E-6</v>
      </c>
      <c r="AA188" s="3">
        <f t="shared" si="124"/>
        <v>6.2792622322077719E-42</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5.620235606497212E-2</v>
      </c>
      <c r="C189" s="3">
        <f t="shared" si="125"/>
        <v>5.620235606497212E-2</v>
      </c>
      <c r="D189" s="3">
        <f t="shared" si="125"/>
        <v>5.620235606497212E-2</v>
      </c>
      <c r="E189" s="3">
        <f t="shared" si="125"/>
        <v>5.620235606497212E-2</v>
      </c>
      <c r="F189" s="3">
        <f t="shared" si="125"/>
        <v>5.620235606497212E-2</v>
      </c>
      <c r="G189" s="3">
        <f t="shared" si="125"/>
        <v>5.620235606497212E-2</v>
      </c>
      <c r="H189" s="3">
        <f t="shared" si="125"/>
        <v>5.620235606497212E-2</v>
      </c>
      <c r="I189" s="3">
        <f t="shared" si="125"/>
        <v>5.620235606497212E-2</v>
      </c>
      <c r="J189" s="3">
        <f t="shared" si="125"/>
        <v>5.6202356064972113E-2</v>
      </c>
      <c r="K189" s="3">
        <f t="shared" si="125"/>
        <v>5.6202356064972078E-2</v>
      </c>
      <c r="L189" s="3">
        <f t="shared" si="125"/>
        <v>5.6202356064971655E-2</v>
      </c>
      <c r="M189" s="3">
        <f t="shared" si="125"/>
        <v>5.620235606496745E-2</v>
      </c>
      <c r="N189" s="3">
        <f t="shared" si="125"/>
        <v>5.6202356064925463E-2</v>
      </c>
      <c r="O189" s="3">
        <f t="shared" si="125"/>
        <v>5.62023560645055E-2</v>
      </c>
      <c r="P189" s="3">
        <f t="shared" si="125"/>
        <v>5.6202356060305964E-2</v>
      </c>
      <c r="Q189" s="3">
        <f t="shared" si="125"/>
        <v>5.6202356018310549E-2</v>
      </c>
      <c r="R189" s="3">
        <f t="shared" si="125"/>
        <v>5.6202355598356429E-2</v>
      </c>
      <c r="S189" s="3">
        <f t="shared" si="125"/>
        <v>5.6202351398815423E-2</v>
      </c>
      <c r="T189" s="3">
        <f t="shared" si="125"/>
        <v>5.6202309403422558E-2</v>
      </c>
      <c r="U189" s="3">
        <f t="shared" si="125"/>
        <v>5.6201889451219837E-2</v>
      </c>
      <c r="V189" s="3">
        <f t="shared" si="125"/>
        <v>5.6197690101775798E-2</v>
      </c>
      <c r="W189" s="3">
        <f t="shared" si="125"/>
        <v>5.6155713860885074E-2</v>
      </c>
      <c r="X189" s="3">
        <f t="shared" si="125"/>
        <v>5.5737672046360202E-2</v>
      </c>
      <c r="Y189" s="3">
        <f t="shared" si="125"/>
        <v>5.1724649985592196E-2</v>
      </c>
      <c r="Z189" s="3">
        <f t="shared" si="125"/>
        <v>2.4501061859024002E-2</v>
      </c>
      <c r="AA189" s="3">
        <f t="shared" si="125"/>
        <v>1.3933440566271153E-5</v>
      </c>
      <c r="AB189" s="3">
        <f t="shared" si="125"/>
        <v>4.9293879130174191E-38</v>
      </c>
      <c r="AC189" s="3">
        <f t="shared" si="125"/>
        <v>0</v>
      </c>
      <c r="AD189" s="3">
        <f t="shared" si="125"/>
        <v>0</v>
      </c>
      <c r="AE189" s="3">
        <f t="shared" si="125"/>
        <v>0</v>
      </c>
      <c r="AF189" s="3">
        <f t="shared" si="125"/>
        <v>0</v>
      </c>
      <c r="AG189" s="3"/>
      <c r="AH189" s="3"/>
    </row>
    <row r="190" spans="2:34" x14ac:dyDescent="0.25">
      <c r="B190" s="3">
        <f t="shared" ref="B190:AF190" si="126">$C37*EXP(-B$168/$A37/EXP(-$C$126))</f>
        <v>6.3415296184233166E-2</v>
      </c>
      <c r="C190" s="3">
        <f t="shared" si="126"/>
        <v>6.3415296184233166E-2</v>
      </c>
      <c r="D190" s="3">
        <f t="shared" si="126"/>
        <v>6.3415296184233166E-2</v>
      </c>
      <c r="E190" s="3">
        <f t="shared" si="126"/>
        <v>6.3415296184233166E-2</v>
      </c>
      <c r="F190" s="3">
        <f t="shared" si="126"/>
        <v>6.3415296184233166E-2</v>
      </c>
      <c r="G190" s="3">
        <f t="shared" si="126"/>
        <v>6.3415296184233166E-2</v>
      </c>
      <c r="H190" s="3">
        <f t="shared" si="126"/>
        <v>6.3415296184233166E-2</v>
      </c>
      <c r="I190" s="3">
        <f t="shared" si="126"/>
        <v>6.3415296184233166E-2</v>
      </c>
      <c r="J190" s="3">
        <f t="shared" si="126"/>
        <v>6.3415296184233166E-2</v>
      </c>
      <c r="K190" s="3">
        <f t="shared" si="126"/>
        <v>6.3415296184233153E-2</v>
      </c>
      <c r="L190" s="3">
        <f t="shared" si="126"/>
        <v>6.3415296184233111E-2</v>
      </c>
      <c r="M190" s="3">
        <f t="shared" si="126"/>
        <v>6.3415296184232695E-2</v>
      </c>
      <c r="N190" s="3">
        <f t="shared" si="126"/>
        <v>6.341529618422842E-2</v>
      </c>
      <c r="O190" s="3">
        <f t="shared" si="126"/>
        <v>6.3415296184185677E-2</v>
      </c>
      <c r="P190" s="3">
        <f t="shared" si="126"/>
        <v>6.3415296183758227E-2</v>
      </c>
      <c r="Q190" s="3">
        <f t="shared" si="126"/>
        <v>6.3415296179483688E-2</v>
      </c>
      <c r="R190" s="3">
        <f t="shared" si="126"/>
        <v>6.3415296136738436E-2</v>
      </c>
      <c r="S190" s="3">
        <f t="shared" si="126"/>
        <v>6.3415295709285863E-2</v>
      </c>
      <c r="T190" s="3">
        <f t="shared" si="126"/>
        <v>6.3415291434760254E-2</v>
      </c>
      <c r="U190" s="3">
        <f t="shared" si="126"/>
        <v>6.341524868952006E-2</v>
      </c>
      <c r="V190" s="3">
        <f t="shared" si="126"/>
        <v>6.3414821238702762E-2</v>
      </c>
      <c r="W190" s="3">
        <f t="shared" si="126"/>
        <v>6.3410546888994543E-2</v>
      </c>
      <c r="X190" s="3">
        <f t="shared" si="126"/>
        <v>6.336781923443012E-2</v>
      </c>
      <c r="Y190" s="3">
        <f t="shared" si="126"/>
        <v>6.2942122996565167E-2</v>
      </c>
      <c r="Z190" s="3">
        <f t="shared" si="126"/>
        <v>5.8839320169725026E-2</v>
      </c>
      <c r="AA190" s="3">
        <f t="shared" si="126"/>
        <v>2.9986807776288898E-2</v>
      </c>
      <c r="AB190" s="3">
        <f t="shared" si="126"/>
        <v>3.5445093842111772E-5</v>
      </c>
      <c r="AC190" s="3">
        <f t="shared" si="126"/>
        <v>1.8871876174077416E-34</v>
      </c>
      <c r="AD190" s="3">
        <f t="shared" si="126"/>
        <v>0</v>
      </c>
      <c r="AE190" s="3">
        <f t="shared" si="126"/>
        <v>0</v>
      </c>
      <c r="AF190" s="3">
        <f t="shared" si="126"/>
        <v>0</v>
      </c>
      <c r="AG190" s="3"/>
      <c r="AH190" s="3"/>
    </row>
    <row r="191" spans="2:34" x14ac:dyDescent="0.25">
      <c r="B191" s="3">
        <f t="shared" ref="B191:AF191" si="127">$C38*EXP(-B$168/$A38/EXP(-$C$126))</f>
        <v>3.5348869965799563E-2</v>
      </c>
      <c r="C191" s="3">
        <f t="shared" si="127"/>
        <v>3.5348869965799563E-2</v>
      </c>
      <c r="D191" s="3">
        <f t="shared" si="127"/>
        <v>3.5348869965799563E-2</v>
      </c>
      <c r="E191" s="3">
        <f t="shared" si="127"/>
        <v>3.5348869965799563E-2</v>
      </c>
      <c r="F191" s="3">
        <f t="shared" si="127"/>
        <v>3.5348869965799563E-2</v>
      </c>
      <c r="G191" s="3">
        <f t="shared" si="127"/>
        <v>3.5348869965799563E-2</v>
      </c>
      <c r="H191" s="3">
        <f t="shared" si="127"/>
        <v>3.5348869965799563E-2</v>
      </c>
      <c r="I191" s="3">
        <f t="shared" si="127"/>
        <v>3.5348869965799563E-2</v>
      </c>
      <c r="J191" s="3">
        <f t="shared" si="127"/>
        <v>3.5348869965799563E-2</v>
      </c>
      <c r="K191" s="3">
        <f t="shared" si="127"/>
        <v>3.5348869965799563E-2</v>
      </c>
      <c r="L191" s="3">
        <f t="shared" si="127"/>
        <v>3.5348869965799556E-2</v>
      </c>
      <c r="M191" s="3">
        <f t="shared" si="127"/>
        <v>3.5348869965799543E-2</v>
      </c>
      <c r="N191" s="3">
        <f t="shared" si="127"/>
        <v>3.5348869965799321E-2</v>
      </c>
      <c r="O191" s="3">
        <f t="shared" si="127"/>
        <v>3.5348869965797176E-2</v>
      </c>
      <c r="P191" s="3">
        <f t="shared" si="127"/>
        <v>3.534886996577568E-2</v>
      </c>
      <c r="Q191" s="3">
        <f t="shared" si="127"/>
        <v>3.5348869965560741E-2</v>
      </c>
      <c r="R191" s="3">
        <f t="shared" si="127"/>
        <v>3.5348869963411349E-2</v>
      </c>
      <c r="S191" s="3">
        <f t="shared" si="127"/>
        <v>3.534886994191741E-2</v>
      </c>
      <c r="T191" s="3">
        <f t="shared" si="127"/>
        <v>3.5348869726978004E-2</v>
      </c>
      <c r="U191" s="3">
        <f t="shared" si="127"/>
        <v>3.5348867577584035E-2</v>
      </c>
      <c r="V191" s="3">
        <f t="shared" si="127"/>
        <v>3.5348846083651575E-2</v>
      </c>
      <c r="W191" s="3">
        <f t="shared" si="127"/>
        <v>3.5348631145045772E-2</v>
      </c>
      <c r="X191" s="3">
        <f t="shared" si="127"/>
        <v>3.5346481830867735E-2</v>
      </c>
      <c r="Y191" s="3">
        <f t="shared" si="127"/>
        <v>3.5324995875475711E-2</v>
      </c>
      <c r="Z191" s="3">
        <f t="shared" si="127"/>
        <v>3.5110853346222881E-2</v>
      </c>
      <c r="AA191" s="3">
        <f t="shared" si="127"/>
        <v>3.303954326614799E-2</v>
      </c>
      <c r="AB191" s="3">
        <f t="shared" si="127"/>
        <v>1.7987074662301022E-2</v>
      </c>
      <c r="AC191" s="3">
        <f t="shared" si="127"/>
        <v>4.1136331622166136E-5</v>
      </c>
      <c r="AD191" s="3">
        <f t="shared" si="127"/>
        <v>1.6101850522459495E-31</v>
      </c>
      <c r="AE191" s="3">
        <f t="shared" si="127"/>
        <v>1.3594964983269759E-295</v>
      </c>
      <c r="AF191" s="3">
        <f t="shared" si="127"/>
        <v>0</v>
      </c>
      <c r="AG191" s="3"/>
      <c r="AH191" s="3"/>
    </row>
    <row r="192" spans="2:34" x14ac:dyDescent="0.25">
      <c r="B192" s="3">
        <f t="shared" ref="B192:AF192" si="128">$C39*EXP(-B$168/$A39/EXP(-$C$126))</f>
        <v>7.0460456800535406E-2</v>
      </c>
      <c r="C192" s="3">
        <f t="shared" si="128"/>
        <v>7.0460456800535406E-2</v>
      </c>
      <c r="D192" s="3">
        <f t="shared" si="128"/>
        <v>7.0460456800535406E-2</v>
      </c>
      <c r="E192" s="3">
        <f t="shared" si="128"/>
        <v>7.0460456800535406E-2</v>
      </c>
      <c r="F192" s="3">
        <f t="shared" si="128"/>
        <v>7.0460456800535406E-2</v>
      </c>
      <c r="G192" s="3">
        <f t="shared" si="128"/>
        <v>7.0460456800535406E-2</v>
      </c>
      <c r="H192" s="3">
        <f t="shared" si="128"/>
        <v>7.0460456800535406E-2</v>
      </c>
      <c r="I192" s="3">
        <f t="shared" si="128"/>
        <v>7.0460456800535406E-2</v>
      </c>
      <c r="J192" s="3">
        <f t="shared" si="128"/>
        <v>7.0460456800535406E-2</v>
      </c>
      <c r="K192" s="3">
        <f t="shared" si="128"/>
        <v>7.0460456800535406E-2</v>
      </c>
      <c r="L192" s="3">
        <f t="shared" si="128"/>
        <v>7.0460456800535406E-2</v>
      </c>
      <c r="M192" s="3">
        <f t="shared" si="128"/>
        <v>7.0460456800535393E-2</v>
      </c>
      <c r="N192" s="3">
        <f t="shared" si="128"/>
        <v>7.0460456800535268E-2</v>
      </c>
      <c r="O192" s="3">
        <f t="shared" si="128"/>
        <v>7.0460456800534088E-2</v>
      </c>
      <c r="P192" s="3">
        <f t="shared" si="128"/>
        <v>7.0460456800522236E-2</v>
      </c>
      <c r="Q192" s="3">
        <f t="shared" si="128"/>
        <v>7.0460456800403748E-2</v>
      </c>
      <c r="R192" s="3">
        <f t="shared" si="128"/>
        <v>7.0460456799218807E-2</v>
      </c>
      <c r="S192" s="3">
        <f t="shared" si="128"/>
        <v>7.0460456787369327E-2</v>
      </c>
      <c r="T192" s="3">
        <f t="shared" si="128"/>
        <v>7.0460456668874655E-2</v>
      </c>
      <c r="U192" s="3">
        <f t="shared" si="128"/>
        <v>7.0460455483927958E-2</v>
      </c>
      <c r="V192" s="3">
        <f t="shared" si="128"/>
        <v>7.0460443634461981E-2</v>
      </c>
      <c r="W192" s="3">
        <f t="shared" si="128"/>
        <v>7.0460325139911892E-2</v>
      </c>
      <c r="X192" s="3">
        <f t="shared" si="128"/>
        <v>7.0459140205371001E-2</v>
      </c>
      <c r="Y192" s="3">
        <f t="shared" si="128"/>
        <v>7.0447291955897259E-2</v>
      </c>
      <c r="Z192" s="3">
        <f t="shared" si="128"/>
        <v>7.0328918986512071E-2</v>
      </c>
      <c r="AA192" s="3">
        <f t="shared" si="128"/>
        <v>6.9156073982761371E-2</v>
      </c>
      <c r="AB192" s="3">
        <f t="shared" si="128"/>
        <v>5.8451305107107845E-2</v>
      </c>
      <c r="AC192" s="3">
        <f t="shared" si="128"/>
        <v>1.0875094413812503E-2</v>
      </c>
      <c r="AD192" s="3">
        <f t="shared" si="128"/>
        <v>5.4053182689620015E-10</v>
      </c>
      <c r="AE192" s="3">
        <f t="shared" si="128"/>
        <v>4.9739752085604451E-83</v>
      </c>
      <c r="AF192" s="3">
        <f t="shared" si="128"/>
        <v>0</v>
      </c>
      <c r="AG192" s="3"/>
      <c r="AH192" s="3"/>
    </row>
    <row r="193" spans="1:34" x14ac:dyDescent="0.25">
      <c r="B193" s="3">
        <f t="shared" ref="B193:AF193" si="129">$C40*EXP(-B$168/$A40/EXP(-$C$126))</f>
        <v>8.6875447409324694E-2</v>
      </c>
      <c r="C193" s="3">
        <f t="shared" si="129"/>
        <v>8.6875447409324694E-2</v>
      </c>
      <c r="D193" s="3">
        <f t="shared" si="129"/>
        <v>8.6875447409324694E-2</v>
      </c>
      <c r="E193" s="3">
        <f t="shared" si="129"/>
        <v>8.6875447409324694E-2</v>
      </c>
      <c r="F193" s="3">
        <f t="shared" si="129"/>
        <v>8.6875447409324694E-2</v>
      </c>
      <c r="G193" s="3">
        <f t="shared" si="129"/>
        <v>8.6875447409324694E-2</v>
      </c>
      <c r="H193" s="3">
        <f t="shared" si="129"/>
        <v>8.6875447409324694E-2</v>
      </c>
      <c r="I193" s="3">
        <f t="shared" si="129"/>
        <v>8.6875447409324694E-2</v>
      </c>
      <c r="J193" s="3">
        <f t="shared" si="129"/>
        <v>8.6875447409324694E-2</v>
      </c>
      <c r="K193" s="3">
        <f t="shared" si="129"/>
        <v>8.6875447409324694E-2</v>
      </c>
      <c r="L193" s="3">
        <f t="shared" si="129"/>
        <v>8.6875447409324694E-2</v>
      </c>
      <c r="M193" s="3">
        <f t="shared" si="129"/>
        <v>8.6875447409324694E-2</v>
      </c>
      <c r="N193" s="3">
        <f t="shared" si="129"/>
        <v>8.687544740932468E-2</v>
      </c>
      <c r="O193" s="3">
        <f t="shared" si="129"/>
        <v>8.6875447409324527E-2</v>
      </c>
      <c r="P193" s="3">
        <f t="shared" si="129"/>
        <v>8.687544740932307E-2</v>
      </c>
      <c r="Q193" s="3">
        <f t="shared" si="129"/>
        <v>8.6875447409308457E-2</v>
      </c>
      <c r="R193" s="3">
        <f t="shared" si="129"/>
        <v>8.6875447409162351E-2</v>
      </c>
      <c r="S193" s="3">
        <f t="shared" si="129"/>
        <v>8.6875447407701367E-2</v>
      </c>
      <c r="T193" s="3">
        <f t="shared" si="129"/>
        <v>8.6875447393091346E-2</v>
      </c>
      <c r="U193" s="3">
        <f t="shared" si="129"/>
        <v>8.6875447246991283E-2</v>
      </c>
      <c r="V193" s="3">
        <f t="shared" si="129"/>
        <v>8.6875445785990602E-2</v>
      </c>
      <c r="W193" s="3">
        <f t="shared" si="129"/>
        <v>8.687543117598516E-2</v>
      </c>
      <c r="X193" s="3">
        <f t="shared" si="129"/>
        <v>8.6875285076065817E-2</v>
      </c>
      <c r="Y193" s="3">
        <f t="shared" si="129"/>
        <v>8.687382409038584E-2</v>
      </c>
      <c r="Z193" s="3">
        <f t="shared" si="129"/>
        <v>8.6859215584838362E-2</v>
      </c>
      <c r="AA193" s="3">
        <f t="shared" si="129"/>
        <v>8.6713265570554171E-2</v>
      </c>
      <c r="AB193" s="3">
        <f t="shared" si="129"/>
        <v>8.5267185895949241E-2</v>
      </c>
      <c r="AC193" s="3">
        <f t="shared" si="129"/>
        <v>7.206855466767785E-2</v>
      </c>
      <c r="AD193" s="3">
        <f t="shared" si="129"/>
        <v>1.3408637067073766E-2</v>
      </c>
      <c r="AE193" s="3">
        <f t="shared" si="129"/>
        <v>6.6645813031729039E-10</v>
      </c>
      <c r="AF193" s="3">
        <f t="shared" si="129"/>
        <v>6.1327493642262938E-83</v>
      </c>
      <c r="AG193" s="3"/>
      <c r="AH193" s="3"/>
    </row>
    <row r="194" spans="1:34" x14ac:dyDescent="0.25">
      <c r="B194" s="3">
        <f t="shared" ref="B194:AF194" si="130">$C41*EXP(-B$168/$A41/EXP(-$C$126))</f>
        <v>9.6215979999175721E-2</v>
      </c>
      <c r="C194" s="3">
        <f t="shared" si="130"/>
        <v>9.6215979999175721E-2</v>
      </c>
      <c r="D194" s="3">
        <f t="shared" si="130"/>
        <v>9.6215979999175721E-2</v>
      </c>
      <c r="E194" s="3">
        <f t="shared" si="130"/>
        <v>9.6215979999175721E-2</v>
      </c>
      <c r="F194" s="3">
        <f t="shared" si="130"/>
        <v>9.6215979999175721E-2</v>
      </c>
      <c r="G194" s="3">
        <f t="shared" si="130"/>
        <v>9.6215979999175721E-2</v>
      </c>
      <c r="H194" s="3">
        <f t="shared" si="130"/>
        <v>9.6215979999175721E-2</v>
      </c>
      <c r="I194" s="3">
        <f t="shared" si="130"/>
        <v>9.6215979999175721E-2</v>
      </c>
      <c r="J194" s="3">
        <f t="shared" si="130"/>
        <v>9.6215979999175721E-2</v>
      </c>
      <c r="K194" s="3">
        <f t="shared" si="130"/>
        <v>9.6215979999175721E-2</v>
      </c>
      <c r="L194" s="3">
        <f t="shared" si="130"/>
        <v>9.6215979999175721E-2</v>
      </c>
      <c r="M194" s="3">
        <f t="shared" si="130"/>
        <v>9.6215979999175721E-2</v>
      </c>
      <c r="N194" s="3">
        <f t="shared" si="130"/>
        <v>9.6215979999175721E-2</v>
      </c>
      <c r="O194" s="3">
        <f t="shared" si="130"/>
        <v>9.6215979999175694E-2</v>
      </c>
      <c r="P194" s="3">
        <f t="shared" si="130"/>
        <v>9.6215979999175541E-2</v>
      </c>
      <c r="Q194" s="3">
        <f t="shared" si="130"/>
        <v>9.6215979999173931E-2</v>
      </c>
      <c r="R194" s="3">
        <f t="shared" si="130"/>
        <v>9.621597999915775E-2</v>
      </c>
      <c r="S194" s="3">
        <f t="shared" si="130"/>
        <v>9.6215979998995935E-2</v>
      </c>
      <c r="T194" s="3">
        <f t="shared" si="130"/>
        <v>9.6215979997377854E-2</v>
      </c>
      <c r="U194" s="3">
        <f t="shared" si="130"/>
        <v>9.6215979981197033E-2</v>
      </c>
      <c r="V194" s="3">
        <f t="shared" si="130"/>
        <v>9.6215979819388814E-2</v>
      </c>
      <c r="W194" s="3">
        <f t="shared" si="130"/>
        <v>9.6215978201306646E-2</v>
      </c>
      <c r="X194" s="3">
        <f t="shared" si="130"/>
        <v>9.6215962020486476E-2</v>
      </c>
      <c r="Y194" s="3">
        <f t="shared" si="130"/>
        <v>9.6215800212434421E-2</v>
      </c>
      <c r="Z194" s="3">
        <f t="shared" si="130"/>
        <v>9.6214182146880156E-2</v>
      </c>
      <c r="AA194" s="3">
        <f t="shared" si="130"/>
        <v>9.6198002987871609E-2</v>
      </c>
      <c r="AB194" s="3">
        <f t="shared" si="130"/>
        <v>9.6036360958115102E-2</v>
      </c>
      <c r="AC194" s="3">
        <f t="shared" si="130"/>
        <v>9.4434804048791288E-2</v>
      </c>
      <c r="AD194" s="3">
        <f t="shared" si="130"/>
        <v>7.9817103925850105E-2</v>
      </c>
      <c r="AE194" s="3">
        <f t="shared" si="130"/>
        <v>1.4850285026829125E-2</v>
      </c>
      <c r="AF194" s="3">
        <f t="shared" si="130"/>
        <v>7.3811328803601393E-10</v>
      </c>
      <c r="AG194" s="3"/>
      <c r="AH194" s="3"/>
    </row>
    <row r="195" spans="1:34" x14ac:dyDescent="0.25">
      <c r="B195" s="3">
        <f t="shared" ref="B195:AF195" si="131">$C42*EXP(-B$168/$A42/EXP(-$C$126))</f>
        <v>0.11161416834614406</v>
      </c>
      <c r="C195" s="3">
        <f t="shared" si="131"/>
        <v>0.11161416834614406</v>
      </c>
      <c r="D195" s="3">
        <f t="shared" si="131"/>
        <v>0.11161416834614406</v>
      </c>
      <c r="E195" s="3">
        <f t="shared" si="131"/>
        <v>0.11161416834614406</v>
      </c>
      <c r="F195" s="3">
        <f t="shared" si="131"/>
        <v>0.11161416834614406</v>
      </c>
      <c r="G195" s="3">
        <f t="shared" si="131"/>
        <v>0.11161416834614406</v>
      </c>
      <c r="H195" s="3">
        <f t="shared" si="131"/>
        <v>0.11161416834614406</v>
      </c>
      <c r="I195" s="3">
        <f t="shared" si="131"/>
        <v>0.11161416834614406</v>
      </c>
      <c r="J195" s="3">
        <f t="shared" si="131"/>
        <v>0.11161416834614406</v>
      </c>
      <c r="K195" s="3">
        <f t="shared" si="131"/>
        <v>0.11161416834614406</v>
      </c>
      <c r="L195" s="3">
        <f t="shared" si="131"/>
        <v>0.11161416834614406</v>
      </c>
      <c r="M195" s="3">
        <f t="shared" si="131"/>
        <v>0.11161416834614406</v>
      </c>
      <c r="N195" s="3">
        <f t="shared" si="131"/>
        <v>0.11161416834614406</v>
      </c>
      <c r="O195" s="3">
        <f t="shared" si="131"/>
        <v>0.11161416834614406</v>
      </c>
      <c r="P195" s="3">
        <f t="shared" si="131"/>
        <v>0.11161416834614403</v>
      </c>
      <c r="Q195" s="3">
        <f t="shared" si="131"/>
        <v>0.11161416834614385</v>
      </c>
      <c r="R195" s="3">
        <f t="shared" si="131"/>
        <v>0.11161416834614198</v>
      </c>
      <c r="S195" s="3">
        <f t="shared" si="131"/>
        <v>0.1116141683461232</v>
      </c>
      <c r="T195" s="3">
        <f t="shared" si="131"/>
        <v>0.11161416834593549</v>
      </c>
      <c r="U195" s="3">
        <f t="shared" si="131"/>
        <v>0.11161416834405846</v>
      </c>
      <c r="V195" s="3">
        <f t="shared" si="131"/>
        <v>0.1116141683252881</v>
      </c>
      <c r="W195" s="3">
        <f t="shared" si="131"/>
        <v>0.11161416813758446</v>
      </c>
      <c r="X195" s="3">
        <f t="shared" si="131"/>
        <v>0.11161416626054807</v>
      </c>
      <c r="Y195" s="3">
        <f t="shared" si="131"/>
        <v>0.11161414749018594</v>
      </c>
      <c r="Z195" s="3">
        <f t="shared" si="131"/>
        <v>0.11161395978673833</v>
      </c>
      <c r="AA195" s="3">
        <f t="shared" si="131"/>
        <v>0.1116120827696236</v>
      </c>
      <c r="AB195" s="3">
        <f t="shared" si="131"/>
        <v>0.11159331433451236</v>
      </c>
      <c r="AC195" s="3">
        <f t="shared" si="131"/>
        <v>0.11140580347902651</v>
      </c>
      <c r="AD195" s="3">
        <f t="shared" si="131"/>
        <v>0.10954793701552711</v>
      </c>
      <c r="AE195" s="3">
        <f t="shared" si="131"/>
        <v>9.2590853146824775E-2</v>
      </c>
      <c r="AF195" s="3">
        <f t="shared" si="131"/>
        <v>1.7226891135827212E-2</v>
      </c>
      <c r="AG195" s="3"/>
      <c r="AH195" s="3"/>
    </row>
    <row r="196" spans="1:34" x14ac:dyDescent="0.25">
      <c r="B196" s="3">
        <f t="shared" ref="B196:AF196" si="132">$C43*EXP(-B$168/$A43/EXP(-$C$126))</f>
        <v>6.6462351022397975E-2</v>
      </c>
      <c r="C196" s="3">
        <f t="shared" si="132"/>
        <v>6.6462351022397975E-2</v>
      </c>
      <c r="D196" s="3">
        <f t="shared" si="132"/>
        <v>6.6462351022397975E-2</v>
      </c>
      <c r="E196" s="3">
        <f t="shared" si="132"/>
        <v>6.6462351022397975E-2</v>
      </c>
      <c r="F196" s="3">
        <f t="shared" si="132"/>
        <v>6.6462351022397975E-2</v>
      </c>
      <c r="G196" s="3">
        <f t="shared" si="132"/>
        <v>6.6462351022397975E-2</v>
      </c>
      <c r="H196" s="3">
        <f t="shared" si="132"/>
        <v>6.6462351022397975E-2</v>
      </c>
      <c r="I196" s="3">
        <f t="shared" si="132"/>
        <v>6.6462351022397975E-2</v>
      </c>
      <c r="J196" s="3">
        <f t="shared" si="132"/>
        <v>6.6462351022397975E-2</v>
      </c>
      <c r="K196" s="3">
        <f t="shared" si="132"/>
        <v>6.6462351022397975E-2</v>
      </c>
      <c r="L196" s="3">
        <f t="shared" si="132"/>
        <v>6.6462351022397975E-2</v>
      </c>
      <c r="M196" s="3">
        <f t="shared" si="132"/>
        <v>6.6462351022397975E-2</v>
      </c>
      <c r="N196" s="3">
        <f t="shared" si="132"/>
        <v>6.6462351022397975E-2</v>
      </c>
      <c r="O196" s="3">
        <f t="shared" si="132"/>
        <v>6.6462351022397975E-2</v>
      </c>
      <c r="P196" s="3">
        <f t="shared" si="132"/>
        <v>6.6462351022397975E-2</v>
      </c>
      <c r="Q196" s="3">
        <f t="shared" si="132"/>
        <v>6.6462351022397961E-2</v>
      </c>
      <c r="R196" s="3">
        <f t="shared" si="132"/>
        <v>6.646235102239785E-2</v>
      </c>
      <c r="S196" s="3">
        <f t="shared" si="132"/>
        <v>6.646235102239674E-2</v>
      </c>
      <c r="T196" s="3">
        <f t="shared" si="132"/>
        <v>6.6462351022385555E-2</v>
      </c>
      <c r="U196" s="3">
        <f t="shared" si="132"/>
        <v>6.6462351022273783E-2</v>
      </c>
      <c r="V196" s="3">
        <f t="shared" si="132"/>
        <v>6.646235102115608E-2</v>
      </c>
      <c r="W196" s="3">
        <f t="shared" si="132"/>
        <v>6.6462351009978979E-2</v>
      </c>
      <c r="X196" s="3">
        <f t="shared" si="132"/>
        <v>6.6462350898207997E-2</v>
      </c>
      <c r="Y196" s="3">
        <f t="shared" si="132"/>
        <v>6.6462349780498184E-2</v>
      </c>
      <c r="Z196" s="3">
        <f t="shared" si="132"/>
        <v>6.6462338603401089E-2</v>
      </c>
      <c r="AA196" s="3">
        <f t="shared" si="132"/>
        <v>6.6462226832533569E-2</v>
      </c>
      <c r="AB196" s="3">
        <f t="shared" si="132"/>
        <v>6.6461109134196505E-2</v>
      </c>
      <c r="AC196" s="3">
        <f t="shared" si="132"/>
        <v>6.6449933184574803E-2</v>
      </c>
      <c r="AD196" s="3">
        <f t="shared" si="132"/>
        <v>6.6338276998962581E-2</v>
      </c>
      <c r="AE196" s="3">
        <f t="shared" si="132"/>
        <v>6.5231982207902536E-2</v>
      </c>
      <c r="AF196" s="3">
        <f t="shared" si="132"/>
        <v>5.5134629182766889E-2</v>
      </c>
      <c r="AG196" s="3"/>
      <c r="AH196" s="3"/>
    </row>
    <row r="197" spans="1:34" x14ac:dyDescent="0.25">
      <c r="B197" s="3">
        <f t="shared" ref="B197:AF197" si="133">$C44*EXP(-B$168/$A44/EXP(-$C$126))</f>
        <v>4.7100906601755713E-2</v>
      </c>
      <c r="C197" s="3">
        <f t="shared" si="133"/>
        <v>4.7100906601755713E-2</v>
      </c>
      <c r="D197" s="3">
        <f t="shared" si="133"/>
        <v>4.7100906601755713E-2</v>
      </c>
      <c r="E197" s="3">
        <f t="shared" si="133"/>
        <v>4.7100906601755713E-2</v>
      </c>
      <c r="F197" s="3">
        <f t="shared" si="133"/>
        <v>4.7100906601755713E-2</v>
      </c>
      <c r="G197" s="3">
        <f t="shared" si="133"/>
        <v>4.7100906601755713E-2</v>
      </c>
      <c r="H197" s="3">
        <f t="shared" si="133"/>
        <v>4.7100906601755713E-2</v>
      </c>
      <c r="I197" s="3">
        <f t="shared" si="133"/>
        <v>4.7100906601755713E-2</v>
      </c>
      <c r="J197" s="3">
        <f t="shared" si="133"/>
        <v>4.7100906601755713E-2</v>
      </c>
      <c r="K197" s="3">
        <f t="shared" si="133"/>
        <v>4.7100906601755713E-2</v>
      </c>
      <c r="L197" s="3">
        <f t="shared" si="133"/>
        <v>4.7100906601755713E-2</v>
      </c>
      <c r="M197" s="3">
        <f t="shared" si="133"/>
        <v>4.7100906601755713E-2</v>
      </c>
      <c r="N197" s="3">
        <f t="shared" si="133"/>
        <v>4.7100906601755713E-2</v>
      </c>
      <c r="O197" s="3">
        <f t="shared" si="133"/>
        <v>4.7100906601755713E-2</v>
      </c>
      <c r="P197" s="3">
        <f t="shared" si="133"/>
        <v>4.7100906601755713E-2</v>
      </c>
      <c r="Q197" s="3">
        <f t="shared" si="133"/>
        <v>4.7100906601755713E-2</v>
      </c>
      <c r="R197" s="3">
        <f t="shared" si="133"/>
        <v>4.7100906601755699E-2</v>
      </c>
      <c r="S197" s="3">
        <f t="shared" si="133"/>
        <v>4.7100906601755622E-2</v>
      </c>
      <c r="T197" s="3">
        <f t="shared" si="133"/>
        <v>4.7100906601754831E-2</v>
      </c>
      <c r="U197" s="3">
        <f t="shared" si="133"/>
        <v>4.7100906601746914E-2</v>
      </c>
      <c r="V197" s="3">
        <f t="shared" si="133"/>
        <v>4.71009066016677E-2</v>
      </c>
      <c r="W197" s="3">
        <f t="shared" si="133"/>
        <v>4.7100906600875597E-2</v>
      </c>
      <c r="X197" s="3">
        <f t="shared" si="133"/>
        <v>4.7100906592954551E-2</v>
      </c>
      <c r="Y197" s="3">
        <f t="shared" si="133"/>
        <v>4.7100906513744073E-2</v>
      </c>
      <c r="Z197" s="3">
        <f t="shared" si="133"/>
        <v>4.7100905721639295E-2</v>
      </c>
      <c r="AA197" s="3">
        <f t="shared" si="133"/>
        <v>4.7100897800592297E-2</v>
      </c>
      <c r="AB197" s="3">
        <f t="shared" si="133"/>
        <v>4.7100818590195569E-2</v>
      </c>
      <c r="AC197" s="3">
        <f t="shared" si="133"/>
        <v>4.710002649355479E-2</v>
      </c>
      <c r="AD197" s="3">
        <f t="shared" si="133"/>
        <v>4.7092106259749932E-2</v>
      </c>
      <c r="AE197" s="3">
        <f t="shared" si="133"/>
        <v>4.7012977136432328E-2</v>
      </c>
      <c r="AF197" s="3">
        <f t="shared" si="133"/>
        <v>4.6228962023723362E-2</v>
      </c>
      <c r="AG197" s="3"/>
      <c r="AH197" s="3"/>
    </row>
    <row r="198" spans="1:34" x14ac:dyDescent="0.25">
      <c r="B198" s="3">
        <f t="shared" ref="B198:AF198" si="134">$C45*EXP(-B$168/$A45/EXP(-$C$126))</f>
        <v>2.2598128773559236E-2</v>
      </c>
      <c r="C198" s="3">
        <f t="shared" si="134"/>
        <v>2.2598128773559236E-2</v>
      </c>
      <c r="D198" s="3">
        <f t="shared" si="134"/>
        <v>2.2598128773559236E-2</v>
      </c>
      <c r="E198" s="3">
        <f t="shared" si="134"/>
        <v>2.2598128773559236E-2</v>
      </c>
      <c r="F198" s="3">
        <f t="shared" si="134"/>
        <v>2.2598128773559236E-2</v>
      </c>
      <c r="G198" s="3">
        <f t="shared" si="134"/>
        <v>2.2598128773559236E-2</v>
      </c>
      <c r="H198" s="3">
        <f t="shared" si="134"/>
        <v>2.2598128773559236E-2</v>
      </c>
      <c r="I198" s="3">
        <f t="shared" si="134"/>
        <v>2.2598128773559236E-2</v>
      </c>
      <c r="J198" s="3">
        <f t="shared" si="134"/>
        <v>2.2598128773559236E-2</v>
      </c>
      <c r="K198" s="3">
        <f t="shared" si="134"/>
        <v>2.2598128773559236E-2</v>
      </c>
      <c r="L198" s="3">
        <f t="shared" si="134"/>
        <v>2.2598128773559236E-2</v>
      </c>
      <c r="M198" s="3">
        <f t="shared" si="134"/>
        <v>2.2598128773559236E-2</v>
      </c>
      <c r="N198" s="3">
        <f t="shared" si="134"/>
        <v>2.2598128773559236E-2</v>
      </c>
      <c r="O198" s="3">
        <f t="shared" si="134"/>
        <v>2.2598128773559236E-2</v>
      </c>
      <c r="P198" s="3">
        <f t="shared" si="134"/>
        <v>2.2598128773559236E-2</v>
      </c>
      <c r="Q198" s="3">
        <f t="shared" si="134"/>
        <v>2.2598128773559236E-2</v>
      </c>
      <c r="R198" s="3">
        <f t="shared" si="134"/>
        <v>2.2598128773559236E-2</v>
      </c>
      <c r="S198" s="3">
        <f t="shared" si="134"/>
        <v>2.2598128773559233E-2</v>
      </c>
      <c r="T198" s="3">
        <f t="shared" si="134"/>
        <v>2.2598128773559194E-2</v>
      </c>
      <c r="U198" s="3">
        <f t="shared" si="134"/>
        <v>2.2598128773558816E-2</v>
      </c>
      <c r="V198" s="3">
        <f t="shared" si="134"/>
        <v>2.2598128773555014E-2</v>
      </c>
      <c r="W198" s="3">
        <f t="shared" si="134"/>
        <v>2.2598128773517009E-2</v>
      </c>
      <c r="X198" s="3">
        <f t="shared" si="134"/>
        <v>2.2598128773136973E-2</v>
      </c>
      <c r="Y198" s="3">
        <f t="shared" si="134"/>
        <v>2.2598128769336603E-2</v>
      </c>
      <c r="Z198" s="3">
        <f t="shared" si="134"/>
        <v>2.2598128731332906E-2</v>
      </c>
      <c r="AA198" s="3">
        <f t="shared" si="134"/>
        <v>2.2598128351295939E-2</v>
      </c>
      <c r="AB198" s="3">
        <f t="shared" si="134"/>
        <v>2.2598124550926624E-2</v>
      </c>
      <c r="AC198" s="3">
        <f t="shared" si="134"/>
        <v>2.2598086547268637E-2</v>
      </c>
      <c r="AD198" s="3">
        <f t="shared" si="134"/>
        <v>2.2597706514203862E-2</v>
      </c>
      <c r="AE198" s="3">
        <f t="shared" si="134"/>
        <v>2.2593906535045241E-2</v>
      </c>
      <c r="AF198" s="3">
        <f t="shared" si="134"/>
        <v>2.2555941870509393E-2</v>
      </c>
      <c r="AG198" s="3"/>
      <c r="AH198" s="3"/>
    </row>
    <row r="199" spans="1:34" x14ac:dyDescent="0.25">
      <c r="B199" s="3">
        <f t="shared" ref="B199:AF199" si="135">$C46*EXP(-B$168/$A46/EXP(-$C$126))</f>
        <v>6.4467605952010509E-3</v>
      </c>
      <c r="C199" s="3">
        <f t="shared" si="135"/>
        <v>6.4467605952010509E-3</v>
      </c>
      <c r="D199" s="3">
        <f t="shared" si="135"/>
        <v>6.4467605952010509E-3</v>
      </c>
      <c r="E199" s="3">
        <f t="shared" si="135"/>
        <v>6.4467605952010509E-3</v>
      </c>
      <c r="F199" s="3">
        <f t="shared" si="135"/>
        <v>6.4467605952010509E-3</v>
      </c>
      <c r="G199" s="3">
        <f t="shared" si="135"/>
        <v>6.4467605952010509E-3</v>
      </c>
      <c r="H199" s="3">
        <f t="shared" si="135"/>
        <v>6.4467605952010509E-3</v>
      </c>
      <c r="I199" s="3">
        <f t="shared" si="135"/>
        <v>6.4467605952010509E-3</v>
      </c>
      <c r="J199" s="3">
        <f t="shared" si="135"/>
        <v>6.4467605952010509E-3</v>
      </c>
      <c r="K199" s="3">
        <f t="shared" si="135"/>
        <v>6.4467605952010509E-3</v>
      </c>
      <c r="L199" s="3">
        <f t="shared" si="135"/>
        <v>6.4467605952010509E-3</v>
      </c>
      <c r="M199" s="3">
        <f t="shared" si="135"/>
        <v>6.4467605952010509E-3</v>
      </c>
      <c r="N199" s="3">
        <f t="shared" si="135"/>
        <v>6.4467605952010509E-3</v>
      </c>
      <c r="O199" s="3">
        <f t="shared" si="135"/>
        <v>6.4467605952010509E-3</v>
      </c>
      <c r="P199" s="3">
        <f t="shared" si="135"/>
        <v>6.4467605952010509E-3</v>
      </c>
      <c r="Q199" s="3">
        <f t="shared" si="135"/>
        <v>6.4467605952010509E-3</v>
      </c>
      <c r="R199" s="3">
        <f t="shared" si="135"/>
        <v>6.4467605952010509E-3</v>
      </c>
      <c r="S199" s="3">
        <f t="shared" si="135"/>
        <v>6.4467605952010509E-3</v>
      </c>
      <c r="T199" s="3">
        <f t="shared" si="135"/>
        <v>6.4467605952010492E-3</v>
      </c>
      <c r="U199" s="3">
        <f t="shared" si="135"/>
        <v>6.4467605952010388E-3</v>
      </c>
      <c r="V199" s="3">
        <f t="shared" si="135"/>
        <v>6.4467605952009304E-3</v>
      </c>
      <c r="W199" s="3">
        <f t="shared" si="135"/>
        <v>6.4467605951998462E-3</v>
      </c>
      <c r="X199" s="3">
        <f t="shared" si="135"/>
        <v>6.4467605951890041E-3</v>
      </c>
      <c r="Y199" s="3">
        <f t="shared" si="135"/>
        <v>6.4467605950805883E-3</v>
      </c>
      <c r="Z199" s="3">
        <f t="shared" si="135"/>
        <v>6.4467605939964243E-3</v>
      </c>
      <c r="AA199" s="3">
        <f t="shared" si="135"/>
        <v>6.4467605831547859E-3</v>
      </c>
      <c r="AB199" s="3">
        <f t="shared" si="135"/>
        <v>6.446760474738405E-3</v>
      </c>
      <c r="AC199" s="3">
        <f t="shared" si="135"/>
        <v>6.4467593905746948E-3</v>
      </c>
      <c r="AD199" s="3">
        <f t="shared" si="135"/>
        <v>6.4467485489476178E-3</v>
      </c>
      <c r="AE199" s="3">
        <f t="shared" si="135"/>
        <v>6.4466401336796368E-3</v>
      </c>
      <c r="AF199" s="3">
        <f t="shared" si="135"/>
        <v>6.4455560812721191E-3</v>
      </c>
      <c r="AG199" s="3"/>
      <c r="AH199" s="3"/>
    </row>
    <row r="200" spans="1:34" x14ac:dyDescent="0.25">
      <c r="B200" s="3">
        <f t="shared" ref="B200:AF200" si="136">$C47*EXP(-B$168/$A47/EXP(-$C$126))</f>
        <v>9.8307104636690784E-5</v>
      </c>
      <c r="C200" s="3">
        <f t="shared" si="136"/>
        <v>9.8307104636690784E-5</v>
      </c>
      <c r="D200" s="3">
        <f t="shared" si="136"/>
        <v>9.8307104636690784E-5</v>
      </c>
      <c r="E200" s="3">
        <f t="shared" si="136"/>
        <v>9.8307104636690784E-5</v>
      </c>
      <c r="F200" s="3">
        <f t="shared" si="136"/>
        <v>9.8307104636690784E-5</v>
      </c>
      <c r="G200" s="3">
        <f t="shared" si="136"/>
        <v>9.8307104636690784E-5</v>
      </c>
      <c r="H200" s="3">
        <f t="shared" si="136"/>
        <v>9.8307104636690784E-5</v>
      </c>
      <c r="I200" s="3">
        <f t="shared" si="136"/>
        <v>9.8307104636690784E-5</v>
      </c>
      <c r="J200" s="3">
        <f t="shared" si="136"/>
        <v>9.8307104636690784E-5</v>
      </c>
      <c r="K200" s="3">
        <f t="shared" si="136"/>
        <v>9.8307104636690784E-5</v>
      </c>
      <c r="L200" s="3">
        <f t="shared" si="136"/>
        <v>9.8307104636690784E-5</v>
      </c>
      <c r="M200" s="3">
        <f t="shared" si="136"/>
        <v>9.8307104636690784E-5</v>
      </c>
      <c r="N200" s="3">
        <f t="shared" si="136"/>
        <v>9.8307104636690784E-5</v>
      </c>
      <c r="O200" s="3">
        <f t="shared" si="136"/>
        <v>9.8307104636690784E-5</v>
      </c>
      <c r="P200" s="3">
        <f t="shared" si="136"/>
        <v>9.8307104636690784E-5</v>
      </c>
      <c r="Q200" s="3">
        <f t="shared" si="136"/>
        <v>9.8307104636690784E-5</v>
      </c>
      <c r="R200" s="3">
        <f t="shared" si="136"/>
        <v>9.8307104636690784E-5</v>
      </c>
      <c r="S200" s="3">
        <f t="shared" si="136"/>
        <v>9.8307104636690784E-5</v>
      </c>
      <c r="T200" s="3">
        <f t="shared" si="136"/>
        <v>9.8307104636690784E-5</v>
      </c>
      <c r="U200" s="3">
        <f t="shared" si="136"/>
        <v>9.8307104636690757E-5</v>
      </c>
      <c r="V200" s="3">
        <f t="shared" si="136"/>
        <v>9.8307104636690594E-5</v>
      </c>
      <c r="W200" s="3">
        <f t="shared" si="136"/>
        <v>9.8307104636688954E-5</v>
      </c>
      <c r="X200" s="3">
        <f t="shared" si="136"/>
        <v>9.830710463667242E-5</v>
      </c>
      <c r="Y200" s="3">
        <f t="shared" si="136"/>
        <v>9.8307104636507079E-5</v>
      </c>
      <c r="Z200" s="3">
        <f t="shared" si="136"/>
        <v>9.8307104634853847E-5</v>
      </c>
      <c r="AA200" s="3">
        <f t="shared" si="136"/>
        <v>9.830710461832135E-5</v>
      </c>
      <c r="AB200" s="3">
        <f t="shared" si="136"/>
        <v>9.8307104452996443E-5</v>
      </c>
      <c r="AC200" s="3">
        <f t="shared" si="136"/>
        <v>9.830710279974744E-5</v>
      </c>
      <c r="AD200" s="3">
        <f t="shared" si="136"/>
        <v>9.8307086267258954E-5</v>
      </c>
      <c r="AE200" s="3">
        <f t="shared" si="136"/>
        <v>9.8306920942526995E-5</v>
      </c>
      <c r="AF200" s="3">
        <f t="shared" si="136"/>
        <v>9.8305267710498872E-5</v>
      </c>
      <c r="AG200" s="3"/>
      <c r="AH200" s="3"/>
    </row>
    <row r="201" spans="1:34" x14ac:dyDescent="0.25">
      <c r="B201" s="3">
        <f t="shared" ref="B201:AF201" si="137">$C48*EXP(-B$168/$A48/EXP(-$C$126))</f>
        <v>1.1020901234699522E-2</v>
      </c>
      <c r="C201" s="3">
        <f t="shared" si="137"/>
        <v>1.1020901234699522E-2</v>
      </c>
      <c r="D201" s="3">
        <f t="shared" si="137"/>
        <v>1.1020901234699522E-2</v>
      </c>
      <c r="E201" s="3">
        <f t="shared" si="137"/>
        <v>1.1020901234699522E-2</v>
      </c>
      <c r="F201" s="3">
        <f t="shared" si="137"/>
        <v>1.1020901234699522E-2</v>
      </c>
      <c r="G201" s="3">
        <f t="shared" si="137"/>
        <v>1.1020901234699522E-2</v>
      </c>
      <c r="H201" s="3">
        <f t="shared" si="137"/>
        <v>1.1020901234699522E-2</v>
      </c>
      <c r="I201" s="3">
        <f t="shared" si="137"/>
        <v>1.1020901234699522E-2</v>
      </c>
      <c r="J201" s="3">
        <f t="shared" si="137"/>
        <v>1.1020901234699522E-2</v>
      </c>
      <c r="K201" s="3">
        <f t="shared" si="137"/>
        <v>1.1020901234699522E-2</v>
      </c>
      <c r="L201" s="3">
        <f t="shared" si="137"/>
        <v>1.1020901234699522E-2</v>
      </c>
      <c r="M201" s="3">
        <f t="shared" si="137"/>
        <v>1.1020901234699522E-2</v>
      </c>
      <c r="N201" s="3">
        <f t="shared" si="137"/>
        <v>1.1020901234699522E-2</v>
      </c>
      <c r="O201" s="3">
        <f t="shared" si="137"/>
        <v>1.1020901234699522E-2</v>
      </c>
      <c r="P201" s="3">
        <f t="shared" si="137"/>
        <v>1.1020901234699522E-2</v>
      </c>
      <c r="Q201" s="3">
        <f t="shared" si="137"/>
        <v>1.1020901234699522E-2</v>
      </c>
      <c r="R201" s="3">
        <f t="shared" si="137"/>
        <v>1.1020901234699522E-2</v>
      </c>
      <c r="S201" s="3">
        <f t="shared" si="137"/>
        <v>1.1020901234699522E-2</v>
      </c>
      <c r="T201" s="3">
        <f t="shared" si="137"/>
        <v>1.1020901234699522E-2</v>
      </c>
      <c r="U201" s="3">
        <f t="shared" si="137"/>
        <v>1.1020901234699522E-2</v>
      </c>
      <c r="V201" s="3">
        <f t="shared" si="137"/>
        <v>1.102090123469952E-2</v>
      </c>
      <c r="W201" s="3">
        <f t="shared" si="137"/>
        <v>1.1020901234699501E-2</v>
      </c>
      <c r="X201" s="3">
        <f t="shared" si="137"/>
        <v>1.1020901234699317E-2</v>
      </c>
      <c r="Y201" s="3">
        <f t="shared" si="137"/>
        <v>1.1020901234697462E-2</v>
      </c>
      <c r="Z201" s="3">
        <f t="shared" si="137"/>
        <v>1.1020901234678927E-2</v>
      </c>
      <c r="AA201" s="3">
        <f t="shared" si="137"/>
        <v>1.1020901234493587E-2</v>
      </c>
      <c r="AB201" s="3">
        <f t="shared" si="137"/>
        <v>1.1020901232640183E-2</v>
      </c>
      <c r="AC201" s="3">
        <f t="shared" si="137"/>
        <v>1.1020901214106125E-2</v>
      </c>
      <c r="AD201" s="3">
        <f t="shared" si="137"/>
        <v>1.1020901028765564E-2</v>
      </c>
      <c r="AE201" s="3">
        <f t="shared" si="137"/>
        <v>1.1020899175360121E-2</v>
      </c>
      <c r="AF201" s="3">
        <f t="shared" si="137"/>
        <v>1.1020880641322837E-2</v>
      </c>
      <c r="AG201" s="3"/>
      <c r="AH201" s="3"/>
    </row>
    <row r="202" spans="1:34" x14ac:dyDescent="0.25">
      <c r="A202" s="80">
        <f>AVERAGE(B202:AF202)</f>
        <v>1.836664819117487E-3</v>
      </c>
      <c r="B202" s="81">
        <f>IF($A$64&lt;=B168,IF($B$64&gt;=B168,ABS((B170-B169)/B169),0),0)</f>
        <v>0</v>
      </c>
      <c r="C202" s="81">
        <f t="shared" ref="C202:AF202" si="138">IF($A$64&lt;=C168,IF($B$64&gt;=C168,ABS((C170-C169)/C169),0),0)</f>
        <v>0</v>
      </c>
      <c r="D202" s="81">
        <f t="shared" si="138"/>
        <v>0</v>
      </c>
      <c r="E202" s="81">
        <f t="shared" si="138"/>
        <v>0</v>
      </c>
      <c r="F202" s="81">
        <f t="shared" si="138"/>
        <v>0</v>
      </c>
      <c r="G202" s="81">
        <f t="shared" si="138"/>
        <v>0</v>
      </c>
      <c r="H202" s="81">
        <f t="shared" si="138"/>
        <v>0</v>
      </c>
      <c r="I202" s="81">
        <f t="shared" si="138"/>
        <v>0</v>
      </c>
      <c r="J202" s="81">
        <f t="shared" si="138"/>
        <v>0</v>
      </c>
      <c r="K202" s="81">
        <f t="shared" si="138"/>
        <v>0</v>
      </c>
      <c r="L202" s="81">
        <f t="shared" si="138"/>
        <v>2.0257650199544228E-3</v>
      </c>
      <c r="M202" s="81">
        <f t="shared" si="138"/>
        <v>2.0260867378295942E-3</v>
      </c>
      <c r="N202" s="81">
        <f t="shared" si="138"/>
        <v>2.0289397898446988E-3</v>
      </c>
      <c r="O202" s="81">
        <f t="shared" si="138"/>
        <v>2.0574373596629197E-3</v>
      </c>
      <c r="P202" s="81">
        <f t="shared" si="138"/>
        <v>2.327885760888479E-3</v>
      </c>
      <c r="Q202" s="81">
        <f t="shared" si="138"/>
        <v>4.1722534856042616E-3</v>
      </c>
      <c r="R202" s="81">
        <f t="shared" si="138"/>
        <v>8.3780341800795254E-3</v>
      </c>
      <c r="S202" s="81">
        <f t="shared" si="138"/>
        <v>6.6252116267407892E-3</v>
      </c>
      <c r="T202" s="81">
        <f t="shared" si="138"/>
        <v>7.0949188650655474E-3</v>
      </c>
      <c r="U202" s="81">
        <f t="shared" si="138"/>
        <v>2.1195500994608458E-3</v>
      </c>
      <c r="V202" s="81">
        <f t="shared" si="138"/>
        <v>1.8080526467511016E-2</v>
      </c>
      <c r="W202" s="81">
        <f t="shared" si="138"/>
        <v>0</v>
      </c>
      <c r="X202" s="81">
        <f t="shared" si="138"/>
        <v>0</v>
      </c>
      <c r="Y202" s="81">
        <f t="shared" si="138"/>
        <v>0</v>
      </c>
      <c r="Z202" s="81">
        <f t="shared" si="138"/>
        <v>0</v>
      </c>
      <c r="AA202" s="81">
        <f t="shared" si="138"/>
        <v>0</v>
      </c>
      <c r="AB202" s="81">
        <f t="shared" si="138"/>
        <v>0</v>
      </c>
      <c r="AC202" s="81">
        <f t="shared" si="138"/>
        <v>0</v>
      </c>
      <c r="AD202" s="81">
        <f t="shared" si="138"/>
        <v>0</v>
      </c>
      <c r="AE202" s="81">
        <f t="shared" si="138"/>
        <v>0</v>
      </c>
      <c r="AF202" s="81">
        <f t="shared" si="138"/>
        <v>0</v>
      </c>
    </row>
    <row r="203" spans="1:34" x14ac:dyDescent="0.25">
      <c r="B203" s="21">
        <f>(B170-B169)^2</f>
        <v>122.80419823996473</v>
      </c>
      <c r="C203" s="21">
        <f t="shared" ref="C203:AF203" si="139">(C170-C169)^2</f>
        <v>145.39444755040751</v>
      </c>
      <c r="D203" s="21">
        <f t="shared" si="139"/>
        <v>144.85298797849273</v>
      </c>
      <c r="E203" s="21">
        <f t="shared" si="139"/>
        <v>144.68919729371655</v>
      </c>
      <c r="F203" s="21">
        <f t="shared" si="139"/>
        <v>144.63930325175073</v>
      </c>
      <c r="G203" s="21">
        <f t="shared" si="139"/>
        <v>144.62477272915513</v>
      </c>
      <c r="H203" s="21">
        <f t="shared" si="139"/>
        <v>144.61799303264496</v>
      </c>
      <c r="I203" s="21">
        <f t="shared" si="139"/>
        <v>144.61751880645795</v>
      </c>
      <c r="J203" s="21">
        <f t="shared" si="139"/>
        <v>144.61229226587992</v>
      </c>
      <c r="K203" s="21">
        <f t="shared" si="139"/>
        <v>144.61330263734396</v>
      </c>
      <c r="L203" s="21">
        <f t="shared" si="139"/>
        <v>144.61614151694002</v>
      </c>
      <c r="M203" s="21">
        <f t="shared" si="139"/>
        <v>144.66196713414871</v>
      </c>
      <c r="N203" s="21">
        <f t="shared" si="139"/>
        <v>145.06844074899126</v>
      </c>
      <c r="O203" s="21">
        <f t="shared" si="139"/>
        <v>149.15961799651836</v>
      </c>
      <c r="P203" s="21">
        <f t="shared" si="139"/>
        <v>190.79118976559747</v>
      </c>
      <c r="Q203" s="21">
        <f t="shared" si="139"/>
        <v>608.16914802693736</v>
      </c>
      <c r="R203" s="21">
        <f t="shared" si="139"/>
        <v>2351.9707955245435</v>
      </c>
      <c r="S203" s="21">
        <f t="shared" si="139"/>
        <v>1398.8569139920698</v>
      </c>
      <c r="T203" s="21">
        <f t="shared" si="139"/>
        <v>1510.0209878330713</v>
      </c>
      <c r="U203" s="21">
        <f t="shared" si="139"/>
        <v>123.49237871805944</v>
      </c>
      <c r="V203" s="21">
        <f t="shared" si="139"/>
        <v>8065.607531456676</v>
      </c>
      <c r="W203" s="21">
        <f t="shared" si="139"/>
        <v>21818.583783432241</v>
      </c>
      <c r="X203" s="21">
        <f t="shared" si="139"/>
        <v>26768.839913910466</v>
      </c>
      <c r="Y203" s="21">
        <f t="shared" si="139"/>
        <v>17064.206590763824</v>
      </c>
      <c r="Z203" s="21">
        <f t="shared" si="139"/>
        <v>7281.7275544040594</v>
      </c>
      <c r="AA203" s="21">
        <f t="shared" si="139"/>
        <v>1086.7659091676157</v>
      </c>
      <c r="AB203" s="21">
        <f t="shared" si="139"/>
        <v>78.402811104410262</v>
      </c>
      <c r="AC203" s="21">
        <f t="shared" si="139"/>
        <v>4804.3227473993766</v>
      </c>
      <c r="AD203" s="21">
        <f t="shared" si="139"/>
        <v>10673.177252250889</v>
      </c>
      <c r="AE203" s="21">
        <f t="shared" si="139"/>
        <v>15680.117159387813</v>
      </c>
      <c r="AF203" s="21">
        <f t="shared" si="139"/>
        <v>17065.295380689535</v>
      </c>
      <c r="AG203" s="3"/>
      <c r="AH203" s="3"/>
    </row>
    <row r="204" spans="1:34" x14ac:dyDescent="0.25">
      <c r="A204" s="72">
        <f>SUM(B204:AF204)</f>
        <v>14832.415112713554</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144.61614151694002</v>
      </c>
      <c r="M204" s="60">
        <f t="shared" ref="M204" si="150">IF($A$64&lt;=M168,IF($B$64&gt;=M168,ABS(M203),0),0)</f>
        <v>144.66196713414871</v>
      </c>
      <c r="N204" s="60">
        <f t="shared" ref="N204" si="151">IF($A$64&lt;=N168,IF($B$64&gt;=N168,ABS(N203),0),0)</f>
        <v>145.06844074899126</v>
      </c>
      <c r="O204" s="60">
        <f t="shared" ref="O204" si="152">IF($A$64&lt;=O168,IF($B$64&gt;=O168,ABS(O203),0),0)</f>
        <v>149.15961799651836</v>
      </c>
      <c r="P204" s="60">
        <f t="shared" ref="P204" si="153">IF($A$64&lt;=P168,IF($B$64&gt;=P168,ABS(P203),0),0)</f>
        <v>190.79118976559747</v>
      </c>
      <c r="Q204" s="60">
        <f t="shared" ref="Q204" si="154">IF($A$64&lt;=Q168,IF($B$64&gt;=Q168,ABS(Q203),0),0)</f>
        <v>608.16914802693736</v>
      </c>
      <c r="R204" s="60">
        <f t="shared" ref="R204" si="155">IF($A$64&lt;=R168,IF($B$64&gt;=R168,ABS(R203),0),0)</f>
        <v>2351.9707955245435</v>
      </c>
      <c r="S204" s="60">
        <f t="shared" ref="S204" si="156">IF($A$64&lt;=S168,IF($B$64&gt;=S168,ABS(S203),0),0)</f>
        <v>1398.8569139920698</v>
      </c>
      <c r="T204" s="60">
        <f t="shared" ref="T204" si="157">IF($A$64&lt;=T168,IF($B$64&gt;=T168,ABS(T203),0),0)</f>
        <v>1510.0209878330713</v>
      </c>
      <c r="U204" s="60">
        <f t="shared" ref="U204" si="158">IF($A$64&lt;=U168,IF($B$64&gt;=U168,ABS(U203),0),0)</f>
        <v>123.49237871805944</v>
      </c>
      <c r="V204" s="60">
        <f t="shared" ref="V204" si="159">IF($A$64&lt;=V168,IF($B$64&gt;=V168,ABS(V203),0),0)</f>
        <v>8065.607531456676</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1" t="s">
        <v>22</v>
      </c>
      <c r="B209" s="27">
        <f>($C$17+SUM(B210:B240))*$B$51</f>
        <v>5924.3223454632571</v>
      </c>
      <c r="C209" s="27">
        <f t="shared" ref="C209:AF209" si="170">($C$17+SUM(C210:C240))*$B$51</f>
        <v>5924.3223454632143</v>
      </c>
      <c r="D209" s="27">
        <f t="shared" si="170"/>
        <v>5924.3223454627732</v>
      </c>
      <c r="E209" s="27">
        <f t="shared" si="170"/>
        <v>5924.3223454583667</v>
      </c>
      <c r="F209" s="27">
        <f t="shared" si="170"/>
        <v>5924.3223454142981</v>
      </c>
      <c r="G209" s="27">
        <f t="shared" si="170"/>
        <v>5924.3223449736115</v>
      </c>
      <c r="H209" s="27">
        <f t="shared" si="170"/>
        <v>5924.322340566745</v>
      </c>
      <c r="I209" s="27">
        <f t="shared" si="170"/>
        <v>5924.3222964980905</v>
      </c>
      <c r="J209" s="27">
        <f t="shared" si="170"/>
        <v>5924.3218558128101</v>
      </c>
      <c r="K209" s="27">
        <f t="shared" si="170"/>
        <v>5924.3174490861356</v>
      </c>
      <c r="L209" s="27">
        <f t="shared" si="170"/>
        <v>5924.273394424823</v>
      </c>
      <c r="M209" s="27">
        <f t="shared" si="170"/>
        <v>5923.8341013483578</v>
      </c>
      <c r="N209" s="27">
        <f t="shared" si="170"/>
        <v>5919.5598759324739</v>
      </c>
      <c r="O209" s="27">
        <f t="shared" si="170"/>
        <v>5884.4852981189197</v>
      </c>
      <c r="P209" s="27">
        <f t="shared" si="170"/>
        <v>5736.6436264091753</v>
      </c>
      <c r="Q209" s="27">
        <f t="shared" si="170"/>
        <v>5604.8194074968133</v>
      </c>
      <c r="R209" s="27">
        <f t="shared" si="170"/>
        <v>5433.8867655194272</v>
      </c>
      <c r="S209" s="27">
        <f t="shared" si="170"/>
        <v>5249.6862245846687</v>
      </c>
      <c r="T209" s="27">
        <f t="shared" si="170"/>
        <v>5052.0033107781264</v>
      </c>
      <c r="U209" s="27">
        <f t="shared" si="170"/>
        <v>4804.403102867549</v>
      </c>
      <c r="V209" s="27">
        <f t="shared" si="170"/>
        <v>4502.3848903677599</v>
      </c>
      <c r="W209" s="27">
        <f t="shared" si="170"/>
        <v>4175.8347838945965</v>
      </c>
      <c r="X209" s="27">
        <f t="shared" si="170"/>
        <v>3849.6344288428841</v>
      </c>
      <c r="Y209" s="27">
        <f t="shared" si="170"/>
        <v>3512.7453831258854</v>
      </c>
      <c r="Z209" s="27">
        <f t="shared" si="170"/>
        <v>3172.9278318923157</v>
      </c>
      <c r="AA209" s="27">
        <f t="shared" si="170"/>
        <v>2692.224270454135</v>
      </c>
      <c r="AB209" s="27">
        <f t="shared" si="170"/>
        <v>2179.4694892500579</v>
      </c>
      <c r="AC209" s="27">
        <f t="shared" si="170"/>
        <v>1605.8689972816637</v>
      </c>
      <c r="AD209" s="27">
        <f t="shared" si="170"/>
        <v>1007.0080957132892</v>
      </c>
      <c r="AE209" s="27">
        <f t="shared" si="170"/>
        <v>598.60081527392697</v>
      </c>
      <c r="AF209" s="27">
        <f t="shared" si="170"/>
        <v>330.88958615377089</v>
      </c>
      <c r="AG209" s="27"/>
      <c r="AH209" s="27"/>
    </row>
    <row r="210" spans="1:34" x14ac:dyDescent="0.25">
      <c r="B210" s="3">
        <f t="shared" ref="B210:AF210" si="171">$C18*EXP(-B$207/$A18/EXP(-$D$126))</f>
        <v>7.6255133538023972E-89</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0</v>
      </c>
      <c r="C214" s="3">
        <f t="shared" si="175"/>
        <v>0</v>
      </c>
      <c r="D214" s="3">
        <f t="shared" si="175"/>
        <v>0</v>
      </c>
      <c r="E214" s="3">
        <f t="shared" si="175"/>
        <v>0</v>
      </c>
      <c r="F214" s="3">
        <f t="shared" si="175"/>
        <v>0</v>
      </c>
      <c r="G214" s="3">
        <f t="shared" si="175"/>
        <v>0</v>
      </c>
      <c r="H214" s="3">
        <f t="shared" si="175"/>
        <v>0</v>
      </c>
      <c r="I214" s="3">
        <f t="shared" si="175"/>
        <v>0</v>
      </c>
      <c r="J214" s="3">
        <f t="shared" si="175"/>
        <v>0</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0</v>
      </c>
      <c r="C215" s="3">
        <f t="shared" si="176"/>
        <v>0</v>
      </c>
      <c r="D215" s="3">
        <f t="shared" si="176"/>
        <v>0</v>
      </c>
      <c r="E215" s="3">
        <f t="shared" si="176"/>
        <v>0</v>
      </c>
      <c r="F215" s="3">
        <f t="shared" si="176"/>
        <v>0</v>
      </c>
      <c r="G215" s="3">
        <f t="shared" si="176"/>
        <v>0</v>
      </c>
      <c r="H215" s="3">
        <f t="shared" si="176"/>
        <v>0</v>
      </c>
      <c r="I215" s="3">
        <f t="shared" si="176"/>
        <v>0</v>
      </c>
      <c r="J215" s="3">
        <f t="shared" si="176"/>
        <v>0</v>
      </c>
      <c r="K215" s="3">
        <f t="shared" si="176"/>
        <v>0</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0</v>
      </c>
      <c r="C216" s="3">
        <f t="shared" si="177"/>
        <v>0</v>
      </c>
      <c r="D216" s="3">
        <f t="shared" si="177"/>
        <v>0</v>
      </c>
      <c r="E216" s="3">
        <f t="shared" si="177"/>
        <v>0</v>
      </c>
      <c r="F216" s="3">
        <f t="shared" si="177"/>
        <v>0</v>
      </c>
      <c r="G216" s="3">
        <f t="shared" si="177"/>
        <v>0</v>
      </c>
      <c r="H216" s="3">
        <f t="shared" si="177"/>
        <v>0</v>
      </c>
      <c r="I216" s="3">
        <f t="shared" si="177"/>
        <v>0</v>
      </c>
      <c r="J216" s="3">
        <f t="shared" si="177"/>
        <v>0</v>
      </c>
      <c r="K216" s="3">
        <f t="shared" si="177"/>
        <v>0</v>
      </c>
      <c r="L216" s="3">
        <f t="shared" si="177"/>
        <v>0</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0</v>
      </c>
      <c r="C217" s="3">
        <f t="shared" si="178"/>
        <v>0</v>
      </c>
      <c r="D217" s="3">
        <f t="shared" si="178"/>
        <v>0</v>
      </c>
      <c r="E217" s="3">
        <f t="shared" si="178"/>
        <v>0</v>
      </c>
      <c r="F217" s="3">
        <f t="shared" si="178"/>
        <v>0</v>
      </c>
      <c r="G217" s="3">
        <f t="shared" si="178"/>
        <v>0</v>
      </c>
      <c r="H217" s="3">
        <f t="shared" si="178"/>
        <v>0</v>
      </c>
      <c r="I217" s="3">
        <f t="shared" si="178"/>
        <v>0</v>
      </c>
      <c r="J217" s="3">
        <f t="shared" si="178"/>
        <v>0</v>
      </c>
      <c r="K217" s="3">
        <f t="shared" si="178"/>
        <v>0</v>
      </c>
      <c r="L217" s="3">
        <f t="shared" si="178"/>
        <v>0</v>
      </c>
      <c r="M217" s="3">
        <f t="shared" si="178"/>
        <v>0</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0</v>
      </c>
      <c r="C218" s="3">
        <f t="shared" si="179"/>
        <v>0</v>
      </c>
      <c r="D218" s="3">
        <f t="shared" si="179"/>
        <v>0</v>
      </c>
      <c r="E218" s="3">
        <f t="shared" si="179"/>
        <v>0</v>
      </c>
      <c r="F218" s="3">
        <f t="shared" si="179"/>
        <v>0</v>
      </c>
      <c r="G218" s="3">
        <f t="shared" si="179"/>
        <v>0</v>
      </c>
      <c r="H218" s="3">
        <f t="shared" si="179"/>
        <v>0</v>
      </c>
      <c r="I218" s="3">
        <f t="shared" si="179"/>
        <v>0</v>
      </c>
      <c r="J218" s="3">
        <f t="shared" si="179"/>
        <v>0</v>
      </c>
      <c r="K218" s="3">
        <f t="shared" si="179"/>
        <v>0</v>
      </c>
      <c r="L218" s="3">
        <f t="shared" si="179"/>
        <v>0</v>
      </c>
      <c r="M218" s="3">
        <f t="shared" si="179"/>
        <v>0</v>
      </c>
      <c r="N218" s="3">
        <f t="shared" si="179"/>
        <v>0</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7.2761897872485699E-4</v>
      </c>
      <c r="C219" s="3">
        <f t="shared" si="180"/>
        <v>7.2761897872341511E-4</v>
      </c>
      <c r="D219" s="3">
        <f t="shared" si="180"/>
        <v>7.2761897870899674E-4</v>
      </c>
      <c r="E219" s="3">
        <f t="shared" si="180"/>
        <v>7.2761897856481379E-4</v>
      </c>
      <c r="F219" s="3">
        <f t="shared" si="180"/>
        <v>7.2761897712298363E-4</v>
      </c>
      <c r="G219" s="3">
        <f t="shared" si="180"/>
        <v>7.2761896270468189E-4</v>
      </c>
      <c r="H219" s="3">
        <f t="shared" si="180"/>
        <v>7.2761881852168074E-4</v>
      </c>
      <c r="I219" s="3">
        <f t="shared" si="180"/>
        <v>7.2761737669324133E-4</v>
      </c>
      <c r="J219" s="3">
        <f t="shared" si="180"/>
        <v>7.2760295856598564E-4</v>
      </c>
      <c r="K219" s="3">
        <f t="shared" si="180"/>
        <v>7.2745879300615309E-4</v>
      </c>
      <c r="L219" s="3">
        <f t="shared" si="180"/>
        <v>7.260187075289427E-4</v>
      </c>
      <c r="M219" s="3">
        <f t="shared" si="180"/>
        <v>7.117737197600986E-4</v>
      </c>
      <c r="N219" s="3">
        <f t="shared" si="180"/>
        <v>5.8382585386701491E-4</v>
      </c>
      <c r="O219" s="3">
        <f t="shared" si="180"/>
        <v>8.0481686081065919E-5</v>
      </c>
      <c r="P219" s="3">
        <f t="shared" si="180"/>
        <v>1.9945020946516773E-13</v>
      </c>
      <c r="Q219" s="3">
        <f t="shared" si="180"/>
        <v>1.7426445083133138E-99</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3.1446025257016397E-2</v>
      </c>
      <c r="C220" s="3">
        <f t="shared" si="181"/>
        <v>3.1446025257010776E-2</v>
      </c>
      <c r="D220" s="3">
        <f t="shared" si="181"/>
        <v>3.1446025256954564E-2</v>
      </c>
      <c r="E220" s="3">
        <f t="shared" si="181"/>
        <v>3.1446025256392451E-2</v>
      </c>
      <c r="F220" s="3">
        <f t="shared" si="181"/>
        <v>3.1446025250771337E-2</v>
      </c>
      <c r="G220" s="3">
        <f t="shared" si="181"/>
        <v>3.144602519456019E-2</v>
      </c>
      <c r="H220" s="3">
        <f t="shared" si="181"/>
        <v>3.1446024632448735E-2</v>
      </c>
      <c r="I220" s="3">
        <f t="shared" si="181"/>
        <v>3.1446019011334675E-2</v>
      </c>
      <c r="J220" s="3">
        <f t="shared" si="181"/>
        <v>3.1445962800249382E-2</v>
      </c>
      <c r="K220" s="3">
        <f t="shared" si="181"/>
        <v>3.1445400694922812E-2</v>
      </c>
      <c r="L220" s="3">
        <f t="shared" si="181"/>
        <v>3.1439780194255841E-2</v>
      </c>
      <c r="M220" s="3">
        <f t="shared" si="181"/>
        <v>3.1383630410931153E-2</v>
      </c>
      <c r="N220" s="3">
        <f t="shared" si="181"/>
        <v>3.0827618561932359E-2</v>
      </c>
      <c r="O220" s="3">
        <f t="shared" si="181"/>
        <v>2.5781485479249994E-2</v>
      </c>
      <c r="P220" s="3">
        <f t="shared" si="181"/>
        <v>4.3150669593545847E-3</v>
      </c>
      <c r="Q220" s="3">
        <f t="shared" si="181"/>
        <v>7.4436091803104244E-11</v>
      </c>
      <c r="R220" s="3">
        <f t="shared" si="181"/>
        <v>1.7367759563880037E-88</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1.9599632072183418E-2</v>
      </c>
      <c r="C221" s="3">
        <f t="shared" si="182"/>
        <v>1.9599632072183102E-2</v>
      </c>
      <c r="D221" s="3">
        <f t="shared" si="182"/>
        <v>1.9599632072179941E-2</v>
      </c>
      <c r="E221" s="3">
        <f t="shared" si="182"/>
        <v>1.9599632072148335E-2</v>
      </c>
      <c r="F221" s="3">
        <f t="shared" si="182"/>
        <v>1.9599632071832289E-2</v>
      </c>
      <c r="G221" s="3">
        <f t="shared" si="182"/>
        <v>1.9599632068671824E-2</v>
      </c>
      <c r="H221" s="3">
        <f t="shared" si="182"/>
        <v>1.9599632037067157E-2</v>
      </c>
      <c r="I221" s="3">
        <f t="shared" si="182"/>
        <v>1.9599631721020506E-2</v>
      </c>
      <c r="J221" s="3">
        <f t="shared" si="182"/>
        <v>1.9599628560554288E-2</v>
      </c>
      <c r="K221" s="3">
        <f t="shared" si="182"/>
        <v>1.9599596955920111E-2</v>
      </c>
      <c r="L221" s="3">
        <f t="shared" si="182"/>
        <v>1.9599280912381282E-2</v>
      </c>
      <c r="M221" s="3">
        <f t="shared" si="182"/>
        <v>1.9596120757270574E-2</v>
      </c>
      <c r="N221" s="3">
        <f t="shared" si="182"/>
        <v>1.9564547217207358E-2</v>
      </c>
      <c r="O221" s="3">
        <f t="shared" si="182"/>
        <v>1.9251596280575628E-2</v>
      </c>
      <c r="P221" s="3">
        <f t="shared" si="182"/>
        <v>1.6384612980612417E-2</v>
      </c>
      <c r="Q221" s="3">
        <f t="shared" si="182"/>
        <v>3.2668606148890411E-3</v>
      </c>
      <c r="R221" s="3">
        <f t="shared" si="182"/>
        <v>3.2439547079672612E-10</v>
      </c>
      <c r="S221" s="3">
        <f t="shared" si="182"/>
        <v>3.0235457937676157E-80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3.251621456449303E-2</v>
      </c>
      <c r="C222" s="3">
        <f t="shared" si="183"/>
        <v>3.2516214564492982E-2</v>
      </c>
      <c r="D222" s="3">
        <f t="shared" si="183"/>
        <v>3.251621456449251E-2</v>
      </c>
      <c r="E222" s="3">
        <f t="shared" si="183"/>
        <v>3.2516214564487785E-2</v>
      </c>
      <c r="F222" s="3">
        <f t="shared" si="183"/>
        <v>3.2516214564440482E-2</v>
      </c>
      <c r="G222" s="3">
        <f t="shared" si="183"/>
        <v>3.2516214563967499E-2</v>
      </c>
      <c r="H222" s="3">
        <f t="shared" si="183"/>
        <v>3.2516214559237616E-2</v>
      </c>
      <c r="I222" s="3">
        <f t="shared" si="183"/>
        <v>3.2516214511938847E-2</v>
      </c>
      <c r="J222" s="3">
        <f t="shared" si="183"/>
        <v>3.2516214038951149E-2</v>
      </c>
      <c r="K222" s="3">
        <f t="shared" si="183"/>
        <v>3.2516209309074555E-2</v>
      </c>
      <c r="L222" s="3">
        <f t="shared" si="183"/>
        <v>3.2516162010346447E-2</v>
      </c>
      <c r="M222" s="3">
        <f t="shared" si="183"/>
        <v>3.2515689026849419E-2</v>
      </c>
      <c r="N222" s="3">
        <f t="shared" si="183"/>
        <v>3.2510959570266368E-2</v>
      </c>
      <c r="O222" s="3">
        <f t="shared" si="183"/>
        <v>3.2463702822798438E-2</v>
      </c>
      <c r="P222" s="3">
        <f t="shared" si="183"/>
        <v>3.1994896909120184E-2</v>
      </c>
      <c r="Q222" s="3">
        <f t="shared" si="183"/>
        <v>2.7663512691916387E-2</v>
      </c>
      <c r="R222" s="3">
        <f t="shared" si="183"/>
        <v>6.4591211525471016E-3</v>
      </c>
      <c r="S222" s="3">
        <f t="shared" si="183"/>
        <v>3.1105306137814388E-9</v>
      </c>
      <c r="T222" s="3">
        <f t="shared" si="183"/>
        <v>2.086627728025949E-72</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3.2163923063268561E-2</v>
      </c>
      <c r="C223" s="3">
        <f t="shared" si="184"/>
        <v>3.2163923063268554E-2</v>
      </c>
      <c r="D223" s="3">
        <f t="shared" si="184"/>
        <v>3.2163923063268512E-2</v>
      </c>
      <c r="E223" s="3">
        <f t="shared" si="184"/>
        <v>3.2163923063268096E-2</v>
      </c>
      <c r="F223" s="3">
        <f t="shared" si="184"/>
        <v>3.216392306326387E-2</v>
      </c>
      <c r="G223" s="3">
        <f t="shared" si="184"/>
        <v>3.2163923063221668E-2</v>
      </c>
      <c r="H223" s="3">
        <f t="shared" si="184"/>
        <v>3.2163923062799617E-2</v>
      </c>
      <c r="I223" s="3">
        <f t="shared" si="184"/>
        <v>3.2163923058579097E-2</v>
      </c>
      <c r="J223" s="3">
        <f t="shared" si="184"/>
        <v>3.2163923016373948E-2</v>
      </c>
      <c r="K223" s="3">
        <f t="shared" si="184"/>
        <v>3.2163922594322429E-2</v>
      </c>
      <c r="L223" s="3">
        <f t="shared" si="184"/>
        <v>3.2163918373807519E-2</v>
      </c>
      <c r="M223" s="3">
        <f t="shared" si="184"/>
        <v>3.2163876168688911E-2</v>
      </c>
      <c r="N223" s="3">
        <f t="shared" si="184"/>
        <v>3.2163454120548732E-2</v>
      </c>
      <c r="O223" s="3">
        <f t="shared" si="184"/>
        <v>3.215923394372687E-2</v>
      </c>
      <c r="P223" s="3">
        <f t="shared" si="184"/>
        <v>3.211706261871252E-2</v>
      </c>
      <c r="Q223" s="3">
        <f t="shared" si="184"/>
        <v>3.1698378960254681E-2</v>
      </c>
      <c r="R223" s="3">
        <f t="shared" si="184"/>
        <v>2.7800294738059596E-2</v>
      </c>
      <c r="S223" s="3">
        <f t="shared" si="184"/>
        <v>7.4846737014847486E-3</v>
      </c>
      <c r="T223" s="3">
        <f t="shared" si="184"/>
        <v>1.49764053587697E-8</v>
      </c>
      <c r="U223" s="3">
        <f t="shared" si="184"/>
        <v>1.5408300240866979E-65</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3.3900572605001088E-2</v>
      </c>
      <c r="C224" s="3">
        <f t="shared" si="185"/>
        <v>3.3900572605001088E-2</v>
      </c>
      <c r="D224" s="3">
        <f t="shared" si="185"/>
        <v>3.3900572605001081E-2</v>
      </c>
      <c r="E224" s="3">
        <f t="shared" si="185"/>
        <v>3.3900572605001039E-2</v>
      </c>
      <c r="F224" s="3">
        <f t="shared" si="185"/>
        <v>3.3900572605000644E-2</v>
      </c>
      <c r="G224" s="3">
        <f t="shared" si="185"/>
        <v>3.3900572604996626E-2</v>
      </c>
      <c r="H224" s="3">
        <f t="shared" si="185"/>
        <v>3.3900572604956498E-2</v>
      </c>
      <c r="I224" s="3">
        <f t="shared" si="185"/>
        <v>3.3900572604555215E-2</v>
      </c>
      <c r="J224" s="3">
        <f t="shared" si="185"/>
        <v>3.390057260054239E-2</v>
      </c>
      <c r="K224" s="3">
        <f t="shared" si="185"/>
        <v>3.3900572560414156E-2</v>
      </c>
      <c r="L224" s="3">
        <f t="shared" si="185"/>
        <v>3.3900572159131788E-2</v>
      </c>
      <c r="M224" s="3">
        <f t="shared" si="185"/>
        <v>3.3900568146308339E-2</v>
      </c>
      <c r="N224" s="3">
        <f t="shared" si="185"/>
        <v>3.3900528018100028E-2</v>
      </c>
      <c r="O224" s="3">
        <f t="shared" si="185"/>
        <v>3.3900126738629341E-2</v>
      </c>
      <c r="P224" s="3">
        <f t="shared" si="185"/>
        <v>3.3896114205159457E-2</v>
      </c>
      <c r="Q224" s="3">
        <f t="shared" si="185"/>
        <v>3.3856014982722914E-2</v>
      </c>
      <c r="R224" s="3">
        <f t="shared" si="185"/>
        <v>3.3457622584307192E-2</v>
      </c>
      <c r="S224" s="3">
        <f t="shared" si="185"/>
        <v>2.9722646343791317E-2</v>
      </c>
      <c r="T224" s="3">
        <f t="shared" si="185"/>
        <v>9.0993723340802701E-3</v>
      </c>
      <c r="U224" s="3">
        <f t="shared" si="185"/>
        <v>6.5803812633724009E-8</v>
      </c>
      <c r="V224" s="3">
        <f t="shared" si="185"/>
        <v>2.5742295229335039E-59</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4.6234934193755559E-2</v>
      </c>
      <c r="C225" s="3">
        <f t="shared" si="186"/>
        <v>4.6234934193755559E-2</v>
      </c>
      <c r="D225" s="3">
        <f t="shared" si="186"/>
        <v>4.6234934193755559E-2</v>
      </c>
      <c r="E225" s="3">
        <f t="shared" si="186"/>
        <v>4.6234934193755552E-2</v>
      </c>
      <c r="F225" s="3">
        <f t="shared" si="186"/>
        <v>4.6234934193755503E-2</v>
      </c>
      <c r="G225" s="3">
        <f t="shared" si="186"/>
        <v>4.623493419375501E-2</v>
      </c>
      <c r="H225" s="3">
        <f t="shared" si="186"/>
        <v>4.623493419375007E-2</v>
      </c>
      <c r="I225" s="3">
        <f t="shared" si="186"/>
        <v>4.62349341937007E-2</v>
      </c>
      <c r="J225" s="3">
        <f t="shared" si="186"/>
        <v>4.6234934193207011E-2</v>
      </c>
      <c r="K225" s="3">
        <f t="shared" si="186"/>
        <v>4.6234934188270044E-2</v>
      </c>
      <c r="L225" s="3">
        <f t="shared" si="186"/>
        <v>4.623493413890041E-2</v>
      </c>
      <c r="M225" s="3">
        <f t="shared" si="186"/>
        <v>4.6234933645204097E-2</v>
      </c>
      <c r="N225" s="3">
        <f t="shared" si="186"/>
        <v>4.6234928708241287E-2</v>
      </c>
      <c r="O225" s="3">
        <f t="shared" si="186"/>
        <v>4.6234879338642135E-2</v>
      </c>
      <c r="P225" s="3">
        <f t="shared" si="186"/>
        <v>4.6234385645549991E-2</v>
      </c>
      <c r="Q225" s="3">
        <f t="shared" si="186"/>
        <v>4.6229449004558616E-2</v>
      </c>
      <c r="R225" s="3">
        <f t="shared" si="186"/>
        <v>4.6180111576192999E-2</v>
      </c>
      <c r="S225" s="3">
        <f t="shared" si="186"/>
        <v>4.5689624029789218E-2</v>
      </c>
      <c r="T225" s="3">
        <f t="shared" si="186"/>
        <v>4.1062335684890802E-2</v>
      </c>
      <c r="U225" s="3">
        <f t="shared" si="186"/>
        <v>1.4115760977711724E-2</v>
      </c>
      <c r="V225" s="3">
        <f t="shared" si="186"/>
        <v>3.253200001919229E-7</v>
      </c>
      <c r="W225" s="3">
        <f t="shared" si="186"/>
        <v>1.3752303376522462E-53</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5.6671396993887152E-2</v>
      </c>
      <c r="C226" s="3">
        <f t="shared" si="187"/>
        <v>5.6671396993887152E-2</v>
      </c>
      <c r="D226" s="3">
        <f t="shared" si="187"/>
        <v>5.6671396993887152E-2</v>
      </c>
      <c r="E226" s="3">
        <f t="shared" si="187"/>
        <v>5.6671396993887152E-2</v>
      </c>
      <c r="F226" s="3">
        <f t="shared" si="187"/>
        <v>5.6671396993887145E-2</v>
      </c>
      <c r="G226" s="3">
        <f t="shared" si="187"/>
        <v>5.667139699388709E-2</v>
      </c>
      <c r="H226" s="3">
        <f t="shared" si="187"/>
        <v>5.6671396993886548E-2</v>
      </c>
      <c r="I226" s="3">
        <f t="shared" si="187"/>
        <v>5.6671396993881087E-2</v>
      </c>
      <c r="J226" s="3">
        <f t="shared" si="187"/>
        <v>5.6671396993826499E-2</v>
      </c>
      <c r="K226" s="3">
        <f t="shared" si="187"/>
        <v>5.6671396993280616E-2</v>
      </c>
      <c r="L226" s="3">
        <f t="shared" si="187"/>
        <v>5.6671396987821782E-2</v>
      </c>
      <c r="M226" s="3">
        <f t="shared" si="187"/>
        <v>5.6671396933233406E-2</v>
      </c>
      <c r="N226" s="3">
        <f t="shared" si="187"/>
        <v>5.6671396387349679E-2</v>
      </c>
      <c r="O226" s="3">
        <f t="shared" si="187"/>
        <v>5.6671390928512706E-2</v>
      </c>
      <c r="P226" s="3">
        <f t="shared" si="187"/>
        <v>5.6671336340171886E-2</v>
      </c>
      <c r="Q226" s="3">
        <f t="shared" si="187"/>
        <v>5.6670790459655666E-2</v>
      </c>
      <c r="R226" s="3">
        <f t="shared" si="187"/>
        <v>5.6665331943682534E-2</v>
      </c>
      <c r="S226" s="3">
        <f t="shared" si="187"/>
        <v>5.6610775692554134E-2</v>
      </c>
      <c r="T226" s="3">
        <f t="shared" si="187"/>
        <v>5.6068093765016237E-2</v>
      </c>
      <c r="U226" s="3">
        <f t="shared" si="187"/>
        <v>5.0919325640485999E-2</v>
      </c>
      <c r="V226" s="3">
        <f t="shared" si="187"/>
        <v>1.9433506385635606E-2</v>
      </c>
      <c r="W226" s="3">
        <f t="shared" si="187"/>
        <v>1.2741964993094456E-6</v>
      </c>
      <c r="X226" s="3">
        <f t="shared" si="187"/>
        <v>1.8710647182617591E-48</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5.870573738309863E-2</v>
      </c>
      <c r="C227" s="3">
        <f t="shared" si="188"/>
        <v>5.870573738309863E-2</v>
      </c>
      <c r="D227" s="3">
        <f t="shared" si="188"/>
        <v>5.870573738309863E-2</v>
      </c>
      <c r="E227" s="3">
        <f t="shared" si="188"/>
        <v>5.870573738309863E-2</v>
      </c>
      <c r="F227" s="3">
        <f t="shared" si="188"/>
        <v>5.870573738309863E-2</v>
      </c>
      <c r="G227" s="3">
        <f t="shared" si="188"/>
        <v>5.8705737383098623E-2</v>
      </c>
      <c r="H227" s="3">
        <f t="shared" si="188"/>
        <v>5.8705737383098575E-2</v>
      </c>
      <c r="I227" s="3">
        <f t="shared" si="188"/>
        <v>5.8705737383098061E-2</v>
      </c>
      <c r="J227" s="3">
        <f t="shared" si="188"/>
        <v>5.8705737383092961E-2</v>
      </c>
      <c r="K227" s="3">
        <f t="shared" si="188"/>
        <v>5.8705737383041953E-2</v>
      </c>
      <c r="L227" s="3">
        <f t="shared" si="188"/>
        <v>5.870573738253184E-2</v>
      </c>
      <c r="M227" s="3">
        <f t="shared" si="188"/>
        <v>5.8705737377430747E-2</v>
      </c>
      <c r="N227" s="3">
        <f t="shared" si="188"/>
        <v>5.8705737326419802E-2</v>
      </c>
      <c r="O227" s="3">
        <f t="shared" si="188"/>
        <v>5.8705736816310354E-2</v>
      </c>
      <c r="P227" s="3">
        <f t="shared" si="188"/>
        <v>5.870573171521612E-2</v>
      </c>
      <c r="Q227" s="3">
        <f t="shared" si="188"/>
        <v>5.8705680704298102E-2</v>
      </c>
      <c r="R227" s="3">
        <f t="shared" si="188"/>
        <v>5.8705170597555825E-2</v>
      </c>
      <c r="S227" s="3">
        <f t="shared" si="188"/>
        <v>5.8700069773910443E-2</v>
      </c>
      <c r="T227" s="3">
        <f t="shared" si="188"/>
        <v>5.8649085907356825E-2</v>
      </c>
      <c r="U227" s="3">
        <f t="shared" si="188"/>
        <v>5.8141676415033754E-2</v>
      </c>
      <c r="V227" s="3">
        <f t="shared" si="188"/>
        <v>5.33028671706424E-2</v>
      </c>
      <c r="W227" s="3">
        <f t="shared" si="188"/>
        <v>2.2355314153267199E-2</v>
      </c>
      <c r="X227" s="3">
        <f t="shared" si="188"/>
        <v>3.7642880210238488E-6</v>
      </c>
      <c r="Y227" s="3">
        <f t="shared" si="188"/>
        <v>6.8976877364114697E-44</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5.620235606497212E-2</v>
      </c>
      <c r="C228" s="3">
        <f t="shared" si="189"/>
        <v>5.620235606497212E-2</v>
      </c>
      <c r="D228" s="3">
        <f t="shared" si="189"/>
        <v>5.620235606497212E-2</v>
      </c>
      <c r="E228" s="3">
        <f t="shared" si="189"/>
        <v>5.620235606497212E-2</v>
      </c>
      <c r="F228" s="3">
        <f t="shared" si="189"/>
        <v>5.620235606497212E-2</v>
      </c>
      <c r="G228" s="3">
        <f t="shared" si="189"/>
        <v>5.620235606497212E-2</v>
      </c>
      <c r="H228" s="3">
        <f t="shared" si="189"/>
        <v>5.6202356064972113E-2</v>
      </c>
      <c r="I228" s="3">
        <f t="shared" si="189"/>
        <v>5.6202356064972071E-2</v>
      </c>
      <c r="J228" s="3">
        <f t="shared" si="189"/>
        <v>5.6202356064971634E-2</v>
      </c>
      <c r="K228" s="3">
        <f t="shared" si="189"/>
        <v>5.6202356064967228E-2</v>
      </c>
      <c r="L228" s="3">
        <f t="shared" si="189"/>
        <v>5.6202356064923166E-2</v>
      </c>
      <c r="M228" s="3">
        <f t="shared" si="189"/>
        <v>5.6202356064482636E-2</v>
      </c>
      <c r="N228" s="3">
        <f t="shared" si="189"/>
        <v>5.6202356060077244E-2</v>
      </c>
      <c r="O228" s="3">
        <f t="shared" si="189"/>
        <v>5.6202356016023393E-2</v>
      </c>
      <c r="P228" s="3">
        <f t="shared" si="189"/>
        <v>5.6202355575484822E-2</v>
      </c>
      <c r="Q228" s="3">
        <f t="shared" si="189"/>
        <v>5.6202351170099356E-2</v>
      </c>
      <c r="R228" s="3">
        <f t="shared" si="189"/>
        <v>5.6202307116263686E-2</v>
      </c>
      <c r="S228" s="3">
        <f t="shared" si="189"/>
        <v>5.6201866579806206E-2</v>
      </c>
      <c r="T228" s="3">
        <f t="shared" si="189"/>
        <v>5.6197461405147607E-2</v>
      </c>
      <c r="U228" s="3">
        <f t="shared" si="189"/>
        <v>5.6153428644676172E-2</v>
      </c>
      <c r="V228" s="3">
        <f t="shared" si="189"/>
        <v>5.5714994156549069E-2</v>
      </c>
      <c r="W228" s="3">
        <f t="shared" si="189"/>
        <v>5.1514583699457127E-2</v>
      </c>
      <c r="X228" s="3">
        <f t="shared" si="189"/>
        <v>2.3524004129872173E-2</v>
      </c>
      <c r="Y228" s="3">
        <f t="shared" si="189"/>
        <v>9.275167712979206E-6</v>
      </c>
      <c r="Z228" s="3">
        <f t="shared" si="189"/>
        <v>8.4222283839126646E-40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6.3415296184233166E-2</v>
      </c>
      <c r="C229" s="3">
        <f t="shared" si="190"/>
        <v>6.3415296184233166E-2</v>
      </c>
      <c r="D229" s="3">
        <f t="shared" si="190"/>
        <v>6.3415296184233166E-2</v>
      </c>
      <c r="E229" s="3">
        <f t="shared" si="190"/>
        <v>6.3415296184233166E-2</v>
      </c>
      <c r="F229" s="3">
        <f t="shared" si="190"/>
        <v>6.3415296184233166E-2</v>
      </c>
      <c r="G229" s="3">
        <f t="shared" si="190"/>
        <v>6.3415296184233166E-2</v>
      </c>
      <c r="H229" s="3">
        <f t="shared" si="190"/>
        <v>6.3415296184233166E-2</v>
      </c>
      <c r="I229" s="3">
        <f t="shared" si="190"/>
        <v>6.3415296184233153E-2</v>
      </c>
      <c r="J229" s="3">
        <f t="shared" si="190"/>
        <v>6.3415296184233111E-2</v>
      </c>
      <c r="K229" s="3">
        <f t="shared" si="190"/>
        <v>6.3415296184232667E-2</v>
      </c>
      <c r="L229" s="3">
        <f t="shared" si="190"/>
        <v>6.3415296184228184E-2</v>
      </c>
      <c r="M229" s="3">
        <f t="shared" si="190"/>
        <v>6.3415296184183345E-2</v>
      </c>
      <c r="N229" s="3">
        <f t="shared" si="190"/>
        <v>6.341529618373494E-2</v>
      </c>
      <c r="O229" s="3">
        <f t="shared" si="190"/>
        <v>6.3415296179250888E-2</v>
      </c>
      <c r="P229" s="3">
        <f t="shared" si="190"/>
        <v>6.3415296134410437E-2</v>
      </c>
      <c r="Q229" s="3">
        <f t="shared" si="190"/>
        <v>6.3415295686005874E-2</v>
      </c>
      <c r="R229" s="3">
        <f t="shared" si="190"/>
        <v>6.3415291201960364E-2</v>
      </c>
      <c r="S229" s="3">
        <f t="shared" si="190"/>
        <v>6.3415246361522806E-2</v>
      </c>
      <c r="T229" s="3">
        <f t="shared" si="190"/>
        <v>6.3414797958891017E-2</v>
      </c>
      <c r="U229" s="3">
        <f t="shared" si="190"/>
        <v>6.341031410695297E-2</v>
      </c>
      <c r="V229" s="3">
        <f t="shared" si="190"/>
        <v>6.336549302098804E-2</v>
      </c>
      <c r="W229" s="3">
        <f t="shared" si="190"/>
        <v>6.2919020950511231E-2</v>
      </c>
      <c r="X229" s="3">
        <f t="shared" si="190"/>
        <v>5.862371483338967E-2</v>
      </c>
      <c r="Y229" s="3">
        <f t="shared" si="190"/>
        <v>2.890594182205709E-2</v>
      </c>
      <c r="Z229" s="3">
        <f t="shared" si="190"/>
        <v>2.4554156290650949E-5</v>
      </c>
      <c r="AA229" s="3">
        <f t="shared" si="190"/>
        <v>4.8029042857151415E-36</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3.5348869965799563E-2</v>
      </c>
      <c r="C230" s="3">
        <f t="shared" si="191"/>
        <v>3.5348869965799563E-2</v>
      </c>
      <c r="D230" s="3">
        <f t="shared" si="191"/>
        <v>3.5348869965799563E-2</v>
      </c>
      <c r="E230" s="3">
        <f t="shared" si="191"/>
        <v>3.5348869965799563E-2</v>
      </c>
      <c r="F230" s="3">
        <f t="shared" si="191"/>
        <v>3.5348869965799563E-2</v>
      </c>
      <c r="G230" s="3">
        <f t="shared" si="191"/>
        <v>3.5348869965799563E-2</v>
      </c>
      <c r="H230" s="3">
        <f t="shared" si="191"/>
        <v>3.5348869965799563E-2</v>
      </c>
      <c r="I230" s="3">
        <f t="shared" si="191"/>
        <v>3.5348869965799563E-2</v>
      </c>
      <c r="J230" s="3">
        <f t="shared" si="191"/>
        <v>3.5348869965799556E-2</v>
      </c>
      <c r="K230" s="3">
        <f t="shared" si="191"/>
        <v>3.5348869965799543E-2</v>
      </c>
      <c r="L230" s="3">
        <f t="shared" si="191"/>
        <v>3.5348869965799314E-2</v>
      </c>
      <c r="M230" s="3">
        <f t="shared" si="191"/>
        <v>3.5348869965797058E-2</v>
      </c>
      <c r="N230" s="3">
        <f t="shared" si="191"/>
        <v>3.5348869965774507E-2</v>
      </c>
      <c r="O230" s="3">
        <f t="shared" si="191"/>
        <v>3.5348869965549035E-2</v>
      </c>
      <c r="P230" s="3">
        <f t="shared" si="191"/>
        <v>3.534886996329429E-2</v>
      </c>
      <c r="Q230" s="3">
        <f t="shared" si="191"/>
        <v>3.5348869940746798E-2</v>
      </c>
      <c r="R230" s="3">
        <f t="shared" si="191"/>
        <v>3.5348869715271937E-2</v>
      </c>
      <c r="S230" s="3">
        <f t="shared" si="191"/>
        <v>3.5348867460523403E-2</v>
      </c>
      <c r="T230" s="3">
        <f t="shared" si="191"/>
        <v>3.5348844913045976E-2</v>
      </c>
      <c r="U230" s="3">
        <f t="shared" si="191"/>
        <v>3.5348619439062721E-2</v>
      </c>
      <c r="V230" s="3">
        <f t="shared" si="191"/>
        <v>3.5346364778329337E-2</v>
      </c>
      <c r="W230" s="3">
        <f t="shared" si="191"/>
        <v>3.5323826079047806E-2</v>
      </c>
      <c r="X230" s="3">
        <f t="shared" si="191"/>
        <v>3.5099228028294072E-2</v>
      </c>
      <c r="Y230" s="3">
        <f t="shared" si="191"/>
        <v>3.2930311112873874E-2</v>
      </c>
      <c r="Z230" s="3">
        <f t="shared" si="191"/>
        <v>1.7401172990181599E-2</v>
      </c>
      <c r="AA230" s="3">
        <f t="shared" si="191"/>
        <v>2.9539655871542755E-5</v>
      </c>
      <c r="AB230" s="3">
        <f t="shared" si="191"/>
        <v>5.8704920291467556E-33</v>
      </c>
      <c r="AC230" s="3">
        <f t="shared" si="191"/>
        <v>0</v>
      </c>
      <c r="AD230" s="3">
        <f t="shared" si="191"/>
        <v>0</v>
      </c>
      <c r="AE230" s="3">
        <f t="shared" si="191"/>
        <v>0</v>
      </c>
      <c r="AF230" s="3">
        <f t="shared" si="191"/>
        <v>0</v>
      </c>
      <c r="AG230" s="3"/>
      <c r="AH230" s="3"/>
    </row>
    <row r="231" spans="2:34" x14ac:dyDescent="0.25">
      <c r="B231" s="3">
        <f t="shared" ref="B231:AF231" si="192">$C39*EXP(-B$207/$A39/EXP(-$D$126))</f>
        <v>7.0460456800535406E-2</v>
      </c>
      <c r="C231" s="3">
        <f t="shared" si="192"/>
        <v>7.0460456800535406E-2</v>
      </c>
      <c r="D231" s="3">
        <f t="shared" si="192"/>
        <v>7.0460456800535406E-2</v>
      </c>
      <c r="E231" s="3">
        <f t="shared" si="192"/>
        <v>7.0460456800535406E-2</v>
      </c>
      <c r="F231" s="3">
        <f t="shared" si="192"/>
        <v>7.0460456800535406E-2</v>
      </c>
      <c r="G231" s="3">
        <f t="shared" si="192"/>
        <v>7.0460456800535406E-2</v>
      </c>
      <c r="H231" s="3">
        <f t="shared" si="192"/>
        <v>7.0460456800535406E-2</v>
      </c>
      <c r="I231" s="3">
        <f t="shared" si="192"/>
        <v>7.0460456800535406E-2</v>
      </c>
      <c r="J231" s="3">
        <f t="shared" si="192"/>
        <v>7.0460456800535406E-2</v>
      </c>
      <c r="K231" s="3">
        <f t="shared" si="192"/>
        <v>7.0460456800535393E-2</v>
      </c>
      <c r="L231" s="3">
        <f t="shared" si="192"/>
        <v>7.0460456800535268E-2</v>
      </c>
      <c r="M231" s="3">
        <f t="shared" si="192"/>
        <v>7.0460456800534019E-2</v>
      </c>
      <c r="N231" s="3">
        <f t="shared" si="192"/>
        <v>7.0460456800521598E-2</v>
      </c>
      <c r="O231" s="3">
        <f t="shared" si="192"/>
        <v>7.0460456800397295E-2</v>
      </c>
      <c r="P231" s="3">
        <f t="shared" si="192"/>
        <v>7.0460456799154261E-2</v>
      </c>
      <c r="Q231" s="3">
        <f t="shared" si="192"/>
        <v>7.0460456786723982E-2</v>
      </c>
      <c r="R231" s="3">
        <f t="shared" si="192"/>
        <v>7.0460456662421178E-2</v>
      </c>
      <c r="S231" s="3">
        <f t="shared" si="192"/>
        <v>7.0460455419393192E-2</v>
      </c>
      <c r="T231" s="3">
        <f t="shared" si="192"/>
        <v>7.0460442989114538E-2</v>
      </c>
      <c r="U231" s="3">
        <f t="shared" si="192"/>
        <v>7.0460318686448559E-2</v>
      </c>
      <c r="V231" s="3">
        <f t="shared" si="192"/>
        <v>7.0459075671849558E-2</v>
      </c>
      <c r="W231" s="3">
        <f t="shared" si="192"/>
        <v>7.0446646731860213E-2</v>
      </c>
      <c r="X231" s="3">
        <f t="shared" si="192"/>
        <v>7.0322477853354201E-2</v>
      </c>
      <c r="Y231" s="3">
        <f t="shared" si="192"/>
        <v>6.9092762908309679E-2</v>
      </c>
      <c r="Z231" s="3">
        <f t="shared" si="192"/>
        <v>5.791839359506009E-2</v>
      </c>
      <c r="AA231" s="3">
        <f t="shared" si="192"/>
        <v>9.923296989724625E-3</v>
      </c>
      <c r="AB231" s="3">
        <f t="shared" si="192"/>
        <v>2.1629715329971124E-10</v>
      </c>
      <c r="AC231" s="3">
        <f t="shared" si="192"/>
        <v>5.2359916733335323E-87</v>
      </c>
      <c r="AD231" s="3">
        <f t="shared" si="192"/>
        <v>0</v>
      </c>
      <c r="AE231" s="3">
        <f t="shared" si="192"/>
        <v>0</v>
      </c>
      <c r="AF231" s="3">
        <f t="shared" si="192"/>
        <v>0</v>
      </c>
      <c r="AG231" s="3"/>
      <c r="AH231" s="3"/>
    </row>
    <row r="232" spans="2:34" x14ac:dyDescent="0.25">
      <c r="B232" s="3">
        <f t="shared" ref="B232:AF232" si="193">$C40*EXP(-B$207/$A40/EXP(-$D$126))</f>
        <v>8.6875447409324694E-2</v>
      </c>
      <c r="C232" s="3">
        <f t="shared" si="193"/>
        <v>8.6875447409324694E-2</v>
      </c>
      <c r="D232" s="3">
        <f t="shared" si="193"/>
        <v>8.6875447409324694E-2</v>
      </c>
      <c r="E232" s="3">
        <f t="shared" si="193"/>
        <v>8.6875447409324694E-2</v>
      </c>
      <c r="F232" s="3">
        <f t="shared" si="193"/>
        <v>8.6875447409324694E-2</v>
      </c>
      <c r="G232" s="3">
        <f t="shared" si="193"/>
        <v>8.6875447409324694E-2</v>
      </c>
      <c r="H232" s="3">
        <f t="shared" si="193"/>
        <v>8.6875447409324694E-2</v>
      </c>
      <c r="I232" s="3">
        <f t="shared" si="193"/>
        <v>8.6875447409324694E-2</v>
      </c>
      <c r="J232" s="3">
        <f t="shared" si="193"/>
        <v>8.6875447409324694E-2</v>
      </c>
      <c r="K232" s="3">
        <f t="shared" si="193"/>
        <v>8.6875447409324694E-2</v>
      </c>
      <c r="L232" s="3">
        <f t="shared" si="193"/>
        <v>8.687544740932468E-2</v>
      </c>
      <c r="M232" s="3">
        <f t="shared" si="193"/>
        <v>8.6875447409324513E-2</v>
      </c>
      <c r="N232" s="3">
        <f t="shared" si="193"/>
        <v>8.6875447409322987E-2</v>
      </c>
      <c r="O232" s="3">
        <f t="shared" si="193"/>
        <v>8.6875447409307666E-2</v>
      </c>
      <c r="P232" s="3">
        <f t="shared" si="193"/>
        <v>8.6875447409154399E-2</v>
      </c>
      <c r="Q232" s="3">
        <f t="shared" si="193"/>
        <v>8.6875447407621792E-2</v>
      </c>
      <c r="R232" s="3">
        <f t="shared" si="193"/>
        <v>8.6875447392295663E-2</v>
      </c>
      <c r="S232" s="3">
        <f t="shared" si="193"/>
        <v>8.6875447239034356E-2</v>
      </c>
      <c r="T232" s="3">
        <f t="shared" si="193"/>
        <v>8.6875445706421348E-2</v>
      </c>
      <c r="U232" s="3">
        <f t="shared" si="193"/>
        <v>8.6875430380292787E-2</v>
      </c>
      <c r="V232" s="3">
        <f t="shared" si="193"/>
        <v>8.6875277119155811E-2</v>
      </c>
      <c r="W232" s="3">
        <f t="shared" si="193"/>
        <v>8.6873744522656601E-2</v>
      </c>
      <c r="X232" s="3">
        <f t="shared" si="193"/>
        <v>8.6858420044624129E-2</v>
      </c>
      <c r="Y232" s="3">
        <f t="shared" si="193"/>
        <v>8.6705323863243131E-2</v>
      </c>
      <c r="Z232" s="3">
        <f t="shared" si="193"/>
        <v>8.5189125404026428E-2</v>
      </c>
      <c r="AA232" s="3">
        <f t="shared" si="193"/>
        <v>7.1411492137274601E-2</v>
      </c>
      <c r="AB232" s="3">
        <f t="shared" si="193"/>
        <v>1.2235101855760051E-2</v>
      </c>
      <c r="AC232" s="3">
        <f t="shared" si="193"/>
        <v>2.6668734236949937E-10</v>
      </c>
      <c r="AD232" s="3">
        <f t="shared" si="193"/>
        <v>6.4558071279619186E-87</v>
      </c>
      <c r="AE232" s="3">
        <f t="shared" si="193"/>
        <v>0</v>
      </c>
      <c r="AF232" s="3">
        <f t="shared" si="193"/>
        <v>0</v>
      </c>
      <c r="AG232" s="3"/>
      <c r="AH232" s="3"/>
    </row>
    <row r="233" spans="2:34" x14ac:dyDescent="0.25">
      <c r="B233" s="3">
        <f t="shared" ref="B233:AF233" si="194">$C41*EXP(-B$207/$A41/EXP(-$D$126))</f>
        <v>9.6215979999175721E-2</v>
      </c>
      <c r="C233" s="3">
        <f t="shared" si="194"/>
        <v>9.6215979999175721E-2</v>
      </c>
      <c r="D233" s="3">
        <f t="shared" si="194"/>
        <v>9.6215979999175721E-2</v>
      </c>
      <c r="E233" s="3">
        <f t="shared" si="194"/>
        <v>9.6215979999175721E-2</v>
      </c>
      <c r="F233" s="3">
        <f t="shared" si="194"/>
        <v>9.6215979999175721E-2</v>
      </c>
      <c r="G233" s="3">
        <f t="shared" si="194"/>
        <v>9.6215979999175721E-2</v>
      </c>
      <c r="H233" s="3">
        <f t="shared" si="194"/>
        <v>9.6215979999175721E-2</v>
      </c>
      <c r="I233" s="3">
        <f t="shared" si="194"/>
        <v>9.6215979999175721E-2</v>
      </c>
      <c r="J233" s="3">
        <f t="shared" si="194"/>
        <v>9.6215979999175721E-2</v>
      </c>
      <c r="K233" s="3">
        <f t="shared" si="194"/>
        <v>9.6215979999175721E-2</v>
      </c>
      <c r="L233" s="3">
        <f t="shared" si="194"/>
        <v>9.6215979999175721E-2</v>
      </c>
      <c r="M233" s="3">
        <f t="shared" si="194"/>
        <v>9.6215979999175694E-2</v>
      </c>
      <c r="N233" s="3">
        <f t="shared" si="194"/>
        <v>9.6215979999175527E-2</v>
      </c>
      <c r="O233" s="3">
        <f t="shared" si="194"/>
        <v>9.6215979999173834E-2</v>
      </c>
      <c r="P233" s="3">
        <f t="shared" si="194"/>
        <v>9.6215979999156862E-2</v>
      </c>
      <c r="Q233" s="3">
        <f t="shared" si="194"/>
        <v>9.6215979998987122E-2</v>
      </c>
      <c r="R233" s="3">
        <f t="shared" si="194"/>
        <v>9.621597999728973E-2</v>
      </c>
      <c r="S233" s="3">
        <f t="shared" si="194"/>
        <v>9.6215979980315794E-2</v>
      </c>
      <c r="T233" s="3">
        <f t="shared" si="194"/>
        <v>9.6215979810576377E-2</v>
      </c>
      <c r="U233" s="3">
        <f t="shared" si="194"/>
        <v>9.6215978113182388E-2</v>
      </c>
      <c r="V233" s="3">
        <f t="shared" si="194"/>
        <v>9.6215961139244147E-2</v>
      </c>
      <c r="W233" s="3">
        <f t="shared" si="194"/>
        <v>9.621579140002634E-2</v>
      </c>
      <c r="X233" s="3">
        <f t="shared" si="194"/>
        <v>9.6214094024317645E-2</v>
      </c>
      <c r="Y233" s="3">
        <f t="shared" si="194"/>
        <v>9.6197121914062794E-2</v>
      </c>
      <c r="Z233" s="3">
        <f t="shared" si="194"/>
        <v>9.6027565387276803E-2</v>
      </c>
      <c r="AA233" s="3">
        <f t="shared" si="194"/>
        <v>9.4348350776278248E-2</v>
      </c>
      <c r="AB233" s="3">
        <f t="shared" si="194"/>
        <v>7.9089396418507804E-2</v>
      </c>
      <c r="AC233" s="3">
        <f t="shared" si="194"/>
        <v>1.3550575571658372E-2</v>
      </c>
      <c r="AD233" s="3">
        <f t="shared" si="194"/>
        <v>2.9536059686183473E-10</v>
      </c>
      <c r="AE233" s="3">
        <f t="shared" si="194"/>
        <v>7.1499120640597622E-87</v>
      </c>
      <c r="AF233" s="3">
        <f t="shared" si="194"/>
        <v>0</v>
      </c>
      <c r="AG233" s="3"/>
      <c r="AH233" s="3"/>
    </row>
    <row r="234" spans="2:34" x14ac:dyDescent="0.25">
      <c r="B234" s="3">
        <f t="shared" ref="B234:AF234" si="195">$C42*EXP(-B$207/$A42/EXP(-$D$126))</f>
        <v>0.11161416834614406</v>
      </c>
      <c r="C234" s="3">
        <f t="shared" si="195"/>
        <v>0.11161416834614406</v>
      </c>
      <c r="D234" s="3">
        <f t="shared" si="195"/>
        <v>0.11161416834614406</v>
      </c>
      <c r="E234" s="3">
        <f t="shared" si="195"/>
        <v>0.11161416834614406</v>
      </c>
      <c r="F234" s="3">
        <f t="shared" si="195"/>
        <v>0.11161416834614406</v>
      </c>
      <c r="G234" s="3">
        <f t="shared" si="195"/>
        <v>0.11161416834614406</v>
      </c>
      <c r="H234" s="3">
        <f t="shared" si="195"/>
        <v>0.11161416834614406</v>
      </c>
      <c r="I234" s="3">
        <f t="shared" si="195"/>
        <v>0.11161416834614406</v>
      </c>
      <c r="J234" s="3">
        <f t="shared" si="195"/>
        <v>0.11161416834614406</v>
      </c>
      <c r="K234" s="3">
        <f t="shared" si="195"/>
        <v>0.11161416834614406</v>
      </c>
      <c r="L234" s="3">
        <f t="shared" si="195"/>
        <v>0.11161416834614406</v>
      </c>
      <c r="M234" s="3">
        <f t="shared" si="195"/>
        <v>0.11161416834614406</v>
      </c>
      <c r="N234" s="3">
        <f t="shared" si="195"/>
        <v>0.11161416834614403</v>
      </c>
      <c r="O234" s="3">
        <f t="shared" si="195"/>
        <v>0.11161416834614384</v>
      </c>
      <c r="P234" s="3">
        <f t="shared" si="195"/>
        <v>0.11161416834614186</v>
      </c>
      <c r="Q234" s="3">
        <f t="shared" si="195"/>
        <v>0.11161416834612217</v>
      </c>
      <c r="R234" s="3">
        <f t="shared" si="195"/>
        <v>0.11161416834592527</v>
      </c>
      <c r="S234" s="3">
        <f t="shared" si="195"/>
        <v>0.11161416834395624</v>
      </c>
      <c r="T234" s="3">
        <f t="shared" si="195"/>
        <v>0.11161416832426582</v>
      </c>
      <c r="U234" s="3">
        <f t="shared" si="195"/>
        <v>0.1116141681273617</v>
      </c>
      <c r="V234" s="3">
        <f t="shared" si="195"/>
        <v>0.11161416615832061</v>
      </c>
      <c r="W234" s="3">
        <f t="shared" si="195"/>
        <v>0.11161414646791158</v>
      </c>
      <c r="X234" s="3">
        <f t="shared" si="195"/>
        <v>0.11161394956401235</v>
      </c>
      <c r="Y234" s="3">
        <f t="shared" si="195"/>
        <v>0.11161198054412502</v>
      </c>
      <c r="Z234" s="3">
        <f t="shared" si="195"/>
        <v>0.11159229225563916</v>
      </c>
      <c r="AA234" s="3">
        <f t="shared" si="195"/>
        <v>0.11139560028487669</v>
      </c>
      <c r="AB234" s="3">
        <f t="shared" si="195"/>
        <v>0.10944764795634557</v>
      </c>
      <c r="AC234" s="3">
        <f t="shared" si="195"/>
        <v>9.1746684971933751E-2</v>
      </c>
      <c r="AD234" s="3">
        <f t="shared" si="195"/>
        <v>1.5719179111985161E-2</v>
      </c>
      <c r="AE234" s="3">
        <f t="shared" si="195"/>
        <v>3.4262944036153699E-10</v>
      </c>
      <c r="AF234" s="3">
        <f t="shared" si="195"/>
        <v>8.2941678584464792E-87</v>
      </c>
      <c r="AG234" s="3"/>
      <c r="AH234" s="3"/>
    </row>
    <row r="235" spans="2:34" x14ac:dyDescent="0.25">
      <c r="B235" s="3">
        <f t="shared" ref="B235:AF235" si="196">$C43*EXP(-B$207/$A43/EXP(-$D$126))</f>
        <v>6.6462351022397975E-2</v>
      </c>
      <c r="C235" s="3">
        <f t="shared" si="196"/>
        <v>6.6462351022397975E-2</v>
      </c>
      <c r="D235" s="3">
        <f t="shared" si="196"/>
        <v>6.6462351022397975E-2</v>
      </c>
      <c r="E235" s="3">
        <f t="shared" si="196"/>
        <v>6.6462351022397975E-2</v>
      </c>
      <c r="F235" s="3">
        <f t="shared" si="196"/>
        <v>6.6462351022397975E-2</v>
      </c>
      <c r="G235" s="3">
        <f t="shared" si="196"/>
        <v>6.6462351022397975E-2</v>
      </c>
      <c r="H235" s="3">
        <f t="shared" si="196"/>
        <v>6.6462351022397975E-2</v>
      </c>
      <c r="I235" s="3">
        <f t="shared" si="196"/>
        <v>6.6462351022397975E-2</v>
      </c>
      <c r="J235" s="3">
        <f t="shared" si="196"/>
        <v>6.6462351022397975E-2</v>
      </c>
      <c r="K235" s="3">
        <f t="shared" si="196"/>
        <v>6.6462351022397975E-2</v>
      </c>
      <c r="L235" s="3">
        <f t="shared" si="196"/>
        <v>6.6462351022397975E-2</v>
      </c>
      <c r="M235" s="3">
        <f t="shared" si="196"/>
        <v>6.6462351022397975E-2</v>
      </c>
      <c r="N235" s="3">
        <f t="shared" si="196"/>
        <v>6.6462351022397975E-2</v>
      </c>
      <c r="O235" s="3">
        <f t="shared" si="196"/>
        <v>6.6462351022397961E-2</v>
      </c>
      <c r="P235" s="3">
        <f t="shared" si="196"/>
        <v>6.6462351022397836E-2</v>
      </c>
      <c r="Q235" s="3">
        <f t="shared" si="196"/>
        <v>6.6462351022396671E-2</v>
      </c>
      <c r="R235" s="3">
        <f t="shared" si="196"/>
        <v>6.6462351022384944E-2</v>
      </c>
      <c r="S235" s="3">
        <f t="shared" si="196"/>
        <v>6.6462351022267691E-2</v>
      </c>
      <c r="T235" s="3">
        <f t="shared" si="196"/>
        <v>6.6462351021095198E-2</v>
      </c>
      <c r="U235" s="3">
        <f t="shared" si="196"/>
        <v>6.6462351009370244E-2</v>
      </c>
      <c r="V235" s="3">
        <f t="shared" si="196"/>
        <v>6.64623508921207E-2</v>
      </c>
      <c r="W235" s="3">
        <f t="shared" si="196"/>
        <v>6.6462349719625294E-2</v>
      </c>
      <c r="X235" s="3">
        <f t="shared" si="196"/>
        <v>6.6462337994672299E-2</v>
      </c>
      <c r="Y235" s="3">
        <f t="shared" si="196"/>
        <v>6.6462220745256193E-2</v>
      </c>
      <c r="Z235" s="3">
        <f t="shared" si="196"/>
        <v>6.6461048262471428E-2</v>
      </c>
      <c r="AA235" s="3">
        <f t="shared" si="196"/>
        <v>6.6449324572192964E-2</v>
      </c>
      <c r="AB235" s="3">
        <f t="shared" si="196"/>
        <v>6.6332201352105352E-2</v>
      </c>
      <c r="AC235" s="3">
        <f t="shared" si="196"/>
        <v>6.5172263565065378E-2</v>
      </c>
      <c r="AD235" s="3">
        <f t="shared" si="196"/>
        <v>5.463195642721181E-2</v>
      </c>
      <c r="AE235" s="3">
        <f t="shared" si="196"/>
        <v>9.3602238443843255E-3</v>
      </c>
      <c r="AF235" s="3">
        <f t="shared" si="196"/>
        <v>2.040239019234062E-10</v>
      </c>
      <c r="AG235" s="3"/>
      <c r="AH235" s="3"/>
    </row>
    <row r="236" spans="2:34" x14ac:dyDescent="0.25">
      <c r="B236" s="3">
        <f t="shared" ref="B236:AF236" si="197">$C44*EXP(-B$207/$A44/EXP(-$D$126))</f>
        <v>4.7100906601755713E-2</v>
      </c>
      <c r="C236" s="3">
        <f t="shared" si="197"/>
        <v>4.7100906601755713E-2</v>
      </c>
      <c r="D236" s="3">
        <f t="shared" si="197"/>
        <v>4.7100906601755713E-2</v>
      </c>
      <c r="E236" s="3">
        <f t="shared" si="197"/>
        <v>4.7100906601755713E-2</v>
      </c>
      <c r="F236" s="3">
        <f t="shared" si="197"/>
        <v>4.7100906601755713E-2</v>
      </c>
      <c r="G236" s="3">
        <f t="shared" si="197"/>
        <v>4.7100906601755713E-2</v>
      </c>
      <c r="H236" s="3">
        <f t="shared" si="197"/>
        <v>4.7100906601755713E-2</v>
      </c>
      <c r="I236" s="3">
        <f t="shared" si="197"/>
        <v>4.7100906601755713E-2</v>
      </c>
      <c r="J236" s="3">
        <f t="shared" si="197"/>
        <v>4.7100906601755713E-2</v>
      </c>
      <c r="K236" s="3">
        <f t="shared" si="197"/>
        <v>4.7100906601755713E-2</v>
      </c>
      <c r="L236" s="3">
        <f t="shared" si="197"/>
        <v>4.7100906601755713E-2</v>
      </c>
      <c r="M236" s="3">
        <f t="shared" si="197"/>
        <v>4.7100906601755713E-2</v>
      </c>
      <c r="N236" s="3">
        <f t="shared" si="197"/>
        <v>4.7100906601755713E-2</v>
      </c>
      <c r="O236" s="3">
        <f t="shared" si="197"/>
        <v>4.7100906601755713E-2</v>
      </c>
      <c r="P236" s="3">
        <f t="shared" si="197"/>
        <v>4.7100906601755699E-2</v>
      </c>
      <c r="Q236" s="3">
        <f t="shared" si="197"/>
        <v>4.7100906601755615E-2</v>
      </c>
      <c r="R236" s="3">
        <f t="shared" si="197"/>
        <v>4.710090660175479E-2</v>
      </c>
      <c r="S236" s="3">
        <f t="shared" si="197"/>
        <v>4.7100906601746477E-2</v>
      </c>
      <c r="T236" s="3">
        <f t="shared" si="197"/>
        <v>4.7100906601663384E-2</v>
      </c>
      <c r="U236" s="3">
        <f t="shared" si="197"/>
        <v>4.7100906600832458E-2</v>
      </c>
      <c r="V236" s="3">
        <f t="shared" si="197"/>
        <v>4.7100906592523153E-2</v>
      </c>
      <c r="W236" s="3">
        <f t="shared" si="197"/>
        <v>4.7100906509430093E-2</v>
      </c>
      <c r="X236" s="3">
        <f t="shared" si="197"/>
        <v>4.7100905678499561E-2</v>
      </c>
      <c r="Y236" s="3">
        <f t="shared" si="197"/>
        <v>4.7100897369195011E-2</v>
      </c>
      <c r="Z236" s="3">
        <f t="shared" si="197"/>
        <v>4.7100814276230162E-2</v>
      </c>
      <c r="AA236" s="3">
        <f t="shared" si="197"/>
        <v>4.709998335464391E-2</v>
      </c>
      <c r="AB236" s="3">
        <f t="shared" si="197"/>
        <v>4.7091674944960249E-2</v>
      </c>
      <c r="AC236" s="3">
        <f t="shared" si="197"/>
        <v>4.70086714134062E-2</v>
      </c>
      <c r="AD236" s="3">
        <f t="shared" si="197"/>
        <v>4.6186640285545477E-2</v>
      </c>
      <c r="AE236" s="3">
        <f t="shared" si="197"/>
        <v>3.8716877112609384E-2</v>
      </c>
      <c r="AF236" s="3">
        <f t="shared" si="197"/>
        <v>6.6334552161312638E-3</v>
      </c>
      <c r="AG236" s="3"/>
      <c r="AH236" s="3"/>
    </row>
    <row r="237" spans="2:34" x14ac:dyDescent="0.25">
      <c r="B237" s="3">
        <f t="shared" ref="B237:AF237" si="198">$C45*EXP(-B$207/$A45/EXP(-$D$126))</f>
        <v>2.2598128773559236E-2</v>
      </c>
      <c r="C237" s="3">
        <f t="shared" si="198"/>
        <v>2.2598128773559236E-2</v>
      </c>
      <c r="D237" s="3">
        <f t="shared" si="198"/>
        <v>2.2598128773559236E-2</v>
      </c>
      <c r="E237" s="3">
        <f t="shared" si="198"/>
        <v>2.2598128773559236E-2</v>
      </c>
      <c r="F237" s="3">
        <f t="shared" si="198"/>
        <v>2.2598128773559236E-2</v>
      </c>
      <c r="G237" s="3">
        <f t="shared" si="198"/>
        <v>2.2598128773559236E-2</v>
      </c>
      <c r="H237" s="3">
        <f t="shared" si="198"/>
        <v>2.2598128773559236E-2</v>
      </c>
      <c r="I237" s="3">
        <f t="shared" si="198"/>
        <v>2.2598128773559236E-2</v>
      </c>
      <c r="J237" s="3">
        <f t="shared" si="198"/>
        <v>2.2598128773559236E-2</v>
      </c>
      <c r="K237" s="3">
        <f t="shared" si="198"/>
        <v>2.2598128773559236E-2</v>
      </c>
      <c r="L237" s="3">
        <f t="shared" si="198"/>
        <v>2.2598128773559236E-2</v>
      </c>
      <c r="M237" s="3">
        <f t="shared" si="198"/>
        <v>2.2598128773559236E-2</v>
      </c>
      <c r="N237" s="3">
        <f t="shared" si="198"/>
        <v>2.2598128773559236E-2</v>
      </c>
      <c r="O237" s="3">
        <f t="shared" si="198"/>
        <v>2.2598128773559236E-2</v>
      </c>
      <c r="P237" s="3">
        <f t="shared" si="198"/>
        <v>2.2598128773559236E-2</v>
      </c>
      <c r="Q237" s="3">
        <f t="shared" si="198"/>
        <v>2.2598128773559233E-2</v>
      </c>
      <c r="R237" s="3">
        <f t="shared" si="198"/>
        <v>2.2598128773559191E-2</v>
      </c>
      <c r="S237" s="3">
        <f t="shared" si="198"/>
        <v>2.2598128773558792E-2</v>
      </c>
      <c r="T237" s="3">
        <f t="shared" si="198"/>
        <v>2.2598128773554806E-2</v>
      </c>
      <c r="U237" s="3">
        <f t="shared" si="198"/>
        <v>2.2598128773514938E-2</v>
      </c>
      <c r="V237" s="3">
        <f t="shared" si="198"/>
        <v>2.2598128773116274E-2</v>
      </c>
      <c r="W237" s="3">
        <f t="shared" si="198"/>
        <v>2.2598128769129627E-2</v>
      </c>
      <c r="X237" s="3">
        <f t="shared" si="198"/>
        <v>2.2598128729263142E-2</v>
      </c>
      <c r="Y237" s="3">
        <f t="shared" si="198"/>
        <v>2.2598128330598304E-2</v>
      </c>
      <c r="Z237" s="3">
        <f t="shared" si="198"/>
        <v>2.2598124343950324E-2</v>
      </c>
      <c r="AA237" s="3">
        <f t="shared" si="198"/>
        <v>2.25980844775092E-2</v>
      </c>
      <c r="AB237" s="3">
        <f t="shared" si="198"/>
        <v>2.2597685816966091E-2</v>
      </c>
      <c r="AC237" s="3">
        <f t="shared" si="198"/>
        <v>2.2593699598324433E-2</v>
      </c>
      <c r="AD237" s="3">
        <f t="shared" si="198"/>
        <v>2.2553876065614584E-2</v>
      </c>
      <c r="AE237" s="3">
        <f t="shared" si="198"/>
        <v>2.2159480997164284E-2</v>
      </c>
      <c r="AF237" s="3">
        <f t="shared" si="198"/>
        <v>1.8575629172033852E-2</v>
      </c>
      <c r="AG237" s="3"/>
      <c r="AH237" s="3"/>
    </row>
    <row r="238" spans="2:34" x14ac:dyDescent="0.25">
      <c r="B238" s="3">
        <f t="shared" ref="B238:AF238" si="199">$C46*EXP(-B$207/$A46/EXP(-$D$126))</f>
        <v>6.4467605952010509E-3</v>
      </c>
      <c r="C238" s="3">
        <f t="shared" si="199"/>
        <v>6.4467605952010509E-3</v>
      </c>
      <c r="D238" s="3">
        <f t="shared" si="199"/>
        <v>6.4467605952010509E-3</v>
      </c>
      <c r="E238" s="3">
        <f t="shared" si="199"/>
        <v>6.4467605952010509E-3</v>
      </c>
      <c r="F238" s="3">
        <f t="shared" si="199"/>
        <v>6.4467605952010509E-3</v>
      </c>
      <c r="G238" s="3">
        <f t="shared" si="199"/>
        <v>6.4467605952010509E-3</v>
      </c>
      <c r="H238" s="3">
        <f t="shared" si="199"/>
        <v>6.4467605952010509E-3</v>
      </c>
      <c r="I238" s="3">
        <f t="shared" si="199"/>
        <v>6.4467605952010509E-3</v>
      </c>
      <c r="J238" s="3">
        <f t="shared" si="199"/>
        <v>6.4467605952010509E-3</v>
      </c>
      <c r="K238" s="3">
        <f t="shared" si="199"/>
        <v>6.4467605952010509E-3</v>
      </c>
      <c r="L238" s="3">
        <f t="shared" si="199"/>
        <v>6.4467605952010509E-3</v>
      </c>
      <c r="M238" s="3">
        <f t="shared" si="199"/>
        <v>6.4467605952010509E-3</v>
      </c>
      <c r="N238" s="3">
        <f t="shared" si="199"/>
        <v>6.4467605952010509E-3</v>
      </c>
      <c r="O238" s="3">
        <f t="shared" si="199"/>
        <v>6.4467605952010509E-3</v>
      </c>
      <c r="P238" s="3">
        <f t="shared" si="199"/>
        <v>6.4467605952010509E-3</v>
      </c>
      <c r="Q238" s="3">
        <f t="shared" si="199"/>
        <v>6.4467605952010509E-3</v>
      </c>
      <c r="R238" s="3">
        <f t="shared" si="199"/>
        <v>6.4467605952010492E-3</v>
      </c>
      <c r="S238" s="3">
        <f t="shared" si="199"/>
        <v>6.4467605952010379E-3</v>
      </c>
      <c r="T238" s="3">
        <f t="shared" si="199"/>
        <v>6.4467605952009243E-3</v>
      </c>
      <c r="U238" s="3">
        <f t="shared" si="199"/>
        <v>6.4467605951997872E-3</v>
      </c>
      <c r="V238" s="3">
        <f t="shared" si="199"/>
        <v>6.4467605951884143E-3</v>
      </c>
      <c r="W238" s="3">
        <f t="shared" si="199"/>
        <v>6.4467605950746841E-3</v>
      </c>
      <c r="X238" s="3">
        <f t="shared" si="199"/>
        <v>6.4467605939373786E-3</v>
      </c>
      <c r="Y238" s="3">
        <f t="shared" si="199"/>
        <v>6.4467605825643268E-3</v>
      </c>
      <c r="Z238" s="3">
        <f t="shared" si="199"/>
        <v>6.4467604688338148E-3</v>
      </c>
      <c r="AA238" s="3">
        <f t="shared" si="199"/>
        <v>6.4467593315288034E-3</v>
      </c>
      <c r="AB238" s="3">
        <f t="shared" si="199"/>
        <v>6.4467479584897217E-3</v>
      </c>
      <c r="AC238" s="3">
        <f t="shared" si="199"/>
        <v>6.4466342292024024E-3</v>
      </c>
      <c r="AD238" s="3">
        <f t="shared" si="199"/>
        <v>6.4454970466719186E-3</v>
      </c>
      <c r="AE238" s="3">
        <f t="shared" si="199"/>
        <v>6.4341362484391052E-3</v>
      </c>
      <c r="AF238" s="3">
        <f t="shared" si="199"/>
        <v>6.3216238093914108E-3</v>
      </c>
      <c r="AG238" s="3"/>
      <c r="AH238" s="3"/>
    </row>
    <row r="239" spans="2:34" x14ac:dyDescent="0.25">
      <c r="B239" s="3">
        <f t="shared" ref="B239:AF239" si="200">$C47*EXP(-B$207/$A47/EXP(-$D$126))</f>
        <v>9.8307104636690784E-5</v>
      </c>
      <c r="C239" s="3">
        <f t="shared" si="200"/>
        <v>9.8307104636690784E-5</v>
      </c>
      <c r="D239" s="3">
        <f t="shared" si="200"/>
        <v>9.8307104636690784E-5</v>
      </c>
      <c r="E239" s="3">
        <f t="shared" si="200"/>
        <v>9.8307104636690784E-5</v>
      </c>
      <c r="F239" s="3">
        <f t="shared" si="200"/>
        <v>9.8307104636690784E-5</v>
      </c>
      <c r="G239" s="3">
        <f t="shared" si="200"/>
        <v>9.8307104636690784E-5</v>
      </c>
      <c r="H239" s="3">
        <f t="shared" si="200"/>
        <v>9.8307104636690784E-5</v>
      </c>
      <c r="I239" s="3">
        <f t="shared" si="200"/>
        <v>9.8307104636690784E-5</v>
      </c>
      <c r="J239" s="3">
        <f t="shared" si="200"/>
        <v>9.8307104636690784E-5</v>
      </c>
      <c r="K239" s="3">
        <f t="shared" si="200"/>
        <v>9.8307104636690784E-5</v>
      </c>
      <c r="L239" s="3">
        <f t="shared" si="200"/>
        <v>9.8307104636690784E-5</v>
      </c>
      <c r="M239" s="3">
        <f t="shared" si="200"/>
        <v>9.8307104636690784E-5</v>
      </c>
      <c r="N239" s="3">
        <f t="shared" si="200"/>
        <v>9.8307104636690784E-5</v>
      </c>
      <c r="O239" s="3">
        <f t="shared" si="200"/>
        <v>9.8307104636690784E-5</v>
      </c>
      <c r="P239" s="3">
        <f t="shared" si="200"/>
        <v>9.8307104636690784E-5</v>
      </c>
      <c r="Q239" s="3">
        <f t="shared" si="200"/>
        <v>9.8307104636690784E-5</v>
      </c>
      <c r="R239" s="3">
        <f t="shared" si="200"/>
        <v>9.8307104636690784E-5</v>
      </c>
      <c r="S239" s="3">
        <f t="shared" si="200"/>
        <v>9.8307104636690757E-5</v>
      </c>
      <c r="T239" s="3">
        <f t="shared" si="200"/>
        <v>9.8307104636690594E-5</v>
      </c>
      <c r="U239" s="3">
        <f t="shared" si="200"/>
        <v>9.8307104636688846E-5</v>
      </c>
      <c r="V239" s="3">
        <f t="shared" si="200"/>
        <v>9.8307104636671512E-5</v>
      </c>
      <c r="W239" s="3">
        <f t="shared" si="200"/>
        <v>9.830710463649808E-5</v>
      </c>
      <c r="X239" s="3">
        <f t="shared" si="200"/>
        <v>9.8307104634763804E-5</v>
      </c>
      <c r="Y239" s="3">
        <f t="shared" si="200"/>
        <v>9.830710461742096E-5</v>
      </c>
      <c r="Z239" s="3">
        <f t="shared" si="200"/>
        <v>9.8307104443992496E-5</v>
      </c>
      <c r="AA239" s="3">
        <f t="shared" si="200"/>
        <v>9.8307102709707932E-5</v>
      </c>
      <c r="AB239" s="3">
        <f t="shared" si="200"/>
        <v>9.8307085366864015E-5</v>
      </c>
      <c r="AC239" s="3">
        <f t="shared" si="200"/>
        <v>9.8306911938593098E-5</v>
      </c>
      <c r="AD239" s="3">
        <f t="shared" si="200"/>
        <v>9.8305177672711248E-5</v>
      </c>
      <c r="AE239" s="3">
        <f t="shared" si="200"/>
        <v>9.8287836696516395E-5</v>
      </c>
      <c r="AF239" s="3">
        <f t="shared" si="200"/>
        <v>9.8114595087162859E-5</v>
      </c>
      <c r="AG239" s="3"/>
      <c r="AH239" s="3"/>
    </row>
    <row r="240" spans="2:34" x14ac:dyDescent="0.25">
      <c r="B240" s="3">
        <f t="shared" ref="B240:AF240" si="201">$C48*EXP(-B$207/$A48/EXP(-$D$126))</f>
        <v>1.1020901234699522E-2</v>
      </c>
      <c r="C240" s="3">
        <f t="shared" si="201"/>
        <v>1.1020901234699522E-2</v>
      </c>
      <c r="D240" s="3">
        <f t="shared" si="201"/>
        <v>1.1020901234699522E-2</v>
      </c>
      <c r="E240" s="3">
        <f t="shared" si="201"/>
        <v>1.1020901234699522E-2</v>
      </c>
      <c r="F240" s="3">
        <f t="shared" si="201"/>
        <v>1.1020901234699522E-2</v>
      </c>
      <c r="G240" s="3">
        <f t="shared" si="201"/>
        <v>1.1020901234699522E-2</v>
      </c>
      <c r="H240" s="3">
        <f t="shared" si="201"/>
        <v>1.1020901234699522E-2</v>
      </c>
      <c r="I240" s="3">
        <f t="shared" si="201"/>
        <v>1.1020901234699522E-2</v>
      </c>
      <c r="J240" s="3">
        <f t="shared" si="201"/>
        <v>1.1020901234699522E-2</v>
      </c>
      <c r="K240" s="3">
        <f t="shared" si="201"/>
        <v>1.1020901234699522E-2</v>
      </c>
      <c r="L240" s="3">
        <f t="shared" si="201"/>
        <v>1.1020901234699522E-2</v>
      </c>
      <c r="M240" s="3">
        <f t="shared" si="201"/>
        <v>1.1020901234699522E-2</v>
      </c>
      <c r="N240" s="3">
        <f t="shared" si="201"/>
        <v>1.1020901234699522E-2</v>
      </c>
      <c r="O240" s="3">
        <f t="shared" si="201"/>
        <v>1.1020901234699522E-2</v>
      </c>
      <c r="P240" s="3">
        <f t="shared" si="201"/>
        <v>1.1020901234699522E-2</v>
      </c>
      <c r="Q240" s="3">
        <f t="shared" si="201"/>
        <v>1.1020901234699522E-2</v>
      </c>
      <c r="R240" s="3">
        <f t="shared" si="201"/>
        <v>1.1020901234699522E-2</v>
      </c>
      <c r="S240" s="3">
        <f t="shared" si="201"/>
        <v>1.1020901234699522E-2</v>
      </c>
      <c r="T240" s="3">
        <f t="shared" si="201"/>
        <v>1.102090123469952E-2</v>
      </c>
      <c r="U240" s="3">
        <f t="shared" si="201"/>
        <v>1.1020901234699499E-2</v>
      </c>
      <c r="V240" s="3">
        <f t="shared" si="201"/>
        <v>1.1020901234699305E-2</v>
      </c>
      <c r="W240" s="3">
        <f t="shared" si="201"/>
        <v>1.102090123469736E-2</v>
      </c>
      <c r="X240" s="3">
        <f t="shared" si="201"/>
        <v>1.1020901234677919E-2</v>
      </c>
      <c r="Y240" s="3">
        <f t="shared" si="201"/>
        <v>1.1020901234483493E-2</v>
      </c>
      <c r="Z240" s="3">
        <f t="shared" si="201"/>
        <v>1.1020901232539241E-2</v>
      </c>
      <c r="AA240" s="3">
        <f t="shared" si="201"/>
        <v>1.102090121309672E-2</v>
      </c>
      <c r="AB240" s="3">
        <f t="shared" si="201"/>
        <v>1.1020901018671517E-2</v>
      </c>
      <c r="AC240" s="3">
        <f t="shared" si="201"/>
        <v>1.1020899074419667E-2</v>
      </c>
      <c r="AD240" s="3">
        <f t="shared" si="201"/>
        <v>1.1020879631920043E-2</v>
      </c>
      <c r="AE240" s="3">
        <f t="shared" si="201"/>
        <v>1.1020685208810246E-2</v>
      </c>
      <c r="AF240" s="3">
        <f t="shared" si="201"/>
        <v>1.1018741166345939E-2</v>
      </c>
      <c r="AG240" s="3"/>
      <c r="AH240" s="3"/>
    </row>
    <row r="241" spans="1:34" x14ac:dyDescent="0.25">
      <c r="A241" s="80">
        <f>AVERAGE(B241:AF241)</f>
        <v>2.2400210304544944E-3</v>
      </c>
      <c r="B241" s="81">
        <f>IF($A$64&lt;=B207,IF($B$64&gt;=B207,ABS((B209-B208)/B208),0),0)</f>
        <v>0</v>
      </c>
      <c r="C241" s="81">
        <f t="shared" ref="C241:AF241" si="202">IF($A$64&lt;=C207,IF($B$64&gt;=C207,ABS((C209-C208)/C208),0),0)</f>
        <v>0</v>
      </c>
      <c r="D241" s="81">
        <f t="shared" si="202"/>
        <v>0</v>
      </c>
      <c r="E241" s="81">
        <f t="shared" si="202"/>
        <v>0</v>
      </c>
      <c r="F241" s="81">
        <f t="shared" si="202"/>
        <v>0</v>
      </c>
      <c r="G241" s="81">
        <f t="shared" si="202"/>
        <v>0</v>
      </c>
      <c r="H241" s="81">
        <f t="shared" si="202"/>
        <v>0</v>
      </c>
      <c r="I241" s="81">
        <f t="shared" si="202"/>
        <v>0</v>
      </c>
      <c r="J241" s="81">
        <f t="shared" si="202"/>
        <v>0</v>
      </c>
      <c r="K241" s="81">
        <f t="shared" si="202"/>
        <v>0</v>
      </c>
      <c r="L241" s="81">
        <f t="shared" si="202"/>
        <v>1.0305060314039348E-3</v>
      </c>
      <c r="M241" s="81">
        <f t="shared" si="202"/>
        <v>1.0651993537053133E-3</v>
      </c>
      <c r="N241" s="81">
        <f t="shared" si="202"/>
        <v>1.3952700641356554E-3</v>
      </c>
      <c r="O241" s="81">
        <f t="shared" si="202"/>
        <v>3.7010592241853214E-3</v>
      </c>
      <c r="P241" s="81">
        <f t="shared" si="202"/>
        <v>8.769491288497867E-3</v>
      </c>
      <c r="Q241" s="81">
        <f t="shared" si="202"/>
        <v>7.2539721905052644E-3</v>
      </c>
      <c r="R241" s="81">
        <f t="shared" si="202"/>
        <v>1.0000937144319098E-2</v>
      </c>
      <c r="S241" s="81">
        <f t="shared" si="202"/>
        <v>8.6830373301518479E-3</v>
      </c>
      <c r="T241" s="81">
        <f t="shared" si="202"/>
        <v>2.1039178699789876E-3</v>
      </c>
      <c r="U241" s="81">
        <f t="shared" si="202"/>
        <v>8.8544798631515209E-3</v>
      </c>
      <c r="V241" s="81">
        <f t="shared" si="202"/>
        <v>1.6582781584054518E-2</v>
      </c>
      <c r="W241" s="81">
        <f t="shared" si="202"/>
        <v>0</v>
      </c>
      <c r="X241" s="81">
        <f t="shared" si="202"/>
        <v>0</v>
      </c>
      <c r="Y241" s="81">
        <f t="shared" si="202"/>
        <v>0</v>
      </c>
      <c r="Z241" s="81">
        <f t="shared" si="202"/>
        <v>0</v>
      </c>
      <c r="AA241" s="81">
        <f t="shared" si="202"/>
        <v>0</v>
      </c>
      <c r="AB241" s="81">
        <f t="shared" si="202"/>
        <v>0</v>
      </c>
      <c r="AC241" s="81">
        <f t="shared" si="202"/>
        <v>0</v>
      </c>
      <c r="AD241" s="81">
        <f t="shared" si="202"/>
        <v>0</v>
      </c>
      <c r="AE241" s="81">
        <f t="shared" si="202"/>
        <v>0</v>
      </c>
      <c r="AF241" s="81">
        <f t="shared" si="202"/>
        <v>0</v>
      </c>
    </row>
    <row r="242" spans="1:34" x14ac:dyDescent="0.25">
      <c r="B242" s="21">
        <f>(B209-B208)^2</f>
        <v>37.015429800759534</v>
      </c>
      <c r="C242" s="21">
        <f t="shared" ref="C242:AF242" si="203">(C209-C208)^2</f>
        <v>37.464049770859397</v>
      </c>
      <c r="D242" s="21">
        <f t="shared" si="203"/>
        <v>37.189748397028985</v>
      </c>
      <c r="E242" s="21">
        <f t="shared" si="203"/>
        <v>37.106944924666777</v>
      </c>
      <c r="F242" s="21">
        <f t="shared" si="203"/>
        <v>37.081730817819327</v>
      </c>
      <c r="G242" s="21">
        <f t="shared" si="203"/>
        <v>37.071946404578462</v>
      </c>
      <c r="H242" s="21">
        <f t="shared" si="203"/>
        <v>37.07102116102778</v>
      </c>
      <c r="I242" s="21">
        <f t="shared" si="203"/>
        <v>37.068621129484434</v>
      </c>
      <c r="J242" s="21">
        <f t="shared" si="203"/>
        <v>37.070561249582077</v>
      </c>
      <c r="K242" s="21">
        <f t="shared" si="203"/>
        <v>37.09681809184611</v>
      </c>
      <c r="L242" s="21">
        <f t="shared" si="203"/>
        <v>37.34795338432307</v>
      </c>
      <c r="M242" s="21">
        <f t="shared" si="203"/>
        <v>39.901872540584073</v>
      </c>
      <c r="N242" s="21">
        <f t="shared" si="203"/>
        <v>68.408198066386376</v>
      </c>
      <c r="O242" s="21">
        <f t="shared" si="203"/>
        <v>477.84791624012706</v>
      </c>
      <c r="P242" s="21">
        <f t="shared" si="203"/>
        <v>2575.818295466463</v>
      </c>
      <c r="Q242" s="21">
        <f t="shared" si="203"/>
        <v>1677.2534895025601</v>
      </c>
      <c r="R242" s="21">
        <f t="shared" si="203"/>
        <v>3013.2349543204464</v>
      </c>
      <c r="S242" s="21">
        <f t="shared" si="203"/>
        <v>2114.3893065257853</v>
      </c>
      <c r="T242" s="21">
        <f t="shared" si="203"/>
        <v>113.45252936464975</v>
      </c>
      <c r="U242" s="21">
        <f t="shared" si="203"/>
        <v>1778.0662275989343</v>
      </c>
      <c r="V242" s="21">
        <f t="shared" si="203"/>
        <v>5394.0441729000586</v>
      </c>
      <c r="W242" s="21">
        <f t="shared" si="203"/>
        <v>4111.202291374314</v>
      </c>
      <c r="X242" s="21">
        <f t="shared" si="203"/>
        <v>1253.6973875322701</v>
      </c>
      <c r="Y242" s="21">
        <f t="shared" si="203"/>
        <v>25.350783701213992</v>
      </c>
      <c r="Z242" s="21">
        <f t="shared" si="203"/>
        <v>497.8975192167602</v>
      </c>
      <c r="AA242" s="21">
        <f t="shared" si="203"/>
        <v>9838.9405757276254</v>
      </c>
      <c r="AB242" s="21">
        <f t="shared" si="203"/>
        <v>17612.120224204624</v>
      </c>
      <c r="AC242" s="21">
        <f t="shared" si="203"/>
        <v>24195.642628410857</v>
      </c>
      <c r="AD242" s="21">
        <f t="shared" si="203"/>
        <v>24989.681505378179</v>
      </c>
      <c r="AE242" s="21">
        <f t="shared" si="203"/>
        <v>8887.4615772583384</v>
      </c>
      <c r="AF242" s="21">
        <f t="shared" si="203"/>
        <v>3969.1689837903996</v>
      </c>
      <c r="AG242" s="3"/>
      <c r="AH242" s="3"/>
    </row>
    <row r="243" spans="1:34" x14ac:dyDescent="0.25">
      <c r="A243" s="72">
        <f>SUM(B243:AF243)</f>
        <v>17289.764915910317</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37.34795338432307</v>
      </c>
      <c r="M243" s="60">
        <f t="shared" ref="M243" si="214">IF($A$64&lt;=M207,IF($B$64&gt;=M207,ABS(M242),0),0)</f>
        <v>39.901872540584073</v>
      </c>
      <c r="N243" s="60">
        <f t="shared" ref="N243" si="215">IF($A$64&lt;=N207,IF($B$64&gt;=N207,ABS(N242),0),0)</f>
        <v>68.408198066386376</v>
      </c>
      <c r="O243" s="60">
        <f t="shared" ref="O243" si="216">IF($A$64&lt;=O207,IF($B$64&gt;=O207,ABS(O242),0),0)</f>
        <v>477.84791624012706</v>
      </c>
      <c r="P243" s="60">
        <f t="shared" ref="P243" si="217">IF($A$64&lt;=P207,IF($B$64&gt;=P207,ABS(P242),0),0)</f>
        <v>2575.818295466463</v>
      </c>
      <c r="Q243" s="60">
        <f t="shared" ref="Q243" si="218">IF($A$64&lt;=Q207,IF($B$64&gt;=Q207,ABS(Q242),0),0)</f>
        <v>1677.2534895025601</v>
      </c>
      <c r="R243" s="60">
        <f t="shared" ref="R243" si="219">IF($A$64&lt;=R207,IF($B$64&gt;=R207,ABS(R242),0),0)</f>
        <v>3013.2349543204464</v>
      </c>
      <c r="S243" s="60">
        <f t="shared" ref="S243" si="220">IF($A$64&lt;=S207,IF($B$64&gt;=S207,ABS(S242),0),0)</f>
        <v>2114.3893065257853</v>
      </c>
      <c r="T243" s="60">
        <f t="shared" ref="T243" si="221">IF($A$64&lt;=T207,IF($B$64&gt;=T207,ABS(T242),0),0)</f>
        <v>113.45252936464975</v>
      </c>
      <c r="U243" s="60">
        <f t="shared" ref="U243" si="222">IF($A$64&lt;=U207,IF($B$64&gt;=U207,ABS(U242),0),0)</f>
        <v>1778.0662275989343</v>
      </c>
      <c r="V243" s="60">
        <f t="shared" ref="V243" si="223">IF($A$64&lt;=V207,IF($B$64&gt;=V207,ABS(V242),0),0)</f>
        <v>5394.0441729000586</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1" t="s">
        <v>22</v>
      </c>
      <c r="B248" s="27">
        <f>($C$17+SUM(B249:B279))*$B$51</f>
        <v>5924.3223454607651</v>
      </c>
      <c r="C248" s="27">
        <f t="shared" ref="C248:AF248" si="234">($C$17+SUM(C249:C279))*$B$51</f>
        <v>5924.3223454382805</v>
      </c>
      <c r="D248" s="27">
        <f t="shared" si="234"/>
        <v>5924.3223452134343</v>
      </c>
      <c r="E248" s="27">
        <f t="shared" si="234"/>
        <v>5924.3223429649706</v>
      </c>
      <c r="F248" s="27">
        <f t="shared" si="234"/>
        <v>5924.322320480348</v>
      </c>
      <c r="G248" s="27">
        <f t="shared" si="234"/>
        <v>5924.3220956344394</v>
      </c>
      <c r="H248" s="27">
        <f t="shared" si="234"/>
        <v>5924.3198472081822</v>
      </c>
      <c r="I248" s="27">
        <f t="shared" si="234"/>
        <v>5924.2973662280983</v>
      </c>
      <c r="J248" s="27">
        <f t="shared" si="234"/>
        <v>5924.072883741499</v>
      </c>
      <c r="K248" s="27">
        <f t="shared" si="234"/>
        <v>5921.8598817530783</v>
      </c>
      <c r="L248" s="27">
        <f t="shared" si="234"/>
        <v>5902.2058802887268</v>
      </c>
      <c r="M248" s="27">
        <f t="shared" si="234"/>
        <v>5789.3180004917676</v>
      </c>
      <c r="N248" s="27">
        <f t="shared" si="234"/>
        <v>5647.055353512621</v>
      </c>
      <c r="O248" s="27">
        <f t="shared" si="234"/>
        <v>5493.7959429533312</v>
      </c>
      <c r="P248" s="27">
        <f t="shared" si="234"/>
        <v>5309.5048820615812</v>
      </c>
      <c r="Q248" s="27">
        <f t="shared" si="234"/>
        <v>5117.418042817877</v>
      </c>
      <c r="R248" s="27">
        <f t="shared" si="234"/>
        <v>4888.6566702782075</v>
      </c>
      <c r="S248" s="27">
        <f t="shared" si="234"/>
        <v>4599.3215807514589</v>
      </c>
      <c r="T248" s="27">
        <f t="shared" si="234"/>
        <v>4272.281393366512</v>
      </c>
      <c r="U248" s="27">
        <f t="shared" si="234"/>
        <v>3941.1735477170951</v>
      </c>
      <c r="V248" s="27">
        <f t="shared" si="234"/>
        <v>3608.4668104251064</v>
      </c>
      <c r="W248" s="27">
        <f t="shared" si="234"/>
        <v>3262.5358780651095</v>
      </c>
      <c r="X248" s="27">
        <f t="shared" si="234"/>
        <v>2841.2878757162034</v>
      </c>
      <c r="Y248" s="27">
        <f t="shared" si="234"/>
        <v>2350.3715071199822</v>
      </c>
      <c r="Z248" s="27">
        <f t="shared" si="234"/>
        <v>1794.2556351068938</v>
      </c>
      <c r="AA248" s="27">
        <f t="shared" si="234"/>
        <v>1192.7127267116257</v>
      </c>
      <c r="AB248" s="27">
        <f t="shared" si="234"/>
        <v>712.54528646463132</v>
      </c>
      <c r="AC248" s="27">
        <f t="shared" si="234"/>
        <v>405.78458561952147</v>
      </c>
      <c r="AD248" s="27">
        <f t="shared" si="234"/>
        <v>227.7446373198305</v>
      </c>
      <c r="AE248" s="27">
        <f t="shared" si="234"/>
        <v>157.27692708819026</v>
      </c>
      <c r="AF248" s="27">
        <f t="shared" si="234"/>
        <v>137.3264170582566</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0</v>
      </c>
      <c r="C253" s="3">
        <f t="shared" si="239"/>
        <v>0</v>
      </c>
      <c r="D253" s="3">
        <f t="shared" si="239"/>
        <v>0</v>
      </c>
      <c r="E253" s="3">
        <f t="shared" si="239"/>
        <v>0</v>
      </c>
      <c r="F253" s="3">
        <f t="shared" si="239"/>
        <v>0</v>
      </c>
      <c r="G253" s="3">
        <f t="shared" si="239"/>
        <v>0</v>
      </c>
      <c r="H253" s="3">
        <f t="shared" si="239"/>
        <v>0</v>
      </c>
      <c r="I253" s="3">
        <f t="shared" si="239"/>
        <v>0</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0</v>
      </c>
      <c r="C254" s="3">
        <f t="shared" si="240"/>
        <v>0</v>
      </c>
      <c r="D254" s="3">
        <f t="shared" si="240"/>
        <v>0</v>
      </c>
      <c r="E254" s="3">
        <f t="shared" si="240"/>
        <v>0</v>
      </c>
      <c r="F254" s="3">
        <f t="shared" si="240"/>
        <v>0</v>
      </c>
      <c r="G254" s="3">
        <f t="shared" si="240"/>
        <v>0</v>
      </c>
      <c r="H254" s="3">
        <f t="shared" si="240"/>
        <v>0</v>
      </c>
      <c r="I254" s="3">
        <f t="shared" si="240"/>
        <v>0</v>
      </c>
      <c r="J254" s="3">
        <f t="shared" si="240"/>
        <v>0</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0</v>
      </c>
      <c r="C255" s="3">
        <f t="shared" si="241"/>
        <v>0</v>
      </c>
      <c r="D255" s="3">
        <f t="shared" si="241"/>
        <v>0</v>
      </c>
      <c r="E255" s="3">
        <f t="shared" si="241"/>
        <v>0</v>
      </c>
      <c r="F255" s="3">
        <f t="shared" si="241"/>
        <v>0</v>
      </c>
      <c r="G255" s="3">
        <f t="shared" si="241"/>
        <v>0</v>
      </c>
      <c r="H255" s="3">
        <f t="shared" si="241"/>
        <v>0</v>
      </c>
      <c r="I255" s="3">
        <f t="shared" si="241"/>
        <v>0</v>
      </c>
      <c r="J255" s="3">
        <f t="shared" si="241"/>
        <v>0</v>
      </c>
      <c r="K255" s="3">
        <f t="shared" si="241"/>
        <v>0</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v>
      </c>
      <c r="C256" s="3">
        <f t="shared" si="242"/>
        <v>0</v>
      </c>
      <c r="D256" s="3">
        <f t="shared" si="242"/>
        <v>0</v>
      </c>
      <c r="E256" s="3">
        <f t="shared" si="242"/>
        <v>0</v>
      </c>
      <c r="F256" s="3">
        <f t="shared" si="242"/>
        <v>0</v>
      </c>
      <c r="G256" s="3">
        <f t="shared" si="242"/>
        <v>0</v>
      </c>
      <c r="H256" s="3">
        <f t="shared" si="242"/>
        <v>0</v>
      </c>
      <c r="I256" s="3">
        <f t="shared" si="242"/>
        <v>0</v>
      </c>
      <c r="J256" s="3">
        <f t="shared" si="242"/>
        <v>0</v>
      </c>
      <c r="K256" s="3">
        <f t="shared" si="242"/>
        <v>0</v>
      </c>
      <c r="L256" s="3">
        <f t="shared" si="242"/>
        <v>0</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0</v>
      </c>
      <c r="C257" s="3">
        <f t="shared" si="243"/>
        <v>0</v>
      </c>
      <c r="D257" s="3">
        <f t="shared" si="243"/>
        <v>0</v>
      </c>
      <c r="E257" s="3">
        <f t="shared" si="243"/>
        <v>0</v>
      </c>
      <c r="F257" s="3">
        <f t="shared" si="243"/>
        <v>0</v>
      </c>
      <c r="G257" s="3">
        <f t="shared" si="243"/>
        <v>0</v>
      </c>
      <c r="H257" s="3">
        <f t="shared" si="243"/>
        <v>0</v>
      </c>
      <c r="I257" s="3">
        <f t="shared" si="243"/>
        <v>0</v>
      </c>
      <c r="J257" s="3">
        <f t="shared" si="243"/>
        <v>0</v>
      </c>
      <c r="K257" s="3">
        <f t="shared" si="243"/>
        <v>0</v>
      </c>
      <c r="L257" s="3">
        <f t="shared" si="243"/>
        <v>0</v>
      </c>
      <c r="M257" s="3">
        <f t="shared" si="243"/>
        <v>0</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7.2761897864327847E-4</v>
      </c>
      <c r="C258" s="3">
        <f t="shared" si="244"/>
        <v>7.2761897790763082E-4</v>
      </c>
      <c r="D258" s="3">
        <f t="shared" si="244"/>
        <v>7.2761897055115385E-4</v>
      </c>
      <c r="E258" s="3">
        <f t="shared" si="244"/>
        <v>7.2761889698638813E-4</v>
      </c>
      <c r="F258" s="3">
        <f t="shared" si="244"/>
        <v>7.2761816133914026E-4</v>
      </c>
      <c r="G258" s="3">
        <f t="shared" si="244"/>
        <v>7.2761080490756829E-4</v>
      </c>
      <c r="H258" s="3">
        <f t="shared" si="244"/>
        <v>7.2753724468238633E-4</v>
      </c>
      <c r="I258" s="3">
        <f t="shared" si="244"/>
        <v>7.2680205133134502E-4</v>
      </c>
      <c r="J258" s="3">
        <f t="shared" si="244"/>
        <v>7.194908553488712E-4</v>
      </c>
      <c r="K258" s="3">
        <f t="shared" si="244"/>
        <v>6.5030429034891645E-4</v>
      </c>
      <c r="L258" s="3">
        <f t="shared" si="244"/>
        <v>2.3660832825155226E-4</v>
      </c>
      <c r="M258" s="3">
        <f t="shared" si="244"/>
        <v>9.6197570773220525E-9</v>
      </c>
      <c r="N258" s="3">
        <f t="shared" si="244"/>
        <v>1.1871480574197231E-52</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3.1446025256698353E-2</v>
      </c>
      <c r="C259" s="3">
        <f t="shared" si="245"/>
        <v>3.1446025253830362E-2</v>
      </c>
      <c r="D259" s="3">
        <f t="shared" si="245"/>
        <v>3.1446025225150422E-2</v>
      </c>
      <c r="E259" s="3">
        <f t="shared" si="245"/>
        <v>3.1446024938351039E-2</v>
      </c>
      <c r="F259" s="3">
        <f t="shared" si="245"/>
        <v>3.1446022070357356E-2</v>
      </c>
      <c r="G259" s="3">
        <f t="shared" si="245"/>
        <v>3.1445993390434933E-2</v>
      </c>
      <c r="H259" s="3">
        <f t="shared" si="245"/>
        <v>3.1445706592649315E-2</v>
      </c>
      <c r="I259" s="3">
        <f t="shared" si="245"/>
        <v>3.1442838758652156E-2</v>
      </c>
      <c r="J259" s="3">
        <f t="shared" si="245"/>
        <v>3.1414174799728398E-2</v>
      </c>
      <c r="K259" s="3">
        <f t="shared" si="245"/>
        <v>3.1128968474158362E-2</v>
      </c>
      <c r="L259" s="3">
        <f t="shared" si="245"/>
        <v>2.8415510721282931E-2</v>
      </c>
      <c r="M259" s="3">
        <f t="shared" si="245"/>
        <v>1.1414656097345608E-2</v>
      </c>
      <c r="N259" s="3">
        <f t="shared" si="245"/>
        <v>1.2489253625168641E-6</v>
      </c>
      <c r="O259" s="3">
        <f t="shared" si="245"/>
        <v>3.0709519484473635E-46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1.9599632072165536E-2</v>
      </c>
      <c r="C260" s="3">
        <f t="shared" si="246"/>
        <v>1.9599632072004283E-2</v>
      </c>
      <c r="D260" s="3">
        <f t="shared" si="246"/>
        <v>1.9599632070391757E-2</v>
      </c>
      <c r="E260" s="3">
        <f t="shared" si="246"/>
        <v>1.9599632054266486E-2</v>
      </c>
      <c r="F260" s="3">
        <f t="shared" si="246"/>
        <v>1.9599631893013798E-2</v>
      </c>
      <c r="G260" s="3">
        <f t="shared" si="246"/>
        <v>1.9599630280486991E-2</v>
      </c>
      <c r="H260" s="3">
        <f t="shared" si="246"/>
        <v>1.9599614155226212E-2</v>
      </c>
      <c r="I260" s="3">
        <f t="shared" si="246"/>
        <v>1.9599452903348094E-2</v>
      </c>
      <c r="J260" s="3">
        <f t="shared" si="246"/>
        <v>1.959784045753182E-2</v>
      </c>
      <c r="K260" s="3">
        <f t="shared" si="246"/>
        <v>1.9581723293638758E-2</v>
      </c>
      <c r="L260" s="3">
        <f t="shared" si="246"/>
        <v>1.9421278866097631E-2</v>
      </c>
      <c r="M260" s="3">
        <f t="shared" si="246"/>
        <v>1.7887389892084056E-2</v>
      </c>
      <c r="N260" s="3">
        <f t="shared" si="246"/>
        <v>7.8566691530827445E-3</v>
      </c>
      <c r="O260" s="3">
        <f t="shared" si="246"/>
        <v>2.0996813149046826E-6</v>
      </c>
      <c r="P260" s="3">
        <f t="shared" si="246"/>
        <v>3.9021374726556364E-42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3.2516214564490352E-2</v>
      </c>
      <c r="C261" s="3">
        <f t="shared" si="247"/>
        <v>3.2516214564466225E-2</v>
      </c>
      <c r="D261" s="3">
        <f t="shared" si="247"/>
        <v>3.2516214564224898E-2</v>
      </c>
      <c r="E261" s="3">
        <f t="shared" si="247"/>
        <v>3.2516214561811627E-2</v>
      </c>
      <c r="F261" s="3">
        <f t="shared" si="247"/>
        <v>3.2516214537678945E-2</v>
      </c>
      <c r="G261" s="3">
        <f t="shared" si="247"/>
        <v>3.2516214296352111E-2</v>
      </c>
      <c r="H261" s="3">
        <f t="shared" si="247"/>
        <v>3.2516211883083866E-2</v>
      </c>
      <c r="I261" s="3">
        <f t="shared" si="247"/>
        <v>3.2516187750411263E-2</v>
      </c>
      <c r="J261" s="3">
        <f t="shared" si="247"/>
        <v>3.2515946424670344E-2</v>
      </c>
      <c r="K261" s="3">
        <f t="shared" si="247"/>
        <v>3.2513533265766725E-2</v>
      </c>
      <c r="L261" s="3">
        <f t="shared" si="247"/>
        <v>3.2489411524580902E-2</v>
      </c>
      <c r="M261" s="3">
        <f t="shared" si="247"/>
        <v>3.2249176198859503E-2</v>
      </c>
      <c r="N261" s="3">
        <f t="shared" si="247"/>
        <v>2.9942387407921975E-2</v>
      </c>
      <c r="O261" s="3">
        <f t="shared" si="247"/>
        <v>1.4254908223899122E-2</v>
      </c>
      <c r="P261" s="3">
        <f t="shared" si="247"/>
        <v>8.5259823597399835E-6</v>
      </c>
      <c r="Q261" s="3">
        <f t="shared" si="247"/>
        <v>4.9951032723590421E-38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3.2163923063268325E-2</v>
      </c>
      <c r="C262" s="3">
        <f t="shared" si="248"/>
        <v>3.2163923063266167E-2</v>
      </c>
      <c r="D262" s="3">
        <f t="shared" si="248"/>
        <v>3.2163923063244636E-2</v>
      </c>
      <c r="E262" s="3">
        <f t="shared" si="248"/>
        <v>3.2163923063029294E-2</v>
      </c>
      <c r="F262" s="3">
        <f t="shared" si="248"/>
        <v>3.2163923060875912E-2</v>
      </c>
      <c r="G262" s="3">
        <f t="shared" si="248"/>
        <v>3.2163923039342082E-2</v>
      </c>
      <c r="H262" s="3">
        <f t="shared" si="248"/>
        <v>3.2163922824003807E-2</v>
      </c>
      <c r="I262" s="3">
        <f t="shared" si="248"/>
        <v>3.2163920670621078E-2</v>
      </c>
      <c r="J262" s="3">
        <f t="shared" si="248"/>
        <v>3.2163899136801739E-2</v>
      </c>
      <c r="K262" s="3">
        <f t="shared" si="248"/>
        <v>3.216368379940128E-2</v>
      </c>
      <c r="L262" s="3">
        <f t="shared" si="248"/>
        <v>3.2161530504687744E-2</v>
      </c>
      <c r="M262" s="3">
        <f t="shared" si="248"/>
        <v>3.2140005484694277E-2</v>
      </c>
      <c r="N262" s="3">
        <f t="shared" si="248"/>
        <v>3.1925546038780214E-2</v>
      </c>
      <c r="O262" s="3">
        <f t="shared" si="248"/>
        <v>2.98581027432793E-2</v>
      </c>
      <c r="P262" s="3">
        <f t="shared" si="248"/>
        <v>1.5286249714862879E-2</v>
      </c>
      <c r="Q262" s="3">
        <f t="shared" si="248"/>
        <v>1.8909862354065128E-5</v>
      </c>
      <c r="R262" s="3">
        <f t="shared" si="248"/>
        <v>1.5869474455266709E-34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3.3900572605001067E-2</v>
      </c>
      <c r="C263" s="3">
        <f t="shared" si="249"/>
        <v>3.3900572605000859E-2</v>
      </c>
      <c r="D263" s="3">
        <f t="shared" si="249"/>
        <v>3.3900572604998812E-2</v>
      </c>
      <c r="E263" s="3">
        <f t="shared" si="249"/>
        <v>3.3900572604978342E-2</v>
      </c>
      <c r="F263" s="3">
        <f t="shared" si="249"/>
        <v>3.3900572604773596E-2</v>
      </c>
      <c r="G263" s="3">
        <f t="shared" si="249"/>
        <v>3.3900572602726185E-2</v>
      </c>
      <c r="H263" s="3">
        <f t="shared" si="249"/>
        <v>3.3900572582252035E-2</v>
      </c>
      <c r="I263" s="3">
        <f t="shared" si="249"/>
        <v>3.3900572377510547E-2</v>
      </c>
      <c r="J263" s="3">
        <f t="shared" si="249"/>
        <v>3.3900570330095754E-2</v>
      </c>
      <c r="K263" s="3">
        <f t="shared" si="249"/>
        <v>3.3900549855954622E-2</v>
      </c>
      <c r="L263" s="3">
        <f t="shared" si="249"/>
        <v>3.3900345115223357E-2</v>
      </c>
      <c r="M263" s="3">
        <f t="shared" si="249"/>
        <v>3.3898297775918254E-2</v>
      </c>
      <c r="N263" s="3">
        <f t="shared" si="249"/>
        <v>3.3877831182094108E-2</v>
      </c>
      <c r="O263" s="3">
        <f t="shared" si="249"/>
        <v>3.3673843649638428E-2</v>
      </c>
      <c r="P263" s="3">
        <f t="shared" si="249"/>
        <v>3.1700317114329565E-2</v>
      </c>
      <c r="Q263" s="3">
        <f t="shared" si="249"/>
        <v>1.7328970515067346E-2</v>
      </c>
      <c r="R263" s="3">
        <f t="shared" si="249"/>
        <v>4.1291848331996727E-5</v>
      </c>
      <c r="S263" s="3">
        <f t="shared" si="249"/>
        <v>2.436575822266265E-31</v>
      </c>
      <c r="T263" s="3">
        <f t="shared" si="249"/>
        <v>1.247199707541009E-293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4.6234934193755552E-2</v>
      </c>
      <c r="C264" s="3">
        <f t="shared" si="250"/>
        <v>4.6234934193755531E-2</v>
      </c>
      <c r="D264" s="3">
        <f t="shared" si="250"/>
        <v>4.6234934193755274E-2</v>
      </c>
      <c r="E264" s="3">
        <f t="shared" si="250"/>
        <v>4.6234934193752762E-2</v>
      </c>
      <c r="F264" s="3">
        <f t="shared" si="250"/>
        <v>4.6234934193727574E-2</v>
      </c>
      <c r="G264" s="3">
        <f t="shared" si="250"/>
        <v>4.6234934193475678E-2</v>
      </c>
      <c r="H264" s="3">
        <f t="shared" si="250"/>
        <v>4.6234934190956749E-2</v>
      </c>
      <c r="I264" s="3">
        <f t="shared" si="250"/>
        <v>4.6234934165767475E-2</v>
      </c>
      <c r="J264" s="3">
        <f t="shared" si="250"/>
        <v>4.6234933913874732E-2</v>
      </c>
      <c r="K264" s="3">
        <f t="shared" si="250"/>
        <v>4.6234931394947401E-2</v>
      </c>
      <c r="L264" s="3">
        <f t="shared" si="250"/>
        <v>4.6234906205681589E-2</v>
      </c>
      <c r="M264" s="3">
        <f t="shared" si="250"/>
        <v>4.6234654313778267E-2</v>
      </c>
      <c r="N264" s="3">
        <f t="shared" si="250"/>
        <v>4.6232135470221959E-2</v>
      </c>
      <c r="O264" s="3">
        <f t="shared" si="250"/>
        <v>4.6206954580827152E-2</v>
      </c>
      <c r="P264" s="3">
        <f t="shared" si="250"/>
        <v>4.5955898784764956E-2</v>
      </c>
      <c r="Q264" s="3">
        <f t="shared" si="250"/>
        <v>4.3519154388378584E-2</v>
      </c>
      <c r="R264" s="3">
        <f t="shared" si="250"/>
        <v>2.5239008294749701E-2</v>
      </c>
      <c r="S264" s="3">
        <f t="shared" si="250"/>
        <v>1.0864022819387152E-4</v>
      </c>
      <c r="T264" s="3">
        <f t="shared" si="250"/>
        <v>2.372326701460406E-28</v>
      </c>
      <c r="U264" s="3">
        <f t="shared" si="250"/>
        <v>5.8480728741671699E-265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5.6671396993887152E-2</v>
      </c>
      <c r="C265" s="3">
        <f t="shared" si="251"/>
        <v>5.6671396993887152E-2</v>
      </c>
      <c r="D265" s="3">
        <f t="shared" si="251"/>
        <v>5.6671396993887117E-2</v>
      </c>
      <c r="E265" s="3">
        <f t="shared" si="251"/>
        <v>5.6671396993886847E-2</v>
      </c>
      <c r="F265" s="3">
        <f t="shared" si="251"/>
        <v>5.6671396993884057E-2</v>
      </c>
      <c r="G265" s="3">
        <f t="shared" si="251"/>
        <v>5.6671396993856205E-2</v>
      </c>
      <c r="H265" s="3">
        <f t="shared" si="251"/>
        <v>5.6671396993577684E-2</v>
      </c>
      <c r="I265" s="3">
        <f t="shared" si="251"/>
        <v>5.6671396990792489E-2</v>
      </c>
      <c r="J265" s="3">
        <f t="shared" si="251"/>
        <v>5.6671396962940518E-2</v>
      </c>
      <c r="K265" s="3">
        <f t="shared" si="251"/>
        <v>5.6671396684420818E-2</v>
      </c>
      <c r="L265" s="3">
        <f t="shared" si="251"/>
        <v>5.6671393899223897E-2</v>
      </c>
      <c r="M265" s="3">
        <f t="shared" si="251"/>
        <v>5.6671366047262216E-2</v>
      </c>
      <c r="N265" s="3">
        <f t="shared" si="251"/>
        <v>5.6671087528398216E-2</v>
      </c>
      <c r="O265" s="3">
        <f t="shared" si="251"/>
        <v>5.6668302415042102E-2</v>
      </c>
      <c r="P265" s="3">
        <f t="shared" si="251"/>
        <v>5.6640458808497433E-2</v>
      </c>
      <c r="Q265" s="3">
        <f t="shared" si="251"/>
        <v>5.6362774077767776E-2</v>
      </c>
      <c r="R265" s="3">
        <f t="shared" si="251"/>
        <v>5.3659711776240147E-2</v>
      </c>
      <c r="S265" s="3">
        <f t="shared" si="251"/>
        <v>3.2825253584950344E-2</v>
      </c>
      <c r="T265" s="3">
        <f t="shared" si="251"/>
        <v>2.4088271199965323E-4</v>
      </c>
      <c r="U265" s="3">
        <f t="shared" si="251"/>
        <v>1.0908902357739624E-25</v>
      </c>
      <c r="V265" s="3">
        <f t="shared" si="251"/>
        <v>3.9585422001747479E-239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5.870573738309863E-2</v>
      </c>
      <c r="C266" s="3">
        <f t="shared" si="252"/>
        <v>5.870573738309863E-2</v>
      </c>
      <c r="D266" s="3">
        <f t="shared" si="252"/>
        <v>5.870573738309863E-2</v>
      </c>
      <c r="E266" s="3">
        <f t="shared" si="252"/>
        <v>5.8705737383098602E-2</v>
      </c>
      <c r="F266" s="3">
        <f t="shared" si="252"/>
        <v>5.8705737383098346E-2</v>
      </c>
      <c r="G266" s="3">
        <f t="shared" si="252"/>
        <v>5.8705737383095737E-2</v>
      </c>
      <c r="H266" s="3">
        <f t="shared" si="252"/>
        <v>5.8705737383069709E-2</v>
      </c>
      <c r="I266" s="3">
        <f t="shared" si="252"/>
        <v>5.8705737382809445E-2</v>
      </c>
      <c r="J266" s="3">
        <f t="shared" si="252"/>
        <v>5.8705737380206777E-2</v>
      </c>
      <c r="K266" s="3">
        <f t="shared" si="252"/>
        <v>5.8705737354180075E-2</v>
      </c>
      <c r="L266" s="3">
        <f t="shared" si="252"/>
        <v>5.8705737093913052E-2</v>
      </c>
      <c r="M266" s="3">
        <f t="shared" si="252"/>
        <v>5.8705734491242924E-2</v>
      </c>
      <c r="N266" s="3">
        <f t="shared" si="252"/>
        <v>5.8705708464547979E-2</v>
      </c>
      <c r="O266" s="3">
        <f t="shared" si="252"/>
        <v>5.8705448198233201E-2</v>
      </c>
      <c r="P266" s="3">
        <f t="shared" si="252"/>
        <v>5.8702845598547208E-2</v>
      </c>
      <c r="Q266" s="3">
        <f t="shared" si="252"/>
        <v>5.8676825946828146E-2</v>
      </c>
      <c r="R266" s="3">
        <f t="shared" si="252"/>
        <v>5.8417262904122524E-2</v>
      </c>
      <c r="S266" s="3">
        <f t="shared" si="252"/>
        <v>5.5883953004304418E-2</v>
      </c>
      <c r="T266" s="3">
        <f t="shared" si="252"/>
        <v>3.5871229335906377E-2</v>
      </c>
      <c r="U266" s="3">
        <f t="shared" si="252"/>
        <v>4.2592945881110897E-4</v>
      </c>
      <c r="V266" s="3">
        <f t="shared" si="252"/>
        <v>2.3727493207362058E-23</v>
      </c>
      <c r="W266" s="3">
        <f t="shared" si="252"/>
        <v>6.8295745549278223E-216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5.620235606497212E-2</v>
      </c>
      <c r="C267" s="3">
        <f t="shared" si="253"/>
        <v>5.620235606497212E-2</v>
      </c>
      <c r="D267" s="3">
        <f t="shared" si="253"/>
        <v>5.620235606497212E-2</v>
      </c>
      <c r="E267" s="3">
        <f t="shared" si="253"/>
        <v>5.620235606497212E-2</v>
      </c>
      <c r="F267" s="3">
        <f t="shared" si="253"/>
        <v>5.6202356064972092E-2</v>
      </c>
      <c r="G267" s="3">
        <f t="shared" si="253"/>
        <v>5.620235606497187E-2</v>
      </c>
      <c r="H267" s="3">
        <f t="shared" si="253"/>
        <v>5.6202356064969622E-2</v>
      </c>
      <c r="I267" s="3">
        <f t="shared" si="253"/>
        <v>5.620235606494714E-2</v>
      </c>
      <c r="J267" s="3">
        <f t="shared" si="253"/>
        <v>5.6202356064722375E-2</v>
      </c>
      <c r="K267" s="3">
        <f t="shared" si="253"/>
        <v>5.6202356062474666E-2</v>
      </c>
      <c r="L267" s="3">
        <f t="shared" si="253"/>
        <v>5.6202356039997597E-2</v>
      </c>
      <c r="M267" s="3">
        <f t="shared" si="253"/>
        <v>5.6202355815226888E-2</v>
      </c>
      <c r="N267" s="3">
        <f t="shared" si="253"/>
        <v>5.620235356751991E-2</v>
      </c>
      <c r="O267" s="3">
        <f t="shared" si="253"/>
        <v>5.6202331090455054E-2</v>
      </c>
      <c r="P267" s="3">
        <f t="shared" si="253"/>
        <v>5.6202106320300857E-2</v>
      </c>
      <c r="Q267" s="3">
        <f t="shared" si="253"/>
        <v>5.619985866819914E-2</v>
      </c>
      <c r="R267" s="3">
        <f t="shared" si="253"/>
        <v>5.6177387090472902E-2</v>
      </c>
      <c r="S267" s="3">
        <f t="shared" si="253"/>
        <v>5.5953164911608302E-2</v>
      </c>
      <c r="T267" s="3">
        <f t="shared" si="253"/>
        <v>5.3759580310608103E-2</v>
      </c>
      <c r="U267" s="3">
        <f t="shared" si="253"/>
        <v>3.6038607149905921E-2</v>
      </c>
      <c r="V267" s="3">
        <f t="shared" si="253"/>
        <v>6.6052502787412317E-4</v>
      </c>
      <c r="W267" s="3">
        <f t="shared" si="253"/>
        <v>2.8255440487946736E-21</v>
      </c>
      <c r="X267" s="3">
        <f t="shared" si="253"/>
        <v>5.7973580373192001E-195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6.3415296184233166E-2</v>
      </c>
      <c r="C268" s="3">
        <f t="shared" si="254"/>
        <v>6.3415296184233166E-2</v>
      </c>
      <c r="D268" s="3">
        <f t="shared" si="254"/>
        <v>6.3415296184233166E-2</v>
      </c>
      <c r="E268" s="3">
        <f t="shared" si="254"/>
        <v>6.3415296184233166E-2</v>
      </c>
      <c r="F268" s="3">
        <f t="shared" si="254"/>
        <v>6.3415296184233166E-2</v>
      </c>
      <c r="G268" s="3">
        <f t="shared" si="254"/>
        <v>6.3415296184233139E-2</v>
      </c>
      <c r="H268" s="3">
        <f t="shared" si="254"/>
        <v>6.3415296184232917E-2</v>
      </c>
      <c r="I268" s="3">
        <f t="shared" si="254"/>
        <v>6.3415296184230627E-2</v>
      </c>
      <c r="J268" s="3">
        <f t="shared" si="254"/>
        <v>6.3415296184207742E-2</v>
      </c>
      <c r="K268" s="3">
        <f t="shared" si="254"/>
        <v>6.3415296183978967E-2</v>
      </c>
      <c r="L268" s="3">
        <f t="shared" si="254"/>
        <v>6.3415296181691116E-2</v>
      </c>
      <c r="M268" s="3">
        <f t="shared" si="254"/>
        <v>6.3415296158812709E-2</v>
      </c>
      <c r="N268" s="3">
        <f t="shared" si="254"/>
        <v>6.3415295930028634E-2</v>
      </c>
      <c r="O268" s="3">
        <f t="shared" si="254"/>
        <v>6.3415293642187898E-2</v>
      </c>
      <c r="P268" s="3">
        <f t="shared" si="254"/>
        <v>6.3415270763785017E-2</v>
      </c>
      <c r="Q268" s="3">
        <f t="shared" si="254"/>
        <v>6.3415041980210321E-2</v>
      </c>
      <c r="R268" s="3">
        <f t="shared" si="254"/>
        <v>6.3412754189858797E-2</v>
      </c>
      <c r="S268" s="3">
        <f t="shared" si="254"/>
        <v>6.3389880825298395E-2</v>
      </c>
      <c r="T268" s="3">
        <f t="shared" si="254"/>
        <v>6.3161600469867268E-2</v>
      </c>
      <c r="U268" s="3">
        <f t="shared" si="254"/>
        <v>6.0923526651689069E-2</v>
      </c>
      <c r="V268" s="3">
        <f t="shared" si="254"/>
        <v>4.2472138176670247E-2</v>
      </c>
      <c r="W268" s="3">
        <f t="shared" si="254"/>
        <v>1.1515824185244947E-3</v>
      </c>
      <c r="X268" s="3">
        <f t="shared" si="254"/>
        <v>2.4728856314940506E-19</v>
      </c>
      <c r="Y268" s="3">
        <f t="shared" si="254"/>
        <v>5.1557765239375361E-176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3.5348869965799563E-2</v>
      </c>
      <c r="C269" s="3">
        <f t="shared" si="255"/>
        <v>3.5348869965799563E-2</v>
      </c>
      <c r="D269" s="3">
        <f t="shared" si="255"/>
        <v>3.5348869965799563E-2</v>
      </c>
      <c r="E269" s="3">
        <f t="shared" si="255"/>
        <v>3.5348869965799563E-2</v>
      </c>
      <c r="F269" s="3">
        <f t="shared" si="255"/>
        <v>3.5348869965799563E-2</v>
      </c>
      <c r="G269" s="3">
        <f t="shared" si="255"/>
        <v>3.5348869965799563E-2</v>
      </c>
      <c r="H269" s="3">
        <f t="shared" si="255"/>
        <v>3.5348869965799549E-2</v>
      </c>
      <c r="I269" s="3">
        <f t="shared" si="255"/>
        <v>3.5348869965799432E-2</v>
      </c>
      <c r="J269" s="3">
        <f t="shared" si="255"/>
        <v>3.5348869965798287E-2</v>
      </c>
      <c r="K269" s="3">
        <f t="shared" si="255"/>
        <v>3.5348869965786782E-2</v>
      </c>
      <c r="L269" s="3">
        <f t="shared" si="255"/>
        <v>3.5348869965671735E-2</v>
      </c>
      <c r="M269" s="3">
        <f t="shared" si="255"/>
        <v>3.5348869964521329E-2</v>
      </c>
      <c r="N269" s="3">
        <f t="shared" si="255"/>
        <v>3.5348869953017191E-2</v>
      </c>
      <c r="O269" s="3">
        <f t="shared" si="255"/>
        <v>3.534886983797586E-2</v>
      </c>
      <c r="P269" s="3">
        <f t="shared" si="255"/>
        <v>3.5348868687562568E-2</v>
      </c>
      <c r="Q269" s="3">
        <f t="shared" si="255"/>
        <v>3.5348857183431712E-2</v>
      </c>
      <c r="R269" s="3">
        <f t="shared" si="255"/>
        <v>3.5348742142329033E-2</v>
      </c>
      <c r="S269" s="3">
        <f t="shared" si="255"/>
        <v>3.5347591751893802E-2</v>
      </c>
      <c r="T269" s="3">
        <f t="shared" si="255"/>
        <v>3.5336089906449049E-2</v>
      </c>
      <c r="U269" s="3">
        <f t="shared" si="255"/>
        <v>3.5221277095050539E-2</v>
      </c>
      <c r="V269" s="3">
        <f t="shared" si="255"/>
        <v>3.4093467802017476E-2</v>
      </c>
      <c r="W269" s="3">
        <f t="shared" si="255"/>
        <v>2.4622489571347168E-2</v>
      </c>
      <c r="X269" s="3">
        <f t="shared" si="255"/>
        <v>9.5047305271892446E-4</v>
      </c>
      <c r="Y269" s="3">
        <f t="shared" si="255"/>
        <v>6.9826178086733975E-18</v>
      </c>
      <c r="Z269" s="3">
        <f t="shared" si="255"/>
        <v>3.1974436830981976E-159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7.0460456800535406E-2</v>
      </c>
      <c r="C270" s="3">
        <f t="shared" si="256"/>
        <v>7.0460456800535406E-2</v>
      </c>
      <c r="D270" s="3">
        <f t="shared" si="256"/>
        <v>7.0460456800535406E-2</v>
      </c>
      <c r="E270" s="3">
        <f t="shared" si="256"/>
        <v>7.0460456800535406E-2</v>
      </c>
      <c r="F270" s="3">
        <f t="shared" si="256"/>
        <v>7.0460456800535406E-2</v>
      </c>
      <c r="G270" s="3">
        <f t="shared" si="256"/>
        <v>7.0460456800535406E-2</v>
      </c>
      <c r="H270" s="3">
        <f t="shared" si="256"/>
        <v>7.0460456800535393E-2</v>
      </c>
      <c r="I270" s="3">
        <f t="shared" si="256"/>
        <v>7.0460456800535337E-2</v>
      </c>
      <c r="J270" s="3">
        <f t="shared" si="256"/>
        <v>7.0460456800534699E-2</v>
      </c>
      <c r="K270" s="3">
        <f t="shared" si="256"/>
        <v>7.0460456800528357E-2</v>
      </c>
      <c r="L270" s="3">
        <f t="shared" si="256"/>
        <v>7.0460456800464935E-2</v>
      </c>
      <c r="M270" s="3">
        <f t="shared" si="256"/>
        <v>7.046045679983072E-2</v>
      </c>
      <c r="N270" s="3">
        <f t="shared" si="256"/>
        <v>7.0460456793488571E-2</v>
      </c>
      <c r="O270" s="3">
        <f t="shared" si="256"/>
        <v>7.0460456730067039E-2</v>
      </c>
      <c r="P270" s="3">
        <f t="shared" si="256"/>
        <v>7.0460456095851789E-2</v>
      </c>
      <c r="Q270" s="3">
        <f t="shared" si="256"/>
        <v>7.0460449753699639E-2</v>
      </c>
      <c r="R270" s="3">
        <f t="shared" si="256"/>
        <v>7.0460386332209482E-2</v>
      </c>
      <c r="S270" s="3">
        <f t="shared" si="256"/>
        <v>7.0459752120447611E-2</v>
      </c>
      <c r="T270" s="3">
        <f t="shared" si="256"/>
        <v>7.0453410316789047E-2</v>
      </c>
      <c r="U270" s="3">
        <f t="shared" si="256"/>
        <v>7.0390023665764745E-2</v>
      </c>
      <c r="V270" s="3">
        <f t="shared" si="256"/>
        <v>6.9759285284212255E-2</v>
      </c>
      <c r="W270" s="3">
        <f t="shared" si="256"/>
        <v>6.3754542593072491E-2</v>
      </c>
      <c r="X270" s="3">
        <f t="shared" si="256"/>
        <v>2.5918045784427624E-2</v>
      </c>
      <c r="Y270" s="3">
        <f t="shared" si="256"/>
        <v>3.1953132284927058E-6</v>
      </c>
      <c r="Z270" s="3">
        <f t="shared" si="256"/>
        <v>2.5919420291518593E-45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8.6875447409324694E-2</v>
      </c>
      <c r="C271" s="3">
        <f t="shared" si="257"/>
        <v>8.6875447409324694E-2</v>
      </c>
      <c r="D271" s="3">
        <f t="shared" si="257"/>
        <v>8.6875447409324694E-2</v>
      </c>
      <c r="E271" s="3">
        <f t="shared" si="257"/>
        <v>8.6875447409324694E-2</v>
      </c>
      <c r="F271" s="3">
        <f t="shared" si="257"/>
        <v>8.6875447409324694E-2</v>
      </c>
      <c r="G271" s="3">
        <f t="shared" si="257"/>
        <v>8.6875447409324694E-2</v>
      </c>
      <c r="H271" s="3">
        <f t="shared" si="257"/>
        <v>8.6875447409324694E-2</v>
      </c>
      <c r="I271" s="3">
        <f t="shared" si="257"/>
        <v>8.687544740932468E-2</v>
      </c>
      <c r="J271" s="3">
        <f t="shared" si="257"/>
        <v>8.687544740932461E-2</v>
      </c>
      <c r="K271" s="3">
        <f t="shared" si="257"/>
        <v>8.6875447409323819E-2</v>
      </c>
      <c r="L271" s="3">
        <f t="shared" si="257"/>
        <v>8.6875447409316006E-2</v>
      </c>
      <c r="M271" s="3">
        <f t="shared" si="257"/>
        <v>8.6875447409237805E-2</v>
      </c>
      <c r="N271" s="3">
        <f t="shared" si="257"/>
        <v>8.6875447408455847E-2</v>
      </c>
      <c r="O271" s="3">
        <f t="shared" si="257"/>
        <v>8.6875447400636172E-2</v>
      </c>
      <c r="P271" s="3">
        <f t="shared" si="257"/>
        <v>8.68754473224395E-2</v>
      </c>
      <c r="Q271" s="3">
        <f t="shared" si="257"/>
        <v>8.6875446540472759E-2</v>
      </c>
      <c r="R271" s="3">
        <f t="shared" si="257"/>
        <v>8.6875438720805803E-2</v>
      </c>
      <c r="S271" s="3">
        <f t="shared" si="257"/>
        <v>8.6875360524174911E-2</v>
      </c>
      <c r="T271" s="3">
        <f t="shared" si="257"/>
        <v>8.6874578561737165E-2</v>
      </c>
      <c r="U271" s="3">
        <f t="shared" si="257"/>
        <v>8.6866759324462278E-2</v>
      </c>
      <c r="V271" s="3">
        <f t="shared" si="257"/>
        <v>8.6788605649087969E-2</v>
      </c>
      <c r="W271" s="3">
        <f t="shared" si="257"/>
        <v>8.6010925776095856E-2</v>
      </c>
      <c r="X271" s="3">
        <f t="shared" si="257"/>
        <v>7.8607273691531518E-2</v>
      </c>
      <c r="Y271" s="3">
        <f t="shared" si="257"/>
        <v>3.1956105959852391E-2</v>
      </c>
      <c r="Z271" s="3">
        <f t="shared" si="257"/>
        <v>3.9397170972659406E-6</v>
      </c>
      <c r="AA271" s="3">
        <f t="shared" si="257"/>
        <v>3.1957800682309747E-45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9.6215979999175721E-2</v>
      </c>
      <c r="C272" s="3">
        <f t="shared" si="258"/>
        <v>9.6215979999175721E-2</v>
      </c>
      <c r="D272" s="3">
        <f t="shared" si="258"/>
        <v>9.6215979999175721E-2</v>
      </c>
      <c r="E272" s="3">
        <f t="shared" si="258"/>
        <v>9.6215979999175721E-2</v>
      </c>
      <c r="F272" s="3">
        <f t="shared" si="258"/>
        <v>9.6215979999175721E-2</v>
      </c>
      <c r="G272" s="3">
        <f t="shared" si="258"/>
        <v>9.6215979999175721E-2</v>
      </c>
      <c r="H272" s="3">
        <f t="shared" si="258"/>
        <v>9.6215979999175721E-2</v>
      </c>
      <c r="I272" s="3">
        <f t="shared" si="258"/>
        <v>9.6215979999175721E-2</v>
      </c>
      <c r="J272" s="3">
        <f t="shared" si="258"/>
        <v>9.6215979999175708E-2</v>
      </c>
      <c r="K272" s="3">
        <f t="shared" si="258"/>
        <v>9.6215979999175624E-2</v>
      </c>
      <c r="L272" s="3">
        <f t="shared" si="258"/>
        <v>9.6215979999174764E-2</v>
      </c>
      <c r="M272" s="3">
        <f t="shared" si="258"/>
        <v>9.621597999916609E-2</v>
      </c>
      <c r="N272" s="3">
        <f t="shared" si="258"/>
        <v>9.6215979999079493E-2</v>
      </c>
      <c r="O272" s="3">
        <f t="shared" si="258"/>
        <v>9.6215979998213449E-2</v>
      </c>
      <c r="P272" s="3">
        <f t="shared" si="258"/>
        <v>9.6215979989553044E-2</v>
      </c>
      <c r="Q272" s="3">
        <f t="shared" si="258"/>
        <v>9.6215979902948945E-2</v>
      </c>
      <c r="R272" s="3">
        <f t="shared" si="258"/>
        <v>9.6215979036907984E-2</v>
      </c>
      <c r="S272" s="3">
        <f t="shared" si="258"/>
        <v>9.621597037649883E-2</v>
      </c>
      <c r="T272" s="3">
        <f t="shared" si="258"/>
        <v>9.6215883772450189E-2</v>
      </c>
      <c r="U272" s="3">
        <f t="shared" si="258"/>
        <v>9.6215017736251074E-2</v>
      </c>
      <c r="V272" s="3">
        <f t="shared" si="258"/>
        <v>9.6206357802982423E-2</v>
      </c>
      <c r="W272" s="3">
        <f t="shared" si="258"/>
        <v>9.6119801328271595E-2</v>
      </c>
      <c r="X272" s="3">
        <f t="shared" si="258"/>
        <v>9.5258508139725223E-2</v>
      </c>
      <c r="Y272" s="3">
        <f t="shared" si="258"/>
        <v>8.705884227172718E-2</v>
      </c>
      <c r="Z272" s="3">
        <f t="shared" si="258"/>
        <v>3.5391910413973639E-2</v>
      </c>
      <c r="AA272" s="3">
        <f t="shared" si="258"/>
        <v>4.3633011712382148E-6</v>
      </c>
      <c r="AB272" s="3">
        <f t="shared" si="258"/>
        <v>3.5393787346834688E-45</v>
      </c>
      <c r="AC272" s="3">
        <f t="shared" si="258"/>
        <v>0</v>
      </c>
      <c r="AD272" s="3">
        <f t="shared" si="258"/>
        <v>0</v>
      </c>
      <c r="AE272" s="3">
        <f t="shared" si="258"/>
        <v>0</v>
      </c>
      <c r="AF272" s="3">
        <f t="shared" si="258"/>
        <v>0</v>
      </c>
      <c r="AG272" s="3"/>
      <c r="AH272" s="3"/>
    </row>
    <row r="273" spans="1:34" x14ac:dyDescent="0.25">
      <c r="B273" s="3">
        <f t="shared" ref="B273:AF273" si="259">$C42*EXP(-B$246/$A42/EXP(-$E$126))</f>
        <v>0.11161416834614406</v>
      </c>
      <c r="C273" s="3">
        <f t="shared" si="259"/>
        <v>0.11161416834614406</v>
      </c>
      <c r="D273" s="3">
        <f t="shared" si="259"/>
        <v>0.11161416834614406</v>
      </c>
      <c r="E273" s="3">
        <f t="shared" si="259"/>
        <v>0.11161416834614406</v>
      </c>
      <c r="F273" s="3">
        <f t="shared" si="259"/>
        <v>0.11161416834614406</v>
      </c>
      <c r="G273" s="3">
        <f t="shared" si="259"/>
        <v>0.11161416834614406</v>
      </c>
      <c r="H273" s="3">
        <f t="shared" si="259"/>
        <v>0.11161416834614406</v>
      </c>
      <c r="I273" s="3">
        <f t="shared" si="259"/>
        <v>0.11161416834614406</v>
      </c>
      <c r="J273" s="3">
        <f t="shared" si="259"/>
        <v>0.11161416834614406</v>
      </c>
      <c r="K273" s="3">
        <f t="shared" si="259"/>
        <v>0.11161416834614404</v>
      </c>
      <c r="L273" s="3">
        <f t="shared" si="259"/>
        <v>0.11161416834614395</v>
      </c>
      <c r="M273" s="3">
        <f t="shared" si="259"/>
        <v>0.11161416834614295</v>
      </c>
      <c r="N273" s="3">
        <f t="shared" si="259"/>
        <v>0.11161416834613289</v>
      </c>
      <c r="O273" s="3">
        <f t="shared" si="259"/>
        <v>0.11161416834603244</v>
      </c>
      <c r="P273" s="3">
        <f t="shared" si="259"/>
        <v>0.1116141683450278</v>
      </c>
      <c r="Q273" s="3">
        <f t="shared" si="259"/>
        <v>0.11161416833498139</v>
      </c>
      <c r="R273" s="3">
        <f t="shared" si="259"/>
        <v>0.11161416823451736</v>
      </c>
      <c r="S273" s="3">
        <f t="shared" si="259"/>
        <v>0.11161416722987716</v>
      </c>
      <c r="T273" s="3">
        <f t="shared" si="259"/>
        <v>0.11161415718347567</v>
      </c>
      <c r="U273" s="3">
        <f t="shared" si="259"/>
        <v>0.1116140567195105</v>
      </c>
      <c r="V273" s="3">
        <f t="shared" si="259"/>
        <v>0.1116130520848321</v>
      </c>
      <c r="W273" s="3">
        <f t="shared" si="259"/>
        <v>0.11160300623538255</v>
      </c>
      <c r="X273" s="3">
        <f t="shared" si="259"/>
        <v>0.11150259745775636</v>
      </c>
      <c r="Y273" s="3">
        <f t="shared" si="259"/>
        <v>0.1105034648506507</v>
      </c>
      <c r="Z273" s="3">
        <f t="shared" si="259"/>
        <v>0.100991542958043</v>
      </c>
      <c r="AA273" s="3">
        <f t="shared" si="259"/>
        <v>4.1055951901864375E-2</v>
      </c>
      <c r="AB273" s="3">
        <f t="shared" si="259"/>
        <v>5.061594045767468E-6</v>
      </c>
      <c r="AC273" s="3">
        <f t="shared" si="259"/>
        <v>4.105812921482558E-45</v>
      </c>
      <c r="AD273" s="3">
        <f t="shared" si="259"/>
        <v>0</v>
      </c>
      <c r="AE273" s="3">
        <f t="shared" si="259"/>
        <v>0</v>
      </c>
      <c r="AF273" s="3">
        <f t="shared" si="259"/>
        <v>0</v>
      </c>
      <c r="AG273" s="3"/>
      <c r="AH273" s="3"/>
    </row>
    <row r="274" spans="1:34" x14ac:dyDescent="0.25">
      <c r="B274" s="3">
        <f t="shared" ref="B274:AF274" si="260">$C43*EXP(-B$246/$A43/EXP(-$E$126))</f>
        <v>6.6462351022397975E-2</v>
      </c>
      <c r="C274" s="3">
        <f t="shared" si="260"/>
        <v>6.6462351022397975E-2</v>
      </c>
      <c r="D274" s="3">
        <f t="shared" si="260"/>
        <v>6.6462351022397975E-2</v>
      </c>
      <c r="E274" s="3">
        <f t="shared" si="260"/>
        <v>6.6462351022397975E-2</v>
      </c>
      <c r="F274" s="3">
        <f t="shared" si="260"/>
        <v>6.6462351022397975E-2</v>
      </c>
      <c r="G274" s="3">
        <f t="shared" si="260"/>
        <v>6.6462351022397975E-2</v>
      </c>
      <c r="H274" s="3">
        <f t="shared" si="260"/>
        <v>6.6462351022397975E-2</v>
      </c>
      <c r="I274" s="3">
        <f t="shared" si="260"/>
        <v>6.6462351022397975E-2</v>
      </c>
      <c r="J274" s="3">
        <f t="shared" si="260"/>
        <v>6.6462351022397975E-2</v>
      </c>
      <c r="K274" s="3">
        <f t="shared" si="260"/>
        <v>6.6462351022397975E-2</v>
      </c>
      <c r="L274" s="3">
        <f t="shared" si="260"/>
        <v>6.6462351022397961E-2</v>
      </c>
      <c r="M274" s="3">
        <f t="shared" si="260"/>
        <v>6.6462351022397906E-2</v>
      </c>
      <c r="N274" s="3">
        <f t="shared" si="260"/>
        <v>6.6462351022397309E-2</v>
      </c>
      <c r="O274" s="3">
        <f t="shared" si="260"/>
        <v>6.6462351022391328E-2</v>
      </c>
      <c r="P274" s="3">
        <f t="shared" si="260"/>
        <v>6.6462351022331501E-2</v>
      </c>
      <c r="Q274" s="3">
        <f t="shared" si="260"/>
        <v>6.6462351021733285E-2</v>
      </c>
      <c r="R274" s="3">
        <f t="shared" si="260"/>
        <v>6.6462351015751001E-2</v>
      </c>
      <c r="S274" s="3">
        <f t="shared" si="260"/>
        <v>6.6462350955928159E-2</v>
      </c>
      <c r="T274" s="3">
        <f t="shared" si="260"/>
        <v>6.6462350357699901E-2</v>
      </c>
      <c r="U274" s="3">
        <f t="shared" si="260"/>
        <v>6.646234437541762E-2</v>
      </c>
      <c r="V274" s="3">
        <f t="shared" si="260"/>
        <v>6.6462284552624346E-2</v>
      </c>
      <c r="W274" s="3">
        <f t="shared" si="260"/>
        <v>6.6461686327653147E-2</v>
      </c>
      <c r="X274" s="3">
        <f t="shared" si="260"/>
        <v>6.6455704374086433E-2</v>
      </c>
      <c r="Y274" s="3">
        <f t="shared" si="260"/>
        <v>6.6395914443083889E-2</v>
      </c>
      <c r="Z274" s="3">
        <f t="shared" si="260"/>
        <v>6.5800965763759933E-2</v>
      </c>
      <c r="AA274" s="3">
        <f t="shared" si="260"/>
        <v>6.0136947466696081E-2</v>
      </c>
      <c r="AB274" s="3">
        <f t="shared" si="260"/>
        <v>2.4447389854647117E-2</v>
      </c>
      <c r="AC274" s="3">
        <f t="shared" si="260"/>
        <v>3.0140030176043399E-6</v>
      </c>
      <c r="AD274" s="3">
        <f t="shared" si="260"/>
        <v>2.4448686368704942E-45</v>
      </c>
      <c r="AE274" s="3">
        <f t="shared" si="260"/>
        <v>0</v>
      </c>
      <c r="AF274" s="3">
        <f t="shared" si="260"/>
        <v>0</v>
      </c>
      <c r="AG274" s="3"/>
      <c r="AH274" s="3"/>
    </row>
    <row r="275" spans="1:34" x14ac:dyDescent="0.25">
      <c r="B275" s="3">
        <f t="shared" ref="B275:AF275" si="261">$C44*EXP(-B$246/$A44/EXP(-$E$126))</f>
        <v>4.7100906601755713E-2</v>
      </c>
      <c r="C275" s="3">
        <f t="shared" si="261"/>
        <v>4.7100906601755713E-2</v>
      </c>
      <c r="D275" s="3">
        <f t="shared" si="261"/>
        <v>4.7100906601755713E-2</v>
      </c>
      <c r="E275" s="3">
        <f t="shared" si="261"/>
        <v>4.7100906601755713E-2</v>
      </c>
      <c r="F275" s="3">
        <f t="shared" si="261"/>
        <v>4.7100906601755713E-2</v>
      </c>
      <c r="G275" s="3">
        <f t="shared" si="261"/>
        <v>4.7100906601755713E-2</v>
      </c>
      <c r="H275" s="3">
        <f t="shared" si="261"/>
        <v>4.7100906601755713E-2</v>
      </c>
      <c r="I275" s="3">
        <f t="shared" si="261"/>
        <v>4.7100906601755713E-2</v>
      </c>
      <c r="J275" s="3">
        <f t="shared" si="261"/>
        <v>4.7100906601755713E-2</v>
      </c>
      <c r="K275" s="3">
        <f t="shared" si="261"/>
        <v>4.7100906601755713E-2</v>
      </c>
      <c r="L275" s="3">
        <f t="shared" si="261"/>
        <v>4.7100906601755713E-2</v>
      </c>
      <c r="M275" s="3">
        <f t="shared" si="261"/>
        <v>4.7100906601755706E-2</v>
      </c>
      <c r="N275" s="3">
        <f t="shared" si="261"/>
        <v>4.7100906601755664E-2</v>
      </c>
      <c r="O275" s="3">
        <f t="shared" si="261"/>
        <v>4.7100906601755241E-2</v>
      </c>
      <c r="P275" s="3">
        <f t="shared" si="261"/>
        <v>4.7100906601751001E-2</v>
      </c>
      <c r="Q275" s="3">
        <f t="shared" si="261"/>
        <v>4.7100906601708604E-2</v>
      </c>
      <c r="R275" s="3">
        <f t="shared" si="261"/>
        <v>4.7100906601284652E-2</v>
      </c>
      <c r="S275" s="3">
        <f t="shared" si="261"/>
        <v>4.7100906597045092E-2</v>
      </c>
      <c r="T275" s="3">
        <f t="shared" si="261"/>
        <v>4.7100906554649519E-2</v>
      </c>
      <c r="U275" s="3">
        <f t="shared" si="261"/>
        <v>4.7100906130693808E-2</v>
      </c>
      <c r="V275" s="3">
        <f t="shared" si="261"/>
        <v>4.7100901891136901E-2</v>
      </c>
      <c r="W275" s="3">
        <f t="shared" si="261"/>
        <v>4.7100859495588815E-2</v>
      </c>
      <c r="X275" s="3">
        <f t="shared" si="261"/>
        <v>4.7100435542206762E-2</v>
      </c>
      <c r="Y275" s="3">
        <f t="shared" si="261"/>
        <v>4.7096196218260084E-2</v>
      </c>
      <c r="Z275" s="3">
        <f t="shared" si="261"/>
        <v>4.7053823959190777E-2</v>
      </c>
      <c r="AA275" s="3">
        <f t="shared" si="261"/>
        <v>4.6632192437786546E-2</v>
      </c>
      <c r="AB275" s="3">
        <f t="shared" si="261"/>
        <v>4.2618184616866485E-2</v>
      </c>
      <c r="AC275" s="3">
        <f t="shared" si="261"/>
        <v>1.7325511488637944E-2</v>
      </c>
      <c r="AD275" s="3">
        <f t="shared" si="261"/>
        <v>2.1359803324103034E-6</v>
      </c>
      <c r="AE275" s="3">
        <f t="shared" si="261"/>
        <v>1.7326430309392948E-45</v>
      </c>
      <c r="AF275" s="3">
        <f t="shared" si="261"/>
        <v>0</v>
      </c>
      <c r="AG275" s="3"/>
      <c r="AH275" s="3"/>
    </row>
    <row r="276" spans="1:34" x14ac:dyDescent="0.25">
      <c r="B276" s="3">
        <f t="shared" ref="B276:AF276" si="262">$C45*EXP(-B$246/$A45/EXP(-$E$126))</f>
        <v>2.2598128773559236E-2</v>
      </c>
      <c r="C276" s="3">
        <f t="shared" si="262"/>
        <v>2.2598128773559236E-2</v>
      </c>
      <c r="D276" s="3">
        <f t="shared" si="262"/>
        <v>2.2598128773559236E-2</v>
      </c>
      <c r="E276" s="3">
        <f t="shared" si="262"/>
        <v>2.2598128773559236E-2</v>
      </c>
      <c r="F276" s="3">
        <f t="shared" si="262"/>
        <v>2.2598128773559236E-2</v>
      </c>
      <c r="G276" s="3">
        <f t="shared" si="262"/>
        <v>2.2598128773559236E-2</v>
      </c>
      <c r="H276" s="3">
        <f t="shared" si="262"/>
        <v>2.2598128773559236E-2</v>
      </c>
      <c r="I276" s="3">
        <f t="shared" si="262"/>
        <v>2.2598128773559236E-2</v>
      </c>
      <c r="J276" s="3">
        <f t="shared" si="262"/>
        <v>2.2598128773559236E-2</v>
      </c>
      <c r="K276" s="3">
        <f t="shared" si="262"/>
        <v>2.2598128773559236E-2</v>
      </c>
      <c r="L276" s="3">
        <f t="shared" si="262"/>
        <v>2.2598128773559236E-2</v>
      </c>
      <c r="M276" s="3">
        <f t="shared" si="262"/>
        <v>2.2598128773559236E-2</v>
      </c>
      <c r="N276" s="3">
        <f t="shared" si="262"/>
        <v>2.2598128773559233E-2</v>
      </c>
      <c r="O276" s="3">
        <f t="shared" si="262"/>
        <v>2.2598128773559212E-2</v>
      </c>
      <c r="P276" s="3">
        <f t="shared" si="262"/>
        <v>2.2598128773559011E-2</v>
      </c>
      <c r="Q276" s="3">
        <f t="shared" si="262"/>
        <v>2.2598128773556974E-2</v>
      </c>
      <c r="R276" s="3">
        <f t="shared" si="262"/>
        <v>2.2598128773536636E-2</v>
      </c>
      <c r="S276" s="3">
        <f t="shared" si="262"/>
        <v>2.2598128773333229E-2</v>
      </c>
      <c r="T276" s="3">
        <f t="shared" si="262"/>
        <v>2.2598128771299169E-2</v>
      </c>
      <c r="U276" s="3">
        <f t="shared" si="262"/>
        <v>2.2598128750958572E-2</v>
      </c>
      <c r="V276" s="3">
        <f t="shared" si="262"/>
        <v>2.2598128547552596E-2</v>
      </c>
      <c r="W276" s="3">
        <f t="shared" si="262"/>
        <v>2.2598126513492963E-2</v>
      </c>
      <c r="X276" s="3">
        <f t="shared" si="262"/>
        <v>2.2598106172906671E-2</v>
      </c>
      <c r="Y276" s="3">
        <f t="shared" si="262"/>
        <v>2.2597902768050741E-2</v>
      </c>
      <c r="Z276" s="3">
        <f t="shared" si="262"/>
        <v>2.2595868820184939E-2</v>
      </c>
      <c r="AA276" s="3">
        <f t="shared" si="262"/>
        <v>2.2575539407526903E-2</v>
      </c>
      <c r="AB276" s="3">
        <f t="shared" si="262"/>
        <v>2.2373248536647374E-2</v>
      </c>
      <c r="AC276" s="3">
        <f t="shared" si="262"/>
        <v>2.0447403108613846E-2</v>
      </c>
      <c r="AD276" s="3">
        <f t="shared" si="262"/>
        <v>8.3124544289223078E-3</v>
      </c>
      <c r="AE276" s="3">
        <f t="shared" si="262"/>
        <v>1.0248031745486325E-6</v>
      </c>
      <c r="AF276" s="3">
        <f t="shared" si="262"/>
        <v>8.312895261832743E-46</v>
      </c>
      <c r="AG276" s="3"/>
      <c r="AH276" s="3"/>
    </row>
    <row r="277" spans="1:34" x14ac:dyDescent="0.25">
      <c r="B277" s="3">
        <f t="shared" ref="B277:AF277" si="263">$C46*EXP(-B$246/$A46/EXP(-$E$126))</f>
        <v>6.4467605952010509E-3</v>
      </c>
      <c r="C277" s="3">
        <f t="shared" si="263"/>
        <v>6.4467605952010509E-3</v>
      </c>
      <c r="D277" s="3">
        <f t="shared" si="263"/>
        <v>6.4467605952010509E-3</v>
      </c>
      <c r="E277" s="3">
        <f t="shared" si="263"/>
        <v>6.4467605952010509E-3</v>
      </c>
      <c r="F277" s="3">
        <f t="shared" si="263"/>
        <v>6.4467605952010509E-3</v>
      </c>
      <c r="G277" s="3">
        <f t="shared" si="263"/>
        <v>6.4467605952010509E-3</v>
      </c>
      <c r="H277" s="3">
        <f t="shared" si="263"/>
        <v>6.4467605952010509E-3</v>
      </c>
      <c r="I277" s="3">
        <f t="shared" si="263"/>
        <v>6.4467605952010509E-3</v>
      </c>
      <c r="J277" s="3">
        <f t="shared" si="263"/>
        <v>6.4467605952010509E-3</v>
      </c>
      <c r="K277" s="3">
        <f t="shared" si="263"/>
        <v>6.4467605952010509E-3</v>
      </c>
      <c r="L277" s="3">
        <f t="shared" si="263"/>
        <v>6.4467605952010509E-3</v>
      </c>
      <c r="M277" s="3">
        <f t="shared" si="263"/>
        <v>6.4467605952010509E-3</v>
      </c>
      <c r="N277" s="3">
        <f t="shared" si="263"/>
        <v>6.4467605952010509E-3</v>
      </c>
      <c r="O277" s="3">
        <f t="shared" si="263"/>
        <v>6.4467605952010501E-3</v>
      </c>
      <c r="P277" s="3">
        <f t="shared" si="263"/>
        <v>6.4467605952010449E-3</v>
      </c>
      <c r="Q277" s="3">
        <f t="shared" si="263"/>
        <v>6.4467605952009868E-3</v>
      </c>
      <c r="R277" s="3">
        <f t="shared" si="263"/>
        <v>6.4467605952004065E-3</v>
      </c>
      <c r="S277" s="3">
        <f t="shared" si="263"/>
        <v>6.4467605951946038E-3</v>
      </c>
      <c r="T277" s="3">
        <f t="shared" si="263"/>
        <v>6.4467605951365765E-3</v>
      </c>
      <c r="U277" s="3">
        <f t="shared" si="263"/>
        <v>6.4467605945563028E-3</v>
      </c>
      <c r="V277" s="3">
        <f t="shared" si="263"/>
        <v>6.4467605887535669E-3</v>
      </c>
      <c r="W277" s="3">
        <f t="shared" si="263"/>
        <v>6.4467605307262131E-3</v>
      </c>
      <c r="X277" s="3">
        <f t="shared" si="263"/>
        <v>6.4467599504527025E-3</v>
      </c>
      <c r="Y277" s="3">
        <f t="shared" si="263"/>
        <v>6.4467541477204729E-3</v>
      </c>
      <c r="Z277" s="3">
        <f t="shared" si="263"/>
        <v>6.4466961206854365E-3</v>
      </c>
      <c r="AA277" s="3">
        <f t="shared" si="263"/>
        <v>6.4461158790607717E-3</v>
      </c>
      <c r="AB277" s="3">
        <f t="shared" si="263"/>
        <v>6.440316334427645E-3</v>
      </c>
      <c r="AC277" s="3">
        <f t="shared" si="263"/>
        <v>6.3826070953918483E-3</v>
      </c>
      <c r="AD277" s="3">
        <f t="shared" si="263"/>
        <v>5.8332047735314089E-3</v>
      </c>
      <c r="AE277" s="3">
        <f t="shared" si="263"/>
        <v>2.3713646469915458E-3</v>
      </c>
      <c r="AF277" s="3">
        <f t="shared" si="263"/>
        <v>2.9235432675501617E-7</v>
      </c>
      <c r="AG277" s="3"/>
      <c r="AH277" s="3"/>
    </row>
    <row r="278" spans="1:34" x14ac:dyDescent="0.25">
      <c r="B278" s="3">
        <f t="shared" ref="B278:AF278" si="264">$C47*EXP(-B$246/$A47/EXP(-$E$126))</f>
        <v>9.8307104636690784E-5</v>
      </c>
      <c r="C278" s="3">
        <f t="shared" si="264"/>
        <v>9.8307104636690784E-5</v>
      </c>
      <c r="D278" s="3">
        <f t="shared" si="264"/>
        <v>9.8307104636690784E-5</v>
      </c>
      <c r="E278" s="3">
        <f t="shared" si="264"/>
        <v>9.8307104636690784E-5</v>
      </c>
      <c r="F278" s="3">
        <f t="shared" si="264"/>
        <v>9.8307104636690784E-5</v>
      </c>
      <c r="G278" s="3">
        <f t="shared" si="264"/>
        <v>9.8307104636690784E-5</v>
      </c>
      <c r="H278" s="3">
        <f t="shared" si="264"/>
        <v>9.8307104636690784E-5</v>
      </c>
      <c r="I278" s="3">
        <f t="shared" si="264"/>
        <v>9.8307104636690784E-5</v>
      </c>
      <c r="J278" s="3">
        <f t="shared" si="264"/>
        <v>9.8307104636690784E-5</v>
      </c>
      <c r="K278" s="3">
        <f t="shared" si="264"/>
        <v>9.8307104636690784E-5</v>
      </c>
      <c r="L278" s="3">
        <f t="shared" si="264"/>
        <v>9.8307104636690784E-5</v>
      </c>
      <c r="M278" s="3">
        <f t="shared" si="264"/>
        <v>9.8307104636690784E-5</v>
      </c>
      <c r="N278" s="3">
        <f t="shared" si="264"/>
        <v>9.8307104636690784E-5</v>
      </c>
      <c r="O278" s="3">
        <f t="shared" si="264"/>
        <v>9.8307104636690784E-5</v>
      </c>
      <c r="P278" s="3">
        <f t="shared" si="264"/>
        <v>9.830710463669077E-5</v>
      </c>
      <c r="Q278" s="3">
        <f t="shared" si="264"/>
        <v>9.8307104636690689E-5</v>
      </c>
      <c r="R278" s="3">
        <f t="shared" si="264"/>
        <v>9.8307104636689808E-5</v>
      </c>
      <c r="S278" s="3">
        <f t="shared" si="264"/>
        <v>9.8307104636680945E-5</v>
      </c>
      <c r="T278" s="3">
        <f t="shared" si="264"/>
        <v>9.8307104636592474E-5</v>
      </c>
      <c r="U278" s="3">
        <f t="shared" si="264"/>
        <v>9.8307104635707602E-5</v>
      </c>
      <c r="V278" s="3">
        <f t="shared" si="264"/>
        <v>9.8307104626858967E-5</v>
      </c>
      <c r="W278" s="3">
        <f t="shared" si="264"/>
        <v>9.8307104538372647E-5</v>
      </c>
      <c r="X278" s="3">
        <f t="shared" si="264"/>
        <v>9.830710365350946E-5</v>
      </c>
      <c r="Y278" s="3">
        <f t="shared" si="264"/>
        <v>9.8307094804877984E-5</v>
      </c>
      <c r="Z278" s="3">
        <f t="shared" si="264"/>
        <v>9.8307006318607075E-5</v>
      </c>
      <c r="AA278" s="3">
        <f t="shared" si="264"/>
        <v>9.8306121460278484E-5</v>
      </c>
      <c r="AB278" s="3">
        <f t="shared" si="264"/>
        <v>9.8297273315032808E-5</v>
      </c>
      <c r="AC278" s="3">
        <f t="shared" si="264"/>
        <v>9.8208835652012044E-5</v>
      </c>
      <c r="AD278" s="3">
        <f t="shared" si="264"/>
        <v>9.7328823416934003E-5</v>
      </c>
      <c r="AE278" s="3">
        <f t="shared" si="264"/>
        <v>8.8950948863475307E-5</v>
      </c>
      <c r="AF278" s="3">
        <f t="shared" si="264"/>
        <v>3.6161105882709916E-5</v>
      </c>
      <c r="AG278" s="3"/>
      <c r="AH278" s="3"/>
    </row>
    <row r="279" spans="1:34" x14ac:dyDescent="0.25">
      <c r="B279" s="3">
        <f t="shared" ref="B279:AF279" si="265">$C48*EXP(-B$246/$A48/EXP(-$E$126))</f>
        <v>1.1020901234699522E-2</v>
      </c>
      <c r="C279" s="3">
        <f t="shared" si="265"/>
        <v>1.1020901234699522E-2</v>
      </c>
      <c r="D279" s="3">
        <f t="shared" si="265"/>
        <v>1.1020901234699522E-2</v>
      </c>
      <c r="E279" s="3">
        <f t="shared" si="265"/>
        <v>1.1020901234699522E-2</v>
      </c>
      <c r="F279" s="3">
        <f t="shared" si="265"/>
        <v>1.1020901234699522E-2</v>
      </c>
      <c r="G279" s="3">
        <f t="shared" si="265"/>
        <v>1.1020901234699522E-2</v>
      </c>
      <c r="H279" s="3">
        <f t="shared" si="265"/>
        <v>1.1020901234699522E-2</v>
      </c>
      <c r="I279" s="3">
        <f t="shared" si="265"/>
        <v>1.1020901234699522E-2</v>
      </c>
      <c r="J279" s="3">
        <f t="shared" si="265"/>
        <v>1.1020901234699522E-2</v>
      </c>
      <c r="K279" s="3">
        <f t="shared" si="265"/>
        <v>1.1020901234699522E-2</v>
      </c>
      <c r="L279" s="3">
        <f t="shared" si="265"/>
        <v>1.1020901234699522E-2</v>
      </c>
      <c r="M279" s="3">
        <f t="shared" si="265"/>
        <v>1.1020901234699522E-2</v>
      </c>
      <c r="N279" s="3">
        <f t="shared" si="265"/>
        <v>1.1020901234699522E-2</v>
      </c>
      <c r="O279" s="3">
        <f t="shared" si="265"/>
        <v>1.1020901234699522E-2</v>
      </c>
      <c r="P279" s="3">
        <f t="shared" si="265"/>
        <v>1.1020901234699522E-2</v>
      </c>
      <c r="Q279" s="3">
        <f t="shared" si="265"/>
        <v>1.102090123469952E-2</v>
      </c>
      <c r="R279" s="3">
        <f t="shared" si="265"/>
        <v>1.1020901234699511E-2</v>
      </c>
      <c r="S279" s="3">
        <f t="shared" si="265"/>
        <v>1.1020901234699412E-2</v>
      </c>
      <c r="T279" s="3">
        <f t="shared" si="265"/>
        <v>1.1020901234698418E-2</v>
      </c>
      <c r="U279" s="3">
        <f t="shared" si="265"/>
        <v>1.1020901234688499E-2</v>
      </c>
      <c r="V279" s="3">
        <f t="shared" si="265"/>
        <v>1.1020901234589301E-2</v>
      </c>
      <c r="W279" s="3">
        <f t="shared" si="265"/>
        <v>1.1020901233597308E-2</v>
      </c>
      <c r="X279" s="3">
        <f t="shared" si="265"/>
        <v>1.1020901223677384E-2</v>
      </c>
      <c r="Y279" s="3">
        <f t="shared" si="265"/>
        <v>1.1020901124478146E-2</v>
      </c>
      <c r="Z279" s="3">
        <f t="shared" si="265"/>
        <v>1.1020900132485819E-2</v>
      </c>
      <c r="AA279" s="3">
        <f t="shared" si="265"/>
        <v>1.1020890212567457E-2</v>
      </c>
      <c r="AB279" s="3">
        <f t="shared" si="265"/>
        <v>1.1020791013874931E-2</v>
      </c>
      <c r="AC279" s="3">
        <f t="shared" si="265"/>
        <v>1.1019799076056975E-2</v>
      </c>
      <c r="AD279" s="3">
        <f t="shared" si="265"/>
        <v>1.1009884606973773E-2</v>
      </c>
      <c r="AE279" s="3">
        <f t="shared" si="265"/>
        <v>1.0911229194794108E-2</v>
      </c>
      <c r="AF279" s="3">
        <f t="shared" si="265"/>
        <v>9.9720119494933045E-3</v>
      </c>
      <c r="AG279" s="3"/>
      <c r="AH279" s="3"/>
    </row>
    <row r="280" spans="1:34" x14ac:dyDescent="0.25">
      <c r="A280" s="80">
        <f>AVERAGE(B280:AF280)</f>
        <v>2.7763642764710613E-5</v>
      </c>
      <c r="B280" s="81">
        <f>IF($D$61&lt;=B246,IF($E$61&gt;=B246,ABS((B248-B247)/B247),0),0)</f>
        <v>5.8822277032040659E-6</v>
      </c>
      <c r="C280" s="81">
        <f t="shared" ref="C280:AF280" si="266">IF($D$61&lt;=C246,IF($E$61&gt;=C246,ABS((C248-C247)/C247),0),0)</f>
        <v>3.1292460194521538E-7</v>
      </c>
      <c r="D280" s="81">
        <f t="shared" si="266"/>
        <v>3.4718330918595536E-6</v>
      </c>
      <c r="E280" s="81">
        <f t="shared" si="266"/>
        <v>4.6156941037310191E-6</v>
      </c>
      <c r="F280" s="81">
        <f t="shared" si="266"/>
        <v>4.9605874642137926E-6</v>
      </c>
      <c r="G280" s="81">
        <f t="shared" si="266"/>
        <v>5.0715886424095175E-6</v>
      </c>
      <c r="H280" s="81">
        <f t="shared" si="266"/>
        <v>5.1016864706767209E-6</v>
      </c>
      <c r="I280" s="81">
        <f t="shared" si="266"/>
        <v>4.8480104310528246E-6</v>
      </c>
      <c r="J280" s="81">
        <f t="shared" si="266"/>
        <v>2.3447125199785407E-6</v>
      </c>
      <c r="K280" s="81">
        <f t="shared" si="266"/>
        <v>1.9681923475731303E-5</v>
      </c>
      <c r="L280" s="81">
        <f t="shared" si="266"/>
        <v>5.6816037531299675E-5</v>
      </c>
      <c r="M280" s="81">
        <f t="shared" si="266"/>
        <v>9.4819587080092753E-5</v>
      </c>
      <c r="N280" s="81">
        <f t="shared" si="266"/>
        <v>1.2275007095534823E-4</v>
      </c>
      <c r="O280" s="81">
        <f t="shared" si="266"/>
        <v>1.3019703982156022E-4</v>
      </c>
      <c r="P280" s="81">
        <f t="shared" si="266"/>
        <v>1.2571848690057805E-4</v>
      </c>
      <c r="Q280" s="81">
        <f t="shared" si="266"/>
        <v>9.765728892949371E-5</v>
      </c>
      <c r="R280" s="81">
        <f t="shared" si="266"/>
        <v>7.1706365369923939E-5</v>
      </c>
      <c r="S280" s="81">
        <f t="shared" si="266"/>
        <v>3.926943654964659E-5</v>
      </c>
      <c r="T280" s="81">
        <f t="shared" si="266"/>
        <v>2.6033047971545064E-5</v>
      </c>
      <c r="U280" s="81">
        <f t="shared" si="266"/>
        <v>6.7336645530616488E-6</v>
      </c>
      <c r="V280" s="81">
        <f t="shared" si="266"/>
        <v>7.8209824423340908E-6</v>
      </c>
      <c r="W280" s="81">
        <f t="shared" si="266"/>
        <v>3.1668333954250039E-6</v>
      </c>
      <c r="X280" s="81">
        <f t="shared" si="266"/>
        <v>9.3978148416304017E-6</v>
      </c>
      <c r="Y280" s="81">
        <f t="shared" si="266"/>
        <v>1.2295080859287099E-5</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1.2143836643044629E-3</v>
      </c>
      <c r="C281" s="21">
        <f t="shared" ref="C281:AF281" si="267">(C248-C247)^2</f>
        <v>3.4368220819685066E-6</v>
      </c>
      <c r="D281" s="21">
        <f t="shared" si="267"/>
        <v>4.2305031464227817E-4</v>
      </c>
      <c r="E281" s="21">
        <f t="shared" si="267"/>
        <v>7.4773444975398666E-4</v>
      </c>
      <c r="F281" s="21">
        <f t="shared" si="267"/>
        <v>8.6365297205570049E-4</v>
      </c>
      <c r="G281" s="21">
        <f t="shared" si="267"/>
        <v>9.0273641335702234E-4</v>
      </c>
      <c r="H281" s="21">
        <f t="shared" si="267"/>
        <v>9.1348221016565861E-4</v>
      </c>
      <c r="I281" s="21">
        <f t="shared" si="267"/>
        <v>8.2489102672587326E-4</v>
      </c>
      <c r="J281" s="21">
        <f t="shared" si="267"/>
        <v>1.9293808083622996E-4</v>
      </c>
      <c r="K281" s="21">
        <f t="shared" si="267"/>
        <v>1.3585274810841801E-2</v>
      </c>
      <c r="L281" s="21">
        <f t="shared" si="267"/>
        <v>0.11246566195405064</v>
      </c>
      <c r="M281" s="21">
        <f t="shared" si="267"/>
        <v>0.30127880156524411</v>
      </c>
      <c r="N281" s="21">
        <f t="shared" si="267"/>
        <v>0.48061156733006599</v>
      </c>
      <c r="O281" s="21">
        <f t="shared" si="267"/>
        <v>0.51148651532161826</v>
      </c>
      <c r="P281" s="21">
        <f t="shared" si="267"/>
        <v>0.4456721995857455</v>
      </c>
      <c r="Q281" s="21">
        <f t="shared" si="267"/>
        <v>0.24970446000173072</v>
      </c>
      <c r="R281" s="21">
        <f t="shared" si="267"/>
        <v>0.1229013860347455</v>
      </c>
      <c r="S281" s="21">
        <f t="shared" si="267"/>
        <v>3.2618409735162952E-2</v>
      </c>
      <c r="T281" s="21">
        <f t="shared" si="267"/>
        <v>1.2370645140354323E-2</v>
      </c>
      <c r="U281" s="21">
        <f t="shared" si="267"/>
        <v>7.0428465314744022E-4</v>
      </c>
      <c r="V281" s="21">
        <f t="shared" si="267"/>
        <v>7.9647994580708239E-4</v>
      </c>
      <c r="W281" s="21">
        <f t="shared" si="267"/>
        <v>1.0674899019667573E-4</v>
      </c>
      <c r="X281" s="21">
        <f t="shared" si="267"/>
        <v>7.1300472434765742E-4</v>
      </c>
      <c r="Y281" s="21">
        <f t="shared" si="267"/>
        <v>8.3511538622488897E-4</v>
      </c>
      <c r="Z281" s="21">
        <f t="shared" si="267"/>
        <v>5.8271322219843142E-4</v>
      </c>
      <c r="AA281" s="21">
        <f t="shared" si="267"/>
        <v>1.5914509701535496E-3</v>
      </c>
      <c r="AB281" s="21">
        <f t="shared" si="267"/>
        <v>2.8179332246712247E-4</v>
      </c>
      <c r="AC281" s="21">
        <f t="shared" si="267"/>
        <v>7.9589997494698521E-5</v>
      </c>
      <c r="AD281" s="21">
        <f t="shared" si="267"/>
        <v>1.4085972874017025E-4</v>
      </c>
      <c r="AE281" s="21">
        <f t="shared" si="267"/>
        <v>4.3526944941762349E-6</v>
      </c>
      <c r="AF281" s="21">
        <f t="shared" si="267"/>
        <v>3.5532064402301742E-6</v>
      </c>
      <c r="AG281" s="3"/>
      <c r="AH281" s="3"/>
    </row>
    <row r="282" spans="1:34" s="3" customFormat="1" x14ac:dyDescent="0.25">
      <c r="A282" s="72">
        <f>SUM(B282:AF282)</f>
        <v>2.2919368611332067</v>
      </c>
      <c r="B282" s="21">
        <f>IF($D$61&lt;=B246,IF($E$61&gt;=B246,ABS(B281),0),0)</f>
        <v>1.2143836643044629E-3</v>
      </c>
      <c r="C282" s="21">
        <f t="shared" ref="C282:AF282" si="268">IF($D$61&lt;=C246,IF($E$61&gt;=C246,ABS(C281),0),0)</f>
        <v>3.4368220819685066E-6</v>
      </c>
      <c r="D282" s="21">
        <f t="shared" si="268"/>
        <v>4.2305031464227817E-4</v>
      </c>
      <c r="E282" s="21">
        <f t="shared" si="268"/>
        <v>7.4773444975398666E-4</v>
      </c>
      <c r="F282" s="21">
        <f t="shared" si="268"/>
        <v>8.6365297205570049E-4</v>
      </c>
      <c r="G282" s="21">
        <f t="shared" si="268"/>
        <v>9.0273641335702234E-4</v>
      </c>
      <c r="H282" s="21">
        <f t="shared" si="268"/>
        <v>9.1348221016565861E-4</v>
      </c>
      <c r="I282" s="21">
        <f t="shared" si="268"/>
        <v>8.2489102672587326E-4</v>
      </c>
      <c r="J282" s="21">
        <f t="shared" si="268"/>
        <v>1.9293808083622996E-4</v>
      </c>
      <c r="K282" s="21">
        <f t="shared" si="268"/>
        <v>1.3585274810841801E-2</v>
      </c>
      <c r="L282" s="21">
        <f t="shared" si="268"/>
        <v>0.11246566195405064</v>
      </c>
      <c r="M282" s="21">
        <f t="shared" si="268"/>
        <v>0.30127880156524411</v>
      </c>
      <c r="N282" s="21">
        <f t="shared" si="268"/>
        <v>0.48061156733006599</v>
      </c>
      <c r="O282" s="21">
        <f t="shared" si="268"/>
        <v>0.51148651532161826</v>
      </c>
      <c r="P282" s="21">
        <f t="shared" si="268"/>
        <v>0.4456721995857455</v>
      </c>
      <c r="Q282" s="21">
        <f t="shared" si="268"/>
        <v>0.24970446000173072</v>
      </c>
      <c r="R282" s="21">
        <f t="shared" si="268"/>
        <v>0.1229013860347455</v>
      </c>
      <c r="S282" s="21">
        <f t="shared" si="268"/>
        <v>3.2618409735162952E-2</v>
      </c>
      <c r="T282" s="21">
        <f t="shared" si="268"/>
        <v>1.2370645140354323E-2</v>
      </c>
      <c r="U282" s="21">
        <f t="shared" si="268"/>
        <v>7.0428465314744022E-4</v>
      </c>
      <c r="V282" s="21">
        <f t="shared" si="268"/>
        <v>7.9647994580708239E-4</v>
      </c>
      <c r="W282" s="21">
        <f t="shared" si="268"/>
        <v>1.0674899019667573E-4</v>
      </c>
      <c r="X282" s="21">
        <f t="shared" si="268"/>
        <v>7.1300472434765742E-4</v>
      </c>
      <c r="Y282" s="21">
        <f t="shared" si="268"/>
        <v>8.3511538622488897E-4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1" t="s">
        <v>22</v>
      </c>
      <c r="B287" s="27">
        <f>($C$17+SUM(B288:B318))*$B$51</f>
        <v>5924.3219332890185</v>
      </c>
      <c r="C287" s="27">
        <f t="shared" ref="C287:AF287" si="269">($C$17+SUM(C288:C318))*$B$51</f>
        <v>5924.3182238110894</v>
      </c>
      <c r="D287" s="27">
        <f t="shared" si="269"/>
        <v>5924.2811379646428</v>
      </c>
      <c r="E287" s="27">
        <f t="shared" si="269"/>
        <v>5923.9111686008673</v>
      </c>
      <c r="F287" s="27">
        <f t="shared" si="269"/>
        <v>5920.2963830832696</v>
      </c>
      <c r="G287" s="27">
        <f t="shared" si="269"/>
        <v>5889.9437186702971</v>
      </c>
      <c r="H287" s="27">
        <f t="shared" si="269"/>
        <v>5749.4214975477125</v>
      </c>
      <c r="I287" s="27">
        <f t="shared" si="269"/>
        <v>5615.9007266409044</v>
      </c>
      <c r="J287" s="27">
        <f t="shared" si="269"/>
        <v>5449.3679937786455</v>
      </c>
      <c r="K287" s="27">
        <f t="shared" si="269"/>
        <v>5265.482266443295</v>
      </c>
      <c r="L287" s="27">
        <f t="shared" si="269"/>
        <v>5069.7245662892165</v>
      </c>
      <c r="M287" s="27">
        <f t="shared" si="269"/>
        <v>4827.4283598367811</v>
      </c>
      <c r="N287" s="27">
        <f t="shared" si="269"/>
        <v>4529.0347754672357</v>
      </c>
      <c r="O287" s="27">
        <f t="shared" si="269"/>
        <v>4202.4917116505176</v>
      </c>
      <c r="P287" s="27">
        <f t="shared" si="269"/>
        <v>3875.0573717596958</v>
      </c>
      <c r="Q287" s="27">
        <f t="shared" si="269"/>
        <v>3539.2545754423736</v>
      </c>
      <c r="R287" s="27">
        <f t="shared" si="269"/>
        <v>3198.121186667071</v>
      </c>
      <c r="S287" s="27">
        <f t="shared" si="269"/>
        <v>2729.2832299232555</v>
      </c>
      <c r="T287" s="27">
        <f t="shared" si="269"/>
        <v>2222.7769641459249</v>
      </c>
      <c r="U287" s="27">
        <f t="shared" si="269"/>
        <v>1653.521875304717</v>
      </c>
      <c r="V287" s="27">
        <f t="shared" si="269"/>
        <v>1052.006148884157</v>
      </c>
      <c r="W287" s="27">
        <f t="shared" si="269"/>
        <v>626.43935101623185</v>
      </c>
      <c r="X287" s="27">
        <f t="shared" si="269"/>
        <v>348.78352241756795</v>
      </c>
      <c r="Y287" s="27">
        <f t="shared" si="269"/>
        <v>201.95030401054319</v>
      </c>
      <c r="Z287" s="27">
        <f t="shared" si="269"/>
        <v>150.09767066411473</v>
      </c>
      <c r="AA287" s="27">
        <f t="shared" si="269"/>
        <v>133.50103716377961</v>
      </c>
      <c r="AB287" s="27">
        <f t="shared" si="269"/>
        <v>90.524050468794343</v>
      </c>
      <c r="AC287" s="27">
        <f t="shared" si="269"/>
        <v>77.972139186194084</v>
      </c>
      <c r="AD287" s="27">
        <f t="shared" si="269"/>
        <v>77.972134725678558</v>
      </c>
      <c r="AE287" s="27">
        <f t="shared" si="269"/>
        <v>77.972134725678558</v>
      </c>
      <c r="AF287" s="27">
        <f t="shared" si="269"/>
        <v>77.972134725678558</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0</v>
      </c>
      <c r="C292" s="3">
        <f t="shared" si="274"/>
        <v>0</v>
      </c>
      <c r="D292" s="3">
        <f t="shared" si="274"/>
        <v>0</v>
      </c>
      <c r="E292" s="3">
        <f t="shared" si="274"/>
        <v>0</v>
      </c>
      <c r="F292" s="3">
        <f t="shared" si="274"/>
        <v>0</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0</v>
      </c>
      <c r="C293" s="3">
        <f t="shared" si="275"/>
        <v>0</v>
      </c>
      <c r="D293" s="3">
        <f t="shared" si="275"/>
        <v>0</v>
      </c>
      <c r="E293" s="3">
        <f t="shared" si="275"/>
        <v>0</v>
      </c>
      <c r="F293" s="3">
        <f t="shared" si="275"/>
        <v>0</v>
      </c>
      <c r="G293" s="3">
        <f t="shared" si="275"/>
        <v>0</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0</v>
      </c>
      <c r="C294" s="3">
        <f t="shared" si="276"/>
        <v>0</v>
      </c>
      <c r="D294" s="3">
        <f t="shared" si="276"/>
        <v>0</v>
      </c>
      <c r="E294" s="3">
        <f t="shared" si="276"/>
        <v>0</v>
      </c>
      <c r="F294" s="3">
        <f t="shared" si="276"/>
        <v>0</v>
      </c>
      <c r="G294" s="3">
        <f t="shared" si="276"/>
        <v>0</v>
      </c>
      <c r="H294" s="3">
        <f t="shared" si="276"/>
        <v>0</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v>
      </c>
      <c r="C295" s="3">
        <f t="shared" si="277"/>
        <v>0</v>
      </c>
      <c r="D295" s="3">
        <f t="shared" si="277"/>
        <v>0</v>
      </c>
      <c r="E295" s="3">
        <f t="shared" si="277"/>
        <v>0</v>
      </c>
      <c r="F295" s="3">
        <f t="shared" si="277"/>
        <v>0</v>
      </c>
      <c r="G295" s="3">
        <f t="shared" si="277"/>
        <v>0</v>
      </c>
      <c r="H295" s="3">
        <f t="shared" si="277"/>
        <v>0</v>
      </c>
      <c r="I295" s="3">
        <f t="shared" si="277"/>
        <v>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v>
      </c>
      <c r="C296" s="3">
        <f t="shared" si="278"/>
        <v>0</v>
      </c>
      <c r="D296" s="3">
        <f t="shared" si="278"/>
        <v>0</v>
      </c>
      <c r="E296" s="3">
        <f t="shared" si="278"/>
        <v>0</v>
      </c>
      <c r="F296" s="3">
        <f t="shared" si="278"/>
        <v>0</v>
      </c>
      <c r="G296" s="3">
        <f t="shared" si="278"/>
        <v>0</v>
      </c>
      <c r="H296" s="3">
        <f t="shared" si="278"/>
        <v>0</v>
      </c>
      <c r="I296" s="3">
        <f t="shared" si="278"/>
        <v>0</v>
      </c>
      <c r="J296" s="3">
        <f t="shared" si="278"/>
        <v>0</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7.2760549337971955E-4</v>
      </c>
      <c r="C297" s="3">
        <f t="shared" si="279"/>
        <v>7.2748413651838061E-4</v>
      </c>
      <c r="D297" s="3">
        <f t="shared" si="279"/>
        <v>7.2627168060502786E-4</v>
      </c>
      <c r="E297" s="3">
        <f t="shared" si="279"/>
        <v>7.142577078010768E-4</v>
      </c>
      <c r="F297" s="3">
        <f t="shared" si="279"/>
        <v>6.0452350478711026E-4</v>
      </c>
      <c r="G297" s="3">
        <f t="shared" si="279"/>
        <v>1.1402386292564319E-4</v>
      </c>
      <c r="H297" s="3">
        <f t="shared" si="279"/>
        <v>6.4986228754065222E-12</v>
      </c>
      <c r="I297" s="3">
        <f t="shared" si="279"/>
        <v>2.3500504415282276E-84</v>
      </c>
      <c r="J297" s="3">
        <f t="shared" si="279"/>
        <v>0</v>
      </c>
      <c r="K297" s="3">
        <f t="shared" si="279"/>
        <v>0</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3.1445972682648607E-2</v>
      </c>
      <c r="C298" s="3">
        <f t="shared" si="280"/>
        <v>3.1445499517288276E-2</v>
      </c>
      <c r="D298" s="3">
        <f t="shared" si="280"/>
        <v>3.1440768255250065E-2</v>
      </c>
      <c r="E298" s="3">
        <f t="shared" si="280"/>
        <v>3.1393494769583301E-2</v>
      </c>
      <c r="F298" s="3">
        <f t="shared" si="280"/>
        <v>3.0924651683982611E-2</v>
      </c>
      <c r="G298" s="3">
        <f t="shared" si="280"/>
        <v>2.6604575693190184E-2</v>
      </c>
      <c r="H298" s="3">
        <f t="shared" si="280"/>
        <v>5.9084224404689035E-3</v>
      </c>
      <c r="I298" s="3">
        <f t="shared" si="280"/>
        <v>1.724342606630587E-9</v>
      </c>
      <c r="J298" s="3">
        <f t="shared" si="280"/>
        <v>7.7293640453122647E-75</v>
      </c>
      <c r="K298" s="3">
        <f t="shared" si="280"/>
        <v>0</v>
      </c>
      <c r="L298" s="3">
        <f t="shared" si="280"/>
        <v>0</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1.9599629116192195E-2</v>
      </c>
      <c r="C299" s="3">
        <f t="shared" si="281"/>
        <v>1.9599602512290943E-2</v>
      </c>
      <c r="D299" s="3">
        <f t="shared" si="281"/>
        <v>1.9599336475264514E-2</v>
      </c>
      <c r="E299" s="3">
        <f t="shared" si="281"/>
        <v>1.9596676303601457E-2</v>
      </c>
      <c r="F299" s="3">
        <f t="shared" si="281"/>
        <v>1.9570094437122185E-2</v>
      </c>
      <c r="G299" s="3">
        <f t="shared" si="281"/>
        <v>1.9306250854283256E-2</v>
      </c>
      <c r="H299" s="3">
        <f t="shared" si="281"/>
        <v>1.6855753815535827E-2</v>
      </c>
      <c r="I299" s="3">
        <f t="shared" si="281"/>
        <v>4.3376102565311891E-3</v>
      </c>
      <c r="J299" s="3">
        <f t="shared" si="281"/>
        <v>5.5242586262116009E-9</v>
      </c>
      <c r="K299" s="3">
        <f t="shared" si="281"/>
        <v>6.2016714713140623E-68</v>
      </c>
      <c r="L299" s="3">
        <f t="shared" si="281"/>
        <v>0</v>
      </c>
      <c r="M299" s="3">
        <f t="shared" si="281"/>
        <v>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3.2516214122106576E-2</v>
      </c>
      <c r="C300" s="3">
        <f t="shared" si="282"/>
        <v>3.2516210140628693E-2</v>
      </c>
      <c r="D300" s="3">
        <f t="shared" si="282"/>
        <v>3.2516170325876656E-2</v>
      </c>
      <c r="E300" s="3">
        <f t="shared" si="282"/>
        <v>3.2515772181037648E-2</v>
      </c>
      <c r="F300" s="3">
        <f t="shared" si="282"/>
        <v>3.2511791000767766E-2</v>
      </c>
      <c r="G300" s="3">
        <f t="shared" si="282"/>
        <v>3.2472005997945266E-2</v>
      </c>
      <c r="H300" s="3">
        <f t="shared" si="282"/>
        <v>3.2076823855339061E-2</v>
      </c>
      <c r="I300" s="3">
        <f t="shared" si="282"/>
        <v>2.8380089902859333E-2</v>
      </c>
      <c r="J300" s="3">
        <f t="shared" si="282"/>
        <v>8.341378780660309E-3</v>
      </c>
      <c r="K300" s="3">
        <f t="shared" si="282"/>
        <v>4.013087257963562E-8</v>
      </c>
      <c r="L300" s="3">
        <f t="shared" si="282"/>
        <v>2.6661599635436519E-61</v>
      </c>
      <c r="M300" s="3">
        <f t="shared" si="282"/>
        <v>0</v>
      </c>
      <c r="N300" s="3">
        <f t="shared" si="282"/>
        <v>0</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3.2163923023793985E-2</v>
      </c>
      <c r="C301" s="3">
        <f t="shared" si="283"/>
        <v>3.2163922668522818E-2</v>
      </c>
      <c r="D301" s="3">
        <f t="shared" si="283"/>
        <v>3.2163919115811367E-2</v>
      </c>
      <c r="E301" s="3">
        <f t="shared" si="283"/>
        <v>3.2163883588718439E-2</v>
      </c>
      <c r="F301" s="3">
        <f t="shared" si="283"/>
        <v>3.2163528319947461E-2</v>
      </c>
      <c r="G301" s="3">
        <f t="shared" si="283"/>
        <v>3.215997584805879E-2</v>
      </c>
      <c r="H301" s="3">
        <f t="shared" si="283"/>
        <v>3.2124472702463394E-2</v>
      </c>
      <c r="I301" s="3">
        <f t="shared" si="283"/>
        <v>3.1771589784873905E-2</v>
      </c>
      <c r="J301" s="3">
        <f t="shared" si="283"/>
        <v>2.8449087057810771E-2</v>
      </c>
      <c r="K301" s="3">
        <f t="shared" si="283"/>
        <v>9.4267548123247221E-3</v>
      </c>
      <c r="L301" s="3">
        <f t="shared" si="283"/>
        <v>1.504184059200968E-7</v>
      </c>
      <c r="M301" s="3">
        <f t="shared" si="283"/>
        <v>1.6094914993288746E-55</v>
      </c>
      <c r="N301" s="3">
        <f t="shared" si="283"/>
        <v>0</v>
      </c>
      <c r="O301" s="3">
        <f t="shared" si="283"/>
        <v>0</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3.3900572601247882E-2</v>
      </c>
      <c r="C302" s="3">
        <f t="shared" si="284"/>
        <v>3.3900572567469055E-2</v>
      </c>
      <c r="D302" s="3">
        <f t="shared" si="284"/>
        <v>3.3900572229680778E-2</v>
      </c>
      <c r="E302" s="3">
        <f t="shared" si="284"/>
        <v>3.39005688517982E-2</v>
      </c>
      <c r="F302" s="3">
        <f t="shared" si="284"/>
        <v>3.3900535072990907E-2</v>
      </c>
      <c r="G302" s="3">
        <f t="shared" si="284"/>
        <v>3.3900197286769178E-2</v>
      </c>
      <c r="H302" s="3">
        <f t="shared" si="284"/>
        <v>3.3896819609660643E-2</v>
      </c>
      <c r="I302" s="3">
        <f t="shared" si="284"/>
        <v>3.3863061342630583E-2</v>
      </c>
      <c r="J302" s="3">
        <f t="shared" si="284"/>
        <v>3.352732227409011E-2</v>
      </c>
      <c r="K302" s="3">
        <f t="shared" si="284"/>
        <v>3.0347672310045905E-2</v>
      </c>
      <c r="L302" s="3">
        <f t="shared" si="284"/>
        <v>1.1204450321455931E-2</v>
      </c>
      <c r="M302" s="3">
        <f t="shared" si="284"/>
        <v>5.2728115426097418E-7</v>
      </c>
      <c r="N302" s="3">
        <f t="shared" si="284"/>
        <v>2.8090481860269173E-50</v>
      </c>
      <c r="O302" s="3">
        <f t="shared" si="284"/>
        <v>0</v>
      </c>
      <c r="P302" s="3">
        <f t="shared" si="284"/>
        <v>0</v>
      </c>
      <c r="Q302" s="3">
        <f t="shared" si="284"/>
        <v>0</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4.6234934193293803E-2</v>
      </c>
      <c r="C303" s="3">
        <f t="shared" si="285"/>
        <v>4.6234934189138002E-2</v>
      </c>
      <c r="D303" s="3">
        <f t="shared" si="285"/>
        <v>4.623493414758003E-2</v>
      </c>
      <c r="E303" s="3">
        <f t="shared" si="285"/>
        <v>4.6234933732000286E-2</v>
      </c>
      <c r="F303" s="3">
        <f t="shared" si="285"/>
        <v>4.6234929576203031E-2</v>
      </c>
      <c r="G303" s="3">
        <f t="shared" si="285"/>
        <v>4.6234888018250972E-2</v>
      </c>
      <c r="H303" s="3">
        <f t="shared" si="285"/>
        <v>4.6234472440784942E-2</v>
      </c>
      <c r="I303" s="3">
        <f t="shared" si="285"/>
        <v>4.6230316871564717E-2</v>
      </c>
      <c r="J303" s="3">
        <f t="shared" si="285"/>
        <v>4.618878171653848E-2</v>
      </c>
      <c r="K303" s="3">
        <f t="shared" si="285"/>
        <v>4.5775477070181363E-2</v>
      </c>
      <c r="L303" s="3">
        <f t="shared" si="285"/>
        <v>4.1840474151420282E-2</v>
      </c>
      <c r="M303" s="3">
        <f t="shared" si="285"/>
        <v>1.7030750249262865E-2</v>
      </c>
      <c r="N303" s="3">
        <f t="shared" si="285"/>
        <v>2.1262073125479112E-6</v>
      </c>
      <c r="O303" s="3">
        <f t="shared" si="285"/>
        <v>1.9557974705697561E-45</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5.6671396993836096E-2</v>
      </c>
      <c r="C304" s="3">
        <f t="shared" si="286"/>
        <v>5.6671396993376588E-2</v>
      </c>
      <c r="D304" s="3">
        <f t="shared" si="286"/>
        <v>5.6671396988781493E-2</v>
      </c>
      <c r="E304" s="3">
        <f t="shared" si="286"/>
        <v>5.6671396942830521E-2</v>
      </c>
      <c r="F304" s="3">
        <f t="shared" si="286"/>
        <v>5.6671396483320868E-2</v>
      </c>
      <c r="G304" s="3">
        <f t="shared" si="286"/>
        <v>5.6671391888224537E-2</v>
      </c>
      <c r="H304" s="3">
        <f t="shared" si="286"/>
        <v>5.6671345937281729E-2</v>
      </c>
      <c r="I304" s="3">
        <f t="shared" si="286"/>
        <v>5.6670886429902825E-2</v>
      </c>
      <c r="J304" s="3">
        <f t="shared" si="286"/>
        <v>5.6666291561028717E-2</v>
      </c>
      <c r="K304" s="3">
        <f t="shared" si="286"/>
        <v>5.6620363357633208E-2</v>
      </c>
      <c r="L304" s="3">
        <f t="shared" si="286"/>
        <v>5.6163123725781312E-2</v>
      </c>
      <c r="M304" s="3">
        <f t="shared" si="286"/>
        <v>5.178897088602457E-2</v>
      </c>
      <c r="N304" s="3">
        <f t="shared" si="286"/>
        <v>2.3019587916438169E-2</v>
      </c>
      <c r="O304" s="3">
        <f t="shared" si="286"/>
        <v>6.9294726100838595E-6</v>
      </c>
      <c r="P304" s="3">
        <f t="shared" si="286"/>
        <v>4.2337631504842583E-41</v>
      </c>
      <c r="Q304" s="3">
        <f t="shared" si="286"/>
        <v>0</v>
      </c>
      <c r="R304" s="3">
        <f t="shared" si="286"/>
        <v>0</v>
      </c>
      <c r="S304" s="3">
        <f t="shared" si="286"/>
        <v>0</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5.8705737383093856E-2</v>
      </c>
      <c r="C305" s="3">
        <f t="shared" si="287"/>
        <v>5.8705737383050918E-2</v>
      </c>
      <c r="D305" s="3">
        <f t="shared" si="287"/>
        <v>5.8705737382621526E-2</v>
      </c>
      <c r="E305" s="3">
        <f t="shared" si="287"/>
        <v>5.8705737378327565E-2</v>
      </c>
      <c r="F305" s="3">
        <f t="shared" si="287"/>
        <v>5.8705737335387982E-2</v>
      </c>
      <c r="G305" s="3">
        <f t="shared" si="287"/>
        <v>5.8705736905992109E-2</v>
      </c>
      <c r="H305" s="3">
        <f t="shared" si="287"/>
        <v>5.8705732612033615E-2</v>
      </c>
      <c r="I305" s="3">
        <f t="shared" si="287"/>
        <v>5.8705689672465942E-2</v>
      </c>
      <c r="J305" s="3">
        <f t="shared" si="287"/>
        <v>5.8705260278516601E-2</v>
      </c>
      <c r="K305" s="3">
        <f t="shared" si="287"/>
        <v>5.8700966511759996E-2</v>
      </c>
      <c r="L305" s="3">
        <f t="shared" si="287"/>
        <v>5.865804611319754E-2</v>
      </c>
      <c r="M305" s="3">
        <f t="shared" si="287"/>
        <v>5.8230564363516091E-2</v>
      </c>
      <c r="N305" s="3">
        <f t="shared" si="287"/>
        <v>5.4123399329914723E-2</v>
      </c>
      <c r="O305" s="3">
        <f t="shared" si="287"/>
        <v>2.6045081948366536E-2</v>
      </c>
      <c r="P305" s="3">
        <f t="shared" si="287"/>
        <v>1.7343324713372981E-5</v>
      </c>
      <c r="Q305" s="3">
        <f t="shared" si="287"/>
        <v>2.9730254450620845E-37</v>
      </c>
      <c r="R305" s="3">
        <f t="shared" si="287"/>
        <v>0</v>
      </c>
      <c r="S305" s="3">
        <f t="shared" si="287"/>
        <v>0</v>
      </c>
      <c r="T305" s="3">
        <f t="shared" si="287"/>
        <v>0</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5.620235606497171E-2</v>
      </c>
      <c r="C306" s="3">
        <f t="shared" si="288"/>
        <v>5.6202356064968005E-2</v>
      </c>
      <c r="D306" s="3">
        <f t="shared" si="288"/>
        <v>5.6202356064930917E-2</v>
      </c>
      <c r="E306" s="3">
        <f t="shared" si="288"/>
        <v>5.6202356064560081E-2</v>
      </c>
      <c r="F306" s="3">
        <f t="shared" si="288"/>
        <v>5.6202356060851756E-2</v>
      </c>
      <c r="G306" s="3">
        <f t="shared" si="288"/>
        <v>5.6202356023768447E-2</v>
      </c>
      <c r="H306" s="3">
        <f t="shared" si="288"/>
        <v>5.6202355652935403E-2</v>
      </c>
      <c r="I306" s="3">
        <f t="shared" si="288"/>
        <v>5.62023519446051E-2</v>
      </c>
      <c r="J306" s="3">
        <f t="shared" si="288"/>
        <v>5.6202314861315557E-2</v>
      </c>
      <c r="K306" s="3">
        <f t="shared" si="288"/>
        <v>5.6201944029765874E-2</v>
      </c>
      <c r="L306" s="3">
        <f t="shared" si="288"/>
        <v>5.6198235848840566E-2</v>
      </c>
      <c r="M306" s="3">
        <f t="shared" si="288"/>
        <v>5.6161167493457329E-2</v>
      </c>
      <c r="N306" s="3">
        <f t="shared" si="288"/>
        <v>5.5791826047870613E-2</v>
      </c>
      <c r="O306" s="3">
        <f t="shared" si="288"/>
        <v>5.2229402919596733E-2</v>
      </c>
      <c r="P306" s="3">
        <f t="shared" si="288"/>
        <v>2.6999760520199111E-2</v>
      </c>
      <c r="Q306" s="3">
        <f t="shared" si="288"/>
        <v>3.6796661922868633E-5</v>
      </c>
      <c r="R306" s="3">
        <f t="shared" si="288"/>
        <v>8.133800719209305E-34</v>
      </c>
      <c r="S306" s="3">
        <f t="shared" si="288"/>
        <v>0</v>
      </c>
      <c r="T306" s="3">
        <f t="shared" si="288"/>
        <v>0</v>
      </c>
      <c r="U306" s="3">
        <f t="shared" si="288"/>
        <v>0</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6.3415296184233125E-2</v>
      </c>
      <c r="C307" s="3">
        <f t="shared" si="289"/>
        <v>6.341529618423275E-2</v>
      </c>
      <c r="D307" s="3">
        <f t="shared" si="289"/>
        <v>6.3415296184228975E-2</v>
      </c>
      <c r="E307" s="3">
        <f t="shared" si="289"/>
        <v>6.3415296184191228E-2</v>
      </c>
      <c r="F307" s="3">
        <f t="shared" si="289"/>
        <v>6.3415296183813766E-2</v>
      </c>
      <c r="G307" s="3">
        <f t="shared" si="289"/>
        <v>6.341529618003923E-2</v>
      </c>
      <c r="H307" s="3">
        <f t="shared" si="289"/>
        <v>6.3415296142293784E-2</v>
      </c>
      <c r="I307" s="3">
        <f t="shared" si="289"/>
        <v>6.3415295764839355E-2</v>
      </c>
      <c r="J307" s="3">
        <f t="shared" si="289"/>
        <v>6.3415291990295247E-2</v>
      </c>
      <c r="K307" s="3">
        <f t="shared" si="289"/>
        <v>6.3415254244866465E-2</v>
      </c>
      <c r="L307" s="3">
        <f t="shared" si="289"/>
        <v>6.3414876791814248E-2</v>
      </c>
      <c r="M307" s="3">
        <f t="shared" si="289"/>
        <v>6.3411102384854756E-2</v>
      </c>
      <c r="N307" s="3">
        <f t="shared" si="289"/>
        <v>6.337337066880025E-2</v>
      </c>
      <c r="O307" s="3">
        <f t="shared" si="289"/>
        <v>6.2997286146030493E-2</v>
      </c>
      <c r="P307" s="3">
        <f t="shared" si="289"/>
        <v>5.935703276243507E-2</v>
      </c>
      <c r="Q307" s="3">
        <f t="shared" si="289"/>
        <v>3.2732230373965811E-2</v>
      </c>
      <c r="R307" s="3">
        <f t="shared" si="289"/>
        <v>8.5115717546863697E-5</v>
      </c>
      <c r="S307" s="3">
        <f t="shared" si="289"/>
        <v>1.2032376711256703E-30</v>
      </c>
      <c r="T307" s="3">
        <f t="shared" si="289"/>
        <v>3.8350230397702675E-289</v>
      </c>
      <c r="U307" s="3">
        <f t="shared" si="289"/>
        <v>0</v>
      </c>
      <c r="V307" s="3">
        <f t="shared" si="289"/>
        <v>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3.5348869965799556E-2</v>
      </c>
      <c r="C308" s="3">
        <f t="shared" si="290"/>
        <v>3.5348869965799543E-2</v>
      </c>
      <c r="D308" s="3">
        <f t="shared" si="290"/>
        <v>3.5348869965799348E-2</v>
      </c>
      <c r="E308" s="3">
        <f t="shared" si="290"/>
        <v>3.5348869965797454E-2</v>
      </c>
      <c r="F308" s="3">
        <f t="shared" si="290"/>
        <v>3.5348869965778476E-2</v>
      </c>
      <c r="G308" s="3">
        <f t="shared" si="290"/>
        <v>3.5348869965588677E-2</v>
      </c>
      <c r="H308" s="3">
        <f t="shared" si="290"/>
        <v>3.5348869963690688E-2</v>
      </c>
      <c r="I308" s="3">
        <f t="shared" si="290"/>
        <v>3.5348869944710849E-2</v>
      </c>
      <c r="J308" s="3">
        <f t="shared" si="290"/>
        <v>3.5348869754912415E-2</v>
      </c>
      <c r="K308" s="3">
        <f t="shared" si="290"/>
        <v>3.5348867856928153E-2</v>
      </c>
      <c r="L308" s="3">
        <f t="shared" si="290"/>
        <v>3.534884887709111E-2</v>
      </c>
      <c r="M308" s="3">
        <f t="shared" si="290"/>
        <v>3.5348659079281183E-2</v>
      </c>
      <c r="N308" s="3">
        <f t="shared" si="290"/>
        <v>3.5346761157230275E-2</v>
      </c>
      <c r="O308" s="3">
        <f t="shared" si="290"/>
        <v>3.5327787540442648E-2</v>
      </c>
      <c r="P308" s="3">
        <f t="shared" si="290"/>
        <v>3.5138610633048926E-2</v>
      </c>
      <c r="Q308" s="3">
        <f t="shared" si="290"/>
        <v>3.3301672335653051E-2</v>
      </c>
      <c r="R308" s="3">
        <f t="shared" si="290"/>
        <v>1.946617486103995E-2</v>
      </c>
      <c r="S308" s="3">
        <f t="shared" si="290"/>
        <v>9.066222833853186E-5</v>
      </c>
      <c r="T308" s="3">
        <f t="shared" si="290"/>
        <v>4.3539564242335813E-28</v>
      </c>
      <c r="U308" s="3">
        <f t="shared" si="290"/>
        <v>2.840932848824618E-261</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7.0460456800535406E-2</v>
      </c>
      <c r="C309" s="3">
        <f t="shared" si="291"/>
        <v>7.0460456800535393E-2</v>
      </c>
      <c r="D309" s="3">
        <f t="shared" si="291"/>
        <v>7.0460456800535295E-2</v>
      </c>
      <c r="E309" s="3">
        <f t="shared" si="291"/>
        <v>7.0460456800534241E-2</v>
      </c>
      <c r="F309" s="3">
        <f t="shared" si="291"/>
        <v>7.0460456800523777E-2</v>
      </c>
      <c r="G309" s="3">
        <f t="shared" si="291"/>
        <v>7.0460456800419152E-2</v>
      </c>
      <c r="H309" s="3">
        <f t="shared" si="291"/>
        <v>7.0460456799372795E-2</v>
      </c>
      <c r="I309" s="3">
        <f t="shared" si="291"/>
        <v>7.0460456788909331E-2</v>
      </c>
      <c r="J309" s="3">
        <f t="shared" si="291"/>
        <v>7.0460456684274725E-2</v>
      </c>
      <c r="K309" s="3">
        <f t="shared" si="291"/>
        <v>7.0460455637928521E-2</v>
      </c>
      <c r="L309" s="3">
        <f t="shared" si="291"/>
        <v>7.0460445174467423E-2</v>
      </c>
      <c r="M309" s="3">
        <f t="shared" si="291"/>
        <v>7.0460340539941949E-2</v>
      </c>
      <c r="N309" s="3">
        <f t="shared" si="291"/>
        <v>7.0459294203233297E-2</v>
      </c>
      <c r="O309" s="3">
        <f t="shared" si="291"/>
        <v>7.0448831690704664E-2</v>
      </c>
      <c r="P309" s="3">
        <f t="shared" si="291"/>
        <v>7.0344291974279743E-2</v>
      </c>
      <c r="Q309" s="3">
        <f t="shared" si="291"/>
        <v>6.9307388953719379E-2</v>
      </c>
      <c r="R309" s="3">
        <f t="shared" si="291"/>
        <v>5.97428983758009E-2</v>
      </c>
      <c r="S309" s="3">
        <f t="shared" si="291"/>
        <v>1.3531744600952064E-2</v>
      </c>
      <c r="T309" s="3">
        <f t="shared" si="291"/>
        <v>4.8087127279288853E-9</v>
      </c>
      <c r="U309" s="3">
        <f t="shared" si="291"/>
        <v>1.5444691630607708E-73</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8.6875447409324694E-2</v>
      </c>
      <c r="C310" s="3">
        <f t="shared" si="292"/>
        <v>8.6875447409324694E-2</v>
      </c>
      <c r="D310" s="3">
        <f t="shared" si="292"/>
        <v>8.687544740932468E-2</v>
      </c>
      <c r="E310" s="3">
        <f t="shared" si="292"/>
        <v>8.6875447409324555E-2</v>
      </c>
      <c r="F310" s="3">
        <f t="shared" si="292"/>
        <v>8.687544740932325E-2</v>
      </c>
      <c r="G310" s="3">
        <f t="shared" si="292"/>
        <v>8.6875447409310358E-2</v>
      </c>
      <c r="H310" s="3">
        <f t="shared" si="292"/>
        <v>8.687544740918135E-2</v>
      </c>
      <c r="I310" s="3">
        <f t="shared" si="292"/>
        <v>8.6875447407891243E-2</v>
      </c>
      <c r="J310" s="3">
        <f t="shared" si="292"/>
        <v>8.6875447394990132E-2</v>
      </c>
      <c r="K310" s="3">
        <f t="shared" si="292"/>
        <v>8.6875447265979053E-2</v>
      </c>
      <c r="L310" s="3">
        <f t="shared" si="292"/>
        <v>8.6875445975868285E-2</v>
      </c>
      <c r="M310" s="3">
        <f t="shared" si="292"/>
        <v>8.6875433074761699E-2</v>
      </c>
      <c r="N310" s="3">
        <f t="shared" si="292"/>
        <v>8.6875304063801104E-2</v>
      </c>
      <c r="O310" s="3">
        <f t="shared" si="292"/>
        <v>8.6874013964732322E-2</v>
      </c>
      <c r="P310" s="3">
        <f t="shared" si="292"/>
        <v>8.686111402768644E-2</v>
      </c>
      <c r="Q310" s="3">
        <f t="shared" si="292"/>
        <v>8.6732219963570889E-2</v>
      </c>
      <c r="R310" s="3">
        <f t="shared" si="292"/>
        <v>8.5453752324817542E-2</v>
      </c>
      <c r="S310" s="3">
        <f t="shared" si="292"/>
        <v>7.3661047083760631E-2</v>
      </c>
      <c r="T310" s="3">
        <f t="shared" si="292"/>
        <v>1.668420018570603E-2</v>
      </c>
      <c r="U310" s="3">
        <f t="shared" si="292"/>
        <v>5.9289861103847077E-9</v>
      </c>
      <c r="V310" s="3">
        <f t="shared" si="292"/>
        <v>1.9042801543374345E-73</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9.6215979999175721E-2</v>
      </c>
      <c r="C311" s="3">
        <f t="shared" si="293"/>
        <v>9.6215979999175721E-2</v>
      </c>
      <c r="D311" s="3">
        <f t="shared" si="293"/>
        <v>9.6215979999175721E-2</v>
      </c>
      <c r="E311" s="3">
        <f t="shared" si="293"/>
        <v>9.6215979999175708E-2</v>
      </c>
      <c r="F311" s="3">
        <f t="shared" si="293"/>
        <v>9.6215979999175555E-2</v>
      </c>
      <c r="G311" s="3">
        <f t="shared" si="293"/>
        <v>9.6215979999174125E-2</v>
      </c>
      <c r="H311" s="3">
        <f t="shared" si="293"/>
        <v>9.6215979999159845E-2</v>
      </c>
      <c r="I311" s="3">
        <f t="shared" si="293"/>
        <v>9.621597999901696E-2</v>
      </c>
      <c r="J311" s="3">
        <f t="shared" si="293"/>
        <v>9.6215979997588144E-2</v>
      </c>
      <c r="K311" s="3">
        <f t="shared" si="293"/>
        <v>9.6215979983299948E-2</v>
      </c>
      <c r="L311" s="3">
        <f t="shared" si="293"/>
        <v>9.6215979840418075E-2</v>
      </c>
      <c r="M311" s="3">
        <f t="shared" si="293"/>
        <v>9.621597841159929E-2</v>
      </c>
      <c r="N311" s="3">
        <f t="shared" si="293"/>
        <v>9.6215964123412573E-2</v>
      </c>
      <c r="O311" s="3">
        <f t="shared" si="293"/>
        <v>9.6215821241662045E-2</v>
      </c>
      <c r="P311" s="3">
        <f t="shared" si="293"/>
        <v>9.6214392435826773E-2</v>
      </c>
      <c r="Q311" s="3">
        <f t="shared" si="293"/>
        <v>9.6200105544399922E-2</v>
      </c>
      <c r="R311" s="3">
        <f t="shared" si="293"/>
        <v>9.6057353258630129E-2</v>
      </c>
      <c r="S311" s="3">
        <f t="shared" si="293"/>
        <v>9.464142942251666E-2</v>
      </c>
      <c r="T311" s="3">
        <f t="shared" si="293"/>
        <v>8.1580815342871413E-2</v>
      </c>
      <c r="U311" s="3">
        <f t="shared" si="293"/>
        <v>1.8478024795735709E-2</v>
      </c>
      <c r="V311" s="3">
        <f t="shared" si="293"/>
        <v>6.5664491639894058E-9</v>
      </c>
      <c r="W311" s="3">
        <f t="shared" si="293"/>
        <v>2.109021440537547E-73</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0.11161416834614406</v>
      </c>
      <c r="C312" s="3">
        <f t="shared" si="294"/>
        <v>0.11161416834614406</v>
      </c>
      <c r="D312" s="3">
        <f t="shared" si="294"/>
        <v>0.11161416834614406</v>
      </c>
      <c r="E312" s="3">
        <f t="shared" si="294"/>
        <v>0.11161416834614406</v>
      </c>
      <c r="F312" s="3">
        <f t="shared" si="294"/>
        <v>0.11161416834614404</v>
      </c>
      <c r="G312" s="3">
        <f t="shared" si="294"/>
        <v>0.11161416834614388</v>
      </c>
      <c r="H312" s="3">
        <f t="shared" si="294"/>
        <v>0.11161416834614221</v>
      </c>
      <c r="I312" s="3">
        <f t="shared" si="294"/>
        <v>0.11161416834612564</v>
      </c>
      <c r="J312" s="3">
        <f t="shared" si="294"/>
        <v>0.1116141683459599</v>
      </c>
      <c r="K312" s="3">
        <f t="shared" si="294"/>
        <v>0.11161416834430241</v>
      </c>
      <c r="L312" s="3">
        <f t="shared" si="294"/>
        <v>0.11161416832772757</v>
      </c>
      <c r="M312" s="3">
        <f t="shared" si="294"/>
        <v>0.11161416816197921</v>
      </c>
      <c r="N312" s="3">
        <f t="shared" si="294"/>
        <v>0.11161416650449547</v>
      </c>
      <c r="O312" s="3">
        <f t="shared" si="294"/>
        <v>0.1116141499296596</v>
      </c>
      <c r="P312" s="3">
        <f t="shared" si="294"/>
        <v>0.1116139841814361</v>
      </c>
      <c r="Q312" s="3">
        <f t="shared" si="294"/>
        <v>0.11161232671273877</v>
      </c>
      <c r="R312" s="3">
        <f t="shared" si="294"/>
        <v>0.11159575337944347</v>
      </c>
      <c r="S312" s="3">
        <f t="shared" si="294"/>
        <v>0.11143015533995103</v>
      </c>
      <c r="T312" s="3">
        <f t="shared" si="294"/>
        <v>0.10978763024785468</v>
      </c>
      <c r="U312" s="3">
        <f t="shared" si="294"/>
        <v>9.4636824959564395E-2</v>
      </c>
      <c r="V312" s="3">
        <f t="shared" si="294"/>
        <v>2.1435206192080964E-2</v>
      </c>
      <c r="W312" s="3">
        <f t="shared" si="294"/>
        <v>7.6173288723161081E-9</v>
      </c>
      <c r="X312" s="3">
        <f t="shared" si="294"/>
        <v>2.4465444732964487E-73</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6.6462351022397975E-2</v>
      </c>
      <c r="C313" s="3">
        <f t="shared" si="295"/>
        <v>6.6462351022397975E-2</v>
      </c>
      <c r="D313" s="3">
        <f t="shared" si="295"/>
        <v>6.6462351022397975E-2</v>
      </c>
      <c r="E313" s="3">
        <f t="shared" si="295"/>
        <v>6.6462351022397975E-2</v>
      </c>
      <c r="F313" s="3">
        <f t="shared" si="295"/>
        <v>6.6462351022397975E-2</v>
      </c>
      <c r="G313" s="3">
        <f t="shared" si="295"/>
        <v>6.6462351022397961E-2</v>
      </c>
      <c r="H313" s="3">
        <f t="shared" si="295"/>
        <v>6.6462351022397864E-2</v>
      </c>
      <c r="I313" s="3">
        <f t="shared" si="295"/>
        <v>6.6462351022396879E-2</v>
      </c>
      <c r="J313" s="3">
        <f t="shared" si="295"/>
        <v>6.6462351022387012E-2</v>
      </c>
      <c r="K313" s="3">
        <f t="shared" si="295"/>
        <v>6.6462351022288313E-2</v>
      </c>
      <c r="L313" s="3">
        <f t="shared" si="295"/>
        <v>6.6462351021301339E-2</v>
      </c>
      <c r="M313" s="3">
        <f t="shared" si="295"/>
        <v>6.6462351011431595E-2</v>
      </c>
      <c r="N313" s="3">
        <f t="shared" si="295"/>
        <v>6.6462350912734211E-2</v>
      </c>
      <c r="O313" s="3">
        <f t="shared" si="295"/>
        <v>6.6462349925760361E-2</v>
      </c>
      <c r="P313" s="3">
        <f t="shared" si="295"/>
        <v>6.6462340056022709E-2</v>
      </c>
      <c r="Q313" s="3">
        <f t="shared" si="295"/>
        <v>6.6462241358726706E-2</v>
      </c>
      <c r="R313" s="3">
        <f t="shared" si="295"/>
        <v>6.646125439382787E-2</v>
      </c>
      <c r="S313" s="3">
        <f t="shared" si="295"/>
        <v>6.6451385550907613E-2</v>
      </c>
      <c r="T313" s="3">
        <f t="shared" si="295"/>
        <v>6.6352777684250089E-2</v>
      </c>
      <c r="U313" s="3">
        <f t="shared" si="295"/>
        <v>6.5374711182016668E-2</v>
      </c>
      <c r="V313" s="3">
        <f t="shared" si="295"/>
        <v>5.6352934159770558E-2</v>
      </c>
      <c r="W313" s="3">
        <f t="shared" si="295"/>
        <v>1.2763918947614328E-2</v>
      </c>
      <c r="X313" s="3">
        <f t="shared" si="295"/>
        <v>4.5358541201943208E-9</v>
      </c>
      <c r="Y313" s="3">
        <f t="shared" si="295"/>
        <v>1.4568320490626477E-73</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4.7100906601755713E-2</v>
      </c>
      <c r="C314" s="3">
        <f t="shared" si="296"/>
        <v>4.7100906601755713E-2</v>
      </c>
      <c r="D314" s="3">
        <f t="shared" si="296"/>
        <v>4.7100906601755713E-2</v>
      </c>
      <c r="E314" s="3">
        <f t="shared" si="296"/>
        <v>4.7100906601755713E-2</v>
      </c>
      <c r="F314" s="3">
        <f t="shared" si="296"/>
        <v>4.7100906601755713E-2</v>
      </c>
      <c r="G314" s="3">
        <f t="shared" si="296"/>
        <v>4.7100906601755713E-2</v>
      </c>
      <c r="H314" s="3">
        <f t="shared" si="296"/>
        <v>4.7100906601755706E-2</v>
      </c>
      <c r="I314" s="3">
        <f t="shared" si="296"/>
        <v>4.7100906601755636E-2</v>
      </c>
      <c r="J314" s="3">
        <f t="shared" si="296"/>
        <v>4.7100906601754935E-2</v>
      </c>
      <c r="K314" s="3">
        <f t="shared" si="296"/>
        <v>4.7100906601747941E-2</v>
      </c>
      <c r="L314" s="3">
        <f t="shared" si="296"/>
        <v>4.7100906601677997E-2</v>
      </c>
      <c r="M314" s="3">
        <f t="shared" si="296"/>
        <v>4.7100906600978543E-2</v>
      </c>
      <c r="N314" s="3">
        <f t="shared" si="296"/>
        <v>4.7100906593983999E-2</v>
      </c>
      <c r="O314" s="3">
        <f t="shared" si="296"/>
        <v>4.7100906524038595E-2</v>
      </c>
      <c r="P314" s="3">
        <f t="shared" si="296"/>
        <v>4.7100905824584503E-2</v>
      </c>
      <c r="Q314" s="3">
        <f t="shared" si="296"/>
        <v>4.7100898830044223E-2</v>
      </c>
      <c r="R314" s="3">
        <f t="shared" si="296"/>
        <v>4.7100828884698485E-2</v>
      </c>
      <c r="S314" s="3">
        <f t="shared" si="296"/>
        <v>4.7100129436953943E-2</v>
      </c>
      <c r="T314" s="3">
        <f t="shared" si="296"/>
        <v>4.709313553075737E-2</v>
      </c>
      <c r="U314" s="3">
        <f t="shared" si="296"/>
        <v>4.7023253562301734E-2</v>
      </c>
      <c r="V314" s="3">
        <f t="shared" si="296"/>
        <v>4.6330111982695606E-2</v>
      </c>
      <c r="W314" s="3">
        <f t="shared" si="296"/>
        <v>3.9936509132813332E-2</v>
      </c>
      <c r="X314" s="3">
        <f t="shared" si="296"/>
        <v>9.0456046916149464E-3</v>
      </c>
      <c r="Y314" s="3">
        <f t="shared" si="296"/>
        <v>3.2144941908910716E-9</v>
      </c>
      <c r="Z314" s="3">
        <f t="shared" si="296"/>
        <v>1.0324357959323419E-73</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2.2598128773559236E-2</v>
      </c>
      <c r="C315" s="3">
        <f t="shared" si="297"/>
        <v>2.2598128773559236E-2</v>
      </c>
      <c r="D315" s="3">
        <f t="shared" si="297"/>
        <v>2.2598128773559236E-2</v>
      </c>
      <c r="E315" s="3">
        <f t="shared" si="297"/>
        <v>2.2598128773559236E-2</v>
      </c>
      <c r="F315" s="3">
        <f t="shared" si="297"/>
        <v>2.2598128773559236E-2</v>
      </c>
      <c r="G315" s="3">
        <f t="shared" si="297"/>
        <v>2.2598128773559236E-2</v>
      </c>
      <c r="H315" s="3">
        <f t="shared" si="297"/>
        <v>2.2598128773559236E-2</v>
      </c>
      <c r="I315" s="3">
        <f t="shared" si="297"/>
        <v>2.2598128773559233E-2</v>
      </c>
      <c r="J315" s="3">
        <f t="shared" si="297"/>
        <v>2.2598128773559198E-2</v>
      </c>
      <c r="K315" s="3">
        <f t="shared" si="297"/>
        <v>2.2598128773558861E-2</v>
      </c>
      <c r="L315" s="3">
        <f t="shared" si="297"/>
        <v>2.2598128773555506E-2</v>
      </c>
      <c r="M315" s="3">
        <f t="shared" si="297"/>
        <v>2.259812877352195E-2</v>
      </c>
      <c r="N315" s="3">
        <f t="shared" si="297"/>
        <v>2.2598128773186364E-2</v>
      </c>
      <c r="O315" s="3">
        <f t="shared" si="297"/>
        <v>2.2598128769830514E-2</v>
      </c>
      <c r="P315" s="3">
        <f t="shared" si="297"/>
        <v>2.2598128736272025E-2</v>
      </c>
      <c r="Q315" s="3">
        <f t="shared" si="297"/>
        <v>2.2598128400687114E-2</v>
      </c>
      <c r="R315" s="3">
        <f t="shared" si="297"/>
        <v>2.2598125044838289E-2</v>
      </c>
      <c r="S315" s="3">
        <f t="shared" si="297"/>
        <v>2.2598091486377439E-2</v>
      </c>
      <c r="T315" s="3">
        <f t="shared" si="297"/>
        <v>2.2597755904509874E-2</v>
      </c>
      <c r="U315" s="3">
        <f t="shared" si="297"/>
        <v>2.2594400359908649E-2</v>
      </c>
      <c r="V315" s="3">
        <f t="shared" si="297"/>
        <v>2.256087230628831E-2</v>
      </c>
      <c r="W315" s="3">
        <f t="shared" si="297"/>
        <v>2.2228316018005238E-2</v>
      </c>
      <c r="X315" s="3">
        <f t="shared" si="297"/>
        <v>1.9160785667681802E-2</v>
      </c>
      <c r="Y315" s="3">
        <f t="shared" si="297"/>
        <v>4.3399109359862405E-3</v>
      </c>
      <c r="Z315" s="3">
        <f t="shared" si="297"/>
        <v>1.5422538313711946E-9</v>
      </c>
      <c r="AA315" s="3">
        <f t="shared" si="297"/>
        <v>4.9534326938075348E-74</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6.4467605952010509E-3</v>
      </c>
      <c r="C316" s="3">
        <f t="shared" si="298"/>
        <v>6.4467605952010509E-3</v>
      </c>
      <c r="D316" s="3">
        <f t="shared" si="298"/>
        <v>6.4467605952010509E-3</v>
      </c>
      <c r="E316" s="3">
        <f t="shared" si="298"/>
        <v>6.4467605952010509E-3</v>
      </c>
      <c r="F316" s="3">
        <f t="shared" si="298"/>
        <v>6.4467605952010509E-3</v>
      </c>
      <c r="G316" s="3">
        <f t="shared" si="298"/>
        <v>6.4467605952010509E-3</v>
      </c>
      <c r="H316" s="3">
        <f t="shared" si="298"/>
        <v>6.4467605952010509E-3</v>
      </c>
      <c r="I316" s="3">
        <f t="shared" si="298"/>
        <v>6.4467605952010509E-3</v>
      </c>
      <c r="J316" s="3">
        <f t="shared" si="298"/>
        <v>6.4467605952010501E-3</v>
      </c>
      <c r="K316" s="3">
        <f t="shared" si="298"/>
        <v>6.4467605952010405E-3</v>
      </c>
      <c r="L316" s="3">
        <f t="shared" si="298"/>
        <v>6.4467605952009443E-3</v>
      </c>
      <c r="M316" s="3">
        <f t="shared" si="298"/>
        <v>6.4467605951999876E-3</v>
      </c>
      <c r="N316" s="3">
        <f t="shared" si="298"/>
        <v>6.4467605951904136E-3</v>
      </c>
      <c r="O316" s="3">
        <f t="shared" si="298"/>
        <v>6.4467605950946786E-3</v>
      </c>
      <c r="P316" s="3">
        <f t="shared" si="298"/>
        <v>6.4467605941373272E-3</v>
      </c>
      <c r="Q316" s="3">
        <f t="shared" si="298"/>
        <v>6.4467605845638107E-3</v>
      </c>
      <c r="R316" s="3">
        <f t="shared" si="298"/>
        <v>6.4467604888286453E-3</v>
      </c>
      <c r="S316" s="3">
        <f t="shared" si="298"/>
        <v>6.4467595314770801E-3</v>
      </c>
      <c r="T316" s="3">
        <f t="shared" si="298"/>
        <v>6.4467499579692377E-3</v>
      </c>
      <c r="U316" s="3">
        <f t="shared" si="298"/>
        <v>6.4466542236727414E-3</v>
      </c>
      <c r="V316" s="3">
        <f t="shared" si="298"/>
        <v>6.4456969588953163E-3</v>
      </c>
      <c r="W316" s="3">
        <f t="shared" si="298"/>
        <v>6.436132125581937E-3</v>
      </c>
      <c r="X316" s="3">
        <f t="shared" si="298"/>
        <v>6.3412609618465525E-3</v>
      </c>
      <c r="Y316" s="3">
        <f t="shared" si="298"/>
        <v>5.4661604619243324E-3</v>
      </c>
      <c r="Z316" s="3">
        <f t="shared" si="298"/>
        <v>1.2380833426143708E-3</v>
      </c>
      <c r="AA316" s="3">
        <f t="shared" si="298"/>
        <v>4.3997188119021853E-10</v>
      </c>
      <c r="AB316" s="3">
        <f t="shared" si="298"/>
        <v>1.4131079179787072E-74</v>
      </c>
      <c r="AC316" s="3">
        <f t="shared" si="298"/>
        <v>0</v>
      </c>
      <c r="AD316" s="3">
        <f t="shared" si="298"/>
        <v>0</v>
      </c>
      <c r="AE316" s="3">
        <f t="shared" si="298"/>
        <v>0</v>
      </c>
      <c r="AF316" s="3">
        <f t="shared" si="298"/>
        <v>0</v>
      </c>
      <c r="AG316" s="3"/>
      <c r="AH316" s="3"/>
    </row>
    <row r="317" spans="1:34" x14ac:dyDescent="0.25">
      <c r="B317" s="3">
        <f t="shared" ref="B317:AF317" si="299">$C47*EXP(-B$285/$A47/EXP(-$F$126))</f>
        <v>9.8307104636690784E-5</v>
      </c>
      <c r="C317" s="3">
        <f t="shared" si="299"/>
        <v>9.8307104636690784E-5</v>
      </c>
      <c r="D317" s="3">
        <f t="shared" si="299"/>
        <v>9.8307104636690784E-5</v>
      </c>
      <c r="E317" s="3">
        <f t="shared" si="299"/>
        <v>9.8307104636690784E-5</v>
      </c>
      <c r="F317" s="3">
        <f t="shared" si="299"/>
        <v>9.8307104636690784E-5</v>
      </c>
      <c r="G317" s="3">
        <f t="shared" si="299"/>
        <v>9.8307104636690784E-5</v>
      </c>
      <c r="H317" s="3">
        <f t="shared" si="299"/>
        <v>9.8307104636690784E-5</v>
      </c>
      <c r="I317" s="3">
        <f t="shared" si="299"/>
        <v>9.8307104636690784E-5</v>
      </c>
      <c r="J317" s="3">
        <f t="shared" si="299"/>
        <v>9.8307104636690784E-5</v>
      </c>
      <c r="K317" s="3">
        <f t="shared" si="299"/>
        <v>9.830710463669077E-5</v>
      </c>
      <c r="L317" s="3">
        <f t="shared" si="299"/>
        <v>9.8307104636690621E-5</v>
      </c>
      <c r="M317" s="3">
        <f t="shared" si="299"/>
        <v>9.8307104636689158E-5</v>
      </c>
      <c r="N317" s="3">
        <f t="shared" si="299"/>
        <v>9.8307104636674561E-5</v>
      </c>
      <c r="O317" s="3">
        <f t="shared" si="299"/>
        <v>9.8307104636528574E-5</v>
      </c>
      <c r="P317" s="3">
        <f t="shared" si="299"/>
        <v>9.8307104635068709E-5</v>
      </c>
      <c r="Q317" s="3">
        <f t="shared" si="299"/>
        <v>9.8307104620469981E-5</v>
      </c>
      <c r="R317" s="3">
        <f t="shared" si="299"/>
        <v>9.8307104474482755E-5</v>
      </c>
      <c r="S317" s="3">
        <f t="shared" si="299"/>
        <v>9.8307103014610506E-5</v>
      </c>
      <c r="T317" s="3">
        <f t="shared" si="299"/>
        <v>9.8307088415889321E-5</v>
      </c>
      <c r="U317" s="3">
        <f t="shared" si="299"/>
        <v>9.8306942428796532E-5</v>
      </c>
      <c r="V317" s="3">
        <f t="shared" si="299"/>
        <v>9.8305482569792301E-5</v>
      </c>
      <c r="W317" s="3">
        <f t="shared" si="299"/>
        <v>9.8290885172037321E-5</v>
      </c>
      <c r="X317" s="3">
        <f t="shared" si="299"/>
        <v>9.814503035774952E-5</v>
      </c>
      <c r="Y317" s="3">
        <f t="shared" si="299"/>
        <v>9.6698333325556082E-5</v>
      </c>
      <c r="Z317" s="3">
        <f t="shared" si="299"/>
        <v>8.3353864403053584E-5</v>
      </c>
      <c r="AA317" s="3">
        <f t="shared" si="299"/>
        <v>1.887961975847795E-5</v>
      </c>
      <c r="AB317" s="3">
        <f t="shared" si="299"/>
        <v>6.7091620857714842E-12</v>
      </c>
      <c r="AC317" s="3">
        <f t="shared" si="299"/>
        <v>2.1548581788360432E-76</v>
      </c>
      <c r="AD317" s="3">
        <f t="shared" si="299"/>
        <v>0</v>
      </c>
      <c r="AE317" s="3">
        <f t="shared" si="299"/>
        <v>0</v>
      </c>
      <c r="AF317" s="3">
        <f t="shared" si="299"/>
        <v>0</v>
      </c>
      <c r="AG317" s="3"/>
      <c r="AH317" s="3"/>
    </row>
    <row r="318" spans="1:34" x14ac:dyDescent="0.25">
      <c r="B318" s="3">
        <f t="shared" ref="B318:AF318" si="300">$C48*EXP(-B$285/$A48/EXP(-$F$126))</f>
        <v>1.1020901234699522E-2</v>
      </c>
      <c r="C318" s="3">
        <f t="shared" si="300"/>
        <v>1.1020901234699522E-2</v>
      </c>
      <c r="D318" s="3">
        <f t="shared" si="300"/>
        <v>1.1020901234699522E-2</v>
      </c>
      <c r="E318" s="3">
        <f t="shared" si="300"/>
        <v>1.1020901234699522E-2</v>
      </c>
      <c r="F318" s="3">
        <f t="shared" si="300"/>
        <v>1.1020901234699522E-2</v>
      </c>
      <c r="G318" s="3">
        <f t="shared" si="300"/>
        <v>1.1020901234699522E-2</v>
      </c>
      <c r="H318" s="3">
        <f t="shared" si="300"/>
        <v>1.1020901234699522E-2</v>
      </c>
      <c r="I318" s="3">
        <f t="shared" si="300"/>
        <v>1.1020901234699522E-2</v>
      </c>
      <c r="J318" s="3">
        <f t="shared" si="300"/>
        <v>1.1020901234699522E-2</v>
      </c>
      <c r="K318" s="3">
        <f t="shared" si="300"/>
        <v>1.1020901234699522E-2</v>
      </c>
      <c r="L318" s="3">
        <f t="shared" si="300"/>
        <v>1.102090123469952E-2</v>
      </c>
      <c r="M318" s="3">
        <f t="shared" si="300"/>
        <v>1.1020901234699503E-2</v>
      </c>
      <c r="N318" s="3">
        <f t="shared" si="300"/>
        <v>1.1020901234699339E-2</v>
      </c>
      <c r="O318" s="3">
        <f t="shared" si="300"/>
        <v>1.1020901234697704E-2</v>
      </c>
      <c r="P318" s="3">
        <f t="shared" si="300"/>
        <v>1.1020901234681336E-2</v>
      </c>
      <c r="Q318" s="3">
        <f t="shared" si="300"/>
        <v>1.1020901234517676E-2</v>
      </c>
      <c r="R318" s="3">
        <f t="shared" si="300"/>
        <v>1.1020901232881058E-2</v>
      </c>
      <c r="S318" s="3">
        <f t="shared" si="300"/>
        <v>1.1020901216514889E-2</v>
      </c>
      <c r="T318" s="3">
        <f t="shared" si="300"/>
        <v>1.1020901052853188E-2</v>
      </c>
      <c r="U318" s="3">
        <f t="shared" si="300"/>
        <v>1.1020899416236333E-2</v>
      </c>
      <c r="V318" s="3">
        <f t="shared" si="300"/>
        <v>1.1020883050081139E-2</v>
      </c>
      <c r="W318" s="3">
        <f t="shared" si="300"/>
        <v>1.1020719389865923E-2</v>
      </c>
      <c r="X318" s="3">
        <f t="shared" si="300"/>
        <v>1.1019082921377344E-2</v>
      </c>
      <c r="Y318" s="3">
        <f t="shared" si="300"/>
        <v>1.1002731595511205E-2</v>
      </c>
      <c r="Z318" s="3">
        <f t="shared" si="300"/>
        <v>1.0840546927706573E-2</v>
      </c>
      <c r="AA318" s="3">
        <f t="shared" si="300"/>
        <v>9.3445403616711879E-3</v>
      </c>
      <c r="AB318" s="3">
        <f t="shared" si="300"/>
        <v>2.1165349694289518E-3</v>
      </c>
      <c r="AC318" s="3">
        <f t="shared" si="300"/>
        <v>7.5214312320700218E-10</v>
      </c>
      <c r="AD318" s="3">
        <f t="shared" si="300"/>
        <v>2.4157439334118031E-74</v>
      </c>
      <c r="AE318" s="3">
        <f t="shared" si="300"/>
        <v>0</v>
      </c>
      <c r="AF318" s="3">
        <f t="shared" si="300"/>
        <v>0</v>
      </c>
      <c r="AG318" s="3"/>
      <c r="AH318" s="3"/>
    </row>
    <row r="319" spans="1:34" x14ac:dyDescent="0.25">
      <c r="A319" s="80">
        <f>AVERAGE(B319:AF319)</f>
        <v>7.3872557341009126E-3</v>
      </c>
      <c r="B319" s="81">
        <f>IF($A$64&lt;=B285,IF($B$64&gt;=B285,ABS((B287-B286)/B286),0),0)</f>
        <v>0</v>
      </c>
      <c r="C319" s="81">
        <f t="shared" ref="C319:AF319" si="301">IF($A$64&lt;=C285,IF($B$64&gt;=C285,ABS((C287-C286)/C286),0),0)</f>
        <v>0</v>
      </c>
      <c r="D319" s="81">
        <f t="shared" si="301"/>
        <v>0</v>
      </c>
      <c r="E319" s="81">
        <f t="shared" si="301"/>
        <v>0</v>
      </c>
      <c r="F319" s="81">
        <f t="shared" si="301"/>
        <v>0</v>
      </c>
      <c r="G319" s="81">
        <f t="shared" si="301"/>
        <v>0</v>
      </c>
      <c r="H319" s="81">
        <f t="shared" si="301"/>
        <v>0</v>
      </c>
      <c r="I319" s="81">
        <f t="shared" si="301"/>
        <v>0</v>
      </c>
      <c r="J319" s="81">
        <f t="shared" si="301"/>
        <v>0</v>
      </c>
      <c r="K319" s="81">
        <f t="shared" si="301"/>
        <v>0</v>
      </c>
      <c r="L319" s="81">
        <f t="shared" si="301"/>
        <v>1.0212132999393992E-2</v>
      </c>
      <c r="M319" s="81">
        <f t="shared" si="301"/>
        <v>1.1765234582134416E-2</v>
      </c>
      <c r="N319" s="81">
        <f t="shared" si="301"/>
        <v>5.9468902018803022E-3</v>
      </c>
      <c r="O319" s="81">
        <f t="shared" si="301"/>
        <v>8.8211012205219406E-3</v>
      </c>
      <c r="P319" s="81">
        <f t="shared" si="301"/>
        <v>2.1076363790571106E-2</v>
      </c>
      <c r="Q319" s="81">
        <f t="shared" si="301"/>
        <v>3.2928477671740779E-2</v>
      </c>
      <c r="R319" s="81">
        <f t="shared" si="301"/>
        <v>2.1420512950509157E-2</v>
      </c>
      <c r="S319" s="81">
        <f t="shared" si="301"/>
        <v>1.4331167612673642E-2</v>
      </c>
      <c r="T319" s="81">
        <f t="shared" si="301"/>
        <v>8.2461819576337553E-3</v>
      </c>
      <c r="U319" s="81">
        <f t="shared" si="301"/>
        <v>4.2275224623449299E-2</v>
      </c>
      <c r="V319" s="81">
        <f t="shared" si="301"/>
        <v>5.1981640146619906E-2</v>
      </c>
      <c r="W319" s="81">
        <f t="shared" si="301"/>
        <v>0</v>
      </c>
      <c r="X319" s="81">
        <f t="shared" si="301"/>
        <v>0</v>
      </c>
      <c r="Y319" s="81">
        <f t="shared" si="301"/>
        <v>0</v>
      </c>
      <c r="Z319" s="81">
        <f t="shared" si="301"/>
        <v>0</v>
      </c>
      <c r="AA319" s="81">
        <f t="shared" si="301"/>
        <v>0</v>
      </c>
      <c r="AB319" s="81">
        <f t="shared" si="301"/>
        <v>0</v>
      </c>
      <c r="AC319" s="81">
        <f t="shared" si="301"/>
        <v>0</v>
      </c>
      <c r="AD319" s="81">
        <f t="shared" si="301"/>
        <v>0</v>
      </c>
      <c r="AE319" s="81">
        <f t="shared" si="301"/>
        <v>0</v>
      </c>
      <c r="AF319" s="81">
        <f t="shared" si="301"/>
        <v>0</v>
      </c>
    </row>
    <row r="320" spans="1:34" x14ac:dyDescent="0.25">
      <c r="B320" s="21">
        <f>(B287-B286)^2</f>
        <v>58.222452193905937</v>
      </c>
      <c r="C320" s="21">
        <f t="shared" ref="C320:AF320" si="302">(C287-C286)^2</f>
        <v>57.691737955776404</v>
      </c>
      <c r="D320" s="21">
        <f t="shared" si="302"/>
        <v>58.316099244929482</v>
      </c>
      <c r="E320" s="21">
        <f t="shared" si="302"/>
        <v>61.292339112336137</v>
      </c>
      <c r="F320" s="21">
        <f t="shared" si="302"/>
        <v>93.535645026979523</v>
      </c>
      <c r="G320" s="21">
        <f t="shared" si="302"/>
        <v>620.12698727420764</v>
      </c>
      <c r="H320" s="21">
        <f t="shared" si="302"/>
        <v>726.1061067541757</v>
      </c>
      <c r="I320" s="21">
        <f t="shared" si="302"/>
        <v>1515.9830482769814</v>
      </c>
      <c r="J320" s="21">
        <f t="shared" si="302"/>
        <v>1504.9866609397607</v>
      </c>
      <c r="K320" s="21">
        <f t="shared" si="302"/>
        <v>2435.8729406237921</v>
      </c>
      <c r="L320" s="21">
        <f t="shared" si="302"/>
        <v>2626.4944917685416</v>
      </c>
      <c r="M320" s="21">
        <f t="shared" si="302"/>
        <v>3151.1810173374588</v>
      </c>
      <c r="N320" s="21">
        <f t="shared" si="302"/>
        <v>716.87105653433377</v>
      </c>
      <c r="O320" s="21">
        <f t="shared" si="302"/>
        <v>1398.7987860507662</v>
      </c>
      <c r="P320" s="21">
        <f t="shared" si="302"/>
        <v>6960.6535198404254</v>
      </c>
      <c r="Q320" s="21">
        <f t="shared" si="302"/>
        <v>14522.778758618158</v>
      </c>
      <c r="R320" s="21">
        <f t="shared" si="302"/>
        <v>4900.6913411400983</v>
      </c>
      <c r="S320" s="21">
        <f t="shared" si="302"/>
        <v>1574.7017716140992</v>
      </c>
      <c r="T320" s="21">
        <f t="shared" si="302"/>
        <v>330.49464695604644</v>
      </c>
      <c r="U320" s="21">
        <f t="shared" si="302"/>
        <v>4498.0772347111379</v>
      </c>
      <c r="V320" s="21">
        <f t="shared" si="302"/>
        <v>2702.2168187285533</v>
      </c>
      <c r="W320" s="21">
        <f t="shared" si="302"/>
        <v>2543.4617593253411</v>
      </c>
      <c r="X320" s="21">
        <f t="shared" si="302"/>
        <v>728.10458040416836</v>
      </c>
      <c r="Y320" s="21">
        <f t="shared" si="302"/>
        <v>197.47363132831973</v>
      </c>
      <c r="Z320" s="21">
        <f t="shared" si="302"/>
        <v>14.237152550504147</v>
      </c>
      <c r="AA320" s="21">
        <f t="shared" si="302"/>
        <v>0.68138140823320381</v>
      </c>
      <c r="AB320" s="21">
        <f t="shared" si="302"/>
        <v>1126.8520301365415</v>
      </c>
      <c r="AC320" s="21">
        <f t="shared" si="302"/>
        <v>2116.0060450552405</v>
      </c>
      <c r="AD320" s="21">
        <f t="shared" si="302"/>
        <v>2115.8207085726326</v>
      </c>
      <c r="AE320" s="21">
        <f t="shared" si="302"/>
        <v>2115.6650282651894</v>
      </c>
      <c r="AF320" s="21">
        <f t="shared" si="302"/>
        <v>2115.5233331203776</v>
      </c>
      <c r="AG320" s="3"/>
      <c r="AH320" s="3"/>
    </row>
    <row r="321" spans="1:34" x14ac:dyDescent="0.25">
      <c r="A321" s="72">
        <f>SUM(B321:AF321)</f>
        <v>43382.959443299624</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2626.4944917685416</v>
      </c>
      <c r="M321" s="60">
        <f t="shared" ref="M321" si="313">IF($A$64&lt;=M285,IF($B$64&gt;=M285,ABS(M320),0),0)</f>
        <v>3151.1810173374588</v>
      </c>
      <c r="N321" s="60">
        <f t="shared" ref="N321" si="314">IF($A$64&lt;=N285,IF($B$64&gt;=N285,ABS(N320),0),0)</f>
        <v>716.87105653433377</v>
      </c>
      <c r="O321" s="60">
        <f t="shared" ref="O321" si="315">IF($A$64&lt;=O285,IF($B$64&gt;=O285,ABS(O320),0),0)</f>
        <v>1398.7987860507662</v>
      </c>
      <c r="P321" s="60">
        <f t="shared" ref="P321" si="316">IF($A$64&lt;=P285,IF($B$64&gt;=P285,ABS(P320),0),0)</f>
        <v>6960.6535198404254</v>
      </c>
      <c r="Q321" s="60">
        <f t="shared" ref="Q321" si="317">IF($A$64&lt;=Q285,IF($B$64&gt;=Q285,ABS(Q320),0),0)</f>
        <v>14522.778758618158</v>
      </c>
      <c r="R321" s="60">
        <f t="shared" ref="R321" si="318">IF($A$64&lt;=R285,IF($B$64&gt;=R285,ABS(R320),0),0)</f>
        <v>4900.6913411400983</v>
      </c>
      <c r="S321" s="60">
        <f t="shared" ref="S321" si="319">IF($A$64&lt;=S285,IF($B$64&gt;=S285,ABS(S320),0),0)</f>
        <v>1574.7017716140992</v>
      </c>
      <c r="T321" s="60">
        <f t="shared" ref="T321" si="320">IF($A$64&lt;=T285,IF($B$64&gt;=T285,ABS(T320),0),0)</f>
        <v>330.49464695604644</v>
      </c>
      <c r="U321" s="60">
        <f t="shared" ref="U321" si="321">IF($A$64&lt;=U285,IF($B$64&gt;=U285,ABS(U320),0),0)</f>
        <v>4498.0772347111379</v>
      </c>
      <c r="V321" s="60">
        <f t="shared" ref="V321" si="322">IF($A$64&lt;=V285,IF($B$64&gt;=V285,ABS(V320),0),0)</f>
        <v>2702.2168187285533</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8" t="s">
        <v>22</v>
      </c>
      <c r="B326" s="27">
        <f>($C$17+SUM(B327:B357))*$B$51</f>
        <v>5322.8105285228839</v>
      </c>
      <c r="C326" s="27">
        <f t="shared" ref="C326:AF326" si="333">($C$17+SUM(C327:C357))*$B$51</f>
        <v>5131.5050858941604</v>
      </c>
      <c r="D326" s="27">
        <f t="shared" si="333"/>
        <v>4906.6119949996155</v>
      </c>
      <c r="E326" s="27">
        <f t="shared" si="333"/>
        <v>4620.0658684356795</v>
      </c>
      <c r="F326" s="27">
        <f t="shared" si="333"/>
        <v>4293.2653776699244</v>
      </c>
      <c r="G326" s="27">
        <f t="shared" si="333"/>
        <v>3961.5029590207969</v>
      </c>
      <c r="H326" s="27">
        <f t="shared" si="333"/>
        <v>3630.0999714191344</v>
      </c>
      <c r="I326" s="27">
        <f t="shared" si="333"/>
        <v>3283.3756178192384</v>
      </c>
      <c r="J326" s="27">
        <f t="shared" si="333"/>
        <v>2879.1046908434723</v>
      </c>
      <c r="K326" s="27">
        <f t="shared" si="333"/>
        <v>2390.8846339100292</v>
      </c>
      <c r="L326" s="27">
        <f t="shared" si="333"/>
        <v>1839.0103660972368</v>
      </c>
      <c r="M326" s="27">
        <f t="shared" si="333"/>
        <v>1239.1006327581317</v>
      </c>
      <c r="N326" s="27">
        <f t="shared" si="333"/>
        <v>740.78881983995313</v>
      </c>
      <c r="O326" s="27">
        <f t="shared" si="333"/>
        <v>424.80494689555911</v>
      </c>
      <c r="P326" s="27">
        <f t="shared" si="333"/>
        <v>236.50325944865926</v>
      </c>
      <c r="Q326" s="27">
        <f t="shared" si="333"/>
        <v>159.73638312224296</v>
      </c>
      <c r="R326" s="27">
        <f t="shared" si="333"/>
        <v>138.28183341226097</v>
      </c>
      <c r="S326" s="27">
        <f t="shared" si="333"/>
        <v>105.99670666324104</v>
      </c>
      <c r="T326" s="27">
        <f t="shared" si="333"/>
        <v>77.985864260195555</v>
      </c>
      <c r="U326" s="27">
        <f t="shared" si="333"/>
        <v>77.972134725678558</v>
      </c>
      <c r="V326" s="27">
        <f t="shared" si="333"/>
        <v>77.972134725678558</v>
      </c>
      <c r="W326" s="27">
        <f t="shared" si="333"/>
        <v>77.972134725678558</v>
      </c>
      <c r="X326" s="27">
        <f t="shared" si="333"/>
        <v>77.972134725678558</v>
      </c>
      <c r="Y326" s="27">
        <f t="shared" si="333"/>
        <v>77.972134725678558</v>
      </c>
      <c r="Z326" s="27">
        <f t="shared" si="333"/>
        <v>77.972134725678558</v>
      </c>
      <c r="AA326" s="27">
        <f t="shared" si="333"/>
        <v>77.972134725678558</v>
      </c>
      <c r="AB326" s="27">
        <f t="shared" si="333"/>
        <v>77.972134725678558</v>
      </c>
      <c r="AC326" s="27">
        <f t="shared" si="333"/>
        <v>77.972134725678558</v>
      </c>
      <c r="AD326" s="27">
        <f t="shared" si="333"/>
        <v>77.972134725678558</v>
      </c>
      <c r="AE326" s="27">
        <f t="shared" si="333"/>
        <v>77.972134725678558</v>
      </c>
      <c r="AF326" s="27">
        <f t="shared" si="333"/>
        <v>77.972134725678558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v>
      </c>
      <c r="C335" s="3">
        <f t="shared" si="342"/>
        <v>0</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v>
      </c>
      <c r="C336" s="3">
        <f t="shared" si="343"/>
        <v>0</v>
      </c>
      <c r="D336" s="3">
        <f t="shared" si="343"/>
        <v>0</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0</v>
      </c>
      <c r="C337" s="3">
        <f t="shared" si="344"/>
        <v>0</v>
      </c>
      <c r="D337" s="3">
        <f t="shared" si="344"/>
        <v>0</v>
      </c>
      <c r="E337" s="3">
        <f t="shared" si="344"/>
        <v>0</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4.7521596007735488E-36</v>
      </c>
      <c r="C338" s="3">
        <f t="shared" si="345"/>
        <v>0</v>
      </c>
      <c r="D338" s="3">
        <f t="shared" si="345"/>
        <v>0</v>
      </c>
      <c r="E338" s="3">
        <f t="shared" si="345"/>
        <v>0</v>
      </c>
      <c r="F338" s="3">
        <f t="shared" si="345"/>
        <v>0</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3.0179715080014089E-5</v>
      </c>
      <c r="C339" s="3">
        <f t="shared" si="346"/>
        <v>1.5425936092792838E-32</v>
      </c>
      <c r="D339" s="3">
        <f t="shared" si="346"/>
        <v>1.8776535045476663E-305</v>
      </c>
      <c r="E339" s="3">
        <f t="shared" si="346"/>
        <v>0</v>
      </c>
      <c r="F339" s="3">
        <f t="shared" si="346"/>
        <v>0</v>
      </c>
      <c r="G339" s="3">
        <f t="shared" si="346"/>
        <v>0</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1.7132576296919503E-2</v>
      </c>
      <c r="C340" s="3">
        <f t="shared" si="347"/>
        <v>5.9143308304632169E-5</v>
      </c>
      <c r="D340" s="3">
        <f t="shared" si="347"/>
        <v>1.4214611974070935E-29</v>
      </c>
      <c r="E340" s="3">
        <f t="shared" si="347"/>
        <v>9.141741952450074E-276</v>
      </c>
      <c r="F340" s="3">
        <f t="shared" si="347"/>
        <v>0</v>
      </c>
      <c r="G340" s="3">
        <f t="shared" si="347"/>
        <v>0</v>
      </c>
      <c r="H340" s="3">
        <f t="shared" si="347"/>
        <v>0</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3.2028078055303708E-2</v>
      </c>
      <c r="C341" s="3">
        <f t="shared" si="348"/>
        <v>1.920637827733427E-2</v>
      </c>
      <c r="D341" s="3">
        <f t="shared" si="348"/>
        <v>1.1550252484760294E-4</v>
      </c>
      <c r="E341" s="3">
        <f t="shared" si="348"/>
        <v>7.1458101616508442E-27</v>
      </c>
      <c r="F341" s="3">
        <f t="shared" si="348"/>
        <v>5.8701802856560301E-249</v>
      </c>
      <c r="G341" s="3">
        <f t="shared" si="348"/>
        <v>0</v>
      </c>
      <c r="H341" s="3">
        <f t="shared" si="348"/>
        <v>0</v>
      </c>
      <c r="I341" s="3">
        <f t="shared" si="348"/>
        <v>0</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4.5998561393083143E-2</v>
      </c>
      <c r="C342" s="3">
        <f t="shared" si="349"/>
        <v>4.3924851170488201E-2</v>
      </c>
      <c r="D342" s="3">
        <f t="shared" si="349"/>
        <v>2.769305014628564E-2</v>
      </c>
      <c r="E342" s="3">
        <f t="shared" si="349"/>
        <v>2.7477405728620864E-4</v>
      </c>
      <c r="F342" s="3">
        <f t="shared" si="349"/>
        <v>2.5411193944109472E-24</v>
      </c>
      <c r="G342" s="3">
        <f t="shared" si="349"/>
        <v>1.1628361214980631E-224</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5.6645200094588073E-2</v>
      </c>
      <c r="C343" s="3">
        <f t="shared" si="350"/>
        <v>5.6409972269306607E-2</v>
      </c>
      <c r="D343" s="3">
        <f t="shared" si="350"/>
        <v>5.4110755304945565E-2</v>
      </c>
      <c r="E343" s="3">
        <f t="shared" si="350"/>
        <v>3.5691162573017597E-2</v>
      </c>
      <c r="F343" s="3">
        <f t="shared" si="350"/>
        <v>5.5632897409214877E-4</v>
      </c>
      <c r="G343" s="3">
        <f t="shared" si="350"/>
        <v>4.7102235921967516E-22</v>
      </c>
      <c r="H343" s="3">
        <f t="shared" si="350"/>
        <v>8.9153822328702331E-203</v>
      </c>
      <c r="I343" s="3">
        <f t="shared" si="350"/>
        <v>0</v>
      </c>
      <c r="J343" s="3">
        <f t="shared" si="350"/>
        <v>0</v>
      </c>
      <c r="K343" s="3">
        <f t="shared" si="350"/>
        <v>0</v>
      </c>
      <c r="L343" s="3">
        <f t="shared" si="350"/>
        <v>0</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5.8703288858613534E-2</v>
      </c>
      <c r="C344" s="3">
        <f t="shared" si="351"/>
        <v>5.8681256733322279E-2</v>
      </c>
      <c r="D344" s="3">
        <f t="shared" si="351"/>
        <v>5.8461389760960589E-2</v>
      </c>
      <c r="E344" s="3">
        <f t="shared" si="351"/>
        <v>5.6307523418479014E-2</v>
      </c>
      <c r="F344" s="3">
        <f t="shared" si="351"/>
        <v>3.8684708994387924E-2</v>
      </c>
      <c r="G344" s="3">
        <f t="shared" si="351"/>
        <v>9.0629256095073351E-4</v>
      </c>
      <c r="H344" s="3">
        <f t="shared" si="351"/>
        <v>4.5139757869062268E-20</v>
      </c>
      <c r="I344" s="3">
        <f t="shared" si="351"/>
        <v>4.2409907454198732E-183</v>
      </c>
      <c r="J344" s="3">
        <f t="shared" si="351"/>
        <v>0</v>
      </c>
      <c r="K344" s="3">
        <f t="shared" si="351"/>
        <v>0</v>
      </c>
      <c r="L344" s="3">
        <f t="shared" si="351"/>
        <v>0</v>
      </c>
      <c r="M344" s="3">
        <f t="shared" si="351"/>
        <v>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5.6202144602523478E-2</v>
      </c>
      <c r="C345" s="3">
        <f t="shared" si="352"/>
        <v>5.6200241476288777E-2</v>
      </c>
      <c r="D345" s="3">
        <f t="shared" si="352"/>
        <v>5.6181213758000156E-2</v>
      </c>
      <c r="E345" s="3">
        <f t="shared" si="352"/>
        <v>5.5991290537318425E-2</v>
      </c>
      <c r="F345" s="3">
        <f t="shared" si="352"/>
        <v>5.4127015052515735E-2</v>
      </c>
      <c r="G345" s="3">
        <f t="shared" si="352"/>
        <v>3.8578921122650441E-2</v>
      </c>
      <c r="H345" s="3">
        <f t="shared" si="352"/>
        <v>1.3052992359920451E-3</v>
      </c>
      <c r="I345" s="3">
        <f t="shared" si="352"/>
        <v>2.5663160473891E-18</v>
      </c>
      <c r="J345" s="3">
        <f t="shared" si="352"/>
        <v>2.2146785425116106E-165</v>
      </c>
      <c r="K345" s="3">
        <f t="shared" si="352"/>
        <v>0</v>
      </c>
      <c r="L345" s="3">
        <f t="shared" si="352"/>
        <v>0</v>
      </c>
      <c r="M345" s="3">
        <f t="shared" si="352"/>
        <v>0</v>
      </c>
      <c r="N345" s="3">
        <f t="shared" si="352"/>
        <v>0</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6.3415274660376358E-2</v>
      </c>
      <c r="C346" s="3">
        <f t="shared" si="353"/>
        <v>6.3415080945993796E-2</v>
      </c>
      <c r="D346" s="3">
        <f t="shared" si="353"/>
        <v>6.341314383471354E-2</v>
      </c>
      <c r="E346" s="3">
        <f t="shared" si="353"/>
        <v>6.3393775976075345E-2</v>
      </c>
      <c r="F346" s="3">
        <f t="shared" si="353"/>
        <v>6.3200422438628445E-2</v>
      </c>
      <c r="G346" s="3">
        <f t="shared" si="353"/>
        <v>6.1299027557149006E-2</v>
      </c>
      <c r="H346" s="3">
        <f t="shared" si="353"/>
        <v>4.5163711333098162E-2</v>
      </c>
      <c r="I346" s="3">
        <f t="shared" si="353"/>
        <v>2.1288742183310804E-3</v>
      </c>
      <c r="J346" s="3">
        <f t="shared" si="353"/>
        <v>1.1527995498655478E-16</v>
      </c>
      <c r="K346" s="3">
        <f t="shared" si="353"/>
        <v>2.4991467322575042E-149</v>
      </c>
      <c r="L346" s="3">
        <f t="shared" si="353"/>
        <v>0</v>
      </c>
      <c r="M346" s="3">
        <f t="shared" si="353"/>
        <v>0</v>
      </c>
      <c r="N346" s="3">
        <f t="shared" si="353"/>
        <v>0</v>
      </c>
      <c r="O346" s="3">
        <f t="shared" si="353"/>
        <v>0</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3.5348868883498058E-2</v>
      </c>
      <c r="C347" s="3">
        <f t="shared" si="354"/>
        <v>3.5348859142786015E-2</v>
      </c>
      <c r="D347" s="3">
        <f t="shared" si="354"/>
        <v>3.5348761735813229E-2</v>
      </c>
      <c r="E347" s="3">
        <f t="shared" si="354"/>
        <v>3.534778768084796E-2</v>
      </c>
      <c r="F347" s="3">
        <f t="shared" si="354"/>
        <v>3.5338048607307999E-2</v>
      </c>
      <c r="G347" s="3">
        <f t="shared" si="354"/>
        <v>3.5240805332787693E-2</v>
      </c>
      <c r="H347" s="3">
        <f t="shared" si="354"/>
        <v>3.4282969430605353E-2</v>
      </c>
      <c r="I347" s="3">
        <f t="shared" si="354"/>
        <v>2.602582475270215E-2</v>
      </c>
      <c r="J347" s="3">
        <f t="shared" si="354"/>
        <v>1.6544940043915E-3</v>
      </c>
      <c r="K347" s="3">
        <f t="shared" si="354"/>
        <v>1.7834960983447913E-15</v>
      </c>
      <c r="L347" s="3">
        <f t="shared" si="354"/>
        <v>3.7786948581301991E-135</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7.0460456203869731E-2</v>
      </c>
      <c r="C348" s="3">
        <f t="shared" si="355"/>
        <v>7.0460450833878974E-2</v>
      </c>
      <c r="D348" s="3">
        <f t="shared" si="355"/>
        <v>7.0460397133993796E-2</v>
      </c>
      <c r="E348" s="3">
        <f t="shared" si="355"/>
        <v>7.0459860137393041E-2</v>
      </c>
      <c r="F348" s="3">
        <f t="shared" si="355"/>
        <v>7.0454490396472599E-2</v>
      </c>
      <c r="G348" s="3">
        <f t="shared" si="355"/>
        <v>7.0400815489639654E-2</v>
      </c>
      <c r="H348" s="3">
        <f t="shared" si="355"/>
        <v>6.9866310325978967E-2</v>
      </c>
      <c r="I348" s="3">
        <f t="shared" si="355"/>
        <v>6.4739448553673834E-2</v>
      </c>
      <c r="J348" s="3">
        <f t="shared" si="355"/>
        <v>3.0212096843521587E-2</v>
      </c>
      <c r="K348" s="3">
        <f t="shared" si="355"/>
        <v>1.4801290812107024E-5</v>
      </c>
      <c r="L348" s="3">
        <f t="shared" si="355"/>
        <v>1.1789267620054453E-38</v>
      </c>
      <c r="M348" s="3">
        <f t="shared" si="355"/>
        <v>0</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8.6875447335757763E-2</v>
      </c>
      <c r="C349" s="3">
        <f t="shared" si="356"/>
        <v>8.6875446673655363E-2</v>
      </c>
      <c r="D349" s="3">
        <f t="shared" si="356"/>
        <v>8.6875440052631717E-2</v>
      </c>
      <c r="E349" s="3">
        <f t="shared" si="356"/>
        <v>8.6875373842423026E-2</v>
      </c>
      <c r="F349" s="3">
        <f t="shared" si="356"/>
        <v>8.6874711743111344E-2</v>
      </c>
      <c r="G349" s="3">
        <f t="shared" si="356"/>
        <v>8.6868091027519675E-2</v>
      </c>
      <c r="H349" s="3">
        <f t="shared" si="356"/>
        <v>8.6801911616293789E-2</v>
      </c>
      <c r="I349" s="3">
        <f t="shared" si="356"/>
        <v>8.6142884165378034E-2</v>
      </c>
      <c r="J349" s="3">
        <f t="shared" si="356"/>
        <v>7.9821630649584932E-2</v>
      </c>
      <c r="K349" s="3">
        <f t="shared" si="356"/>
        <v>3.7250531001877356E-2</v>
      </c>
      <c r="L349" s="3">
        <f t="shared" si="356"/>
        <v>1.8249509298207582E-5</v>
      </c>
      <c r="M349" s="3">
        <f t="shared" si="356"/>
        <v>1.4535782843700314E-38</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9.6215979991028058E-2</v>
      </c>
      <c r="C350" s="3">
        <f t="shared" si="357"/>
        <v>9.6215979917699132E-2</v>
      </c>
      <c r="D350" s="3">
        <f t="shared" si="357"/>
        <v>9.6215979184409897E-2</v>
      </c>
      <c r="E350" s="3">
        <f t="shared" si="357"/>
        <v>9.621597185151784E-2</v>
      </c>
      <c r="F350" s="3">
        <f t="shared" si="357"/>
        <v>9.6215898522627963E-2</v>
      </c>
      <c r="G350" s="3">
        <f t="shared" si="357"/>
        <v>9.6215165236802916E-2</v>
      </c>
      <c r="H350" s="3">
        <f t="shared" si="357"/>
        <v>9.6207832685916053E-2</v>
      </c>
      <c r="I350" s="3">
        <f t="shared" si="357"/>
        <v>9.6134537904746561E-2</v>
      </c>
      <c r="J350" s="3">
        <f t="shared" si="357"/>
        <v>9.5404654215774487E-2</v>
      </c>
      <c r="K350" s="3">
        <f t="shared" si="357"/>
        <v>8.8403762479590031E-2</v>
      </c>
      <c r="L350" s="3">
        <f t="shared" si="357"/>
        <v>4.1255572808142002E-2</v>
      </c>
      <c r="M350" s="3">
        <f t="shared" si="357"/>
        <v>2.0211630259099474E-5</v>
      </c>
      <c r="N350" s="3">
        <f t="shared" si="357"/>
        <v>1.6098617423773017E-38</v>
      </c>
      <c r="O350" s="3">
        <f t="shared" si="357"/>
        <v>0</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0.1116141683451989</v>
      </c>
      <c r="C351" s="3">
        <f t="shared" si="358"/>
        <v>0.11161416833669247</v>
      </c>
      <c r="D351" s="3">
        <f t="shared" si="358"/>
        <v>0.11161416825162815</v>
      </c>
      <c r="E351" s="3">
        <f t="shared" si="358"/>
        <v>0.11161416740098495</v>
      </c>
      <c r="F351" s="3">
        <f t="shared" si="358"/>
        <v>0.11161415889455339</v>
      </c>
      <c r="G351" s="3">
        <f t="shared" si="358"/>
        <v>0.11161407383027343</v>
      </c>
      <c r="H351" s="3">
        <f t="shared" si="358"/>
        <v>0.11161322319103946</v>
      </c>
      <c r="I351" s="3">
        <f t="shared" si="358"/>
        <v>0.11160471715525309</v>
      </c>
      <c r="J351" s="3">
        <f t="shared" si="358"/>
        <v>0.11151969244268024</v>
      </c>
      <c r="K351" s="3">
        <f t="shared" si="358"/>
        <v>0.11067299981496152</v>
      </c>
      <c r="L351" s="3">
        <f t="shared" si="358"/>
        <v>0.10255170116142898</v>
      </c>
      <c r="M351" s="3">
        <f t="shared" si="358"/>
        <v>4.7858021595414954E-2</v>
      </c>
      <c r="N351" s="3">
        <f t="shared" si="358"/>
        <v>2.3446253962267745E-5</v>
      </c>
      <c r="O351" s="3">
        <f t="shared" si="358"/>
        <v>1.8675003832965821E-38</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6.6462351022341701E-2</v>
      </c>
      <c r="C352" s="3">
        <f t="shared" si="359"/>
        <v>6.6462351021835162E-2</v>
      </c>
      <c r="D352" s="3">
        <f t="shared" si="359"/>
        <v>6.646235101676988E-2</v>
      </c>
      <c r="E352" s="3">
        <f t="shared" si="359"/>
        <v>6.6462350966117037E-2</v>
      </c>
      <c r="F352" s="3">
        <f t="shared" si="359"/>
        <v>6.6462350459588634E-2</v>
      </c>
      <c r="G352" s="3">
        <f t="shared" si="359"/>
        <v>6.6462345394304817E-2</v>
      </c>
      <c r="H352" s="3">
        <f t="shared" si="359"/>
        <v>6.6462294741487904E-2</v>
      </c>
      <c r="I352" s="3">
        <f t="shared" si="359"/>
        <v>6.6461788215441978E-2</v>
      </c>
      <c r="J352" s="3">
        <f t="shared" si="359"/>
        <v>6.6456723167297838E-2</v>
      </c>
      <c r="K352" s="3">
        <f t="shared" si="359"/>
        <v>6.6406093911385897E-2</v>
      </c>
      <c r="L352" s="3">
        <f t="shared" si="359"/>
        <v>6.5901917932069357E-2</v>
      </c>
      <c r="M352" s="3">
        <f t="shared" si="359"/>
        <v>6.1065967354586463E-2</v>
      </c>
      <c r="N352" s="3">
        <f t="shared" si="359"/>
        <v>2.8497785519913853E-2</v>
      </c>
      <c r="O352" s="3">
        <f t="shared" si="359"/>
        <v>1.3961427873277369E-5</v>
      </c>
      <c r="P352" s="3">
        <f t="shared" si="359"/>
        <v>1.1120314548615113E-38</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4.7100906601751723E-2</v>
      </c>
      <c r="C353" s="3">
        <f t="shared" si="360"/>
        <v>4.7100906601715828E-2</v>
      </c>
      <c r="D353" s="3">
        <f t="shared" si="360"/>
        <v>4.7100906601356858E-2</v>
      </c>
      <c r="E353" s="3">
        <f t="shared" si="360"/>
        <v>4.7100906597767167E-2</v>
      </c>
      <c r="F353" s="3">
        <f t="shared" si="360"/>
        <v>4.7100906561870229E-2</v>
      </c>
      <c r="G353" s="3">
        <f t="shared" si="360"/>
        <v>4.7100906202900875E-2</v>
      </c>
      <c r="H353" s="3">
        <f t="shared" si="360"/>
        <v>4.710090261320752E-2</v>
      </c>
      <c r="I353" s="3">
        <f t="shared" si="360"/>
        <v>4.7100866716289012E-2</v>
      </c>
      <c r="J353" s="3">
        <f t="shared" si="360"/>
        <v>4.7100507748608612E-2</v>
      </c>
      <c r="K353" s="3">
        <f t="shared" si="360"/>
        <v>4.7096918222269246E-2</v>
      </c>
      <c r="L353" s="3">
        <f t="shared" si="360"/>
        <v>4.7061038001101313E-2</v>
      </c>
      <c r="M353" s="3">
        <f t="shared" si="360"/>
        <v>4.670373577890586E-2</v>
      </c>
      <c r="N353" s="3">
        <f t="shared" si="360"/>
        <v>4.3276567570487132E-2</v>
      </c>
      <c r="O353" s="3">
        <f t="shared" si="360"/>
        <v>2.0195968296065542E-2</v>
      </c>
      <c r="P353" s="3">
        <f t="shared" si="360"/>
        <v>9.8942619418439601E-6</v>
      </c>
      <c r="Q353" s="3">
        <f t="shared" si="360"/>
        <v>7.8808060334782846E-39</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2.2598128773559045E-2</v>
      </c>
      <c r="C354" s="3">
        <f t="shared" si="361"/>
        <v>2.2598128773557321E-2</v>
      </c>
      <c r="D354" s="3">
        <f t="shared" si="361"/>
        <v>2.2598128773540102E-2</v>
      </c>
      <c r="E354" s="3">
        <f t="shared" si="361"/>
        <v>2.2598128773367872E-2</v>
      </c>
      <c r="F354" s="3">
        <f t="shared" si="361"/>
        <v>2.2598128771645607E-2</v>
      </c>
      <c r="G354" s="3">
        <f t="shared" si="361"/>
        <v>2.2598128754422932E-2</v>
      </c>
      <c r="H354" s="3">
        <f t="shared" si="361"/>
        <v>2.2598128582196189E-2</v>
      </c>
      <c r="I354" s="3">
        <f t="shared" si="361"/>
        <v>2.259812685992886E-2</v>
      </c>
      <c r="J354" s="3">
        <f t="shared" si="361"/>
        <v>2.2598109637262769E-2</v>
      </c>
      <c r="K354" s="3">
        <f t="shared" si="361"/>
        <v>2.2597937411323769E-2</v>
      </c>
      <c r="L354" s="3">
        <f t="shared" si="361"/>
        <v>2.2596215224123872E-2</v>
      </c>
      <c r="M354" s="3">
        <f t="shared" si="361"/>
        <v>2.2579000569101785E-2</v>
      </c>
      <c r="N354" s="3">
        <f t="shared" si="361"/>
        <v>2.240757368561265E-2</v>
      </c>
      <c r="O354" s="3">
        <f t="shared" si="361"/>
        <v>2.0763282862140308E-2</v>
      </c>
      <c r="P354" s="3">
        <f t="shared" si="361"/>
        <v>9.6896455968471015E-3</v>
      </c>
      <c r="Q354" s="3">
        <f t="shared" si="361"/>
        <v>4.7470807169724749E-6</v>
      </c>
      <c r="R354" s="3">
        <f t="shared" si="361"/>
        <v>3.781062455756349E-39</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6.4467605952010449E-3</v>
      </c>
      <c r="C355" s="3">
        <f t="shared" si="362"/>
        <v>6.4467605952009963E-3</v>
      </c>
      <c r="D355" s="3">
        <f t="shared" si="362"/>
        <v>6.4467605952005045E-3</v>
      </c>
      <c r="E355" s="3">
        <f t="shared" si="362"/>
        <v>6.4467605951955918E-3</v>
      </c>
      <c r="F355" s="3">
        <f t="shared" si="362"/>
        <v>6.4467605951464592E-3</v>
      </c>
      <c r="G355" s="3">
        <f t="shared" si="362"/>
        <v>6.4467605946551335E-3</v>
      </c>
      <c r="H355" s="3">
        <f t="shared" si="362"/>
        <v>6.4467605897418744E-3</v>
      </c>
      <c r="I355" s="3">
        <f t="shared" si="362"/>
        <v>6.4467605406092858E-3</v>
      </c>
      <c r="J355" s="3">
        <f t="shared" si="362"/>
        <v>6.4467600492834213E-3</v>
      </c>
      <c r="K355" s="3">
        <f t="shared" si="362"/>
        <v>6.4467551360268315E-3</v>
      </c>
      <c r="L355" s="3">
        <f t="shared" si="362"/>
        <v>6.4467060036668845E-3</v>
      </c>
      <c r="M355" s="3">
        <f t="shared" si="362"/>
        <v>6.4462147006617071E-3</v>
      </c>
      <c r="N355" s="3">
        <f t="shared" si="362"/>
        <v>6.4413037294583642E-3</v>
      </c>
      <c r="O355" s="3">
        <f t="shared" si="362"/>
        <v>6.3923993228807308E-3</v>
      </c>
      <c r="P355" s="3">
        <f t="shared" si="362"/>
        <v>5.9233184802131274E-3</v>
      </c>
      <c r="Q355" s="3">
        <f t="shared" si="362"/>
        <v>2.7642476968405493E-3</v>
      </c>
      <c r="R355" s="3">
        <f t="shared" si="362"/>
        <v>1.3542401326708096E-6</v>
      </c>
      <c r="S355" s="3">
        <f t="shared" si="362"/>
        <v>1.0786558786356077E-39</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9.830710463669077E-5</v>
      </c>
      <c r="C356" s="3">
        <f t="shared" si="363"/>
        <v>9.8307104636690703E-5</v>
      </c>
      <c r="D356" s="3">
        <f t="shared" si="363"/>
        <v>9.8307104636689957E-5</v>
      </c>
      <c r="E356" s="3">
        <f t="shared" si="363"/>
        <v>9.8307104636682463E-5</v>
      </c>
      <c r="F356" s="3">
        <f t="shared" si="363"/>
        <v>9.8307104636607544E-5</v>
      </c>
      <c r="G356" s="3">
        <f t="shared" si="363"/>
        <v>9.8307104635858306E-5</v>
      </c>
      <c r="H356" s="3">
        <f t="shared" si="363"/>
        <v>9.8307104628366049E-5</v>
      </c>
      <c r="I356" s="3">
        <f t="shared" si="363"/>
        <v>9.830710455344341E-5</v>
      </c>
      <c r="J356" s="3">
        <f t="shared" si="363"/>
        <v>9.8307103804217127E-5</v>
      </c>
      <c r="K356" s="3">
        <f t="shared" si="363"/>
        <v>9.8307096311954538E-5</v>
      </c>
      <c r="L356" s="3">
        <f t="shared" si="363"/>
        <v>9.8307021389360083E-5</v>
      </c>
      <c r="M356" s="3">
        <f t="shared" si="363"/>
        <v>9.8306272166556006E-5</v>
      </c>
      <c r="N356" s="3">
        <f t="shared" si="363"/>
        <v>9.8298780252559028E-5</v>
      </c>
      <c r="O356" s="3">
        <f t="shared" si="363"/>
        <v>9.8223892508113528E-5</v>
      </c>
      <c r="P356" s="3">
        <f t="shared" si="363"/>
        <v>9.7478145780958571E-5</v>
      </c>
      <c r="Q356" s="3">
        <f t="shared" si="363"/>
        <v>9.0325099099262609E-5</v>
      </c>
      <c r="R356" s="3">
        <f t="shared" si="363"/>
        <v>4.215220707549179E-5</v>
      </c>
      <c r="S356" s="3">
        <f t="shared" si="363"/>
        <v>2.0650902799892698E-8</v>
      </c>
      <c r="T356" s="3">
        <f t="shared" si="363"/>
        <v>1.6448499174445509E-41</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1.1020901234699522E-2</v>
      </c>
      <c r="C357" s="3">
        <f t="shared" si="364"/>
        <v>1.102090123469952E-2</v>
      </c>
      <c r="D357" s="3">
        <f t="shared" si="364"/>
        <v>1.1020901234699511E-2</v>
      </c>
      <c r="E357" s="3">
        <f t="shared" si="364"/>
        <v>1.1020901234699428E-2</v>
      </c>
      <c r="F357" s="3">
        <f t="shared" si="364"/>
        <v>1.1020901234698588E-2</v>
      </c>
      <c r="G357" s="3">
        <f t="shared" si="364"/>
        <v>1.1020901234690189E-2</v>
      </c>
      <c r="H357" s="3">
        <f t="shared" si="364"/>
        <v>1.1020901234606195E-2</v>
      </c>
      <c r="I357" s="3">
        <f t="shared" si="364"/>
        <v>1.1020901233766261E-2</v>
      </c>
      <c r="J357" s="3">
        <f t="shared" si="364"/>
        <v>1.1020901225366919E-2</v>
      </c>
      <c r="K357" s="3">
        <f t="shared" si="364"/>
        <v>1.102090114137351E-2</v>
      </c>
      <c r="L357" s="3">
        <f t="shared" si="364"/>
        <v>1.1020900301439446E-2</v>
      </c>
      <c r="M357" s="3">
        <f t="shared" si="364"/>
        <v>1.102089190210232E-2</v>
      </c>
      <c r="N357" s="3">
        <f t="shared" si="364"/>
        <v>1.1020807909083127E-2</v>
      </c>
      <c r="O357" s="3">
        <f t="shared" si="364"/>
        <v>1.1019968014097666E-2</v>
      </c>
      <c r="P357" s="3">
        <f t="shared" si="364"/>
        <v>1.1011572583896833E-2</v>
      </c>
      <c r="Q357" s="3">
        <f t="shared" si="364"/>
        <v>1.0927969256787882E-2</v>
      </c>
      <c r="R357" s="3">
        <f t="shared" si="364"/>
        <v>1.0126063623441177E-2</v>
      </c>
      <c r="S357" s="3">
        <f t="shared" si="364"/>
        <v>4.7255517566144774E-3</v>
      </c>
      <c r="T357" s="3">
        <f t="shared" si="364"/>
        <v>2.315107956908072E-6</v>
      </c>
      <c r="U357" s="3">
        <f t="shared" si="364"/>
        <v>1.8439896641299631E-39</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4.7909776340821164E-2</v>
      </c>
      <c r="B358" s="81">
        <f>IF($A$64&lt;=B324,IF($B$64&gt;=B324,ABS((B326-B325)/B325),0),0)</f>
        <v>0</v>
      </c>
      <c r="C358" s="81">
        <f t="shared" ref="C358:AF358" si="365">IF($A$64&lt;=C324,IF($B$64&gt;=C324,ABS((C326-C325)/C325),0),0)</f>
        <v>0</v>
      </c>
      <c r="D358" s="81">
        <f t="shared" si="365"/>
        <v>0</v>
      </c>
      <c r="E358" s="81">
        <f t="shared" si="365"/>
        <v>0</v>
      </c>
      <c r="F358" s="81">
        <f t="shared" si="365"/>
        <v>0</v>
      </c>
      <c r="G358" s="81">
        <f t="shared" si="365"/>
        <v>0</v>
      </c>
      <c r="H358" s="81">
        <f t="shared" si="365"/>
        <v>0</v>
      </c>
      <c r="I358" s="81">
        <f t="shared" si="365"/>
        <v>0</v>
      </c>
      <c r="J358" s="81">
        <f t="shared" si="365"/>
        <v>0</v>
      </c>
      <c r="K358" s="81">
        <f t="shared" si="365"/>
        <v>0</v>
      </c>
      <c r="L358" s="81">
        <f t="shared" si="365"/>
        <v>2.0398007370303225E-2</v>
      </c>
      <c r="M358" s="81">
        <f t="shared" si="365"/>
        <v>1.0819827439868E-2</v>
      </c>
      <c r="N358" s="81">
        <f t="shared" si="365"/>
        <v>3.1481675971769769E-2</v>
      </c>
      <c r="O358" s="81">
        <f t="shared" si="365"/>
        <v>5.4563424632368511E-2</v>
      </c>
      <c r="P358" s="81">
        <f t="shared" si="365"/>
        <v>5.4980995601513052E-2</v>
      </c>
      <c r="Q358" s="81">
        <f t="shared" si="365"/>
        <v>1.5322678323405812E-2</v>
      </c>
      <c r="R358" s="81">
        <f t="shared" si="365"/>
        <v>1.3925248127828781E-3</v>
      </c>
      <c r="S358" s="81">
        <f t="shared" si="365"/>
        <v>0.16486577017087256</v>
      </c>
      <c r="T358" s="81">
        <f t="shared" si="365"/>
        <v>0.37770831573805602</v>
      </c>
      <c r="U358" s="81">
        <f t="shared" si="365"/>
        <v>0.37716840784470457</v>
      </c>
      <c r="V358" s="81">
        <f t="shared" si="365"/>
        <v>0.37650143865981156</v>
      </c>
      <c r="W358" s="81">
        <f t="shared" si="365"/>
        <v>0</v>
      </c>
      <c r="X358" s="81">
        <f t="shared" si="365"/>
        <v>0</v>
      </c>
      <c r="Y358" s="81">
        <f t="shared" si="365"/>
        <v>0</v>
      </c>
      <c r="Z358" s="81">
        <f t="shared" si="365"/>
        <v>0</v>
      </c>
      <c r="AA358" s="81">
        <f t="shared" si="365"/>
        <v>0</v>
      </c>
      <c r="AB358" s="81">
        <f t="shared" si="365"/>
        <v>0</v>
      </c>
      <c r="AC358" s="81">
        <f t="shared" si="365"/>
        <v>0</v>
      </c>
      <c r="AD358" s="81">
        <f t="shared" si="365"/>
        <v>0</v>
      </c>
      <c r="AE358" s="81">
        <f t="shared" si="365"/>
        <v>0</v>
      </c>
      <c r="AF358" s="81">
        <f t="shared" si="365"/>
        <v>0</v>
      </c>
    </row>
    <row r="359" spans="1:34" x14ac:dyDescent="0.25">
      <c r="B359" s="21">
        <f>(B326-B325)^2</f>
        <v>275.00622883356624</v>
      </c>
      <c r="C359" s="21">
        <f t="shared" ref="C359:AF359" si="366">(C326-C325)^2</f>
        <v>1517.9955643761405</v>
      </c>
      <c r="D359" s="21">
        <f t="shared" si="366"/>
        <v>1971.7677178861466</v>
      </c>
      <c r="E359" s="21">
        <f t="shared" si="366"/>
        <v>400.84437198799475</v>
      </c>
      <c r="F359" s="21">
        <f t="shared" si="366"/>
        <v>1781.116606536285</v>
      </c>
      <c r="G359" s="21">
        <f t="shared" si="366"/>
        <v>10555.846029640767</v>
      </c>
      <c r="H359" s="21">
        <f t="shared" si="366"/>
        <v>21000.8066811635</v>
      </c>
      <c r="I359" s="21">
        <f t="shared" si="366"/>
        <v>24807.407915564316</v>
      </c>
      <c r="J359" s="21">
        <f t="shared" si="366"/>
        <v>16364.295928831283</v>
      </c>
      <c r="K359" s="21">
        <f t="shared" si="366"/>
        <v>8519.215646490642</v>
      </c>
      <c r="L359" s="21">
        <f t="shared" si="366"/>
        <v>1466.3732299067412</v>
      </c>
      <c r="M359" s="21">
        <f t="shared" si="366"/>
        <v>175.91639729392998</v>
      </c>
      <c r="N359" s="21">
        <f t="shared" si="366"/>
        <v>511.18899210137732</v>
      </c>
      <c r="O359" s="21">
        <f t="shared" si="366"/>
        <v>483.09991721356909</v>
      </c>
      <c r="P359" s="21">
        <f t="shared" si="366"/>
        <v>151.91833360248347</v>
      </c>
      <c r="Q359" s="21">
        <f t="shared" si="366"/>
        <v>5.8112410231390879</v>
      </c>
      <c r="R359" s="21">
        <f t="shared" si="366"/>
        <v>3.7183179013545176E-2</v>
      </c>
      <c r="S359" s="21">
        <f t="shared" si="366"/>
        <v>437.85787604256205</v>
      </c>
      <c r="T359" s="21">
        <f t="shared" si="366"/>
        <v>2240.5615402056301</v>
      </c>
      <c r="U359" s="21">
        <f t="shared" si="366"/>
        <v>2229.5037094772601</v>
      </c>
      <c r="V359" s="21">
        <f t="shared" si="366"/>
        <v>2216.8750604819952</v>
      </c>
      <c r="W359" s="21">
        <f t="shared" si="366"/>
        <v>2201.4903684537467</v>
      </c>
      <c r="X359" s="21">
        <f t="shared" si="366"/>
        <v>2184.255536302529</v>
      </c>
      <c r="Y359" s="21">
        <f t="shared" si="366"/>
        <v>2166.3188666363003</v>
      </c>
      <c r="Z359" s="21">
        <f t="shared" si="366"/>
        <v>2160.7612654460331</v>
      </c>
      <c r="AA359" s="21">
        <f t="shared" si="366"/>
        <v>2152.2177770763847</v>
      </c>
      <c r="AB359" s="21">
        <f t="shared" si="366"/>
        <v>2141.6018202900518</v>
      </c>
      <c r="AC359" s="21">
        <f t="shared" si="366"/>
        <v>2130.0541709012919</v>
      </c>
      <c r="AD359" s="21">
        <f t="shared" si="366"/>
        <v>2129.3457244772071</v>
      </c>
      <c r="AE359" s="21">
        <f t="shared" si="366"/>
        <v>2128.9550658647527</v>
      </c>
      <c r="AF359" s="21">
        <f t="shared" si="366"/>
        <v>2128.6384580914096</v>
      </c>
      <c r="AG359" s="3"/>
      <c r="AH359" s="3"/>
    </row>
    <row r="360" spans="1:34" x14ac:dyDescent="0.25">
      <c r="A360" s="72">
        <f>SUM(B360:AF360)</f>
        <v>9919.1434805277022</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1466.3732299067412</v>
      </c>
      <c r="M360" s="60">
        <f t="shared" si="367"/>
        <v>175.91639729392998</v>
      </c>
      <c r="N360" s="60">
        <f t="shared" si="367"/>
        <v>511.18899210137732</v>
      </c>
      <c r="O360" s="60">
        <f t="shared" si="367"/>
        <v>483.09991721356909</v>
      </c>
      <c r="P360" s="60">
        <f t="shared" si="367"/>
        <v>151.91833360248347</v>
      </c>
      <c r="Q360" s="60">
        <f t="shared" si="367"/>
        <v>5.8112410231390879</v>
      </c>
      <c r="R360" s="60">
        <f t="shared" si="367"/>
        <v>3.7183179013545176E-2</v>
      </c>
      <c r="S360" s="60">
        <f t="shared" si="367"/>
        <v>437.85787604256205</v>
      </c>
      <c r="T360" s="60">
        <f t="shared" si="367"/>
        <v>2240.5615402056301</v>
      </c>
      <c r="U360" s="60">
        <f t="shared" si="367"/>
        <v>2229.5037094772601</v>
      </c>
      <c r="V360" s="60">
        <f t="shared" si="367"/>
        <v>2216.8750604819952</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1" t="s">
        <v>22</v>
      </c>
      <c r="B365" s="27">
        <f>($C$17+SUM(B366:B396))*$B$51</f>
        <v>4950.4063697993488</v>
      </c>
      <c r="C365" s="27">
        <f t="shared" ref="C365:AF365" si="368">($C$17+SUM(C366:C396))*$B$51</f>
        <v>4672.567579292665</v>
      </c>
      <c r="D365" s="27">
        <f t="shared" si="368"/>
        <v>4349.3624704985505</v>
      </c>
      <c r="E365" s="27">
        <f t="shared" si="368"/>
        <v>4018.2056046554453</v>
      </c>
      <c r="F365" s="27">
        <f t="shared" si="368"/>
        <v>3690.7759228164714</v>
      </c>
      <c r="G365" s="27">
        <f t="shared" si="368"/>
        <v>3345.1321858618026</v>
      </c>
      <c r="H365" s="27">
        <f t="shared" si="368"/>
        <v>2979.164310046333</v>
      </c>
      <c r="I365" s="27">
        <f t="shared" si="368"/>
        <v>2489.6284256462177</v>
      </c>
      <c r="J365" s="27">
        <f t="shared" si="368"/>
        <v>1948.3640540714689</v>
      </c>
      <c r="K365" s="27">
        <f t="shared" si="368"/>
        <v>1354.6242673953336</v>
      </c>
      <c r="L365" s="27">
        <f t="shared" si="368"/>
        <v>812.09080766912098</v>
      </c>
      <c r="M365" s="27">
        <f t="shared" si="368"/>
        <v>473.02602866260207</v>
      </c>
      <c r="N365" s="27">
        <f t="shared" si="368"/>
        <v>259.242771443533</v>
      </c>
      <c r="O365" s="27">
        <f t="shared" si="368"/>
        <v>166.35011484916288</v>
      </c>
      <c r="P365" s="27">
        <f t="shared" si="368"/>
        <v>140.38853728185856</v>
      </c>
      <c r="Q365" s="27">
        <f t="shared" si="368"/>
        <v>115.97585835333912</v>
      </c>
      <c r="R365" s="27">
        <f t="shared" si="368"/>
        <v>78.26070544397092</v>
      </c>
      <c r="S365" s="27">
        <f t="shared" si="368"/>
        <v>77.972134725678558</v>
      </c>
      <c r="T365" s="27">
        <f t="shared" si="368"/>
        <v>77.972134725678558</v>
      </c>
      <c r="U365" s="27">
        <f t="shared" si="368"/>
        <v>77.972134725678558</v>
      </c>
      <c r="V365" s="27">
        <f t="shared" si="368"/>
        <v>77.972134725678558</v>
      </c>
      <c r="W365" s="27">
        <f t="shared" si="368"/>
        <v>77.972134725678558</v>
      </c>
      <c r="X365" s="27">
        <f t="shared" si="368"/>
        <v>77.972134725678558</v>
      </c>
      <c r="Y365" s="27">
        <f t="shared" si="368"/>
        <v>77.972134725678558</v>
      </c>
      <c r="Z365" s="27">
        <f t="shared" si="368"/>
        <v>77.972134725678558</v>
      </c>
      <c r="AA365" s="27">
        <f t="shared" si="368"/>
        <v>77.972134725678558</v>
      </c>
      <c r="AB365" s="27">
        <f t="shared" si="368"/>
        <v>77.972134725678558</v>
      </c>
      <c r="AC365" s="27">
        <f t="shared" si="368"/>
        <v>77.972134725678558</v>
      </c>
      <c r="AD365" s="27">
        <f t="shared" si="368"/>
        <v>77.972134725678558</v>
      </c>
      <c r="AE365" s="27">
        <f t="shared" si="368"/>
        <v>77.972134725678558</v>
      </c>
      <c r="AF365" s="27">
        <f t="shared" si="368"/>
        <v>77.972134725678558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2.1264557045433194E-196</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9.7795019879776144E-20</v>
      </c>
      <c r="C379" s="3">
        <f t="shared" si="382"/>
        <v>2.1719321882566482E-177</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8.9129853100740298E-4</v>
      </c>
      <c r="C380" s="3">
        <f t="shared" si="383"/>
        <v>5.350182581779903E-18</v>
      </c>
      <c r="D380" s="3">
        <f t="shared" si="383"/>
        <v>3.2495462829459363E-160</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3.3298488121426516E-2</v>
      </c>
      <c r="C381" s="3">
        <f t="shared" si="384"/>
        <v>1.7358530575793229E-3</v>
      </c>
      <c r="D381" s="3">
        <f t="shared" si="384"/>
        <v>2.5727488516946492E-16</v>
      </c>
      <c r="E381" s="3">
        <f t="shared" si="384"/>
        <v>1.3159571128765495E-144</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5.5018039133958342E-2</v>
      </c>
      <c r="C382" s="3">
        <f t="shared" si="385"/>
        <v>4.2147887550396786E-2</v>
      </c>
      <c r="D382" s="3">
        <f t="shared" si="385"/>
        <v>2.9341537062147435E-3</v>
      </c>
      <c r="E382" s="3">
        <f t="shared" si="385"/>
        <v>7.844284578642266E-15</v>
      </c>
      <c r="F382" s="3">
        <f t="shared" si="385"/>
        <v>1.4630465419792102E-130</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5.8549147475036235E-2</v>
      </c>
      <c r="C383" s="3">
        <f t="shared" si="386"/>
        <v>5.7158500973970211E-2</v>
      </c>
      <c r="D383" s="3">
        <f t="shared" si="386"/>
        <v>4.4945206335701426E-2</v>
      </c>
      <c r="E383" s="3">
        <f t="shared" si="386"/>
        <v>4.0617094963285357E-3</v>
      </c>
      <c r="F383" s="3">
        <f t="shared" si="386"/>
        <v>1.4755830451449201E-13</v>
      </c>
      <c r="G383" s="3">
        <f t="shared" si="386"/>
        <v>5.9089679876429952E-118</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5.6188816276706986E-2</v>
      </c>
      <c r="C384" s="3">
        <f t="shared" si="387"/>
        <v>5.6067104873081787E-2</v>
      </c>
      <c r="D384" s="3">
        <f t="shared" si="387"/>
        <v>5.4864397261510704E-2</v>
      </c>
      <c r="E384" s="3">
        <f t="shared" si="387"/>
        <v>4.4168782240182308E-2</v>
      </c>
      <c r="F384" s="3">
        <f t="shared" si="387"/>
        <v>5.0508393829494149E-3</v>
      </c>
      <c r="G384" s="3">
        <f t="shared" si="387"/>
        <v>1.9312783983167998E-12</v>
      </c>
      <c r="H384" s="3">
        <f t="shared" si="387"/>
        <v>1.2902032457584287E-106</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6.3413917878489892E-2</v>
      </c>
      <c r="C385" s="3">
        <f t="shared" si="388"/>
        <v>6.3401514474783482E-2</v>
      </c>
      <c r="D385" s="3">
        <f t="shared" si="388"/>
        <v>6.3277613791413431E-2</v>
      </c>
      <c r="E385" s="3">
        <f t="shared" si="388"/>
        <v>6.205184631267361E-2</v>
      </c>
      <c r="F385" s="3">
        <f t="shared" si="388"/>
        <v>5.102709625603763E-2</v>
      </c>
      <c r="G385" s="3">
        <f t="shared" si="388"/>
        <v>7.2154317714454566E-3</v>
      </c>
      <c r="H385" s="3">
        <f t="shared" si="388"/>
        <v>2.3060940603573607E-11</v>
      </c>
      <c r="I385" s="3">
        <f t="shared" si="388"/>
        <v>2.5646254366556443E-96</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3.534880065866236E-2</v>
      </c>
      <c r="C386" s="3">
        <f t="shared" si="389"/>
        <v>3.5348176900542455E-2</v>
      </c>
      <c r="D386" s="3">
        <f t="shared" si="389"/>
        <v>3.5341939924680675E-2</v>
      </c>
      <c r="E386" s="3">
        <f t="shared" si="389"/>
        <v>3.5279630660289725E-2</v>
      </c>
      <c r="F386" s="3">
        <f t="shared" si="389"/>
        <v>3.466254812808129E-2</v>
      </c>
      <c r="G386" s="3">
        <f t="shared" si="389"/>
        <v>2.905527850390854E-2</v>
      </c>
      <c r="H386" s="3">
        <f t="shared" si="389"/>
        <v>4.9758881911294624E-3</v>
      </c>
      <c r="I386" s="3">
        <f t="shared" si="389"/>
        <v>1.0797577206365537E-10</v>
      </c>
      <c r="J386" s="3">
        <f t="shared" si="389"/>
        <v>2.499673968779434E-87</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7.0460418591942034E-2</v>
      </c>
      <c r="C387" s="3">
        <f t="shared" si="390"/>
        <v>7.0460074715534074E-2</v>
      </c>
      <c r="D387" s="3">
        <f t="shared" si="390"/>
        <v>7.0456636043757501E-2</v>
      </c>
      <c r="E387" s="3">
        <f t="shared" si="390"/>
        <v>7.0422258554626374E-2</v>
      </c>
      <c r="F387" s="3">
        <f t="shared" si="390"/>
        <v>7.0079404862488051E-2</v>
      </c>
      <c r="G387" s="3">
        <f t="shared" si="390"/>
        <v>6.6741345886498743E-2</v>
      </c>
      <c r="H387" s="3">
        <f t="shared" si="390"/>
        <v>4.096759909281332E-2</v>
      </c>
      <c r="I387" s="3">
        <f t="shared" si="390"/>
        <v>3.1109715453318191E-4</v>
      </c>
      <c r="J387" s="3">
        <f t="shared" si="390"/>
        <v>1.9835872062902664E-25</v>
      </c>
      <c r="K387" s="3">
        <f t="shared" si="390"/>
        <v>2.2029462225479787E-237</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8.6875442698328476E-2</v>
      </c>
      <c r="C388" s="3">
        <f t="shared" si="391"/>
        <v>8.6875400299374017E-2</v>
      </c>
      <c r="D388" s="3">
        <f t="shared" si="391"/>
        <v>8.6874976310967592E-2</v>
      </c>
      <c r="E388" s="3">
        <f t="shared" si="391"/>
        <v>8.6870736540709939E-2</v>
      </c>
      <c r="F388" s="3">
        <f t="shared" si="391"/>
        <v>8.6828350216739181E-2</v>
      </c>
      <c r="G388" s="3">
        <f t="shared" si="391"/>
        <v>8.6405622785596117E-2</v>
      </c>
      <c r="H388" s="3">
        <f t="shared" si="391"/>
        <v>8.2289904832777247E-2</v>
      </c>
      <c r="I388" s="3">
        <f t="shared" si="391"/>
        <v>5.0511714826790025E-2</v>
      </c>
      <c r="J388" s="3">
        <f t="shared" si="391"/>
        <v>3.8357265500488008E-4</v>
      </c>
      <c r="K388" s="3">
        <f t="shared" si="391"/>
        <v>2.4456983937772297E-25</v>
      </c>
      <c r="L388" s="3">
        <f t="shared" si="391"/>
        <v>2.7161609134084039E-237</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9.6215979477425176E-2</v>
      </c>
      <c r="C389" s="3">
        <f t="shared" si="392"/>
        <v>9.6215974781670294E-2</v>
      </c>
      <c r="D389" s="3">
        <f t="shared" si="392"/>
        <v>9.6215927824134254E-2</v>
      </c>
      <c r="E389" s="3">
        <f t="shared" si="392"/>
        <v>9.6215458250034219E-2</v>
      </c>
      <c r="F389" s="3">
        <f t="shared" si="392"/>
        <v>9.621076263507651E-2</v>
      </c>
      <c r="G389" s="3">
        <f t="shared" si="392"/>
        <v>9.616381908749172E-2</v>
      </c>
      <c r="H389" s="3">
        <f t="shared" si="392"/>
        <v>9.5695641538220216E-2</v>
      </c>
      <c r="I389" s="3">
        <f t="shared" si="392"/>
        <v>9.1137416538642657E-2</v>
      </c>
      <c r="J389" s="3">
        <f t="shared" si="392"/>
        <v>5.5942550955735845E-2</v>
      </c>
      <c r="K389" s="3">
        <f t="shared" si="392"/>
        <v>4.2481299380587732E-4</v>
      </c>
      <c r="L389" s="3">
        <f t="shared" si="392"/>
        <v>2.7086510027507164E-25</v>
      </c>
      <c r="M389" s="3">
        <f t="shared" si="392"/>
        <v>3.008192670222673E-237</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0.11161416828561903</v>
      </c>
      <c r="C390" s="3">
        <f t="shared" si="393"/>
        <v>0.11161416774089372</v>
      </c>
      <c r="D390" s="3">
        <f t="shared" si="393"/>
        <v>0.11161416229364084</v>
      </c>
      <c r="E390" s="3">
        <f t="shared" si="393"/>
        <v>0.11161410782112667</v>
      </c>
      <c r="F390" s="3">
        <f t="shared" si="393"/>
        <v>0.11161356309744716</v>
      </c>
      <c r="G390" s="3">
        <f t="shared" si="393"/>
        <v>0.11160811600686635</v>
      </c>
      <c r="H390" s="3">
        <f t="shared" si="393"/>
        <v>0.11155365971984481</v>
      </c>
      <c r="I390" s="3">
        <f t="shared" si="393"/>
        <v>0.11101055609193683</v>
      </c>
      <c r="J390" s="3">
        <f t="shared" si="393"/>
        <v>0.10572284304814919</v>
      </c>
      <c r="K390" s="3">
        <f t="shared" si="393"/>
        <v>6.4895470587523346E-2</v>
      </c>
      <c r="L390" s="3">
        <f t="shared" si="393"/>
        <v>4.9279910682908197E-4</v>
      </c>
      <c r="M390" s="3">
        <f t="shared" si="393"/>
        <v>3.1421373977021542E-25</v>
      </c>
      <c r="N390" s="3">
        <f t="shared" si="393"/>
        <v>3.489617037780486E-237</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6.6462351018793914E-2</v>
      </c>
      <c r="C391" s="3">
        <f t="shared" si="394"/>
        <v>6.646235098635743E-2</v>
      </c>
      <c r="D391" s="3">
        <f t="shared" si="394"/>
        <v>6.6462350661992478E-2</v>
      </c>
      <c r="E391" s="3">
        <f t="shared" si="394"/>
        <v>6.6462347418343046E-2</v>
      </c>
      <c r="F391" s="3">
        <f t="shared" si="394"/>
        <v>6.6462314981857507E-2</v>
      </c>
      <c r="G391" s="3">
        <f t="shared" si="394"/>
        <v>6.6461990617872765E-2</v>
      </c>
      <c r="H391" s="3">
        <f t="shared" si="394"/>
        <v>6.6458747065090917E-2</v>
      </c>
      <c r="I391" s="3">
        <f t="shared" si="394"/>
        <v>6.6426320242250855E-2</v>
      </c>
      <c r="J391" s="3">
        <f t="shared" si="394"/>
        <v>6.610292094183573E-2</v>
      </c>
      <c r="K391" s="3">
        <f t="shared" si="394"/>
        <v>6.2954271934014067E-2</v>
      </c>
      <c r="L391" s="3">
        <f t="shared" si="394"/>
        <v>3.8642993177852088E-2</v>
      </c>
      <c r="M391" s="3">
        <f t="shared" si="394"/>
        <v>2.9344470963600698E-4</v>
      </c>
      <c r="N391" s="3">
        <f t="shared" si="394"/>
        <v>1.8710334161075105E-25</v>
      </c>
      <c r="O391" s="3">
        <f t="shared" si="394"/>
        <v>2.077945443086032E-237</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4.7100906601500299E-2</v>
      </c>
      <c r="C392" s="3">
        <f t="shared" si="395"/>
        <v>4.7100906599201568E-2</v>
      </c>
      <c r="D392" s="3">
        <f t="shared" si="395"/>
        <v>4.7100906576214296E-2</v>
      </c>
      <c r="E392" s="3">
        <f t="shared" si="395"/>
        <v>4.7100906346341551E-2</v>
      </c>
      <c r="F392" s="3">
        <f t="shared" si="395"/>
        <v>4.7100904047614127E-2</v>
      </c>
      <c r="G392" s="3">
        <f t="shared" si="395"/>
        <v>4.7100881060346114E-2</v>
      </c>
      <c r="H392" s="3">
        <f t="shared" si="395"/>
        <v>4.710065118828298E-2</v>
      </c>
      <c r="I392" s="3">
        <f t="shared" si="395"/>
        <v>4.7098352529353744E-2</v>
      </c>
      <c r="J392" s="3">
        <f t="shared" si="395"/>
        <v>4.7075372109153635E-2</v>
      </c>
      <c r="K392" s="3">
        <f t="shared" si="395"/>
        <v>4.6846183703844406E-2</v>
      </c>
      <c r="L392" s="3">
        <f t="shared" si="395"/>
        <v>4.4614781706206072E-2</v>
      </c>
      <c r="M392" s="3">
        <f t="shared" si="395"/>
        <v>2.7385730183828578E-2</v>
      </c>
      <c r="N392" s="3">
        <f t="shared" si="395"/>
        <v>2.0796002020282138E-4</v>
      </c>
      <c r="O392" s="3">
        <f t="shared" si="395"/>
        <v>1.3259743121507189E-25</v>
      </c>
      <c r="P392" s="3">
        <f t="shared" si="395"/>
        <v>1.4726098720966943E-237</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2.2598128773546982E-2</v>
      </c>
      <c r="C393" s="3">
        <f t="shared" si="396"/>
        <v>2.2598128773436695E-2</v>
      </c>
      <c r="D393" s="3">
        <f t="shared" si="396"/>
        <v>2.2598128772333807E-2</v>
      </c>
      <c r="E393" s="3">
        <f t="shared" si="396"/>
        <v>2.2598128761304945E-2</v>
      </c>
      <c r="F393" s="3">
        <f t="shared" si="396"/>
        <v>2.2598128651016326E-2</v>
      </c>
      <c r="G393" s="3">
        <f t="shared" si="396"/>
        <v>2.2598127548130162E-2</v>
      </c>
      <c r="H393" s="3">
        <f t="shared" si="396"/>
        <v>2.2598116519271478E-2</v>
      </c>
      <c r="I393" s="3">
        <f t="shared" si="396"/>
        <v>2.2598006230980683E-2</v>
      </c>
      <c r="J393" s="3">
        <f t="shared" si="396"/>
        <v>2.2596903377676208E-2</v>
      </c>
      <c r="K393" s="3">
        <f t="shared" si="396"/>
        <v>2.2585877804445879E-2</v>
      </c>
      <c r="L393" s="3">
        <f t="shared" si="396"/>
        <v>2.2475917519808989E-2</v>
      </c>
      <c r="M393" s="3">
        <f t="shared" si="396"/>
        <v>2.1405332825663658E-2</v>
      </c>
      <c r="N393" s="3">
        <f t="shared" si="396"/>
        <v>1.3139158073637542E-2</v>
      </c>
      <c r="O393" s="3">
        <f t="shared" si="396"/>
        <v>9.9775304879591448E-5</v>
      </c>
      <c r="P393" s="3">
        <f t="shared" si="396"/>
        <v>6.3617752647030015E-26</v>
      </c>
      <c r="Q393" s="3">
        <f t="shared" si="396"/>
        <v>7.0653050915192423E-238</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6.4467605952007014E-3</v>
      </c>
      <c r="C394" s="3">
        <f t="shared" si="397"/>
        <v>6.4467605951975555E-3</v>
      </c>
      <c r="D394" s="3">
        <f t="shared" si="397"/>
        <v>6.4467605951660919E-3</v>
      </c>
      <c r="E394" s="3">
        <f t="shared" si="397"/>
        <v>6.4467605948514617E-3</v>
      </c>
      <c r="F394" s="3">
        <f t="shared" si="397"/>
        <v>6.4467605917051651E-3</v>
      </c>
      <c r="G394" s="3">
        <f t="shared" si="397"/>
        <v>6.4467605602421922E-3</v>
      </c>
      <c r="H394" s="3">
        <f t="shared" si="397"/>
        <v>6.4467602456124654E-3</v>
      </c>
      <c r="I394" s="3">
        <f t="shared" si="397"/>
        <v>6.4467570993160493E-3</v>
      </c>
      <c r="J394" s="3">
        <f t="shared" si="397"/>
        <v>6.4467256364363415E-3</v>
      </c>
      <c r="K394" s="3">
        <f t="shared" si="397"/>
        <v>6.4464110160845061E-3</v>
      </c>
      <c r="L394" s="3">
        <f t="shared" si="397"/>
        <v>6.4432656569376042E-3</v>
      </c>
      <c r="M394" s="3">
        <f t="shared" si="397"/>
        <v>6.4118963503398104E-3</v>
      </c>
      <c r="N394" s="3">
        <f t="shared" si="397"/>
        <v>6.106481539706601E-3</v>
      </c>
      <c r="O394" s="3">
        <f t="shared" si="397"/>
        <v>3.7483194901673758E-3</v>
      </c>
      <c r="P394" s="3">
        <f t="shared" si="397"/>
        <v>2.8463750707736678E-5</v>
      </c>
      <c r="Q394" s="3">
        <f t="shared" si="397"/>
        <v>1.8148777937755093E-26</v>
      </c>
      <c r="R394" s="3">
        <f t="shared" si="397"/>
        <v>2.0155797373087401E-238</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9.8307104636690255E-5</v>
      </c>
      <c r="C395" s="3">
        <f t="shared" si="398"/>
        <v>9.8307104636685458E-5</v>
      </c>
      <c r="D395" s="3">
        <f t="shared" si="398"/>
        <v>9.8307104636637482E-5</v>
      </c>
      <c r="E395" s="3">
        <f t="shared" si="398"/>
        <v>9.8307104636157695E-5</v>
      </c>
      <c r="F395" s="3">
        <f t="shared" si="398"/>
        <v>9.8307104631359884E-5</v>
      </c>
      <c r="G395" s="3">
        <f t="shared" si="398"/>
        <v>9.8307104583381783E-5</v>
      </c>
      <c r="H395" s="3">
        <f t="shared" si="398"/>
        <v>9.8307104103600692E-5</v>
      </c>
      <c r="I395" s="3">
        <f t="shared" si="398"/>
        <v>9.8307099305789916E-5</v>
      </c>
      <c r="J395" s="3">
        <f t="shared" si="398"/>
        <v>9.8307051327695111E-5</v>
      </c>
      <c r="K395" s="3">
        <f t="shared" si="398"/>
        <v>9.8306571548034937E-5</v>
      </c>
      <c r="L395" s="3">
        <f t="shared" si="398"/>
        <v>9.830177388021526E-5</v>
      </c>
      <c r="M395" s="3">
        <f t="shared" si="398"/>
        <v>9.8253810077898081E-5</v>
      </c>
      <c r="N395" s="3">
        <f t="shared" si="398"/>
        <v>9.7775457320641146E-5</v>
      </c>
      <c r="O395" s="3">
        <f t="shared" si="398"/>
        <v>9.3118165444646236E-5</v>
      </c>
      <c r="P395" s="3">
        <f t="shared" si="398"/>
        <v>5.7158386896813222E-5</v>
      </c>
      <c r="Q395" s="3">
        <f t="shared" si="398"/>
        <v>4.3404573162855067E-7</v>
      </c>
      <c r="R395" s="3">
        <f t="shared" si="398"/>
        <v>2.7675198813541702E-28</v>
      </c>
      <c r="S395" s="3">
        <f t="shared" si="398"/>
        <v>3.0735716832218521E-240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1.1020901234699515E-2</v>
      </c>
      <c r="C396" s="3">
        <f t="shared" si="399"/>
        <v>1.1020901234699461E-2</v>
      </c>
      <c r="D396" s="3">
        <f t="shared" si="399"/>
        <v>1.1020901234698925E-2</v>
      </c>
      <c r="E396" s="3">
        <f t="shared" si="399"/>
        <v>1.1020901234693545E-2</v>
      </c>
      <c r="F396" s="3">
        <f t="shared" si="399"/>
        <v>1.1020901234639759E-2</v>
      </c>
      <c r="G396" s="3">
        <f t="shared" si="399"/>
        <v>1.102090123410189E-2</v>
      </c>
      <c r="H396" s="3">
        <f t="shared" si="399"/>
        <v>1.1020901228723215E-2</v>
      </c>
      <c r="I396" s="3">
        <f t="shared" si="399"/>
        <v>1.1020901174936462E-2</v>
      </c>
      <c r="J396" s="3">
        <f t="shared" si="399"/>
        <v>1.1020900637068941E-2</v>
      </c>
      <c r="K396" s="3">
        <f t="shared" si="399"/>
        <v>1.102089525839518E-2</v>
      </c>
      <c r="L396" s="3">
        <f t="shared" si="399"/>
        <v>1.1020841471801946E-2</v>
      </c>
      <c r="M396" s="3">
        <f t="shared" si="399"/>
        <v>1.102030362030695E-2</v>
      </c>
      <c r="N396" s="3">
        <f t="shared" si="399"/>
        <v>1.1014926548831476E-2</v>
      </c>
      <c r="O396" s="3">
        <f t="shared" si="399"/>
        <v>1.0961299921208196E-2</v>
      </c>
      <c r="P396" s="3">
        <f t="shared" si="399"/>
        <v>1.0439185533075237E-2</v>
      </c>
      <c r="Q396" s="3">
        <f t="shared" si="399"/>
        <v>6.4078475208129869E-3</v>
      </c>
      <c r="R396" s="3">
        <f t="shared" si="399"/>
        <v>4.8659505915667015E-5</v>
      </c>
      <c r="S396" s="3">
        <f t="shared" si="399"/>
        <v>3.1025797565894377E-26</v>
      </c>
      <c r="T396" s="3">
        <f t="shared" si="399"/>
        <v>3.4456848346558577E-238</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6.5792706211523805E-2</v>
      </c>
      <c r="B397" s="81">
        <f>IF($A$64&lt;=B363,IF($B$64&gt;=B363,ABS((B365-B364)/B364),0),0)</f>
        <v>0</v>
      </c>
      <c r="C397" s="81">
        <f t="shared" ref="C397:AF397" si="400">IF($A$64&lt;=C363,IF($B$64&gt;=C363,ABS((C365-C364)/C364),0),0)</f>
        <v>0</v>
      </c>
      <c r="D397" s="81">
        <f t="shared" si="400"/>
        <v>0</v>
      </c>
      <c r="E397" s="81">
        <f t="shared" si="400"/>
        <v>0</v>
      </c>
      <c r="F397" s="81">
        <f t="shared" si="400"/>
        <v>0</v>
      </c>
      <c r="G397" s="81">
        <f t="shared" si="400"/>
        <v>0</v>
      </c>
      <c r="H397" s="81">
        <f t="shared" si="400"/>
        <v>0</v>
      </c>
      <c r="I397" s="81">
        <f t="shared" si="400"/>
        <v>0</v>
      </c>
      <c r="J397" s="81">
        <f t="shared" si="400"/>
        <v>0</v>
      </c>
      <c r="K397" s="81">
        <f t="shared" si="400"/>
        <v>0</v>
      </c>
      <c r="L397" s="81">
        <f t="shared" si="400"/>
        <v>5.9504414561746483E-3</v>
      </c>
      <c r="M397" s="81">
        <f t="shared" si="400"/>
        <v>2.0835093811589038E-2</v>
      </c>
      <c r="N397" s="81">
        <f t="shared" si="400"/>
        <v>8.8393490240007352E-3</v>
      </c>
      <c r="O397" s="81">
        <f t="shared" si="400"/>
        <v>6.8347952382262593E-3</v>
      </c>
      <c r="P397" s="81">
        <f t="shared" si="400"/>
        <v>9.9789440688437016E-3</v>
      </c>
      <c r="Q397" s="81">
        <f t="shared" si="400"/>
        <v>0.10229375928360507</v>
      </c>
      <c r="R397" s="81">
        <f t="shared" si="400"/>
        <v>0.37618912236102992</v>
      </c>
      <c r="S397" s="81">
        <f t="shared" si="400"/>
        <v>0.37810113279804586</v>
      </c>
      <c r="T397" s="81">
        <f t="shared" si="400"/>
        <v>0.37752967725041675</v>
      </c>
      <c r="U397" s="81">
        <f t="shared" si="400"/>
        <v>0.37690551253971288</v>
      </c>
      <c r="V397" s="81">
        <f t="shared" si="400"/>
        <v>0.37611606472559289</v>
      </c>
      <c r="W397" s="81">
        <f t="shared" si="400"/>
        <v>0</v>
      </c>
      <c r="X397" s="81">
        <f t="shared" si="400"/>
        <v>0</v>
      </c>
      <c r="Y397" s="81">
        <f t="shared" si="400"/>
        <v>0</v>
      </c>
      <c r="Z397" s="81">
        <f t="shared" si="400"/>
        <v>0</v>
      </c>
      <c r="AA397" s="81">
        <f t="shared" si="400"/>
        <v>0</v>
      </c>
      <c r="AB397" s="81">
        <f t="shared" si="400"/>
        <v>0</v>
      </c>
      <c r="AC397" s="81">
        <f t="shared" si="400"/>
        <v>0</v>
      </c>
      <c r="AD397" s="81">
        <f t="shared" si="400"/>
        <v>0</v>
      </c>
      <c r="AE397" s="81">
        <f t="shared" si="400"/>
        <v>0</v>
      </c>
      <c r="AF397" s="81">
        <f t="shared" si="400"/>
        <v>0</v>
      </c>
    </row>
    <row r="398" spans="1:34" x14ac:dyDescent="0.25">
      <c r="B398" s="21">
        <f>(B365-B364)^2</f>
        <v>517.9173220196983</v>
      </c>
      <c r="C398" s="21">
        <f t="shared" ref="C398:AF398" si="401">(C365-C364)^2</f>
        <v>168.24875354778669</v>
      </c>
      <c r="D398" s="21">
        <f t="shared" si="401"/>
        <v>1338.7652410671128</v>
      </c>
      <c r="E398" s="21">
        <f t="shared" si="401"/>
        <v>10030.295311781012</v>
      </c>
      <c r="F398" s="21">
        <f t="shared" si="401"/>
        <v>19328.326288364005</v>
      </c>
      <c r="G398" s="21">
        <f t="shared" si="401"/>
        <v>28332.7789958209</v>
      </c>
      <c r="H398" s="21">
        <f t="shared" si="401"/>
        <v>14101.70968452441</v>
      </c>
      <c r="I398" s="21">
        <f t="shared" si="401"/>
        <v>10320.523355321264</v>
      </c>
      <c r="J398" s="21">
        <f t="shared" si="401"/>
        <v>3247.691232100929</v>
      </c>
      <c r="K398" s="21">
        <f t="shared" si="401"/>
        <v>1.0927504704533899</v>
      </c>
      <c r="L398" s="21">
        <f t="shared" si="401"/>
        <v>23.63151087634947</v>
      </c>
      <c r="M398" s="21">
        <f t="shared" si="401"/>
        <v>93.207275801056355</v>
      </c>
      <c r="N398" s="21">
        <f t="shared" si="401"/>
        <v>5.1595265283518286</v>
      </c>
      <c r="O398" s="21">
        <f t="shared" si="401"/>
        <v>1.3105519317462608</v>
      </c>
      <c r="P398" s="21">
        <f t="shared" si="401"/>
        <v>2.0023666918755847</v>
      </c>
      <c r="Q398" s="21">
        <f t="shared" si="401"/>
        <v>174.64854851415731</v>
      </c>
      <c r="R398" s="21">
        <f t="shared" si="401"/>
        <v>2227.378878032403</v>
      </c>
      <c r="S398" s="21">
        <f t="shared" si="401"/>
        <v>2247.2701055687735</v>
      </c>
      <c r="T398" s="21">
        <f t="shared" si="401"/>
        <v>2236.370430989326</v>
      </c>
      <c r="U398" s="21">
        <f t="shared" si="401"/>
        <v>2224.5184378274071</v>
      </c>
      <c r="V398" s="21">
        <f t="shared" si="401"/>
        <v>2209.6068632898105</v>
      </c>
      <c r="W398" s="21">
        <f t="shared" si="401"/>
        <v>2192.4005606224218</v>
      </c>
      <c r="X398" s="21">
        <f t="shared" si="401"/>
        <v>2174.2196383507562</v>
      </c>
      <c r="Y398" s="21">
        <f t="shared" si="401"/>
        <v>2155.8494557207409</v>
      </c>
      <c r="Z398" s="21">
        <f t="shared" si="401"/>
        <v>2155.4511914047307</v>
      </c>
      <c r="AA398" s="21">
        <f t="shared" si="401"/>
        <v>2146.8708102015707</v>
      </c>
      <c r="AB398" s="21">
        <f t="shared" si="401"/>
        <v>2135.3191410820527</v>
      </c>
      <c r="AC398" s="21">
        <f t="shared" si="401"/>
        <v>2123.4731123271222</v>
      </c>
      <c r="AD398" s="21">
        <f t="shared" si="401"/>
        <v>2122.7881262562901</v>
      </c>
      <c r="AE398" s="21">
        <f t="shared" si="401"/>
        <v>2122.4561964964455</v>
      </c>
      <c r="AF398" s="21">
        <f t="shared" si="401"/>
        <v>2122.2207053017164</v>
      </c>
      <c r="AG398" s="3"/>
      <c r="AH398" s="3"/>
    </row>
    <row r="399" spans="1:34" x14ac:dyDescent="0.25">
      <c r="A399" s="72">
        <f>SUM(B399:AF399)</f>
        <v>11445.104496051255</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23.63151087634947</v>
      </c>
      <c r="M399" s="60">
        <f t="shared" ref="M399" si="412">IF($A$64&lt;=M363,IF($B$64&gt;=M363,ABS(M398),0),0)</f>
        <v>93.207275801056355</v>
      </c>
      <c r="N399" s="60">
        <f t="shared" ref="N399" si="413">IF($A$64&lt;=N363,IF($B$64&gt;=N363,ABS(N398),0),0)</f>
        <v>5.1595265283518286</v>
      </c>
      <c r="O399" s="60">
        <f t="shared" ref="O399" si="414">IF($A$64&lt;=O363,IF($B$64&gt;=O363,ABS(O398),0),0)</f>
        <v>1.3105519317462608</v>
      </c>
      <c r="P399" s="60">
        <f t="shared" ref="P399" si="415">IF($A$64&lt;=P363,IF($B$64&gt;=P363,ABS(P398),0),0)</f>
        <v>2.0023666918755847</v>
      </c>
      <c r="Q399" s="60">
        <f t="shared" ref="Q399" si="416">IF($A$64&lt;=Q363,IF($B$64&gt;=Q363,ABS(Q398),0),0)</f>
        <v>174.64854851415731</v>
      </c>
      <c r="R399" s="60">
        <f t="shared" ref="R399" si="417">IF($A$64&lt;=R363,IF($B$64&gt;=R363,ABS(R398),0),0)</f>
        <v>2227.378878032403</v>
      </c>
      <c r="S399" s="60">
        <f t="shared" ref="S399" si="418">IF($A$64&lt;=S363,IF($B$64&gt;=S363,ABS(S398),0),0)</f>
        <v>2247.2701055687735</v>
      </c>
      <c r="T399" s="60">
        <f t="shared" ref="T399" si="419">IF($A$64&lt;=T363,IF($B$64&gt;=T363,ABS(T398),0),0)</f>
        <v>2236.370430989326</v>
      </c>
      <c r="U399" s="60">
        <f t="shared" ref="U399" si="420">IF($A$64&lt;=U363,IF($B$64&gt;=U363,ABS(U398),0),0)</f>
        <v>2224.5184378274071</v>
      </c>
      <c r="V399" s="60">
        <f t="shared" ref="V399" si="421">IF($A$64&lt;=V363,IF($B$64&gt;=V363,ABS(V398),0),0)</f>
        <v>2209.6068632898105</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-15.228303580211474</v>
      </c>
      <c r="M1" s="54">
        <v>1</v>
      </c>
      <c r="N1" s="56">
        <f>INDEX($H$217:$P$217,1,Q1)</f>
        <v>0.30956573647859764</v>
      </c>
      <c r="O1" s="11"/>
      <c r="P1" s="55">
        <v>1</v>
      </c>
      <c r="Q1" s="11">
        <v>2</v>
      </c>
    </row>
    <row r="2" spans="1:17" x14ac:dyDescent="0.25">
      <c r="A2" s="11">
        <f>'Mastercurve bestimmen'!M119</f>
        <v>0</v>
      </c>
      <c r="B2" s="11">
        <f>'Mastercurve bestimmen'!N119</f>
        <v>-10.887748608871126</v>
      </c>
      <c r="M2" s="54">
        <v>2</v>
      </c>
      <c r="N2" s="56">
        <f t="shared" ref="N2:N9" si="0">INDEX($H$217:$P$217,1,Q2)</f>
        <v>2.9044515954042322E-3</v>
      </c>
      <c r="O2" s="11"/>
      <c r="P2" s="55">
        <v>2</v>
      </c>
      <c r="Q2" s="11">
        <f>Q1+1</f>
        <v>3</v>
      </c>
    </row>
    <row r="3" spans="1:17" x14ac:dyDescent="0.25">
      <c r="A3" s="11">
        <f>'Mastercurve bestimmen'!M120</f>
        <v>25</v>
      </c>
      <c r="B3" s="11">
        <f>'Mastercurve bestimmen'!N120</f>
        <v>-6.2347258950093387</v>
      </c>
      <c r="M3" s="54">
        <v>3</v>
      </c>
      <c r="N3" s="56">
        <f t="shared" si="0"/>
        <v>1.7599870371888943E-5</v>
      </c>
      <c r="O3" s="11"/>
      <c r="P3" s="55">
        <v>3</v>
      </c>
      <c r="Q3" s="11">
        <f t="shared" ref="Q3:Q8" si="1">Q2+1</f>
        <v>4</v>
      </c>
    </row>
    <row r="4" spans="1:17" x14ac:dyDescent="0.25">
      <c r="A4" s="11">
        <f>'Mastercurve bestimmen'!M121</f>
        <v>50</v>
      </c>
      <c r="B4" s="11">
        <f>'Mastercurve bestimmen'!N121</f>
        <v>0</v>
      </c>
      <c r="M4" s="54">
        <v>4</v>
      </c>
      <c r="N4" s="56">
        <f t="shared" si="0"/>
        <v>-3.2641850185004796E-7</v>
      </c>
      <c r="O4" s="11"/>
      <c r="P4" s="55">
        <v>4</v>
      </c>
      <c r="Q4" s="11">
        <f t="shared" si="1"/>
        <v>5</v>
      </c>
    </row>
    <row r="5" spans="1:17" x14ac:dyDescent="0.25">
      <c r="A5" s="11">
        <f>'Mastercurve bestimmen'!M122</f>
        <v>80</v>
      </c>
      <c r="B5" s="11">
        <f>'Mastercurve bestimmen'!N122</f>
        <v>12.013708800717376</v>
      </c>
      <c r="M5" s="54">
        <v>5</v>
      </c>
      <c r="N5" s="56">
        <f t="shared" si="0"/>
        <v>-4.5042281800333797E-9</v>
      </c>
      <c r="O5" s="11"/>
      <c r="P5" s="55">
        <v>5</v>
      </c>
      <c r="Q5" s="11">
        <f t="shared" si="1"/>
        <v>6</v>
      </c>
    </row>
    <row r="6" spans="1:17" x14ac:dyDescent="0.25">
      <c r="A6" s="11">
        <f>'Mastercurve bestimmen'!M123</f>
        <v>125</v>
      </c>
      <c r="B6" s="11">
        <f>'Mastercurve bestimmen'!N123</f>
        <v>32.069911490452888</v>
      </c>
      <c r="M6" s="54">
        <v>6</v>
      </c>
      <c r="N6" s="56">
        <f t="shared" si="0"/>
        <v>2.2131559425962502E-11</v>
      </c>
      <c r="O6" s="11"/>
      <c r="P6" s="55">
        <v>6</v>
      </c>
      <c r="Q6" s="11">
        <f t="shared" si="1"/>
        <v>7</v>
      </c>
    </row>
    <row r="7" spans="1:17" x14ac:dyDescent="0.25">
      <c r="A7" s="11">
        <f>'Mastercurve bestimmen'!M124</f>
        <v>160</v>
      </c>
      <c r="B7" s="11">
        <f>'Mastercurve bestimmen'!N124</f>
        <v>36.229370550672115</v>
      </c>
      <c r="M7" s="54">
        <v>7</v>
      </c>
      <c r="N7" s="56">
        <f t="shared" si="0"/>
        <v>2.3087295426994287E-13</v>
      </c>
      <c r="O7" s="11"/>
      <c r="P7" s="55">
        <v>7</v>
      </c>
      <c r="Q7" s="11">
        <f t="shared" si="1"/>
        <v>8</v>
      </c>
    </row>
    <row r="8" spans="1:17" x14ac:dyDescent="0.25">
      <c r="A8" s="11"/>
      <c r="B8" s="11"/>
      <c r="M8" s="54">
        <v>8</v>
      </c>
      <c r="N8" s="56">
        <f t="shared" si="0"/>
        <v>-9.4091806889256754E-16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-15.228303580211474</v>
      </c>
      <c r="E15" s="11">
        <f>A15-'Mastercurve bestimmen'!$B$2</f>
        <v>-90</v>
      </c>
      <c r="F15" s="11">
        <f>B15</f>
        <v>-15.228303580211474</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-15.152706178512139</v>
      </c>
      <c r="E16" s="11">
        <f>A16-'Mastercurve bestimmen'!$B$2</f>
        <v>-89</v>
      </c>
      <c r="F16" s="11">
        <f t="shared" ref="F16:F79" si="4">B16</f>
        <v>-15.152706178512139</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-15.076985262844383</v>
      </c>
      <c r="E17" s="11">
        <f>A17-'Mastercurve bestimmen'!$B$2</f>
        <v>-88</v>
      </c>
      <c r="F17" s="11">
        <f t="shared" si="4"/>
        <v>-15.076985262844383</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-15.001017319239788</v>
      </c>
      <c r="E18" s="11">
        <f>A18-'Mastercurve bestimmen'!$B$2</f>
        <v>-87</v>
      </c>
      <c r="F18" s="11">
        <f t="shared" si="4"/>
        <v>-15.001017319239788</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-14.924678833729928</v>
      </c>
      <c r="E19" s="11">
        <f>A19-'Mastercurve bestimmen'!$B$2</f>
        <v>-86</v>
      </c>
      <c r="F19" s="11">
        <f t="shared" si="4"/>
        <v>-14.924678833729928</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-14.847846292346386</v>
      </c>
      <c r="E20" s="11">
        <f>A20-'Mastercurve bestimmen'!$B$2</f>
        <v>-85</v>
      </c>
      <c r="F20" s="11">
        <f t="shared" si="4"/>
        <v>-14.847846292346386</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-14.770396181120736</v>
      </c>
      <c r="E21" s="11">
        <f>A21-'Mastercurve bestimmen'!$B$2</f>
        <v>-84</v>
      </c>
      <c r="F21" s="11">
        <f t="shared" si="4"/>
        <v>-14.770396181120736</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-14.692204986084564</v>
      </c>
      <c r="E22" s="11">
        <f>A22-'Mastercurve bestimmen'!$B$2</f>
        <v>-83</v>
      </c>
      <c r="F22" s="11">
        <f t="shared" si="4"/>
        <v>-14.692204986084564</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-14.613149193269443</v>
      </c>
      <c r="E23" s="11">
        <f>A23-'Mastercurve bestimmen'!$B$2</f>
        <v>-82</v>
      </c>
      <c r="F23" s="11">
        <f t="shared" si="4"/>
        <v>-14.613149193269443</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-14.533105288706956</v>
      </c>
      <c r="E24" s="11">
        <f>A24-'Mastercurve bestimmen'!$B$2</f>
        <v>-81</v>
      </c>
      <c r="F24" s="11">
        <f t="shared" si="4"/>
        <v>-14.533105288706956</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-14.451949758428681</v>
      </c>
      <c r="E25" s="11">
        <f>A25-'Mastercurve bestimmen'!$B$2</f>
        <v>-80</v>
      </c>
      <c r="F25" s="11">
        <f t="shared" si="4"/>
        <v>-14.451949758428681</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-14.369559088466197</v>
      </c>
      <c r="E26" s="11">
        <f>A26-'Mastercurve bestimmen'!$B$2</f>
        <v>-79</v>
      </c>
      <c r="F26" s="11">
        <f t="shared" si="4"/>
        <v>-14.369559088466197</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-14.285809764851081</v>
      </c>
      <c r="E27" s="11">
        <f>A27-'Mastercurve bestimmen'!$B$2</f>
        <v>-78</v>
      </c>
      <c r="F27" s="11">
        <f t="shared" si="4"/>
        <v>-14.285809764851081</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-14.200578273614916</v>
      </c>
      <c r="E28" s="11">
        <f>A28-'Mastercurve bestimmen'!$B$2</f>
        <v>-77</v>
      </c>
      <c r="F28" s="11">
        <f t="shared" si="4"/>
        <v>-14.200578273614916</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-14.11374110078928</v>
      </c>
      <c r="E29" s="11">
        <f>A29-'Mastercurve bestimmen'!$B$2</f>
        <v>-76</v>
      </c>
      <c r="F29" s="11">
        <f t="shared" si="4"/>
        <v>-14.11374110078928</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-14.02517473240575</v>
      </c>
      <c r="E30" s="11">
        <f>A30-'Mastercurve bestimmen'!$B$2</f>
        <v>-75</v>
      </c>
      <c r="F30" s="11">
        <f t="shared" si="4"/>
        <v>-14.02517473240575</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-13.934755654495904</v>
      </c>
      <c r="E31" s="11">
        <f>A31-'Mastercurve bestimmen'!$B$2</f>
        <v>-74</v>
      </c>
      <c r="F31" s="11">
        <f t="shared" si="4"/>
        <v>-13.934755654495904</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-13.842360353091324</v>
      </c>
      <c r="E32" s="11">
        <f>A32-'Mastercurve bestimmen'!$B$2</f>
        <v>-73</v>
      </c>
      <c r="F32" s="11">
        <f t="shared" si="4"/>
        <v>-13.842360353091324</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-13.74786531422359</v>
      </c>
      <c r="E33" s="11">
        <f>A33-'Mastercurve bestimmen'!$B$2</f>
        <v>-72</v>
      </c>
      <c r="F33" s="11">
        <f t="shared" si="4"/>
        <v>-13.74786531422359</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-13.651147023924281</v>
      </c>
      <c r="E34" s="11">
        <f>A34-'Mastercurve bestimmen'!$B$2</f>
        <v>-71</v>
      </c>
      <c r="F34" s="11">
        <f t="shared" si="4"/>
        <v>-13.651147023924281</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-13.552081968224972</v>
      </c>
      <c r="E35" s="11">
        <f>A35-'Mastercurve bestimmen'!$B$2</f>
        <v>-70</v>
      </c>
      <c r="F35" s="11">
        <f t="shared" si="4"/>
        <v>-13.552081968224972</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-13.450546633157245</v>
      </c>
      <c r="E36" s="11">
        <f>A36-'Mastercurve bestimmen'!$B$2</f>
        <v>-69</v>
      </c>
      <c r="F36" s="11">
        <f t="shared" si="4"/>
        <v>-13.450546633157245</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-13.346417504752679</v>
      </c>
      <c r="E37" s="11">
        <f>A37-'Mastercurve bestimmen'!$B$2</f>
        <v>-68</v>
      </c>
      <c r="F37" s="11">
        <f t="shared" si="4"/>
        <v>-13.346417504752679</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-13.239571069042853</v>
      </c>
      <c r="E38" s="11">
        <f>A38-'Mastercurve bestimmen'!$B$2</f>
        <v>-67</v>
      </c>
      <c r="F38" s="11">
        <f t="shared" si="4"/>
        <v>-13.239571069042853</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-13.129883812059344</v>
      </c>
      <c r="E39" s="11">
        <f>A39-'Mastercurve bestimmen'!$B$2</f>
        <v>-66</v>
      </c>
      <c r="F39" s="11">
        <f t="shared" si="4"/>
        <v>-13.129883812059344</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-13.017232219833735</v>
      </c>
      <c r="E40" s="11">
        <f>A40-'Mastercurve bestimmen'!$B$2</f>
        <v>-65</v>
      </c>
      <c r="F40" s="11">
        <f t="shared" si="4"/>
        <v>-13.017232219833735</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-12.901492778397603</v>
      </c>
      <c r="E41" s="11">
        <f>A41-'Mastercurve bestimmen'!$B$2</f>
        <v>-64</v>
      </c>
      <c r="F41" s="11">
        <f t="shared" si="4"/>
        <v>-12.901492778397603</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-12.782541973782525</v>
      </c>
      <c r="E42" s="11">
        <f>A42-'Mastercurve bestimmen'!$B$2</f>
        <v>-63</v>
      </c>
      <c r="F42" s="11">
        <f t="shared" si="4"/>
        <v>-12.782541973782525</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-12.660256292020087</v>
      </c>
      <c r="E43" s="11">
        <f>A43-'Mastercurve bestimmen'!$B$2</f>
        <v>-62</v>
      </c>
      <c r="F43" s="11">
        <f t="shared" si="4"/>
        <v>-12.660256292020087</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-12.53451221914186</v>
      </c>
      <c r="E44" s="11">
        <f>A44-'Mastercurve bestimmen'!$B$2</f>
        <v>-61</v>
      </c>
      <c r="F44" s="11">
        <f t="shared" si="4"/>
        <v>-12.53451221914186</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-12.405186241179425</v>
      </c>
      <c r="E45" s="11">
        <f>A45-'Mastercurve bestimmen'!$B$2</f>
        <v>-60</v>
      </c>
      <c r="F45" s="11">
        <f t="shared" si="4"/>
        <v>-12.405186241179425</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-12.272154844164366</v>
      </c>
      <c r="E46" s="11">
        <f>A46-'Mastercurve bestimmen'!$B$2</f>
        <v>-59</v>
      </c>
      <c r="F46" s="11">
        <f t="shared" si="4"/>
        <v>-12.272154844164366</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-12.135294514128255</v>
      </c>
      <c r="E47" s="11">
        <f>A47-'Mastercurve bestimmen'!$B$2</f>
        <v>-58</v>
      </c>
      <c r="F47" s="11">
        <f t="shared" si="4"/>
        <v>-12.135294514128255</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-11.994481737102676</v>
      </c>
      <c r="E48" s="11">
        <f>A48-'Mastercurve bestimmen'!$B$2</f>
        <v>-57</v>
      </c>
      <c r="F48" s="11">
        <f t="shared" si="4"/>
        <v>-11.994481737102676</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-11.849592999119206</v>
      </c>
      <c r="E49" s="11">
        <f>A49-'Mastercurve bestimmen'!$B$2</f>
        <v>-56</v>
      </c>
      <c r="F49" s="11">
        <f t="shared" si="4"/>
        <v>-11.849592999119206</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-11.700504786209427</v>
      </c>
      <c r="E50" s="11">
        <f>A50-'Mastercurve bestimmen'!$B$2</f>
        <v>-55</v>
      </c>
      <c r="F50" s="11">
        <f t="shared" si="4"/>
        <v>-11.700504786209427</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-11.547093584404914</v>
      </c>
      <c r="E51" s="11">
        <f>A51-'Mastercurve bestimmen'!$B$2</f>
        <v>-54</v>
      </c>
      <c r="F51" s="11">
        <f t="shared" si="4"/>
        <v>-11.547093584404914</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-11.389235879737249</v>
      </c>
      <c r="E52" s="11">
        <f>A52-'Mastercurve bestimmen'!$B$2</f>
        <v>-53</v>
      </c>
      <c r="F52" s="11">
        <f t="shared" si="4"/>
        <v>-11.389235879737249</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-11.226808158238009</v>
      </c>
      <c r="E53" s="11">
        <f>A53-'Mastercurve bestimmen'!$B$2</f>
        <v>-52</v>
      </c>
      <c r="F53" s="11">
        <f t="shared" si="4"/>
        <v>-11.226808158238009</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-11.059686905938776</v>
      </c>
      <c r="E54" s="11">
        <f>A54-'Mastercurve bestimmen'!$B$2</f>
        <v>-51</v>
      </c>
      <c r="F54" s="11">
        <f t="shared" si="4"/>
        <v>-11.059686905938776</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-10.887748608871124</v>
      </c>
      <c r="E55" s="11">
        <f>A55-'Mastercurve bestimmen'!$B$2</f>
        <v>-50</v>
      </c>
      <c r="F55" s="11">
        <f t="shared" si="4"/>
        <v>-10.887748608871124</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-10.743925250176044</v>
      </c>
      <c r="E56" s="11">
        <f>A56-'Mastercurve bestimmen'!$B$2</f>
        <v>-49</v>
      </c>
      <c r="F56" s="11">
        <f t="shared" si="4"/>
        <v>-10.743925250176044</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-10.595324690003579</v>
      </c>
      <c r="E57" s="11">
        <f>A57-'Mastercurve bestimmen'!$B$2</f>
        <v>-48</v>
      </c>
      <c r="F57" s="11">
        <f t="shared" si="4"/>
        <v>-10.595324690003579</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-10.44211028561317</v>
      </c>
      <c r="E58" s="11">
        <f>A58-'Mastercurve bestimmen'!$B$2</f>
        <v>-47</v>
      </c>
      <c r="F58" s="11">
        <f t="shared" si="4"/>
        <v>-10.44211028561317</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-10.284445394264269</v>
      </c>
      <c r="E59" s="11">
        <f>A59-'Mastercurve bestimmen'!$B$2</f>
        <v>-46</v>
      </c>
      <c r="F59" s="11">
        <f t="shared" si="4"/>
        <v>-10.284445394264269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-10.122493373216329</v>
      </c>
      <c r="E60" s="11">
        <f>A60-'Mastercurve bestimmen'!$B$2</f>
        <v>-45</v>
      </c>
      <c r="F60" s="11">
        <f t="shared" si="4"/>
        <v>-10.122493373216329</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-9.9564175797287948</v>
      </c>
      <c r="E61" s="11">
        <f>A61-'Mastercurve bestimmen'!$B$2</f>
        <v>-44</v>
      </c>
      <c r="F61" s="11">
        <f t="shared" si="4"/>
        <v>-9.9564175797287948</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-9.7863813710611129</v>
      </c>
      <c r="E62" s="11">
        <f>A62-'Mastercurve bestimmen'!$B$2</f>
        <v>-43</v>
      </c>
      <c r="F62" s="11">
        <f t="shared" si="4"/>
        <v>-9.7863813710611129</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-9.6125481044727348</v>
      </c>
      <c r="E63" s="11">
        <f>A63-'Mastercurve bestimmen'!$B$2</f>
        <v>-42</v>
      </c>
      <c r="F63" s="11">
        <f t="shared" si="4"/>
        <v>-9.6125481044727348</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-9.4350811372231096</v>
      </c>
      <c r="E64" s="11">
        <f>A64-'Mastercurve bestimmen'!$B$2</f>
        <v>-41</v>
      </c>
      <c r="F64" s="11">
        <f t="shared" si="4"/>
        <v>-9.4350811372231096</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-9.2541438265716849</v>
      </c>
      <c r="E65" s="11">
        <f>A65-'Mastercurve bestimmen'!$B$2</f>
        <v>-40</v>
      </c>
      <c r="F65" s="11">
        <f t="shared" si="4"/>
        <v>-9.2541438265716849</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-9.0698995297779064</v>
      </c>
      <c r="E66" s="11">
        <f>A66-'Mastercurve bestimmen'!$B$2</f>
        <v>-39</v>
      </c>
      <c r="F66" s="11">
        <f t="shared" si="4"/>
        <v>-9.0698995297779064</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-8.8825116041012286</v>
      </c>
      <c r="E67" s="11">
        <f>A67-'Mastercurve bestimmen'!$B$2</f>
        <v>-38</v>
      </c>
      <c r="F67" s="11">
        <f t="shared" si="4"/>
        <v>-8.8825116041012286</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-8.6921434068010939</v>
      </c>
      <c r="E68" s="11">
        <f>A68-'Mastercurve bestimmen'!$B$2</f>
        <v>-37</v>
      </c>
      <c r="F68" s="11">
        <f t="shared" si="4"/>
        <v>-8.6921434068010939</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-8.4989582951369549</v>
      </c>
      <c r="E69" s="11">
        <f>A69-'Mastercurve bestimmen'!$B$2</f>
        <v>-36</v>
      </c>
      <c r="F69" s="11">
        <f t="shared" si="4"/>
        <v>-8.4989582951369549</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-8.3031196263682574</v>
      </c>
      <c r="E70" s="11">
        <f>A70-'Mastercurve bestimmen'!$B$2</f>
        <v>-35</v>
      </c>
      <c r="F70" s="11">
        <f t="shared" si="4"/>
        <v>-8.3031196263682574</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-8.1047907577544542</v>
      </c>
      <c r="E71" s="11">
        <f>A71-'Mastercurve bestimmen'!$B$2</f>
        <v>-34</v>
      </c>
      <c r="F71" s="11">
        <f t="shared" si="4"/>
        <v>-8.1047907577544542</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-7.9041350465549884</v>
      </c>
      <c r="E72" s="11">
        <f>A72-'Mastercurve bestimmen'!$B$2</f>
        <v>-33</v>
      </c>
      <c r="F72" s="11">
        <f t="shared" si="4"/>
        <v>-7.9041350465549884</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-7.701315850029312</v>
      </c>
      <c r="E73" s="11">
        <f>A73-'Mastercurve bestimmen'!$B$2</f>
        <v>-32</v>
      </c>
      <c r="F73" s="11">
        <f t="shared" si="4"/>
        <v>-7.701315850029312</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-7.4964965254368732</v>
      </c>
      <c r="E74" s="11">
        <f>A74-'Mastercurve bestimmen'!$B$2</f>
        <v>-31</v>
      </c>
      <c r="F74" s="11">
        <f t="shared" si="4"/>
        <v>-7.4964965254368732</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-7.2898404300371205</v>
      </c>
      <c r="E75" s="11">
        <f>A75-'Mastercurve bestimmen'!$B$2</f>
        <v>-30</v>
      </c>
      <c r="F75" s="11">
        <f t="shared" si="4"/>
        <v>-7.2898404300371205</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-7.0815109210895004</v>
      </c>
      <c r="E76" s="11">
        <f>A76-'Mastercurve bestimmen'!$B$2</f>
        <v>-29</v>
      </c>
      <c r="F76" s="11">
        <f t="shared" si="4"/>
        <v>-7.0815109210895004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-6.871671355853465</v>
      </c>
      <c r="E77" s="11">
        <f>A77-'Mastercurve bestimmen'!$B$2</f>
        <v>-28</v>
      </c>
      <c r="F77" s="11">
        <f t="shared" si="4"/>
        <v>-6.871671355853465</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-6.6604850915884599</v>
      </c>
      <c r="E78" s="11">
        <f>A78-'Mastercurve bestimmen'!$B$2</f>
        <v>-27</v>
      </c>
      <c r="F78" s="11">
        <f t="shared" si="4"/>
        <v>-6.6604850915884599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-6.4481154855539344</v>
      </c>
      <c r="E79" s="11">
        <f>A79-'Mastercurve bestimmen'!$B$2</f>
        <v>-26</v>
      </c>
      <c r="F79" s="11">
        <f t="shared" si="4"/>
        <v>-6.4481154855539344</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-6.2347258950093387</v>
      </c>
      <c r="E80" s="11">
        <f>A80-'Mastercurve bestimmen'!$B$2</f>
        <v>-25</v>
      </c>
      <c r="F80" s="11">
        <f t="shared" ref="F80:F143" si="10">B80</f>
        <v>-6.2347258950093387</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-6.0204127133005496</v>
      </c>
      <c r="E81" s="11">
        <f>A81-'Mastercurve bestimmen'!$B$2</f>
        <v>-24</v>
      </c>
      <c r="F81" s="11">
        <f t="shared" si="10"/>
        <v>-6.0204127133005496</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-5.8050044781191765</v>
      </c>
      <c r="E82" s="11">
        <f>A82-'Mastercurve bestimmen'!$B$2</f>
        <v>-23</v>
      </c>
      <c r="F82" s="11">
        <f t="shared" si="10"/>
        <v>-5.8050044781191765</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-5.5882627632432547</v>
      </c>
      <c r="E83" s="11">
        <f>A83-'Mastercurve bestimmen'!$B$2</f>
        <v>-22</v>
      </c>
      <c r="F83" s="11">
        <f t="shared" si="10"/>
        <v>-5.5882627632432547</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-5.3699491424508219</v>
      </c>
      <c r="E84" s="11">
        <f>A84-'Mastercurve bestimmen'!$B$2</f>
        <v>-21</v>
      </c>
      <c r="F84" s="11">
        <f t="shared" si="10"/>
        <v>-5.3699491424508219</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-5.1498251895199179</v>
      </c>
      <c r="E85" s="11">
        <f>A85-'Mastercurve bestimmen'!$B$2</f>
        <v>-20</v>
      </c>
      <c r="F85" s="11">
        <f t="shared" si="10"/>
        <v>-5.1498251895199179</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-4.9276524782285751</v>
      </c>
      <c r="E86" s="11">
        <f>A86-'Mastercurve bestimmen'!$B$2</f>
        <v>-19</v>
      </c>
      <c r="F86" s="11">
        <f t="shared" si="10"/>
        <v>-4.9276524782285751</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-4.7031925823548342</v>
      </c>
      <c r="E87" s="11">
        <f>A87-'Mastercurve bestimmen'!$B$2</f>
        <v>-18</v>
      </c>
      <c r="F87" s="11">
        <f t="shared" si="10"/>
        <v>-4.7031925823548342</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-4.4762070756767338</v>
      </c>
      <c r="E88" s="11">
        <f>A88-'Mastercurve bestimmen'!$B$2</f>
        <v>-17</v>
      </c>
      <c r="F88" s="11">
        <f t="shared" si="10"/>
        <v>-4.4762070756767338</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-4.2464575319723075</v>
      </c>
      <c r="E89" s="11">
        <f>A89-'Mastercurve bestimmen'!$B$2</f>
        <v>-16</v>
      </c>
      <c r="F89" s="11">
        <f t="shared" si="10"/>
        <v>-4.2464575319723075</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-4.0137055250195965</v>
      </c>
      <c r="E90" s="11">
        <f>A90-'Mastercurve bestimmen'!$B$2</f>
        <v>-15</v>
      </c>
      <c r="F90" s="11">
        <f t="shared" si="10"/>
        <v>-4.0137055250195965</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-3.7777126285966358</v>
      </c>
      <c r="E91" s="11">
        <f>A91-'Mastercurve bestimmen'!$B$2</f>
        <v>-14</v>
      </c>
      <c r="F91" s="11">
        <f t="shared" si="10"/>
        <v>-3.7777126285966358</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-3.5382404164814636</v>
      </c>
      <c r="E92" s="11">
        <f>A92-'Mastercurve bestimmen'!$B$2</f>
        <v>-13</v>
      </c>
      <c r="F92" s="11">
        <f t="shared" si="10"/>
        <v>-3.5382404164814636</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-3.2950504624521173</v>
      </c>
      <c r="E93" s="11">
        <f>A93-'Mastercurve bestimmen'!$B$2</f>
        <v>-12</v>
      </c>
      <c r="F93" s="11">
        <f t="shared" si="10"/>
        <v>-3.2950504624521173</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-3.0479043402866348</v>
      </c>
      <c r="E94" s="11">
        <f>A94-'Mastercurve bestimmen'!$B$2</f>
        <v>-11</v>
      </c>
      <c r="F94" s="11">
        <f t="shared" si="10"/>
        <v>-3.0479043402866348</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-2.7965636237630531</v>
      </c>
      <c r="E95" s="11">
        <f>A95-'Mastercurve bestimmen'!$B$2</f>
        <v>-10</v>
      </c>
      <c r="F95" s="11">
        <f t="shared" si="10"/>
        <v>-2.7965636237630531</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-2.5407898866594087</v>
      </c>
      <c r="E96" s="11">
        <f>A96-'Mastercurve bestimmen'!$B$2</f>
        <v>-9</v>
      </c>
      <c r="F96" s="11">
        <f t="shared" si="10"/>
        <v>-2.5407898866594087</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-2.2803447027537405</v>
      </c>
      <c r="E97" s="11">
        <f>A97-'Mastercurve bestimmen'!$B$2</f>
        <v>-8</v>
      </c>
      <c r="F97" s="11">
        <f t="shared" si="10"/>
        <v>-2.2803447027537405</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-2.0149896458240848</v>
      </c>
      <c r="E98" s="11">
        <f>A98-'Mastercurve bestimmen'!$B$2</f>
        <v>-7</v>
      </c>
      <c r="F98" s="11">
        <f t="shared" si="10"/>
        <v>-2.0149896458240848</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-1.7444862896484796</v>
      </c>
      <c r="E99" s="11">
        <f>A99-'Mastercurve bestimmen'!$B$2</f>
        <v>-6</v>
      </c>
      <c r="F99" s="11">
        <f t="shared" si="10"/>
        <v>-1.7444862896484796</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-1.4685962080049622</v>
      </c>
      <c r="E100" s="11">
        <f>A100-'Mastercurve bestimmen'!$B$2</f>
        <v>-5</v>
      </c>
      <c r="F100" s="11">
        <f t="shared" si="10"/>
        <v>-1.4685962080049622</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-1.1870809746715696</v>
      </c>
      <c r="E101" s="11">
        <f>A101-'Mastercurve bestimmen'!$B$2</f>
        <v>-4</v>
      </c>
      <c r="F101" s="11">
        <f t="shared" si="10"/>
        <v>-1.1870809746715696</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-0.8997021634263398</v>
      </c>
      <c r="E102" s="11">
        <f>A102-'Mastercurve bestimmen'!$B$2</f>
        <v>-3</v>
      </c>
      <c r="F102" s="11">
        <f t="shared" si="10"/>
        <v>-0.8997021634263398</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-0.60622134804731009</v>
      </c>
      <c r="E103" s="11">
        <f>A103-'Mastercurve bestimmen'!$B$2</f>
        <v>-2</v>
      </c>
      <c r="F103" s="11">
        <f t="shared" si="10"/>
        <v>-0.60622134804731009</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-0.30640010231251774</v>
      </c>
      <c r="E104" s="11">
        <f>A104-'Mastercurve bestimmen'!$B$2</f>
        <v>-1</v>
      </c>
      <c r="F104" s="11">
        <f t="shared" si="10"/>
        <v>-0.30640010231251774</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0.31316479042190054</v>
      </c>
      <c r="E106" s="11">
        <f>A106-'Mastercurve bestimmen'!$B$2</f>
        <v>1</v>
      </c>
      <c r="F106" s="11">
        <f t="shared" si="10"/>
        <v>0.31316479042190054</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0.63306972172362153</v>
      </c>
      <c r="E107" s="11">
        <f>A107-'Mastercurve bestimmen'!$B$2</f>
        <v>2</v>
      </c>
      <c r="F107" s="11">
        <f t="shared" si="10"/>
        <v>0.63306972172362153</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0.95963765198529571</v>
      </c>
      <c r="E108" s="11">
        <f>A108-'Mastercurve bestimmen'!$B$2</f>
        <v>3</v>
      </c>
      <c r="F108" s="11">
        <f t="shared" si="10"/>
        <v>0.95963765198529571</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1.2927914392870554</v>
      </c>
      <c r="E109" s="11">
        <f>A109-'Mastercurve bestimmen'!$B$2</f>
        <v>4</v>
      </c>
      <c r="F109" s="11">
        <f t="shared" si="10"/>
        <v>1.2927914392870554</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1.6324539417090334</v>
      </c>
      <c r="E110" s="11">
        <f>A110-'Mastercurve bestimmen'!$B$2</f>
        <v>5</v>
      </c>
      <c r="F110" s="11">
        <f t="shared" si="10"/>
        <v>1.6324539417090334</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1.9785480173313625</v>
      </c>
      <c r="E111" s="11">
        <f>A111-'Mastercurve bestimmen'!$B$2</f>
        <v>6</v>
      </c>
      <c r="F111" s="11">
        <f t="shared" si="10"/>
        <v>1.9785480173313625</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2.330996524234175</v>
      </c>
      <c r="E112" s="11">
        <f>A112-'Mastercurve bestimmen'!$B$2</f>
        <v>7</v>
      </c>
      <c r="F112" s="11">
        <f t="shared" si="10"/>
        <v>2.330996524234175</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2.6897223204976037</v>
      </c>
      <c r="E113" s="11">
        <f>A113-'Mastercurve bestimmen'!$B$2</f>
        <v>8</v>
      </c>
      <c r="F113" s="11">
        <f t="shared" si="10"/>
        <v>2.6897223204976037</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3.0546482642017816</v>
      </c>
      <c r="E114" s="11">
        <f>A114-'Mastercurve bestimmen'!$B$2</f>
        <v>9</v>
      </c>
      <c r="F114" s="11">
        <f t="shared" si="10"/>
        <v>3.0546482642017816</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3.4256972134268406</v>
      </c>
      <c r="E115" s="11">
        <f>A115-'Mastercurve bestimmen'!$B$2</f>
        <v>10</v>
      </c>
      <c r="F115" s="11">
        <f t="shared" si="10"/>
        <v>3.4256972134268406</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3.8027920262529138</v>
      </c>
      <c r="E116" s="11">
        <f>A116-'Mastercurve bestimmen'!$B$2</f>
        <v>11</v>
      </c>
      <c r="F116" s="11">
        <f t="shared" si="10"/>
        <v>3.8027920262529138</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4.1858555607601344</v>
      </c>
      <c r="E117" s="11">
        <f>A117-'Mastercurve bestimmen'!$B$2</f>
        <v>12</v>
      </c>
      <c r="F117" s="11">
        <f t="shared" si="10"/>
        <v>4.1858555607601344</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4.5748106750286333</v>
      </c>
      <c r="E118" s="11">
        <f>A118-'Mastercurve bestimmen'!$B$2</f>
        <v>13</v>
      </c>
      <c r="F118" s="11">
        <f t="shared" si="10"/>
        <v>4.5748106750286333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4.9695802271385441</v>
      </c>
      <c r="E119" s="11">
        <f>A119-'Mastercurve bestimmen'!$B$2</f>
        <v>14</v>
      </c>
      <c r="F119" s="11">
        <f t="shared" si="10"/>
        <v>4.9695802271385441</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5.3700870751700007</v>
      </c>
      <c r="E120" s="11">
        <f>A120-'Mastercurve bestimmen'!$B$2</f>
        <v>15</v>
      </c>
      <c r="F120" s="11">
        <f t="shared" si="10"/>
        <v>5.3700870751700007</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5.7762540772031334</v>
      </c>
      <c r="E121" s="11">
        <f>A121-'Mastercurve bestimmen'!$B$2</f>
        <v>16</v>
      </c>
      <c r="F121" s="11">
        <f t="shared" si="10"/>
        <v>5.7762540772031334</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6.188004091318076</v>
      </c>
      <c r="E122" s="11">
        <f>A122-'Mastercurve bestimmen'!$B$2</f>
        <v>17</v>
      </c>
      <c r="F122" s="11">
        <f t="shared" si="10"/>
        <v>6.188004091318076</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6.6052599755949624</v>
      </c>
      <c r="E123" s="11">
        <f>A123-'Mastercurve bestimmen'!$B$2</f>
        <v>18</v>
      </c>
      <c r="F123" s="11">
        <f t="shared" si="10"/>
        <v>6.6052599755949624</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7.0279445881139226</v>
      </c>
      <c r="E124" s="11">
        <f>A124-'Mastercurve bestimmen'!$B$2</f>
        <v>19</v>
      </c>
      <c r="F124" s="11">
        <f t="shared" si="10"/>
        <v>7.0279445881139226</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7.4559807869550907</v>
      </c>
      <c r="E125" s="11">
        <f>A125-'Mastercurve bestimmen'!$B$2</f>
        <v>20</v>
      </c>
      <c r="F125" s="11">
        <f t="shared" si="10"/>
        <v>7.4559807869550907</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7.8892914301985995</v>
      </c>
      <c r="E126" s="11">
        <f>A126-'Mastercurve bestimmen'!$B$2</f>
        <v>21</v>
      </c>
      <c r="F126" s="11">
        <f t="shared" si="10"/>
        <v>7.8892914301985995</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8.327799375924581</v>
      </c>
      <c r="E127" s="11">
        <f>A127-'Mastercurve bestimmen'!$B$2</f>
        <v>22</v>
      </c>
      <c r="F127" s="11">
        <f t="shared" si="10"/>
        <v>8.327799375924581</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8.7714274822131699</v>
      </c>
      <c r="E128" s="11">
        <f>A128-'Mastercurve bestimmen'!$B$2</f>
        <v>23</v>
      </c>
      <c r="F128" s="11">
        <f t="shared" si="10"/>
        <v>8.7714274822131699</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9.2200986071444948</v>
      </c>
      <c r="E129" s="11">
        <f>A129-'Mastercurve bestimmen'!$B$2</f>
        <v>24</v>
      </c>
      <c r="F129" s="11">
        <f t="shared" si="10"/>
        <v>9.2200986071444948</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9.6737356087986903</v>
      </c>
      <c r="E130" s="11">
        <f>A130-'Mastercurve bestimmen'!$B$2</f>
        <v>25</v>
      </c>
      <c r="F130" s="11">
        <f t="shared" si="10"/>
        <v>9.6737356087986903</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10.132261345255889</v>
      </c>
      <c r="E131" s="11">
        <f>A131-'Mastercurve bestimmen'!$B$2</f>
        <v>26</v>
      </c>
      <c r="F131" s="11">
        <f t="shared" si="10"/>
        <v>10.132261345255889</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10.595598674596225</v>
      </c>
      <c r="E132" s="11">
        <f>A132-'Mastercurve bestimmen'!$B$2</f>
        <v>27</v>
      </c>
      <c r="F132" s="11">
        <f t="shared" si="10"/>
        <v>10.595598674596225</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11.06367045489983</v>
      </c>
      <c r="E133" s="11">
        <f>A133-'Mastercurve bestimmen'!$B$2</f>
        <v>28</v>
      </c>
      <c r="F133" s="11">
        <f t="shared" si="10"/>
        <v>11.06367045489983</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11.536399544246837</v>
      </c>
      <c r="E134" s="11">
        <f>A134-'Mastercurve bestimmen'!$B$2</f>
        <v>29</v>
      </c>
      <c r="F134" s="11">
        <f t="shared" si="10"/>
        <v>11.536399544246837</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12.013708800717378</v>
      </c>
      <c r="E135" s="11">
        <f>A135-'Mastercurve bestimmen'!$B$2</f>
        <v>30</v>
      </c>
      <c r="F135" s="11">
        <f t="shared" si="10"/>
        <v>12.013708800717378</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12.495467174785617</v>
      </c>
      <c r="E136" s="11">
        <f>A136-'Mastercurve bestimmen'!$B$2</f>
        <v>31</v>
      </c>
      <c r="F136" s="11">
        <f t="shared" si="10"/>
        <v>12.495467174785617</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12.981327986501864</v>
      </c>
      <c r="E137" s="11">
        <f>A137-'Mastercurve bestimmen'!$B$2</f>
        <v>32</v>
      </c>
      <c r="F137" s="11">
        <f t="shared" si="10"/>
        <v>12.981327986501864</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13.470890648310448</v>
      </c>
      <c r="E138" s="11">
        <f>A138-'Mastercurve bestimmen'!$B$2</f>
        <v>33</v>
      </c>
      <c r="F138" s="11">
        <f t="shared" si="10"/>
        <v>13.470890648310448</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13.963754572655709</v>
      </c>
      <c r="E139" s="11">
        <f>A139-'Mastercurve bestimmen'!$B$2</f>
        <v>34</v>
      </c>
      <c r="F139" s="11">
        <f t="shared" si="10"/>
        <v>13.963754572655709</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14.459519171981984</v>
      </c>
      <c r="E140" s="11">
        <f>A140-'Mastercurve bestimmen'!$B$2</f>
        <v>35</v>
      </c>
      <c r="F140" s="11">
        <f t="shared" si="10"/>
        <v>14.459519171981984</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14.957783858733613</v>
      </c>
      <c r="E141" s="11">
        <f>A141-'Mastercurve bestimmen'!$B$2</f>
        <v>36</v>
      </c>
      <c r="F141" s="11">
        <f t="shared" si="10"/>
        <v>14.957783858733613</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15.458148045354928</v>
      </c>
      <c r="E142" s="11">
        <f>A142-'Mastercurve bestimmen'!$B$2</f>
        <v>37</v>
      </c>
      <c r="F142" s="11">
        <f t="shared" si="10"/>
        <v>15.458148045354928</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15.96021114429027</v>
      </c>
      <c r="E143" s="11">
        <f>A143-'Mastercurve bestimmen'!$B$2</f>
        <v>38</v>
      </c>
      <c r="F143" s="11">
        <f t="shared" si="10"/>
        <v>15.96021114429027</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16.463572567983974</v>
      </c>
      <c r="E144" s="11">
        <f>A144-'Mastercurve bestimmen'!$B$2</f>
        <v>39</v>
      </c>
      <c r="F144" s="11">
        <f t="shared" ref="F144:F207" si="15">B144</f>
        <v>16.463572567983974</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16.967831728880377</v>
      </c>
      <c r="E145" s="11">
        <f>A145-'Mastercurve bestimmen'!$B$2</f>
        <v>40</v>
      </c>
      <c r="F145" s="11">
        <f t="shared" si="15"/>
        <v>16.967831728880377</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17.472588039423815</v>
      </c>
      <c r="E146" s="11">
        <f>A146-'Mastercurve bestimmen'!$B$2</f>
        <v>41</v>
      </c>
      <c r="F146" s="11">
        <f t="shared" si="15"/>
        <v>17.472588039423815</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17.977440912058626</v>
      </c>
      <c r="E147" s="11">
        <f>A147-'Mastercurve bestimmen'!$B$2</f>
        <v>42</v>
      </c>
      <c r="F147" s="11">
        <f t="shared" si="15"/>
        <v>17.977440912058626</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18.481989759229151</v>
      </c>
      <c r="E148" s="11">
        <f>A148-'Mastercurve bestimmen'!$B$2</f>
        <v>43</v>
      </c>
      <c r="F148" s="11">
        <f t="shared" si="15"/>
        <v>18.481989759229151</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18.985833993379718</v>
      </c>
      <c r="E149" s="11">
        <f>A149-'Mastercurve bestimmen'!$B$2</f>
        <v>44</v>
      </c>
      <c r="F149" s="11">
        <f t="shared" si="15"/>
        <v>18.985833993379718</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19.488573026954668</v>
      </c>
      <c r="E150" s="11">
        <f>A150-'Mastercurve bestimmen'!$B$2</f>
        <v>45</v>
      </c>
      <c r="F150" s="11">
        <f t="shared" si="15"/>
        <v>19.488573026954668</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19.989806272398344</v>
      </c>
      <c r="E151" s="11">
        <f>A151-'Mastercurve bestimmen'!$B$2</f>
        <v>46</v>
      </c>
      <c r="F151" s="11">
        <f t="shared" si="15"/>
        <v>19.989806272398344</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20.489133142155072</v>
      </c>
      <c r="E152" s="11">
        <f>A152-'Mastercurve bestimmen'!$B$2</f>
        <v>47</v>
      </c>
      <c r="F152" s="11">
        <f t="shared" si="15"/>
        <v>20.489133142155072</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20.986153048669198</v>
      </c>
      <c r="E153" s="11">
        <f>A153-'Mastercurve bestimmen'!$B$2</f>
        <v>48</v>
      </c>
      <c r="F153" s="11">
        <f t="shared" si="15"/>
        <v>20.986153048669198</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21.480465404385054</v>
      </c>
      <c r="E154" s="11">
        <f>A154-'Mastercurve bestimmen'!$B$2</f>
        <v>49</v>
      </c>
      <c r="F154" s="11">
        <f t="shared" si="15"/>
        <v>21.480465404385054</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21.971669621746976</v>
      </c>
      <c r="E155" s="11">
        <f>A155-'Mastercurve bestimmen'!$B$2</f>
        <v>50</v>
      </c>
      <c r="F155" s="11">
        <f t="shared" si="15"/>
        <v>21.971669621746976</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22.459365113199308</v>
      </c>
      <c r="E156" s="11">
        <f>A156-'Mastercurve bestimmen'!$B$2</f>
        <v>51</v>
      </c>
      <c r="F156" s="11">
        <f t="shared" si="15"/>
        <v>22.459365113199308</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22.943151291186382</v>
      </c>
      <c r="E157" s="11">
        <f>A157-'Mastercurve bestimmen'!$B$2</f>
        <v>52</v>
      </c>
      <c r="F157" s="11">
        <f t="shared" si="15"/>
        <v>22.943151291186382</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23.422627568152532</v>
      </c>
      <c r="E158" s="11">
        <f>A158-'Mastercurve bestimmen'!$B$2</f>
        <v>53</v>
      </c>
      <c r="F158" s="11">
        <f t="shared" si="15"/>
        <v>23.422627568152532</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23.897393356542104</v>
      </c>
      <c r="E159" s="11">
        <f>A159-'Mastercurve bestimmen'!$B$2</f>
        <v>54</v>
      </c>
      <c r="F159" s="11">
        <f t="shared" si="15"/>
        <v>23.897393356542104</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24.36704806879942</v>
      </c>
      <c r="E160" s="11">
        <f>A160-'Mastercurve bestimmen'!$B$2</f>
        <v>55</v>
      </c>
      <c r="F160" s="11">
        <f t="shared" si="15"/>
        <v>24.36704806879942</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24.831191117368835</v>
      </c>
      <c r="E161" s="11">
        <f>A161-'Mastercurve bestimmen'!$B$2</f>
        <v>56</v>
      </c>
      <c r="F161" s="11">
        <f t="shared" si="15"/>
        <v>24.831191117368835</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25.289421914694671</v>
      </c>
      <c r="E162" s="11">
        <f>A162-'Mastercurve bestimmen'!$B$2</f>
        <v>57</v>
      </c>
      <c r="F162" s="11">
        <f t="shared" si="15"/>
        <v>25.289421914694671</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25.741339873221275</v>
      </c>
      <c r="E163" s="11">
        <f>A163-'Mastercurve bestimmen'!$B$2</f>
        <v>58</v>
      </c>
      <c r="F163" s="11">
        <f t="shared" si="15"/>
        <v>25.741339873221275</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26.186544405392979</v>
      </c>
      <c r="E164" s="11">
        <f>A164-'Mastercurve bestimmen'!$B$2</f>
        <v>59</v>
      </c>
      <c r="F164" s="11">
        <f t="shared" si="15"/>
        <v>26.186544405392979</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26.624634923654121</v>
      </c>
      <c r="E165" s="11">
        <f>A165-'Mastercurve bestimmen'!$B$2</f>
        <v>60</v>
      </c>
      <c r="F165" s="11">
        <f t="shared" si="15"/>
        <v>26.624634923654121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27.055210840449035</v>
      </c>
      <c r="E166" s="11">
        <f>A166-'Mastercurve bestimmen'!$B$2</f>
        <v>61</v>
      </c>
      <c r="F166" s="11">
        <f t="shared" si="15"/>
        <v>27.055210840449035</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27.47787156822206</v>
      </c>
      <c r="E167" s="11">
        <f>A167-'Mastercurve bestimmen'!$B$2</f>
        <v>62</v>
      </c>
      <c r="F167" s="11">
        <f t="shared" si="15"/>
        <v>27.47787156822206</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27.892216519417538</v>
      </c>
      <c r="E168" s="11">
        <f>A168-'Mastercurve bestimmen'!$B$2</f>
        <v>63</v>
      </c>
      <c r="F168" s="11">
        <f t="shared" si="15"/>
        <v>27.892216519417538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28.297845106479798</v>
      </c>
      <c r="E169" s="11">
        <f>A169-'Mastercurve bestimmen'!$B$2</f>
        <v>64</v>
      </c>
      <c r="F169" s="11">
        <f t="shared" si="15"/>
        <v>28.297845106479798</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28.694356741853184</v>
      </c>
      <c r="E170" s="11">
        <f>A170-'Mastercurve bestimmen'!$B$2</f>
        <v>65</v>
      </c>
      <c r="F170" s="11">
        <f t="shared" si="15"/>
        <v>28.694356741853184</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29.081350837982026</v>
      </c>
      <c r="E171" s="11">
        <f>A171-'Mastercurve bestimmen'!$B$2</f>
        <v>66</v>
      </c>
      <c r="F171" s="11">
        <f t="shared" si="15"/>
        <v>29.081350837982026</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29.458426807310666</v>
      </c>
      <c r="E172" s="11">
        <f>A172-'Mastercurve bestimmen'!$B$2</f>
        <v>67</v>
      </c>
      <c r="F172" s="11">
        <f t="shared" si="15"/>
        <v>29.458426807310666</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29.825184062283441</v>
      </c>
      <c r="E173" s="11">
        <f>A173-'Mastercurve bestimmen'!$B$2</f>
        <v>68</v>
      </c>
      <c r="F173" s="11">
        <f t="shared" si="15"/>
        <v>29.825184062283441</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30.181222015344684</v>
      </c>
      <c r="E174" s="11">
        <f>A174-'Mastercurve bestimmen'!$B$2</f>
        <v>69</v>
      </c>
      <c r="F174" s="11">
        <f t="shared" si="15"/>
        <v>30.181222015344684</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30.526140078938731</v>
      </c>
      <c r="E175" s="11">
        <f>A175-'Mastercurve bestimmen'!$B$2</f>
        <v>70</v>
      </c>
      <c r="F175" s="11">
        <f t="shared" si="15"/>
        <v>30.526140078938731</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30.859537665509929</v>
      </c>
      <c r="E176" s="11">
        <f>A176-'Mastercurve bestimmen'!$B$2</f>
        <v>71</v>
      </c>
      <c r="F176" s="11">
        <f t="shared" si="15"/>
        <v>30.859537665509929</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31.181014187502601</v>
      </c>
      <c r="E177" s="11">
        <f>A177-'Mastercurve bestimmen'!$B$2</f>
        <v>72</v>
      </c>
      <c r="F177" s="11">
        <f t="shared" si="15"/>
        <v>31.181014187502601</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31.490169057361101</v>
      </c>
      <c r="E178" s="11">
        <f>A178-'Mastercurve bestimmen'!$B$2</f>
        <v>73</v>
      </c>
      <c r="F178" s="11">
        <f t="shared" si="15"/>
        <v>31.490169057361101</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31.786601687529746</v>
      </c>
      <c r="E179" s="11">
        <f>A179-'Mastercurve bestimmen'!$B$2</f>
        <v>74</v>
      </c>
      <c r="F179" s="11">
        <f t="shared" si="15"/>
        <v>31.786601687529746</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32.069911490452888</v>
      </c>
      <c r="E180" s="11">
        <f>A180-'Mastercurve bestimmen'!$B$2</f>
        <v>75</v>
      </c>
      <c r="F180" s="11">
        <f t="shared" si="15"/>
        <v>32.069911490452888</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32.339829040380813</v>
      </c>
      <c r="E181" s="11">
        <f>A181-'Mastercurve bestimmen'!$B$2</f>
        <v>76</v>
      </c>
      <c r="F181" s="11">
        <f t="shared" si="15"/>
        <v>32.339829040380813</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32.596609558787591</v>
      </c>
      <c r="E182" s="11">
        <f>A182-'Mastercurve bestimmen'!$B$2</f>
        <v>77</v>
      </c>
      <c r="F182" s="11">
        <f t="shared" si="15"/>
        <v>32.596609558787591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32.840639428953267</v>
      </c>
      <c r="E183" s="11">
        <f>A183-'Mastercurve bestimmen'!$B$2</f>
        <v>78</v>
      </c>
      <c r="F183" s="11">
        <f t="shared" si="15"/>
        <v>32.840639428953267</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33.072305034157878</v>
      </c>
      <c r="E184" s="11">
        <f>A184-'Mastercurve bestimmen'!$B$2</f>
        <v>79</v>
      </c>
      <c r="F184" s="11">
        <f t="shared" si="15"/>
        <v>33.072305034157878</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33.291992757681442</v>
      </c>
      <c r="E185" s="11">
        <f>A185-'Mastercurve bestimmen'!$B$2</f>
        <v>80</v>
      </c>
      <c r="F185" s="11">
        <f t="shared" si="15"/>
        <v>33.291992757681442</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33.500088982804002</v>
      </c>
      <c r="E186" s="11">
        <f>A186-'Mastercurve bestimmen'!$B$2</f>
        <v>81</v>
      </c>
      <c r="F186" s="11">
        <f t="shared" si="15"/>
        <v>33.500088982804002</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33.696980092805603</v>
      </c>
      <c r="E187" s="11">
        <f>A187-'Mastercurve bestimmen'!$B$2</f>
        <v>82</v>
      </c>
      <c r="F187" s="11">
        <f t="shared" si="15"/>
        <v>33.696980092805603</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33.883052470966263</v>
      </c>
      <c r="E188" s="11">
        <f>A188-'Mastercurve bestimmen'!$B$2</f>
        <v>83</v>
      </c>
      <c r="F188" s="11">
        <f t="shared" si="15"/>
        <v>33.883052470966263</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34.058692500566011</v>
      </c>
      <c r="E189" s="11">
        <f>A189-'Mastercurve bestimmen'!$B$2</f>
        <v>84</v>
      </c>
      <c r="F189" s="11">
        <f t="shared" si="15"/>
        <v>34.058692500566011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34.224286564884892</v>
      </c>
      <c r="E190" s="11">
        <f>A190-'Mastercurve bestimmen'!$B$2</f>
        <v>85</v>
      </c>
      <c r="F190" s="11">
        <f t="shared" si="15"/>
        <v>34.224286564884892</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34.380221047202944</v>
      </c>
      <c r="E191" s="11">
        <f>A191-'Mastercurve bestimmen'!$B$2</f>
        <v>86</v>
      </c>
      <c r="F191" s="11">
        <f t="shared" si="15"/>
        <v>34.380221047202944</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34.526882330800191</v>
      </c>
      <c r="E192" s="11">
        <f>A192-'Mastercurve bestimmen'!$B$2</f>
        <v>87</v>
      </c>
      <c r="F192" s="11">
        <f t="shared" si="15"/>
        <v>34.526882330800191</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34.664656798956663</v>
      </c>
      <c r="E193" s="11">
        <f>A193-'Mastercurve bestimmen'!$B$2</f>
        <v>88</v>
      </c>
      <c r="F193" s="11">
        <f t="shared" si="15"/>
        <v>34.664656798956663</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34.793930834952405</v>
      </c>
      <c r="E194" s="11">
        <f>A194-'Mastercurve bestimmen'!$B$2</f>
        <v>89</v>
      </c>
      <c r="F194" s="11">
        <f t="shared" si="15"/>
        <v>34.793930834952405</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34.915090822067434</v>
      </c>
      <c r="E195" s="11">
        <f>A195-'Mastercurve bestimmen'!$B$2</f>
        <v>90</v>
      </c>
      <c r="F195" s="11">
        <f t="shared" si="15"/>
        <v>34.915090822067434</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35.028523143581808</v>
      </c>
      <c r="E196" s="11">
        <f>A196-'Mastercurve bestimmen'!$B$2</f>
        <v>91</v>
      </c>
      <c r="F196" s="11">
        <f t="shared" si="15"/>
        <v>35.028523143581808</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35.134614182775536</v>
      </c>
      <c r="E197" s="11">
        <f>A197-'Mastercurve bestimmen'!$B$2</f>
        <v>92</v>
      </c>
      <c r="F197" s="11">
        <f t="shared" si="15"/>
        <v>35.134614182775536</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35.233750322928671</v>
      </c>
      <c r="E198" s="11">
        <f>A198-'Mastercurve bestimmen'!$B$2</f>
        <v>93</v>
      </c>
      <c r="F198" s="11">
        <f t="shared" si="15"/>
        <v>35.233750322928671</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35.326317947321229</v>
      </c>
      <c r="E199" s="11">
        <f>A199-'Mastercurve bestimmen'!$B$2</f>
        <v>94</v>
      </c>
      <c r="F199" s="11">
        <f t="shared" si="15"/>
        <v>35.326317947321229</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35.412703439233248</v>
      </c>
      <c r="E200" s="11">
        <f>A200-'Mastercurve bestimmen'!$B$2</f>
        <v>95</v>
      </c>
      <c r="F200" s="11">
        <f t="shared" si="15"/>
        <v>35.412703439233248</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35.493293181944772</v>
      </c>
      <c r="E201" s="11">
        <f>A201-'Mastercurve bestimmen'!$B$2</f>
        <v>96</v>
      </c>
      <c r="F201" s="11">
        <f t="shared" si="15"/>
        <v>35.493293181944772</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35.568473558735825</v>
      </c>
      <c r="E202" s="11">
        <f>A202-'Mastercurve bestimmen'!$B$2</f>
        <v>97</v>
      </c>
      <c r="F202" s="11">
        <f t="shared" si="15"/>
        <v>35.568473558735825</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35.638630952886444</v>
      </c>
      <c r="E203" s="11">
        <f>A203-'Mastercurve bestimmen'!$B$2</f>
        <v>98</v>
      </c>
      <c r="F203" s="11">
        <f t="shared" si="15"/>
        <v>35.638630952886444</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35.704151747676661</v>
      </c>
      <c r="E204" s="11">
        <f>A204-'Mastercurve bestimmen'!$B$2</f>
        <v>99</v>
      </c>
      <c r="F204" s="11">
        <f t="shared" si="15"/>
        <v>35.704151747676661</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35.765422326386513</v>
      </c>
      <c r="E205" s="11">
        <f>A205-'Mastercurve bestimmen'!$B$2</f>
        <v>100</v>
      </c>
      <c r="F205" s="11">
        <f t="shared" si="15"/>
        <v>35.765422326386513</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35.822829072296024</v>
      </c>
      <c r="E206" s="11">
        <f>A206-'Mastercurve bestimmen'!$B$2</f>
        <v>101</v>
      </c>
      <c r="F206" s="11">
        <f t="shared" si="15"/>
        <v>35.822829072296024</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35.876758368685238</v>
      </c>
      <c r="E207" s="11">
        <f>A207-'Mastercurve bestimmen'!$B$2</f>
        <v>102</v>
      </c>
      <c r="F207" s="11">
        <f t="shared" si="15"/>
        <v>35.876758368685238</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35.927596598834185</v>
      </c>
      <c r="E208" s="11">
        <f>A208-'Mastercurve bestimmen'!$B$2</f>
        <v>103</v>
      </c>
      <c r="F208" s="11">
        <f t="shared" ref="F208:F215" si="21">B208</f>
        <v>35.927596598834185</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35.975730146022897</v>
      </c>
      <c r="E209" s="11">
        <f>A209-'Mastercurve bestimmen'!$B$2</f>
        <v>104</v>
      </c>
      <c r="F209" s="11">
        <f t="shared" si="21"/>
        <v>35.975730146022897</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36.021545393531404</v>
      </c>
      <c r="E210" s="11">
        <f>A210-'Mastercurve bestimmen'!$B$2</f>
        <v>105</v>
      </c>
      <c r="F210" s="11">
        <f t="shared" si="21"/>
        <v>36.021545393531404</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36.065428724639752</v>
      </c>
      <c r="E211" s="11">
        <f>A211-'Mastercurve bestimmen'!$B$2</f>
        <v>106</v>
      </c>
      <c r="F211" s="11">
        <f t="shared" si="21"/>
        <v>36.065428724639752</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36.107766522627955</v>
      </c>
      <c r="E212" s="11">
        <f>A212-'Mastercurve bestimmen'!$B$2</f>
        <v>107</v>
      </c>
      <c r="F212" s="11">
        <f t="shared" si="21"/>
        <v>36.107766522627955</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36.148945170776067</v>
      </c>
      <c r="E213" s="11">
        <f>A213-'Mastercurve bestimmen'!$B$2</f>
        <v>108</v>
      </c>
      <c r="F213" s="11">
        <f t="shared" si="21"/>
        <v>36.148945170776067</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36.18935105236411</v>
      </c>
      <c r="E214" s="11">
        <f>A214-'Mastercurve bestimmen'!$B$2</f>
        <v>109</v>
      </c>
      <c r="F214" s="11">
        <f t="shared" si="21"/>
        <v>36.18935105236411</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36.229370550672115</v>
      </c>
      <c r="E215" s="11">
        <f>A215-'Mastercurve bestimmen'!$B$2</f>
        <v>110</v>
      </c>
      <c r="F215" s="11">
        <f t="shared" si="21"/>
        <v>36.229370550672115</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0.30956573647859764</v>
      </c>
      <c r="J217" s="99">
        <v>2.9044515954042322E-3</v>
      </c>
      <c r="K217" s="99">
        <v>1.7599870371888943E-5</v>
      </c>
      <c r="L217" s="99">
        <v>-3.2641850185004796E-7</v>
      </c>
      <c r="M217" s="99">
        <v>-4.5042281800333797E-9</v>
      </c>
      <c r="N217" s="99">
        <v>2.2131559425962502E-11</v>
      </c>
      <c r="O217" s="99">
        <v>2.3087295426994287E-13</v>
      </c>
      <c r="P217" s="99">
        <v>-9.4091806889256754E-16</v>
      </c>
    </row>
    <row r="218" spans="1:16" x14ac:dyDescent="0.25">
      <c r="G218" s="11"/>
      <c r="H218" s="11">
        <v>0</v>
      </c>
      <c r="I218" s="11">
        <v>2.7817193444955302E-4</v>
      </c>
      <c r="J218" s="11">
        <v>6.2477650790398637E-6</v>
      </c>
      <c r="K218" s="3">
        <v>2.336493595817718E-7</v>
      </c>
      <c r="L218" s="3">
        <v>3.5077113725226665E-9</v>
      </c>
      <c r="M218" s="3">
        <v>5.704767609743435E-11</v>
      </c>
      <c r="N218" s="3">
        <v>6.5956431394553955E-13</v>
      </c>
      <c r="O218" s="11">
        <v>4.1312918798248656E-15</v>
      </c>
      <c r="P218" s="11">
        <v>4.170012023068858E-17</v>
      </c>
    </row>
    <row r="219" spans="1:16" x14ac:dyDescent="0.25">
      <c r="G219" s="11"/>
      <c r="H219" s="11">
        <v>0.99999764205939268</v>
      </c>
      <c r="I219" s="11">
        <v>3.1174659603838754E-2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-15.315772306279404</v>
      </c>
      <c r="G222">
        <f>F15</f>
        <v>-15.228303580211474</v>
      </c>
    </row>
    <row r="223" spans="1:16" x14ac:dyDescent="0.25">
      <c r="E223" s="11">
        <f t="shared" ref="E223:E286" si="25">E16</f>
        <v>-89</v>
      </c>
      <c r="F223" s="11">
        <f t="shared" ref="F223:F286" si="26">$H$217*0+E223*$I$217+E223^2*$J$217+E223^3*$K$217+E223^4*$L$217+E223^5*$M$217+E223^6*$N$217+E223^7*$O$217+E223^8*$P$217</f>
        <v>-15.197758377589995</v>
      </c>
      <c r="G223" s="11">
        <f t="shared" ref="G223:G286" si="27">F16</f>
        <v>-15.152706178512139</v>
      </c>
    </row>
    <row r="224" spans="1:16" x14ac:dyDescent="0.25">
      <c r="E224" s="11">
        <f t="shared" si="25"/>
        <v>-88</v>
      </c>
      <c r="F224" s="11">
        <f t="shared" si="26"/>
        <v>-15.089540712351351</v>
      </c>
      <c r="G224" s="11">
        <f t="shared" si="27"/>
        <v>-15.076985262844383</v>
      </c>
    </row>
    <row r="225" spans="5:7" x14ac:dyDescent="0.25">
      <c r="E225" s="11">
        <f t="shared" si="25"/>
        <v>-87</v>
      </c>
      <c r="F225" s="11">
        <f t="shared" si="26"/>
        <v>-14.989586565218087</v>
      </c>
      <c r="G225" s="11">
        <f t="shared" si="27"/>
        <v>-15.001017319239788</v>
      </c>
    </row>
    <row r="226" spans="5:7" x14ac:dyDescent="0.25">
      <c r="E226" s="11">
        <f t="shared" si="25"/>
        <v>-86</v>
      </c>
      <c r="F226" s="11">
        <f t="shared" si="26"/>
        <v>-14.896488756372861</v>
      </c>
      <c r="G226" s="11">
        <f t="shared" si="27"/>
        <v>-14.924678833729928</v>
      </c>
    </row>
    <row r="227" spans="5:7" x14ac:dyDescent="0.25">
      <c r="E227" s="11">
        <f t="shared" si="25"/>
        <v>-85</v>
      </c>
      <c r="F227" s="11">
        <f t="shared" si="26"/>
        <v>-14.808958915087457</v>
      </c>
      <c r="G227" s="11">
        <f t="shared" si="27"/>
        <v>-14.847846292346386</v>
      </c>
    </row>
    <row r="228" spans="5:7" x14ac:dyDescent="0.25">
      <c r="E228" s="11">
        <f t="shared" si="25"/>
        <v>-84</v>
      </c>
      <c r="F228" s="11">
        <f t="shared" si="26"/>
        <v>-14.725820952167394</v>
      </c>
      <c r="G228" s="11">
        <f t="shared" si="27"/>
        <v>-14.770396181120736</v>
      </c>
    </row>
    <row r="229" spans="5:7" x14ac:dyDescent="0.25">
      <c r="E229" s="11">
        <f t="shared" si="25"/>
        <v>-83</v>
      </c>
      <c r="F229" s="11">
        <f t="shared" si="26"/>
        <v>-14.646004756834976</v>
      </c>
      <c r="G229" s="11">
        <f t="shared" si="27"/>
        <v>-14.692204986084564</v>
      </c>
    </row>
    <row r="230" spans="5:7" x14ac:dyDescent="0.25">
      <c r="E230" s="11">
        <f t="shared" si="25"/>
        <v>-82</v>
      </c>
      <c r="F230" s="11">
        <f t="shared" si="26"/>
        <v>-14.56854011364338</v>
      </c>
      <c r="G230" s="11">
        <f t="shared" si="27"/>
        <v>-14.613149193269443</v>
      </c>
    </row>
    <row r="231" spans="5:7" x14ac:dyDescent="0.25">
      <c r="E231" s="11">
        <f t="shared" si="25"/>
        <v>-81</v>
      </c>
      <c r="F231" s="11">
        <f t="shared" si="26"/>
        <v>-14.492550835052567</v>
      </c>
      <c r="G231" s="11">
        <f t="shared" si="27"/>
        <v>-14.533105288706956</v>
      </c>
    </row>
    <row r="232" spans="5:7" x14ac:dyDescent="0.25">
      <c r="E232" s="11">
        <f t="shared" si="25"/>
        <v>-80</v>
      </c>
      <c r="F232" s="11">
        <f t="shared" si="26"/>
        <v>-14.417249105335479</v>
      </c>
      <c r="G232" s="11">
        <f t="shared" si="27"/>
        <v>-14.451949758428681</v>
      </c>
    </row>
    <row r="233" spans="5:7" x14ac:dyDescent="0.25">
      <c r="E233" s="11">
        <f t="shared" si="25"/>
        <v>-79</v>
      </c>
      <c r="F233" s="11">
        <f t="shared" si="26"/>
        <v>-14.341930031521121</v>
      </c>
      <c r="G233" s="11">
        <f t="shared" si="27"/>
        <v>-14.369559088466197</v>
      </c>
    </row>
    <row r="234" spans="5:7" x14ac:dyDescent="0.25">
      <c r="E234" s="11">
        <f t="shared" si="25"/>
        <v>-78</v>
      </c>
      <c r="F234" s="11">
        <f t="shared" si="26"/>
        <v>-14.265966397119033</v>
      </c>
      <c r="G234" s="11">
        <f t="shared" si="27"/>
        <v>-14.285809764851081</v>
      </c>
    </row>
    <row r="235" spans="5:7" x14ac:dyDescent="0.25">
      <c r="E235" s="11">
        <f t="shared" si="25"/>
        <v>-77</v>
      </c>
      <c r="F235" s="11">
        <f t="shared" si="26"/>
        <v>-14.188803614407441</v>
      </c>
      <c r="G235" s="11">
        <f t="shared" si="27"/>
        <v>-14.200578273614916</v>
      </c>
    </row>
    <row r="236" spans="5:7" x14ac:dyDescent="0.25">
      <c r="E236" s="11">
        <f t="shared" si="25"/>
        <v>-76</v>
      </c>
      <c r="F236" s="11">
        <f t="shared" si="26"/>
        <v>-14.109954871105559</v>
      </c>
      <c r="G236" s="11">
        <f t="shared" si="27"/>
        <v>-14.11374110078928</v>
      </c>
    </row>
    <row r="237" spans="5:7" x14ac:dyDescent="0.25">
      <c r="E237" s="11">
        <f t="shared" si="25"/>
        <v>-75</v>
      </c>
      <c r="F237" s="11">
        <f t="shared" si="26"/>
        <v>-14.028996467288229</v>
      </c>
      <c r="G237" s="11">
        <f t="shared" si="27"/>
        <v>-14.02517473240575</v>
      </c>
    </row>
    <row r="238" spans="5:7" x14ac:dyDescent="0.25">
      <c r="E238" s="11">
        <f t="shared" si="25"/>
        <v>-74</v>
      </c>
      <c r="F238" s="11">
        <f t="shared" si="26"/>
        <v>-13.945563338439189</v>
      </c>
      <c r="G238" s="11">
        <f t="shared" si="27"/>
        <v>-13.934755654495904</v>
      </c>
    </row>
    <row r="239" spans="5:7" x14ac:dyDescent="0.25">
      <c r="E239" s="11">
        <f t="shared" si="25"/>
        <v>-73</v>
      </c>
      <c r="F239" s="11">
        <f t="shared" si="26"/>
        <v>-13.85934476057707</v>
      </c>
      <c r="G239" s="11">
        <f t="shared" si="27"/>
        <v>-13.842360353091324</v>
      </c>
    </row>
    <row r="240" spans="5:7" x14ac:dyDescent="0.25">
      <c r="E240" s="11">
        <f t="shared" si="25"/>
        <v>-72</v>
      </c>
      <c r="F240" s="11">
        <f t="shared" si="26"/>
        <v>-13.77008023342623</v>
      </c>
      <c r="G240" s="11">
        <f t="shared" si="27"/>
        <v>-13.74786531422359</v>
      </c>
    </row>
    <row r="241" spans="5:7" x14ac:dyDescent="0.25">
      <c r="E241" s="11">
        <f t="shared" si="25"/>
        <v>-71</v>
      </c>
      <c r="F241" s="11">
        <f t="shared" si="26"/>
        <v>-13.677555537642514</v>
      </c>
      <c r="G241" s="11">
        <f t="shared" si="27"/>
        <v>-13.651147023924281</v>
      </c>
    </row>
    <row r="242" spans="5:7" x14ac:dyDescent="0.25">
      <c r="E242" s="11">
        <f t="shared" si="25"/>
        <v>-70</v>
      </c>
      <c r="F242" s="11">
        <f t="shared" si="26"/>
        <v>-13.581598962141804</v>
      </c>
      <c r="G242" s="11">
        <f t="shared" si="27"/>
        <v>-13.552081968224972</v>
      </c>
    </row>
    <row r="243" spans="5:7" x14ac:dyDescent="0.25">
      <c r="E243" s="11">
        <f t="shared" si="25"/>
        <v>-69</v>
      </c>
      <c r="F243" s="11">
        <f t="shared" si="26"/>
        <v>-13.482077697617386</v>
      </c>
      <c r="G243" s="11">
        <f t="shared" si="27"/>
        <v>-13.450546633157245</v>
      </c>
    </row>
    <row r="244" spans="5:7" x14ac:dyDescent="0.25">
      <c r="E244" s="11">
        <f t="shared" si="25"/>
        <v>-68</v>
      </c>
      <c r="F244" s="11">
        <f t="shared" si="26"/>
        <v>-13.37889439236989</v>
      </c>
      <c r="G244" s="11">
        <f t="shared" si="27"/>
        <v>-13.346417504752679</v>
      </c>
    </row>
    <row r="245" spans="5:7" x14ac:dyDescent="0.25">
      <c r="E245" s="11">
        <f t="shared" si="25"/>
        <v>-67</v>
      </c>
      <c r="F245" s="11">
        <f t="shared" si="26"/>
        <v>-13.27198386661162</v>
      </c>
      <c r="G245" s="11">
        <f t="shared" si="27"/>
        <v>-13.239571069042853</v>
      </c>
    </row>
    <row r="246" spans="5:7" x14ac:dyDescent="0.25">
      <c r="E246" s="11">
        <f t="shared" si="25"/>
        <v>-66</v>
      </c>
      <c r="F246" s="11">
        <f t="shared" si="26"/>
        <v>-13.161309981445015</v>
      </c>
      <c r="G246" s="11">
        <f t="shared" si="27"/>
        <v>-13.129883812059344</v>
      </c>
    </row>
    <row r="247" spans="5:7" x14ac:dyDescent="0.25">
      <c r="E247" s="11">
        <f t="shared" si="25"/>
        <v>-65</v>
      </c>
      <c r="F247" s="11">
        <f t="shared" si="26"/>
        <v>-13.046862658752865</v>
      </c>
      <c r="G247" s="11">
        <f t="shared" si="27"/>
        <v>-13.017232219833735</v>
      </c>
    </row>
    <row r="248" spans="5:7" x14ac:dyDescent="0.25">
      <c r="E248" s="11">
        <f t="shared" si="25"/>
        <v>-64</v>
      </c>
      <c r="F248" s="11">
        <f t="shared" si="26"/>
        <v>-12.928655048275916</v>
      </c>
      <c r="G248" s="11">
        <f t="shared" si="27"/>
        <v>-12.901492778397603</v>
      </c>
    </row>
    <row r="249" spans="5:7" x14ac:dyDescent="0.25">
      <c r="E249" s="11">
        <f t="shared" si="25"/>
        <v>-63</v>
      </c>
      <c r="F249" s="11">
        <f t="shared" si="26"/>
        <v>-12.80672083819135</v>
      </c>
      <c r="G249" s="11">
        <f t="shared" si="27"/>
        <v>-12.782541973782525</v>
      </c>
    </row>
    <row r="250" spans="5:7" x14ac:dyDescent="0.25">
      <c r="E250" s="11">
        <f t="shared" si="25"/>
        <v>-62</v>
      </c>
      <c r="F250" s="11">
        <f t="shared" si="26"/>
        <v>-12.681111705543675</v>
      </c>
      <c r="G250" s="11">
        <f t="shared" si="27"/>
        <v>-12.660256292020087</v>
      </c>
    </row>
    <row r="251" spans="5:7" x14ac:dyDescent="0.25">
      <c r="E251" s="11">
        <f t="shared" si="25"/>
        <v>-61</v>
      </c>
      <c r="F251" s="11">
        <f t="shared" si="26"/>
        <v>-12.551894902917391</v>
      </c>
      <c r="G251" s="11">
        <f t="shared" si="27"/>
        <v>-12.53451221914186</v>
      </c>
    </row>
    <row r="252" spans="5:7" x14ac:dyDescent="0.25">
      <c r="E252" s="11">
        <f t="shared" si="25"/>
        <v>-60</v>
      </c>
      <c r="F252" s="11">
        <f t="shared" si="26"/>
        <v>-12.419150977778806</v>
      </c>
      <c r="G252" s="11">
        <f t="shared" si="27"/>
        <v>-12.405186241179425</v>
      </c>
    </row>
    <row r="253" spans="5:7" x14ac:dyDescent="0.25">
      <c r="E253" s="11">
        <f t="shared" si="25"/>
        <v>-59</v>
      </c>
      <c r="F253" s="11">
        <f t="shared" si="26"/>
        <v>-12.282971620952249</v>
      </c>
      <c r="G253" s="11">
        <f t="shared" si="27"/>
        <v>-12.272154844164366</v>
      </c>
    </row>
    <row r="254" spans="5:7" x14ac:dyDescent="0.25">
      <c r="E254" s="11">
        <f t="shared" si="25"/>
        <v>-58</v>
      </c>
      <c r="F254" s="11">
        <f t="shared" si="26"/>
        <v>-12.143457640733956</v>
      </c>
      <c r="G254" s="11">
        <f t="shared" si="27"/>
        <v>-12.135294514128255</v>
      </c>
    </row>
    <row r="255" spans="5:7" x14ac:dyDescent="0.25">
      <c r="E255" s="11">
        <f t="shared" si="25"/>
        <v>-57</v>
      </c>
      <c r="F255" s="11">
        <f t="shared" si="26"/>
        <v>-12.000717059184797</v>
      </c>
      <c r="G255" s="11">
        <f t="shared" si="27"/>
        <v>-11.994481737102676</v>
      </c>
    </row>
    <row r="256" spans="5:7" x14ac:dyDescent="0.25">
      <c r="E256" s="11">
        <f t="shared" si="25"/>
        <v>-56</v>
      </c>
      <c r="F256" s="11">
        <f t="shared" si="26"/>
        <v>-11.854863327180832</v>
      </c>
      <c r="G256" s="11">
        <f t="shared" si="27"/>
        <v>-11.849592999119206</v>
      </c>
    </row>
    <row r="257" spans="5:7" x14ac:dyDescent="0.25">
      <c r="E257" s="11">
        <f t="shared" si="25"/>
        <v>-55</v>
      </c>
      <c r="F257" s="11">
        <f t="shared" si="26"/>
        <v>-11.706013654838925</v>
      </c>
      <c r="G257" s="11">
        <f t="shared" si="27"/>
        <v>-11.700504786209427</v>
      </c>
    </row>
    <row r="258" spans="5:7" x14ac:dyDescent="0.25">
      <c r="E258" s="11">
        <f t="shared" si="25"/>
        <v>-54</v>
      </c>
      <c r="F258" s="11">
        <f t="shared" si="26"/>
        <v>-11.554287453972194</v>
      </c>
      <c r="G258" s="11">
        <f t="shared" si="27"/>
        <v>-11.547093584404914</v>
      </c>
    </row>
    <row r="259" spans="5:7" x14ac:dyDescent="0.25">
      <c r="E259" s="11">
        <f t="shared" si="25"/>
        <v>-53</v>
      </c>
      <c r="F259" s="11">
        <f t="shared" si="26"/>
        <v>-11.399804889268346</v>
      </c>
      <c r="G259" s="11">
        <f t="shared" si="27"/>
        <v>-11.389235879737249</v>
      </c>
    </row>
    <row r="260" spans="5:7" x14ac:dyDescent="0.25">
      <c r="E260" s="11">
        <f t="shared" si="25"/>
        <v>-52</v>
      </c>
      <c r="F260" s="11">
        <f t="shared" si="26"/>
        <v>-11.242685534921707</v>
      </c>
      <c r="G260" s="11">
        <f t="shared" si="27"/>
        <v>-11.226808158238009</v>
      </c>
    </row>
    <row r="261" spans="5:7" x14ac:dyDescent="0.25">
      <c r="E261" s="11">
        <f t="shared" si="25"/>
        <v>-51</v>
      </c>
      <c r="F261" s="11">
        <f t="shared" si="26"/>
        <v>-11.083047133487716</v>
      </c>
      <c r="G261" s="11">
        <f t="shared" si="27"/>
        <v>-11.059686905938776</v>
      </c>
    </row>
    <row r="262" spans="5:7" x14ac:dyDescent="0.25">
      <c r="E262" s="11">
        <f t="shared" si="25"/>
        <v>-50</v>
      </c>
      <c r="F262" s="11">
        <f t="shared" si="26"/>
        <v>-10.921004453766633</v>
      </c>
      <c r="G262" s="11">
        <f t="shared" si="27"/>
        <v>-10.887748608871124</v>
      </c>
    </row>
    <row r="263" spans="5:7" x14ac:dyDescent="0.25">
      <c r="E263" s="11">
        <f t="shared" si="25"/>
        <v>-49</v>
      </c>
      <c r="F263" s="11">
        <f t="shared" si="26"/>
        <v>-10.756668244561128</v>
      </c>
      <c r="G263" s="11">
        <f t="shared" si="27"/>
        <v>-10.743925250176044</v>
      </c>
    </row>
    <row r="264" spans="5:7" x14ac:dyDescent="0.25">
      <c r="E264" s="11">
        <f t="shared" si="25"/>
        <v>-48</v>
      </c>
      <c r="F264" s="11">
        <f t="shared" si="26"/>
        <v>-10.590144281190335</v>
      </c>
      <c r="G264" s="11">
        <f t="shared" si="27"/>
        <v>-10.595324690003579</v>
      </c>
    </row>
    <row r="265" spans="5:7" x14ac:dyDescent="0.25">
      <c r="E265" s="11">
        <f t="shared" si="25"/>
        <v>-47</v>
      </c>
      <c r="F265" s="11">
        <f t="shared" si="26"/>
        <v>-10.421532501680931</v>
      </c>
      <c r="G265" s="11">
        <f t="shared" si="27"/>
        <v>-10.44211028561317</v>
      </c>
    </row>
    <row r="266" spans="5:7" x14ac:dyDescent="0.25">
      <c r="E266" s="11">
        <f t="shared" si="25"/>
        <v>-46</v>
      </c>
      <c r="F266" s="11">
        <f t="shared" si="26"/>
        <v>-10.250926229593698</v>
      </c>
      <c r="G266" s="11">
        <f t="shared" si="27"/>
        <v>-10.284445394264269</v>
      </c>
    </row>
    <row r="267" spans="5:7" x14ac:dyDescent="0.25">
      <c r="E267" s="11">
        <f t="shared" si="25"/>
        <v>-45</v>
      </c>
      <c r="F267" s="11">
        <f t="shared" si="26"/>
        <v>-10.078411480482018</v>
      </c>
      <c r="G267" s="11">
        <f t="shared" si="27"/>
        <v>-10.122493373216329</v>
      </c>
    </row>
    <row r="268" spans="5:7" x14ac:dyDescent="0.25">
      <c r="E268" s="11">
        <f t="shared" si="25"/>
        <v>-44</v>
      </c>
      <c r="F268" s="11">
        <f t="shared" si="26"/>
        <v>-9.9040663490166239</v>
      </c>
      <c r="G268" s="11">
        <f t="shared" si="27"/>
        <v>-9.9564175797287948</v>
      </c>
    </row>
    <row r="269" spans="5:7" x14ac:dyDescent="0.25">
      <c r="E269" s="11">
        <f t="shared" si="25"/>
        <v>-43</v>
      </c>
      <c r="F269" s="11">
        <f t="shared" si="26"/>
        <v>-9.7279604738488921</v>
      </c>
      <c r="G269" s="11">
        <f t="shared" si="27"/>
        <v>-9.7863813710611129</v>
      </c>
    </row>
    <row r="270" spans="5:7" x14ac:dyDescent="0.25">
      <c r="E270" s="11">
        <f t="shared" si="25"/>
        <v>-42</v>
      </c>
      <c r="F270" s="11">
        <f t="shared" si="26"/>
        <v>-9.5501545773229335</v>
      </c>
      <c r="G270" s="11">
        <f t="shared" si="27"/>
        <v>-9.6125481044727348</v>
      </c>
    </row>
    <row r="271" spans="5:7" x14ac:dyDescent="0.25">
      <c r="E271" s="11">
        <f t="shared" si="25"/>
        <v>-41</v>
      </c>
      <c r="F271" s="11">
        <f t="shared" si="26"/>
        <v>-9.3707000771846598</v>
      </c>
      <c r="G271" s="11">
        <f t="shared" si="27"/>
        <v>-9.4350811372231096</v>
      </c>
    </row>
    <row r="272" spans="5:7" x14ac:dyDescent="0.25">
      <c r="E272" s="11">
        <f t="shared" si="25"/>
        <v>-40</v>
      </c>
      <c r="F272" s="11">
        <f t="shared" si="26"/>
        <v>-9.1896387674738715</v>
      </c>
      <c r="G272" s="11">
        <f t="shared" si="27"/>
        <v>-9.2541438265716849</v>
      </c>
    </row>
    <row r="273" spans="5:7" x14ac:dyDescent="0.25">
      <c r="E273" s="11">
        <f t="shared" si="25"/>
        <v>-39</v>
      </c>
      <c r="F273" s="11">
        <f t="shared" si="26"/>
        <v>-9.007002565823468</v>
      </c>
      <c r="G273" s="11">
        <f t="shared" si="27"/>
        <v>-9.0698995297779064</v>
      </c>
    </row>
    <row r="274" spans="5:7" x14ac:dyDescent="0.25">
      <c r="E274" s="11">
        <f t="shared" si="25"/>
        <v>-38</v>
      </c>
      <c r="F274" s="11">
        <f t="shared" si="26"/>
        <v>-8.822813324427754</v>
      </c>
      <c r="G274" s="11">
        <f t="shared" si="27"/>
        <v>-8.8825116041012286</v>
      </c>
    </row>
    <row r="275" spans="5:7" x14ac:dyDescent="0.25">
      <c r="E275" s="11">
        <f t="shared" si="25"/>
        <v>-37</v>
      </c>
      <c r="F275" s="11">
        <f t="shared" si="26"/>
        <v>-8.6370827019797236</v>
      </c>
      <c r="G275" s="11">
        <f t="shared" si="27"/>
        <v>-8.6921434068010939</v>
      </c>
    </row>
    <row r="276" spans="5:7" x14ac:dyDescent="0.25">
      <c r="E276" s="11">
        <f t="shared" si="25"/>
        <v>-36</v>
      </c>
      <c r="F276" s="11">
        <f t="shared" si="26"/>
        <v>-8.4498120939152184</v>
      </c>
      <c r="G276" s="11">
        <f t="shared" si="27"/>
        <v>-8.4989582951369549</v>
      </c>
    </row>
    <row r="277" spans="5:7" x14ac:dyDescent="0.25">
      <c r="E277" s="11">
        <f t="shared" si="25"/>
        <v>-35</v>
      </c>
      <c r="F277" s="11">
        <f t="shared" si="26"/>
        <v>-8.2609926183397331</v>
      </c>
      <c r="G277" s="11">
        <f t="shared" si="27"/>
        <v>-8.3031196263682574</v>
      </c>
    </row>
    <row r="278" spans="5:7" x14ac:dyDescent="0.25">
      <c r="E278" s="11">
        <f t="shared" si="25"/>
        <v>-34</v>
      </c>
      <c r="F278" s="11">
        <f t="shared" si="26"/>
        <v>-8.0706051550516111</v>
      </c>
      <c r="G278" s="11">
        <f t="shared" si="27"/>
        <v>-8.1047907577544542</v>
      </c>
    </row>
    <row r="279" spans="5:7" x14ac:dyDescent="0.25">
      <c r="E279" s="11">
        <f t="shared" si="25"/>
        <v>-33</v>
      </c>
      <c r="F279" s="11">
        <f t="shared" si="26"/>
        <v>-7.8786204351132989</v>
      </c>
      <c r="G279" s="11">
        <f t="shared" si="27"/>
        <v>-7.9041350465549884</v>
      </c>
    </row>
    <row r="280" spans="5:7" x14ac:dyDescent="0.25">
      <c r="E280" s="11">
        <f t="shared" si="25"/>
        <v>-32</v>
      </c>
      <c r="F280" s="11">
        <f t="shared" si="26"/>
        <v>-7.684999178460246</v>
      </c>
      <c r="G280" s="11">
        <f t="shared" si="27"/>
        <v>-7.701315850029312</v>
      </c>
    </row>
    <row r="281" spans="5:7" x14ac:dyDescent="0.25">
      <c r="E281" s="11">
        <f t="shared" si="25"/>
        <v>-31</v>
      </c>
      <c r="F281" s="11">
        <f t="shared" si="26"/>
        <v>-7.4896922770750383</v>
      </c>
      <c r="G281" s="11">
        <f t="shared" si="27"/>
        <v>-7.4964965254368732</v>
      </c>
    </row>
    <row r="282" spans="5:7" x14ac:dyDescent="0.25">
      <c r="E282" s="11">
        <f t="shared" si="25"/>
        <v>-30</v>
      </c>
      <c r="F282" s="11">
        <f t="shared" si="26"/>
        <v>-7.2926410212922086</v>
      </c>
      <c r="G282" s="11">
        <f t="shared" si="27"/>
        <v>-7.2898404300371205</v>
      </c>
    </row>
    <row r="283" spans="5:7" x14ac:dyDescent="0.25">
      <c r="E283" s="11">
        <f t="shared" si="25"/>
        <v>-29</v>
      </c>
      <c r="F283" s="11">
        <f t="shared" si="26"/>
        <v>-7.0937773668371573</v>
      </c>
      <c r="G283" s="11">
        <f t="shared" si="27"/>
        <v>-7.0815109210895004</v>
      </c>
    </row>
    <row r="284" spans="5:7" x14ac:dyDescent="0.25">
      <c r="E284" s="11">
        <f t="shared" si="25"/>
        <v>-28</v>
      </c>
      <c r="F284" s="11">
        <f t="shared" si="26"/>
        <v>-6.8930242402405657</v>
      </c>
      <c r="G284" s="11">
        <f t="shared" si="27"/>
        <v>-6.871671355853465</v>
      </c>
    </row>
    <row r="285" spans="5:7" x14ac:dyDescent="0.25">
      <c r="E285" s="11">
        <f t="shared" si="25"/>
        <v>-27</v>
      </c>
      <c r="F285" s="11">
        <f t="shared" si="26"/>
        <v>-6.6902958803075645</v>
      </c>
      <c r="G285" s="11">
        <f t="shared" si="27"/>
        <v>-6.6604850915884599</v>
      </c>
    </row>
    <row r="286" spans="5:7" x14ac:dyDescent="0.25">
      <c r="E286" s="11">
        <f t="shared" si="25"/>
        <v>-26</v>
      </c>
      <c r="F286" s="11">
        <f t="shared" si="26"/>
        <v>-6.4854982133588939</v>
      </c>
      <c r="G286" s="11">
        <f t="shared" si="27"/>
        <v>-6.4481154855539344</v>
      </c>
    </row>
    <row r="287" spans="5:7" x14ac:dyDescent="0.25">
      <c r="E287" s="11">
        <f t="shared" ref="E287:E350" si="28">E80</f>
        <v>-25</v>
      </c>
      <c r="F287" s="11">
        <f t="shared" ref="F287:F350" si="29">$H$217*0+E287*$I$217+E287^2*$J$217+E287^3*$K$217+E287^4*$L$217+E287^5*$M$217+E287^6*$N$217+E287^7*$O$217+E287^8*$P$217</f>
        <v>-6.278529259999277</v>
      </c>
      <c r="G287" s="11">
        <f t="shared" ref="G287:G350" si="30">F80</f>
        <v>-6.2347258950093387</v>
      </c>
    </row>
    <row r="288" spans="5:7" x14ac:dyDescent="0.25">
      <c r="E288" s="11">
        <f t="shared" si="28"/>
        <v>-24</v>
      </c>
      <c r="F288" s="11">
        <f t="shared" si="29"/>
        <v>-6.0692795712060477</v>
      </c>
      <c r="G288" s="11">
        <f t="shared" si="30"/>
        <v>-6.0204127133005496</v>
      </c>
    </row>
    <row r="289" spans="5:7" x14ac:dyDescent="0.25">
      <c r="E289" s="11">
        <f t="shared" si="28"/>
        <v>-23</v>
      </c>
      <c r="F289" s="11">
        <f t="shared" si="29"/>
        <v>-5.857632691569127</v>
      </c>
      <c r="G289" s="11">
        <f t="shared" si="30"/>
        <v>-5.8050044781191765</v>
      </c>
    </row>
    <row r="290" spans="5:7" x14ac:dyDescent="0.25">
      <c r="E290" s="11">
        <f t="shared" si="28"/>
        <v>-22</v>
      </c>
      <c r="F290" s="11">
        <f t="shared" si="29"/>
        <v>-5.6434656475513165</v>
      </c>
      <c r="G290" s="11">
        <f t="shared" si="30"/>
        <v>-5.5882627632432547</v>
      </c>
    </row>
    <row r="291" spans="5:7" x14ac:dyDescent="0.25">
      <c r="E291" s="11">
        <f t="shared" si="28"/>
        <v>-21</v>
      </c>
      <c r="F291" s="11">
        <f t="shared" si="29"/>
        <v>-5.4266494586758514</v>
      </c>
      <c r="G291" s="11">
        <f t="shared" si="30"/>
        <v>-5.3699491424508219</v>
      </c>
    </row>
    <row r="292" spans="5:7" x14ac:dyDescent="0.25">
      <c r="E292" s="11">
        <f t="shared" si="28"/>
        <v>-20</v>
      </c>
      <c r="F292" s="11">
        <f t="shared" si="29"/>
        <v>-5.2070496695860395</v>
      </c>
      <c r="G292" s="11">
        <f t="shared" si="30"/>
        <v>-5.1498251895199179</v>
      </c>
    </row>
    <row r="293" spans="5:7" x14ac:dyDescent="0.25">
      <c r="E293" s="11">
        <f t="shared" si="28"/>
        <v>-19</v>
      </c>
      <c r="F293" s="11">
        <f t="shared" si="29"/>
        <v>-4.9845269009598248</v>
      </c>
      <c r="G293" s="11">
        <f t="shared" si="30"/>
        <v>-4.9276524782285751</v>
      </c>
    </row>
    <row r="294" spans="5:7" x14ac:dyDescent="0.25">
      <c r="E294" s="11">
        <f t="shared" si="28"/>
        <v>-18</v>
      </c>
      <c r="F294" s="11">
        <f t="shared" si="29"/>
        <v>-4.7589374172999754</v>
      </c>
      <c r="G294" s="11">
        <f t="shared" si="30"/>
        <v>-4.7031925823548342</v>
      </c>
    </row>
    <row r="295" spans="5:7" x14ac:dyDescent="0.25">
      <c r="E295" s="11">
        <f t="shared" si="28"/>
        <v>-17</v>
      </c>
      <c r="F295" s="11">
        <f t="shared" si="29"/>
        <v>-4.5301337096586121</v>
      </c>
      <c r="G295" s="11">
        <f t="shared" si="30"/>
        <v>-4.4762070756767338</v>
      </c>
    </row>
    <row r="296" spans="5:7" x14ac:dyDescent="0.25">
      <c r="E296" s="11">
        <f t="shared" si="28"/>
        <v>-16</v>
      </c>
      <c r="F296" s="11">
        <f t="shared" si="29"/>
        <v>-4.2979650913926601</v>
      </c>
      <c r="G296" s="11">
        <f t="shared" si="30"/>
        <v>-4.2464575319723075</v>
      </c>
    </row>
    <row r="297" spans="5:7" x14ac:dyDescent="0.25">
      <c r="E297" s="11">
        <f t="shared" si="28"/>
        <v>-15</v>
      </c>
      <c r="F297" s="11">
        <f t="shared" si="29"/>
        <v>-4.0622783050847655</v>
      </c>
      <c r="G297" s="11">
        <f t="shared" si="30"/>
        <v>-4.0137055250195965</v>
      </c>
    </row>
    <row r="298" spans="5:7" x14ac:dyDescent="0.25">
      <c r="E298" s="11">
        <f t="shared" si="28"/>
        <v>-14</v>
      </c>
      <c r="F298" s="11">
        <f t="shared" si="29"/>
        <v>-3.8229181388022169</v>
      </c>
      <c r="G298" s="11">
        <f t="shared" si="30"/>
        <v>-3.7777126285966358</v>
      </c>
    </row>
    <row r="299" spans="5:7" x14ac:dyDescent="0.25">
      <c r="E299" s="11">
        <f t="shared" si="28"/>
        <v>-13</v>
      </c>
      <c r="F299" s="11">
        <f t="shared" si="29"/>
        <v>-3.5797280499042339</v>
      </c>
      <c r="G299" s="11">
        <f t="shared" si="30"/>
        <v>-3.5382404164814636</v>
      </c>
    </row>
    <row r="300" spans="5:7" x14ac:dyDescent="0.25">
      <c r="E300" s="11">
        <f t="shared" si="28"/>
        <v>-12</v>
      </c>
      <c r="F300" s="11">
        <f t="shared" si="29"/>
        <v>-3.3325507946460307</v>
      </c>
      <c r="G300" s="11">
        <f t="shared" si="30"/>
        <v>-3.2950504624521173</v>
      </c>
    </row>
    <row r="301" spans="5:7" x14ac:dyDescent="0.25">
      <c r="E301" s="11">
        <f t="shared" si="28"/>
        <v>-11</v>
      </c>
      <c r="F301" s="11">
        <f t="shared" si="29"/>
        <v>-3.0812290618659453</v>
      </c>
      <c r="G301" s="11">
        <f t="shared" si="30"/>
        <v>-3.0479043402866348</v>
      </c>
    </row>
    <row r="302" spans="5:7" x14ac:dyDescent="0.25">
      <c r="E302" s="11">
        <f t="shared" si="28"/>
        <v>-10</v>
      </c>
      <c r="F302" s="11">
        <f t="shared" si="29"/>
        <v>-2.825606109079863</v>
      </c>
      <c r="G302" s="11">
        <f t="shared" si="30"/>
        <v>-2.7965636237630531</v>
      </c>
    </row>
    <row r="303" spans="5:7" x14ac:dyDescent="0.25">
      <c r="E303" s="11">
        <f t="shared" si="28"/>
        <v>-9</v>
      </c>
      <c r="F303" s="11">
        <f t="shared" si="29"/>
        <v>-2.5655263993451261</v>
      </c>
      <c r="G303" s="11">
        <f t="shared" si="30"/>
        <v>-2.5407898866594087</v>
      </c>
    </row>
    <row r="304" spans="5:7" x14ac:dyDescent="0.25">
      <c r="E304" s="11">
        <f t="shared" si="28"/>
        <v>-8</v>
      </c>
      <c r="F304" s="11">
        <f t="shared" si="29"/>
        <v>-2.3008362372940412</v>
      </c>
      <c r="G304" s="11">
        <f t="shared" si="30"/>
        <v>-2.2803447027537405</v>
      </c>
    </row>
    <row r="305" spans="5:7" x14ac:dyDescent="0.25">
      <c r="E305" s="11">
        <f t="shared" si="28"/>
        <v>-7</v>
      </c>
      <c r="F305" s="11">
        <f t="shared" si="29"/>
        <v>-2.0313844027750299</v>
      </c>
      <c r="G305" s="11">
        <f t="shared" si="30"/>
        <v>-2.0149896458240848</v>
      </c>
    </row>
    <row r="306" spans="5:7" x14ac:dyDescent="0.25">
      <c r="E306" s="11">
        <f t="shared" si="28"/>
        <v>-6</v>
      </c>
      <c r="F306" s="11">
        <f t="shared" si="29"/>
        <v>-1.757022780577427</v>
      </c>
      <c r="G306" s="11">
        <f t="shared" si="30"/>
        <v>-1.7444862896484796</v>
      </c>
    </row>
    <row r="307" spans="5:7" x14ac:dyDescent="0.25">
      <c r="E307" s="11">
        <f t="shared" si="28"/>
        <v>-5</v>
      </c>
      <c r="F307" s="11">
        <f t="shared" si="29"/>
        <v>-1.477606984753842</v>
      </c>
      <c r="G307" s="11">
        <f t="shared" si="30"/>
        <v>-1.4685962080049622</v>
      </c>
    </row>
    <row r="308" spans="5:7" x14ac:dyDescent="0.25">
      <c r="E308" s="11">
        <f t="shared" si="28"/>
        <v>-4</v>
      </c>
      <c r="F308" s="11">
        <f t="shared" si="29"/>
        <v>-1.1929969760919599</v>
      </c>
      <c r="G308" s="11">
        <f t="shared" si="30"/>
        <v>-1.1870809746715696</v>
      </c>
    </row>
    <row r="309" spans="5:7" x14ac:dyDescent="0.25">
      <c r="E309" s="11">
        <f t="shared" si="28"/>
        <v>-3</v>
      </c>
      <c r="F309" s="11">
        <f t="shared" si="29"/>
        <v>-0.90305767132558357</v>
      </c>
      <c r="G309" s="11">
        <f t="shared" si="30"/>
        <v>-0.8997021634263398</v>
      </c>
    </row>
    <row r="310" spans="5:7" x14ac:dyDescent="0.25">
      <c r="E310" s="11">
        <f t="shared" si="28"/>
        <v>-2</v>
      </c>
      <c r="F310" s="11">
        <f t="shared" si="29"/>
        <v>-0.60765954271265421</v>
      </c>
      <c r="G310" s="11">
        <f t="shared" si="30"/>
        <v>-0.60622134804731009</v>
      </c>
    </row>
    <row r="311" spans="5:7" x14ac:dyDescent="0.25">
      <c r="E311" s="11">
        <f t="shared" si="28"/>
        <v>-1</v>
      </c>
      <c r="F311" s="11">
        <f t="shared" si="29"/>
        <v>-0.30667920664593917</v>
      </c>
      <c r="G311" s="11">
        <f t="shared" si="30"/>
        <v>-0.30640010231251774</v>
      </c>
    </row>
    <row r="312" spans="5:7" x14ac:dyDescent="0.25">
      <c r="E312" s="11">
        <f t="shared" si="28"/>
        <v>0</v>
      </c>
      <c r="F312" s="11">
        <f t="shared" si="29"/>
        <v>0</v>
      </c>
      <c r="G312" s="11">
        <f t="shared" si="30"/>
        <v>0</v>
      </c>
    </row>
    <row r="313" spans="5:7" x14ac:dyDescent="0.25">
      <c r="E313" s="11">
        <f t="shared" si="28"/>
        <v>1</v>
      </c>
      <c r="F313" s="11">
        <f t="shared" si="29"/>
        <v>0.31248745704400527</v>
      </c>
      <c r="G313" s="11">
        <f t="shared" si="30"/>
        <v>0.31316479042190054</v>
      </c>
    </row>
    <row r="314" spans="5:7" x14ac:dyDescent="0.25">
      <c r="E314" s="11">
        <f t="shared" si="28"/>
        <v>2</v>
      </c>
      <c r="F314" s="11">
        <f t="shared" si="29"/>
        <v>0.63088471291618642</v>
      </c>
      <c r="G314" s="11">
        <f t="shared" si="30"/>
        <v>0.63306972172362153</v>
      </c>
    </row>
    <row r="315" spans="5:7" x14ac:dyDescent="0.25">
      <c r="E315" s="11">
        <f t="shared" si="28"/>
        <v>3</v>
      </c>
      <c r="F315" s="11">
        <f t="shared" si="29"/>
        <v>0.95528495250102696</v>
      </c>
      <c r="G315" s="11">
        <f t="shared" si="30"/>
        <v>0.95963765198529571</v>
      </c>
    </row>
    <row r="316" spans="5:7" x14ac:dyDescent="0.25">
      <c r="E316" s="11">
        <f t="shared" si="28"/>
        <v>4</v>
      </c>
      <c r="F316" s="11">
        <f t="shared" si="29"/>
        <v>1.2857724820503551</v>
      </c>
      <c r="G316" s="11">
        <f t="shared" si="30"/>
        <v>1.2927914392870554</v>
      </c>
    </row>
    <row r="317" spans="5:7" x14ac:dyDescent="0.25">
      <c r="E317" s="11">
        <f t="shared" si="28"/>
        <v>5</v>
      </c>
      <c r="F317" s="11">
        <f t="shared" si="29"/>
        <v>1.6224222322728805</v>
      </c>
      <c r="G317" s="11">
        <f t="shared" si="30"/>
        <v>1.6324539417090334</v>
      </c>
    </row>
    <row r="318" spans="5:7" x14ac:dyDescent="0.25">
      <c r="E318" s="11">
        <f t="shared" si="28"/>
        <v>6</v>
      </c>
      <c r="F318" s="11">
        <f t="shared" si="29"/>
        <v>1.9652992806690477</v>
      </c>
      <c r="G318" s="11">
        <f t="shared" si="30"/>
        <v>1.9785480173313625</v>
      </c>
    </row>
    <row r="319" spans="5:7" x14ac:dyDescent="0.25">
      <c r="E319" s="11">
        <f t="shared" si="28"/>
        <v>7</v>
      </c>
      <c r="F319" s="11">
        <f t="shared" si="29"/>
        <v>2.31445839414202</v>
      </c>
      <c r="G319" s="11">
        <f t="shared" si="30"/>
        <v>2.330996524234175</v>
      </c>
    </row>
    <row r="320" spans="5:7" x14ac:dyDescent="0.25">
      <c r="E320" s="11">
        <f t="shared" si="28"/>
        <v>8</v>
      </c>
      <c r="F320" s="11">
        <f t="shared" si="29"/>
        <v>2.6699435928776842</v>
      </c>
      <c r="G320" s="11">
        <f t="shared" si="30"/>
        <v>2.6897223204976037</v>
      </c>
    </row>
    <row r="321" spans="5:7" x14ac:dyDescent="0.25">
      <c r="E321" s="11">
        <f t="shared" si="28"/>
        <v>9</v>
      </c>
      <c r="F321" s="11">
        <f t="shared" si="29"/>
        <v>3.0317877364486066</v>
      </c>
      <c r="G321" s="11">
        <f t="shared" si="30"/>
        <v>3.0546482642017816</v>
      </c>
    </row>
    <row r="322" spans="5:7" x14ac:dyDescent="0.25">
      <c r="E322" s="11">
        <f t="shared" si="28"/>
        <v>10</v>
      </c>
      <c r="F322" s="11">
        <f t="shared" si="29"/>
        <v>3.4000121330589463</v>
      </c>
      <c r="G322" s="11">
        <f t="shared" si="30"/>
        <v>3.4256972134268406</v>
      </c>
    </row>
    <row r="323" spans="5:7" x14ac:dyDescent="0.25">
      <c r="E323" s="11">
        <f t="shared" si="28"/>
        <v>11</v>
      </c>
      <c r="F323" s="11">
        <f t="shared" si="29"/>
        <v>3.7746261728094042</v>
      </c>
      <c r="G323" s="11">
        <f t="shared" si="30"/>
        <v>3.8027920262529138</v>
      </c>
    </row>
    <row r="324" spans="5:7" x14ac:dyDescent="0.25">
      <c r="E324" s="11">
        <f t="shared" si="28"/>
        <v>12</v>
      </c>
      <c r="F324" s="11">
        <f t="shared" si="29"/>
        <v>4.1556269858233117</v>
      </c>
      <c r="G324" s="11">
        <f t="shared" si="30"/>
        <v>4.1858555607601344</v>
      </c>
    </row>
    <row r="325" spans="5:7" x14ac:dyDescent="0.25">
      <c r="E325" s="11">
        <f t="shared" si="28"/>
        <v>13</v>
      </c>
      <c r="F325" s="11">
        <f t="shared" si="29"/>
        <v>4.5429991260370786</v>
      </c>
      <c r="G325" s="11">
        <f t="shared" si="30"/>
        <v>4.5748106750286333</v>
      </c>
    </row>
    <row r="326" spans="5:7" x14ac:dyDescent="0.25">
      <c r="E326" s="11">
        <f t="shared" si="28"/>
        <v>14</v>
      </c>
      <c r="F326" s="11">
        <f t="shared" si="29"/>
        <v>4.9367142814202225</v>
      </c>
      <c r="G326" s="11">
        <f t="shared" si="30"/>
        <v>4.9695802271385441</v>
      </c>
    </row>
    <row r="327" spans="5:7" x14ac:dyDescent="0.25">
      <c r="E327" s="11">
        <f t="shared" si="28"/>
        <v>15</v>
      </c>
      <c r="F327" s="11">
        <f t="shared" si="29"/>
        <v>5.3367310113523319</v>
      </c>
      <c r="G327" s="11">
        <f t="shared" si="30"/>
        <v>5.3700870751700007</v>
      </c>
    </row>
    <row r="328" spans="5:7" x14ac:dyDescent="0.25">
      <c r="E328" s="11">
        <f t="shared" si="28"/>
        <v>16</v>
      </c>
      <c r="F328" s="11">
        <f t="shared" si="29"/>
        <v>5.7429945118462804</v>
      </c>
      <c r="G328" s="11">
        <f t="shared" si="30"/>
        <v>5.7762540772031334</v>
      </c>
    </row>
    <row r="329" spans="5:7" x14ac:dyDescent="0.25">
      <c r="E329" s="11">
        <f t="shared" si="28"/>
        <v>17</v>
      </c>
      <c r="F329" s="11">
        <f t="shared" si="29"/>
        <v>6.1554364092692264</v>
      </c>
      <c r="G329" s="11">
        <f t="shared" si="30"/>
        <v>6.188004091318076</v>
      </c>
    </row>
    <row r="330" spans="5:7" x14ac:dyDescent="0.25">
      <c r="E330" s="11">
        <f t="shared" si="28"/>
        <v>18</v>
      </c>
      <c r="F330" s="11">
        <f t="shared" si="29"/>
        <v>6.5739745831747776</v>
      </c>
      <c r="G330" s="11">
        <f t="shared" si="30"/>
        <v>6.6052599755949624</v>
      </c>
    </row>
    <row r="331" spans="5:7" x14ac:dyDescent="0.25">
      <c r="E331" s="11">
        <f t="shared" si="28"/>
        <v>19</v>
      </c>
      <c r="F331" s="11">
        <f t="shared" si="29"/>
        <v>6.9985130188219973</v>
      </c>
      <c r="G331" s="11">
        <f t="shared" si="30"/>
        <v>7.0279445881139226</v>
      </c>
    </row>
    <row r="332" spans="5:7" x14ac:dyDescent="0.25">
      <c r="E332" s="11">
        <f t="shared" si="28"/>
        <v>20</v>
      </c>
      <c r="F332" s="11">
        <f t="shared" si="29"/>
        <v>7.4289416899188065</v>
      </c>
      <c r="G332" s="11">
        <f t="shared" si="30"/>
        <v>7.4559807869550907</v>
      </c>
    </row>
    <row r="333" spans="5:7" x14ac:dyDescent="0.25">
      <c r="E333" s="11">
        <f t="shared" si="28"/>
        <v>21</v>
      </c>
      <c r="F333" s="11">
        <f t="shared" si="29"/>
        <v>7.865136472089497</v>
      </c>
      <c r="G333" s="11">
        <f t="shared" si="30"/>
        <v>7.8892914301985995</v>
      </c>
    </row>
    <row r="334" spans="5:7" x14ac:dyDescent="0.25">
      <c r="E334" s="11">
        <f t="shared" si="28"/>
        <v>22</v>
      </c>
      <c r="F334" s="11">
        <f t="shared" si="29"/>
        <v>8.306959087528103</v>
      </c>
      <c r="G334" s="11">
        <f t="shared" si="30"/>
        <v>8.327799375924581</v>
      </c>
    </row>
    <row r="335" spans="5:7" x14ac:dyDescent="0.25">
      <c r="E335" s="11">
        <f t="shared" si="28"/>
        <v>23</v>
      </c>
      <c r="F335" s="11">
        <f t="shared" si="29"/>
        <v>8.7542570812614375</v>
      </c>
      <c r="G335" s="11">
        <f t="shared" si="30"/>
        <v>8.7714274822131699</v>
      </c>
    </row>
    <row r="336" spans="5:7" x14ac:dyDescent="0.25">
      <c r="E336" s="11">
        <f t="shared" si="28"/>
        <v>24</v>
      </c>
      <c r="F336" s="11">
        <f t="shared" si="29"/>
        <v>9.2068638294076717</v>
      </c>
      <c r="G336" s="11">
        <f t="shared" si="30"/>
        <v>9.2200986071444948</v>
      </c>
    </row>
    <row r="337" spans="5:7" x14ac:dyDescent="0.25">
      <c r="E337" s="11">
        <f t="shared" si="28"/>
        <v>25</v>
      </c>
      <c r="F337" s="11">
        <f t="shared" si="29"/>
        <v>9.66459857977841</v>
      </c>
      <c r="G337" s="11">
        <f t="shared" si="30"/>
        <v>9.6737356087986903</v>
      </c>
    </row>
    <row r="338" spans="5:7" x14ac:dyDescent="0.25">
      <c r="E338" s="11">
        <f t="shared" si="28"/>
        <v>26</v>
      </c>
      <c r="F338" s="11">
        <f t="shared" si="29"/>
        <v>10.127266525134216</v>
      </c>
      <c r="G338" s="11">
        <f t="shared" si="30"/>
        <v>10.132261345255889</v>
      </c>
    </row>
    <row r="339" spans="5:7" x14ac:dyDescent="0.25">
      <c r="E339" s="11">
        <f t="shared" si="28"/>
        <v>27</v>
      </c>
      <c r="F339" s="11">
        <f t="shared" si="29"/>
        <v>10.594658909365702</v>
      </c>
      <c r="G339" s="11">
        <f t="shared" si="30"/>
        <v>10.595598674596225</v>
      </c>
    </row>
    <row r="340" spans="5:7" x14ac:dyDescent="0.25">
      <c r="E340" s="11">
        <f t="shared" si="28"/>
        <v>28</v>
      </c>
      <c r="F340" s="11">
        <f t="shared" si="29"/>
        <v>11.066553166834261</v>
      </c>
      <c r="G340" s="11">
        <f t="shared" si="30"/>
        <v>11.06367045489983</v>
      </c>
    </row>
    <row r="341" spans="5:7" x14ac:dyDescent="0.25">
      <c r="E341" s="11">
        <f t="shared" si="28"/>
        <v>29</v>
      </c>
      <c r="F341" s="11">
        <f t="shared" si="29"/>
        <v>11.542713095068677</v>
      </c>
      <c r="G341" s="11">
        <f t="shared" si="30"/>
        <v>11.536399544246837</v>
      </c>
    </row>
    <row r="342" spans="5:7" x14ac:dyDescent="0.25">
      <c r="E342" s="11">
        <f t="shared" si="28"/>
        <v>30</v>
      </c>
      <c r="F342" s="11">
        <f t="shared" si="29"/>
        <v>12.022889060975798</v>
      </c>
      <c r="G342" s="11">
        <f t="shared" si="30"/>
        <v>12.013708800717378</v>
      </c>
    </row>
    <row r="343" spans="5:7" x14ac:dyDescent="0.25">
      <c r="E343" s="11">
        <f t="shared" si="28"/>
        <v>31</v>
      </c>
      <c r="F343" s="11">
        <f t="shared" si="29"/>
        <v>12.506818240685631</v>
      </c>
      <c r="G343" s="11">
        <f t="shared" si="30"/>
        <v>12.495467174785617</v>
      </c>
    </row>
    <row r="344" spans="5:7" x14ac:dyDescent="0.25">
      <c r="E344" s="11">
        <f t="shared" si="28"/>
        <v>32</v>
      </c>
      <c r="F344" s="11">
        <f t="shared" si="29"/>
        <v>12.994224893113213</v>
      </c>
      <c r="G344" s="11">
        <f t="shared" si="30"/>
        <v>12.981327986501864</v>
      </c>
    </row>
    <row r="345" spans="5:7" x14ac:dyDescent="0.25">
      <c r="E345" s="11">
        <f t="shared" si="28"/>
        <v>33</v>
      </c>
      <c r="F345" s="11">
        <f t="shared" si="29"/>
        <v>13.484820667281701</v>
      </c>
      <c r="G345" s="11">
        <f t="shared" si="30"/>
        <v>13.470890648310448</v>
      </c>
    </row>
    <row r="346" spans="5:7" x14ac:dyDescent="0.25">
      <c r="E346" s="11">
        <f t="shared" si="28"/>
        <v>34</v>
      </c>
      <c r="F346" s="11">
        <f t="shared" si="29"/>
        <v>13.978304943413143</v>
      </c>
      <c r="G346" s="11">
        <f t="shared" si="30"/>
        <v>13.963754572655709</v>
      </c>
    </row>
    <row r="347" spans="5:7" x14ac:dyDescent="0.25">
      <c r="E347" s="11">
        <f t="shared" si="28"/>
        <v>35</v>
      </c>
      <c r="F347" s="11">
        <f t="shared" si="29"/>
        <v>14.474365207755563</v>
      </c>
      <c r="G347" s="11">
        <f t="shared" si="30"/>
        <v>14.459519171981984</v>
      </c>
    </row>
    <row r="348" spans="5:7" x14ac:dyDescent="0.25">
      <c r="E348" s="11">
        <f t="shared" si="28"/>
        <v>36</v>
      </c>
      <c r="F348" s="11">
        <f t="shared" si="29"/>
        <v>14.972677461076875</v>
      </c>
      <c r="G348" s="11">
        <f t="shared" si="30"/>
        <v>14.957783858733613</v>
      </c>
    </row>
    <row r="349" spans="5:7" x14ac:dyDescent="0.25">
      <c r="E349" s="11">
        <f t="shared" si="28"/>
        <v>37</v>
      </c>
      <c r="F349" s="11">
        <f t="shared" si="29"/>
        <v>15.472906660718412</v>
      </c>
      <c r="G349" s="11">
        <f t="shared" si="30"/>
        <v>15.458148045354928</v>
      </c>
    </row>
    <row r="350" spans="5:7" x14ac:dyDescent="0.25">
      <c r="E350" s="11">
        <f t="shared" si="28"/>
        <v>38</v>
      </c>
      <c r="F350" s="11">
        <f t="shared" si="29"/>
        <v>15.974707196062749</v>
      </c>
      <c r="G350" s="11">
        <f t="shared" si="30"/>
        <v>15.96021114429027</v>
      </c>
    </row>
    <row r="351" spans="5:7" x14ac:dyDescent="0.25">
      <c r="E351" s="11">
        <f t="shared" ref="E351:E414" si="31">E144</f>
        <v>39</v>
      </c>
      <c r="F351" s="11">
        <f t="shared" ref="F351:F414" si="32">$H$217*0+E351*$I$217+E351^2*$J$217+E351^3*$K$217+E351^4*$L$217+E351^5*$M$217+E351^6*$N$217+E351^7*$O$217+E351^8*$P$217</f>
        <v>16.477723397232669</v>
      </c>
      <c r="G351" s="11">
        <f t="shared" ref="G351:G414" si="33">F144</f>
        <v>16.463572567983974</v>
      </c>
    </row>
    <row r="352" spans="5:7" x14ac:dyDescent="0.25">
      <c r="E352" s="11">
        <f t="shared" si="31"/>
        <v>40</v>
      </c>
      <c r="F352" s="11">
        <f t="shared" si="32"/>
        <v>16.981590076800064</v>
      </c>
      <c r="G352" s="11">
        <f t="shared" si="33"/>
        <v>16.967831728880377</v>
      </c>
    </row>
    <row r="353" spans="5:7" x14ac:dyDescent="0.25">
      <c r="E353" s="11">
        <f t="shared" si="31"/>
        <v>41</v>
      </c>
      <c r="F353" s="11">
        <f t="shared" si="32"/>
        <v>17.485933104245841</v>
      </c>
      <c r="G353" s="11">
        <f t="shared" si="33"/>
        <v>17.472588039423815</v>
      </c>
    </row>
    <row r="354" spans="5:7" x14ac:dyDescent="0.25">
      <c r="E354" s="11">
        <f t="shared" si="31"/>
        <v>42</v>
      </c>
      <c r="F354" s="11">
        <f t="shared" si="32"/>
        <v>17.990370012873704</v>
      </c>
      <c r="G354" s="11">
        <f t="shared" si="33"/>
        <v>17.977440912058626</v>
      </c>
    </row>
    <row r="355" spans="5:7" x14ac:dyDescent="0.25">
      <c r="E355" s="11">
        <f t="shared" si="31"/>
        <v>43</v>
      </c>
      <c r="F355" s="11">
        <f t="shared" si="32"/>
        <v>18.494510638842847</v>
      </c>
      <c r="G355" s="11">
        <f t="shared" si="33"/>
        <v>18.481989759229151</v>
      </c>
    </row>
    <row r="356" spans="5:7" x14ac:dyDescent="0.25">
      <c r="E356" s="11">
        <f t="shared" si="31"/>
        <v>44</v>
      </c>
      <c r="F356" s="11">
        <f t="shared" si="32"/>
        <v>18.997957791946874</v>
      </c>
      <c r="G356" s="11">
        <f t="shared" si="33"/>
        <v>18.985833993379718</v>
      </c>
    </row>
    <row r="357" spans="5:7" x14ac:dyDescent="0.25">
      <c r="E357" s="11">
        <f t="shared" si="31"/>
        <v>45</v>
      </c>
      <c r="F357" s="11">
        <f t="shared" si="32"/>
        <v>19.500307957727887</v>
      </c>
      <c r="G357" s="11">
        <f t="shared" si="33"/>
        <v>19.488573026954668</v>
      </c>
    </row>
    <row r="358" spans="5:7" x14ac:dyDescent="0.25">
      <c r="E358" s="11">
        <f t="shared" si="31"/>
        <v>46</v>
      </c>
      <c r="F358" s="11">
        <f t="shared" si="32"/>
        <v>20.001152030477098</v>
      </c>
      <c r="G358" s="11">
        <f t="shared" si="33"/>
        <v>19.989806272398344</v>
      </c>
    </row>
    <row r="359" spans="5:7" x14ac:dyDescent="0.25">
      <c r="E359" s="11">
        <f t="shared" si="31"/>
        <v>47</v>
      </c>
      <c r="F359" s="11">
        <f t="shared" si="32"/>
        <v>20.500076076635295</v>
      </c>
      <c r="G359" s="11">
        <f t="shared" si="33"/>
        <v>20.489133142155072</v>
      </c>
    </row>
    <row r="360" spans="5:7" x14ac:dyDescent="0.25">
      <c r="E360" s="11">
        <f t="shared" si="31"/>
        <v>48</v>
      </c>
      <c r="F360" s="11">
        <f t="shared" si="32"/>
        <v>20.996662128068461</v>
      </c>
      <c r="G360" s="11">
        <f t="shared" si="33"/>
        <v>20.986153048669198</v>
      </c>
    </row>
    <row r="361" spans="5:7" x14ac:dyDescent="0.25">
      <c r="E361" s="11">
        <f t="shared" si="31"/>
        <v>49</v>
      </c>
      <c r="F361" s="11">
        <f t="shared" si="32"/>
        <v>21.490489004656052</v>
      </c>
      <c r="G361" s="11">
        <f t="shared" si="33"/>
        <v>21.480465404385054</v>
      </c>
    </row>
    <row r="362" spans="5:7" x14ac:dyDescent="0.25">
      <c r="E362" s="11">
        <f t="shared" si="31"/>
        <v>50</v>
      </c>
      <c r="F362" s="11">
        <f t="shared" si="32"/>
        <v>21.981133165591295</v>
      </c>
      <c r="G362" s="11">
        <f t="shared" si="33"/>
        <v>21.971669621746976</v>
      </c>
    </row>
    <row r="363" spans="5:7" x14ac:dyDescent="0.25">
      <c r="E363" s="11">
        <f t="shared" si="31"/>
        <v>51</v>
      </c>
      <c r="F363" s="11">
        <f t="shared" si="32"/>
        <v>22.468169588755249</v>
      </c>
      <c r="G363" s="11">
        <f t="shared" si="33"/>
        <v>22.459365113199308</v>
      </c>
    </row>
    <row r="364" spans="5:7" x14ac:dyDescent="0.25">
      <c r="E364" s="11">
        <f t="shared" si="31"/>
        <v>52</v>
      </c>
      <c r="F364" s="11">
        <f t="shared" si="32"/>
        <v>22.951172677488081</v>
      </c>
      <c r="G364" s="11">
        <f t="shared" si="33"/>
        <v>22.943151291186382</v>
      </c>
    </row>
    <row r="365" spans="5:7" x14ac:dyDescent="0.25">
      <c r="E365" s="11">
        <f t="shared" si="31"/>
        <v>53</v>
      </c>
      <c r="F365" s="11">
        <f t="shared" si="32"/>
        <v>23.429717194043285</v>
      </c>
      <c r="G365" s="11">
        <f t="shared" si="33"/>
        <v>23.422627568152532</v>
      </c>
    </row>
    <row r="366" spans="5:7" x14ac:dyDescent="0.25">
      <c r="E366" s="11">
        <f t="shared" si="31"/>
        <v>54</v>
      </c>
      <c r="F366" s="11">
        <f t="shared" si="32"/>
        <v>23.903379218972614</v>
      </c>
      <c r="G366" s="11">
        <f t="shared" si="33"/>
        <v>23.897393356542104</v>
      </c>
    </row>
    <row r="367" spans="5:7" x14ac:dyDescent="0.25">
      <c r="E367" s="11">
        <f t="shared" si="31"/>
        <v>55</v>
      </c>
      <c r="F367" s="11">
        <f t="shared" si="32"/>
        <v>24.371737135651507</v>
      </c>
      <c r="G367" s="11">
        <f t="shared" si="33"/>
        <v>24.36704806879942</v>
      </c>
    </row>
    <row r="368" spans="5:7" x14ac:dyDescent="0.25">
      <c r="E368" s="11">
        <f t="shared" si="31"/>
        <v>56</v>
      </c>
      <c r="F368" s="11">
        <f t="shared" si="32"/>
        <v>24.834372639116893</v>
      </c>
      <c r="G368" s="11">
        <f t="shared" si="33"/>
        <v>24.831191117368835</v>
      </c>
    </row>
    <row r="369" spans="5:7" x14ac:dyDescent="0.25">
      <c r="E369" s="11">
        <f t="shared" si="31"/>
        <v>57</v>
      </c>
      <c r="F369" s="11">
        <f t="shared" si="32"/>
        <v>25.290871768351241</v>
      </c>
      <c r="G369" s="11">
        <f t="shared" si="33"/>
        <v>25.289421914694671</v>
      </c>
    </row>
    <row r="370" spans="5:7" x14ac:dyDescent="0.25">
      <c r="E370" s="11">
        <f t="shared" si="31"/>
        <v>58</v>
      </c>
      <c r="F370" s="11">
        <f t="shared" si="32"/>
        <v>25.740825961108879</v>
      </c>
      <c r="G370" s="11">
        <f t="shared" si="33"/>
        <v>25.741339873221275</v>
      </c>
    </row>
    <row r="371" spans="5:7" x14ac:dyDescent="0.25">
      <c r="E371" s="11">
        <f t="shared" si="31"/>
        <v>59</v>
      </c>
      <c r="F371" s="11">
        <f t="shared" si="32"/>
        <v>26.183833130342702</v>
      </c>
      <c r="G371" s="11">
        <f t="shared" si="33"/>
        <v>26.186544405392979</v>
      </c>
    </row>
    <row r="372" spans="5:7" x14ac:dyDescent="0.25">
      <c r="E372" s="11">
        <f t="shared" si="31"/>
        <v>60</v>
      </c>
      <c r="F372" s="11">
        <f t="shared" si="32"/>
        <v>26.619498761251236</v>
      </c>
      <c r="G372" s="11">
        <f t="shared" si="33"/>
        <v>26.624634923654121</v>
      </c>
    </row>
    <row r="373" spans="5:7" x14ac:dyDescent="0.25">
      <c r="E373" s="11">
        <f t="shared" si="31"/>
        <v>61</v>
      </c>
      <c r="F373" s="11">
        <f t="shared" si="32"/>
        <v>27.047437027928389</v>
      </c>
      <c r="G373" s="11">
        <f t="shared" si="33"/>
        <v>27.055210840449035</v>
      </c>
    </row>
    <row r="374" spans="5:7" x14ac:dyDescent="0.25">
      <c r="E374" s="11">
        <f t="shared" si="31"/>
        <v>62</v>
      </c>
      <c r="F374" s="11">
        <f t="shared" si="32"/>
        <v>27.467271928560002</v>
      </c>
      <c r="G374" s="11">
        <f t="shared" si="33"/>
        <v>27.47787156822206</v>
      </c>
    </row>
    <row r="375" spans="5:7" x14ac:dyDescent="0.25">
      <c r="E375" s="11">
        <f t="shared" si="31"/>
        <v>63</v>
      </c>
      <c r="F375" s="11">
        <f t="shared" si="32"/>
        <v>27.878638438073548</v>
      </c>
      <c r="G375" s="11">
        <f t="shared" si="33"/>
        <v>27.892216519417538</v>
      </c>
    </row>
    <row r="376" spans="5:7" x14ac:dyDescent="0.25">
      <c r="E376" s="11">
        <f t="shared" si="31"/>
        <v>64</v>
      </c>
      <c r="F376" s="11">
        <f t="shared" si="32"/>
        <v>28.281183677109393</v>
      </c>
      <c r="G376" s="11">
        <f t="shared" si="33"/>
        <v>28.297845106479798</v>
      </c>
    </row>
    <row r="377" spans="5:7" x14ac:dyDescent="0.25">
      <c r="E377" s="11">
        <f t="shared" si="31"/>
        <v>65</v>
      </c>
      <c r="F377" s="11">
        <f t="shared" si="32"/>
        <v>28.67456809614395</v>
      </c>
      <c r="G377" s="11">
        <f t="shared" si="33"/>
        <v>28.694356741853184</v>
      </c>
    </row>
    <row r="378" spans="5:7" x14ac:dyDescent="0.25">
      <c r="E378" s="11">
        <f t="shared" si="31"/>
        <v>66</v>
      </c>
      <c r="F378" s="11">
        <f t="shared" si="32"/>
        <v>29.058466673557234</v>
      </c>
      <c r="G378" s="11">
        <f t="shared" si="33"/>
        <v>29.081350837982026</v>
      </c>
    </row>
    <row r="379" spans="5:7" x14ac:dyDescent="0.25">
      <c r="E379" s="11">
        <f t="shared" si="31"/>
        <v>67</v>
      </c>
      <c r="F379" s="11">
        <f t="shared" si="32"/>
        <v>29.432570126399469</v>
      </c>
      <c r="G379" s="11">
        <f t="shared" si="33"/>
        <v>29.458426807310666</v>
      </c>
    </row>
    <row r="380" spans="5:7" x14ac:dyDescent="0.25">
      <c r="E380" s="11">
        <f t="shared" si="31"/>
        <v>68</v>
      </c>
      <c r="F380" s="11">
        <f t="shared" si="32"/>
        <v>29.796586132573172</v>
      </c>
      <c r="G380" s="11">
        <f t="shared" si="33"/>
        <v>29.825184062283441</v>
      </c>
    </row>
    <row r="381" spans="5:7" x14ac:dyDescent="0.25">
      <c r="E381" s="11">
        <f t="shared" si="31"/>
        <v>69</v>
      </c>
      <c r="F381" s="11">
        <f t="shared" si="32"/>
        <v>30.150240563109616</v>
      </c>
      <c r="G381" s="11">
        <f t="shared" si="33"/>
        <v>30.181222015344684</v>
      </c>
    </row>
    <row r="382" spans="5:7" x14ac:dyDescent="0.25">
      <c r="E382" s="11">
        <f t="shared" si="31"/>
        <v>70</v>
      </c>
      <c r="F382" s="11">
        <f t="shared" si="32"/>
        <v>30.493278723180108</v>
      </c>
      <c r="G382" s="11">
        <f t="shared" si="33"/>
        <v>30.526140078938731</v>
      </c>
    </row>
    <row r="383" spans="5:7" x14ac:dyDescent="0.25">
      <c r="E383" s="11">
        <f t="shared" si="31"/>
        <v>71</v>
      </c>
      <c r="F383" s="11">
        <f t="shared" si="32"/>
        <v>30.825466600445242</v>
      </c>
      <c r="G383" s="11">
        <f t="shared" si="33"/>
        <v>30.859537665509929</v>
      </c>
    </row>
    <row r="384" spans="5:7" x14ac:dyDescent="0.25">
      <c r="E384" s="11">
        <f t="shared" si="31"/>
        <v>72</v>
      </c>
      <c r="F384" s="11">
        <f t="shared" si="32"/>
        <v>31.146592119306682</v>
      </c>
      <c r="G384" s="11">
        <f t="shared" si="33"/>
        <v>31.181014187502601</v>
      </c>
    </row>
    <row r="385" spans="5:7" x14ac:dyDescent="0.25">
      <c r="E385" s="11">
        <f t="shared" si="31"/>
        <v>73</v>
      </c>
      <c r="F385" s="11">
        <f t="shared" si="32"/>
        <v>31.456466399588475</v>
      </c>
      <c r="G385" s="11">
        <f t="shared" si="33"/>
        <v>31.490169057361101</v>
      </c>
    </row>
    <row r="386" spans="5:7" x14ac:dyDescent="0.25">
      <c r="E386" s="11">
        <f t="shared" si="31"/>
        <v>74</v>
      </c>
      <c r="F386" s="11">
        <f t="shared" si="32"/>
        <v>31.754925018137097</v>
      </c>
      <c r="G386" s="11">
        <f t="shared" si="33"/>
        <v>31.786601687529746</v>
      </c>
    </row>
    <row r="387" spans="5:7" x14ac:dyDescent="0.25">
      <c r="E387" s="11">
        <f t="shared" si="31"/>
        <v>75</v>
      </c>
      <c r="F387" s="11">
        <f t="shared" si="32"/>
        <v>32.04182927179086</v>
      </c>
      <c r="G387" s="11">
        <f t="shared" si="33"/>
        <v>32.069911490452888</v>
      </c>
    </row>
    <row r="388" spans="5:7" x14ac:dyDescent="0.25">
      <c r="E388" s="11">
        <f t="shared" si="31"/>
        <v>76</v>
      </c>
      <c r="F388" s="11">
        <f t="shared" si="32"/>
        <v>32.317067440132185</v>
      </c>
      <c r="G388" s="11">
        <f t="shared" si="33"/>
        <v>32.339829040380813</v>
      </c>
    </row>
    <row r="389" spans="5:7" x14ac:dyDescent="0.25">
      <c r="E389" s="11">
        <f t="shared" si="31"/>
        <v>77</v>
      </c>
      <c r="F389" s="11">
        <f t="shared" si="32"/>
        <v>32.580556046397689</v>
      </c>
      <c r="G389" s="11">
        <f t="shared" si="33"/>
        <v>32.596609558787591</v>
      </c>
    </row>
    <row r="390" spans="5:7" x14ac:dyDescent="0.25">
      <c r="E390" s="11">
        <f t="shared" si="31"/>
        <v>78</v>
      </c>
      <c r="F390" s="11">
        <f t="shared" si="32"/>
        <v>32.832241114883423</v>
      </c>
      <c r="G390" s="11">
        <f t="shared" si="33"/>
        <v>32.840639428953267</v>
      </c>
    </row>
    <row r="391" spans="5:7" x14ac:dyDescent="0.25">
      <c r="E391" s="11">
        <f t="shared" si="31"/>
        <v>79</v>
      </c>
      <c r="F391" s="11">
        <f t="shared" si="32"/>
        <v>33.072099423144394</v>
      </c>
      <c r="G391" s="11">
        <f t="shared" si="33"/>
        <v>33.072305034157878</v>
      </c>
    </row>
    <row r="392" spans="5:7" x14ac:dyDescent="0.25">
      <c r="E392" s="11">
        <f t="shared" si="31"/>
        <v>80</v>
      </c>
      <c r="F392" s="11">
        <f t="shared" si="32"/>
        <v>33.300139747250043</v>
      </c>
      <c r="G392" s="11">
        <f t="shared" si="33"/>
        <v>33.291992757681442</v>
      </c>
    </row>
    <row r="393" spans="5:7" x14ac:dyDescent="0.25">
      <c r="E393" s="11">
        <f t="shared" si="31"/>
        <v>81</v>
      </c>
      <c r="F393" s="11">
        <f t="shared" si="32"/>
        <v>33.516404098318667</v>
      </c>
      <c r="G393" s="11">
        <f t="shared" si="33"/>
        <v>33.500088982804002</v>
      </c>
    </row>
    <row r="394" spans="5:7" x14ac:dyDescent="0.25">
      <c r="E394" s="11">
        <f t="shared" si="31"/>
        <v>82</v>
      </c>
      <c r="F394" s="11">
        <f t="shared" si="32"/>
        <v>33.720968948516656</v>
      </c>
      <c r="G394" s="11">
        <f t="shared" si="33"/>
        <v>33.696980092805603</v>
      </c>
    </row>
    <row r="395" spans="5:7" x14ac:dyDescent="0.25">
      <c r="E395" s="11">
        <f t="shared" si="31"/>
        <v>83</v>
      </c>
      <c r="F395" s="11">
        <f t="shared" si="32"/>
        <v>33.913946444669946</v>
      </c>
      <c r="G395" s="11">
        <f t="shared" si="33"/>
        <v>33.883052470966263</v>
      </c>
    </row>
    <row r="396" spans="5:7" x14ac:dyDescent="0.25">
      <c r="E396" s="11">
        <f t="shared" si="31"/>
        <v>84</v>
      </c>
      <c r="F396" s="11">
        <f t="shared" si="32"/>
        <v>34.095485607597091</v>
      </c>
      <c r="G396" s="11">
        <f t="shared" si="33"/>
        <v>34.058692500566011</v>
      </c>
    </row>
    <row r="397" spans="5:7" x14ac:dyDescent="0.25">
      <c r="E397" s="11">
        <f t="shared" si="31"/>
        <v>85</v>
      </c>
      <c r="F397" s="11">
        <f t="shared" si="32"/>
        <v>34.265773515236091</v>
      </c>
      <c r="G397" s="11">
        <f t="shared" si="33"/>
        <v>34.224286564884892</v>
      </c>
    </row>
    <row r="398" spans="5:7" x14ac:dyDescent="0.25">
      <c r="E398" s="11">
        <f t="shared" si="31"/>
        <v>86</v>
      </c>
      <c r="F398" s="11">
        <f t="shared" si="32"/>
        <v>34.425036467598147</v>
      </c>
      <c r="G398" s="11">
        <f t="shared" si="33"/>
        <v>34.380221047202944</v>
      </c>
    </row>
    <row r="399" spans="5:7" x14ac:dyDescent="0.25">
      <c r="E399" s="11">
        <f t="shared" si="31"/>
        <v>87</v>
      </c>
      <c r="F399" s="11">
        <f t="shared" si="32"/>
        <v>34.573541131544616</v>
      </c>
      <c r="G399" s="11">
        <f t="shared" si="33"/>
        <v>34.526882330800191</v>
      </c>
    </row>
    <row r="400" spans="5:7" x14ac:dyDescent="0.25">
      <c r="E400" s="11">
        <f t="shared" si="31"/>
        <v>88</v>
      </c>
      <c r="F400" s="11">
        <f t="shared" si="32"/>
        <v>34.711595663344653</v>
      </c>
      <c r="G400" s="11">
        <f t="shared" si="33"/>
        <v>34.664656798956663</v>
      </c>
    </row>
    <row r="401" spans="5:7" x14ac:dyDescent="0.25">
      <c r="E401" s="11">
        <f t="shared" si="31"/>
        <v>89</v>
      </c>
      <c r="F401" s="11">
        <f t="shared" si="32"/>
        <v>34.839550806933801</v>
      </c>
      <c r="G401" s="11">
        <f t="shared" si="33"/>
        <v>34.793930834952405</v>
      </c>
    </row>
    <row r="402" spans="5:7" x14ac:dyDescent="0.25">
      <c r="E402" s="11">
        <f t="shared" si="31"/>
        <v>90</v>
      </c>
      <c r="F402" s="11">
        <f t="shared" si="32"/>
        <v>34.957800965755126</v>
      </c>
      <c r="G402" s="11">
        <f t="shared" si="33"/>
        <v>34.915090822067434</v>
      </c>
    </row>
    <row r="403" spans="5:7" x14ac:dyDescent="0.25">
      <c r="E403" s="11">
        <f t="shared" si="31"/>
        <v>91</v>
      </c>
      <c r="F403" s="11">
        <f t="shared" si="32"/>
        <v>35.066785246027315</v>
      </c>
      <c r="G403" s="11">
        <f t="shared" si="33"/>
        <v>35.028523143581808</v>
      </c>
    </row>
    <row r="404" spans="5:7" x14ac:dyDescent="0.25">
      <c r="E404" s="11">
        <f t="shared" si="31"/>
        <v>92</v>
      </c>
      <c r="F404" s="11">
        <f t="shared" si="32"/>
        <v>35.166988469245553</v>
      </c>
      <c r="G404" s="11">
        <f t="shared" si="33"/>
        <v>35.134614182775536</v>
      </c>
    </row>
    <row r="405" spans="5:7" x14ac:dyDescent="0.25">
      <c r="E405" s="11">
        <f t="shared" si="31"/>
        <v>93</v>
      </c>
      <c r="F405" s="11">
        <f t="shared" si="32"/>
        <v>35.258942151683442</v>
      </c>
      <c r="G405" s="11">
        <f t="shared" si="33"/>
        <v>35.233750322928671</v>
      </c>
    </row>
    <row r="406" spans="5:7" x14ac:dyDescent="0.25">
      <c r="E406" s="11">
        <f t="shared" si="31"/>
        <v>94</v>
      </c>
      <c r="F406" s="11">
        <f t="shared" si="32"/>
        <v>35.34322544862632</v>
      </c>
      <c r="G406" s="11">
        <f t="shared" si="33"/>
        <v>35.326317947321229</v>
      </c>
    </row>
    <row r="407" spans="5:7" x14ac:dyDescent="0.25">
      <c r="E407" s="11">
        <f t="shared" si="31"/>
        <v>95</v>
      </c>
      <c r="F407" s="11">
        <f t="shared" si="32"/>
        <v>35.420466061028023</v>
      </c>
      <c r="G407" s="11">
        <f t="shared" si="33"/>
        <v>35.412703439233248</v>
      </c>
    </row>
    <row r="408" spans="5:7" x14ac:dyDescent="0.25">
      <c r="E408" s="11">
        <f t="shared" si="31"/>
        <v>96</v>
      </c>
      <c r="F408" s="11">
        <f t="shared" si="32"/>
        <v>35.491341102245663</v>
      </c>
      <c r="G408" s="11">
        <f t="shared" si="33"/>
        <v>35.493293181944772</v>
      </c>
    </row>
    <row r="409" spans="5:7" x14ac:dyDescent="0.25">
      <c r="E409" s="11">
        <f t="shared" si="31"/>
        <v>97</v>
      </c>
      <c r="F409" s="11">
        <f t="shared" si="32"/>
        <v>35.556577922468584</v>
      </c>
      <c r="G409" s="11">
        <f t="shared" si="33"/>
        <v>35.568473558735825</v>
      </c>
    </row>
    <row r="410" spans="5:7" x14ac:dyDescent="0.25">
      <c r="E410" s="11">
        <f t="shared" si="31"/>
        <v>98</v>
      </c>
      <c r="F410" s="11">
        <f t="shared" si="32"/>
        <v>35.616954888420437</v>
      </c>
      <c r="G410" s="11">
        <f t="shared" si="33"/>
        <v>35.638630952886444</v>
      </c>
    </row>
    <row r="411" spans="5:7" x14ac:dyDescent="0.25">
      <c r="E411" s="11">
        <f t="shared" si="31"/>
        <v>99</v>
      </c>
      <c r="F411" s="11">
        <f t="shared" si="32"/>
        <v>35.673302115874222</v>
      </c>
      <c r="G411" s="11">
        <f t="shared" si="33"/>
        <v>35.704151747676661</v>
      </c>
    </row>
    <row r="412" spans="5:7" x14ac:dyDescent="0.25">
      <c r="E412" s="11">
        <f t="shared" si="31"/>
        <v>100</v>
      </c>
      <c r="F412" s="11">
        <f t="shared" si="32"/>
        <v>35.726502152483548</v>
      </c>
      <c r="G412" s="11">
        <f t="shared" si="33"/>
        <v>35.765422326386513</v>
      </c>
    </row>
    <row r="413" spans="5:7" x14ac:dyDescent="0.25">
      <c r="E413" s="11">
        <f t="shared" si="31"/>
        <v>101</v>
      </c>
      <c r="F413" s="11">
        <f t="shared" si="32"/>
        <v>35.777490608394487</v>
      </c>
      <c r="G413" s="11">
        <f t="shared" si="33"/>
        <v>35.822829072296024</v>
      </c>
    </row>
    <row r="414" spans="5:7" x14ac:dyDescent="0.25">
      <c r="E414" s="11">
        <f t="shared" si="31"/>
        <v>102</v>
      </c>
      <c r="F414" s="11">
        <f t="shared" si="32"/>
        <v>35.827256732064576</v>
      </c>
      <c r="G414" s="11">
        <f t="shared" si="33"/>
        <v>35.876758368685238</v>
      </c>
    </row>
    <row r="415" spans="5:7" x14ac:dyDescent="0.25">
      <c r="E415" s="11">
        <f t="shared" ref="E415:E422" si="34">E208</f>
        <v>103</v>
      </c>
      <c r="F415" s="11">
        <f t="shared" ref="F415:F422" si="35">$H$217*0+E415*$I$217+E415^2*$J$217+E415^3*$K$217+E415^4*$L$217+E415^5*$M$217+E415^6*$N$217+E415^7*$O$217+E415^8*$P$217</f>
        <v>35.876843928678213</v>
      </c>
      <c r="G415" s="11">
        <f t="shared" ref="G415:G422" si="36">F208</f>
        <v>35.927596598834185</v>
      </c>
    </row>
    <row r="416" spans="5:7" x14ac:dyDescent="0.25">
      <c r="E416" s="11">
        <f t="shared" si="34"/>
        <v>104</v>
      </c>
      <c r="F416" s="11">
        <f t="shared" si="35"/>
        <v>35.927350218508735</v>
      </c>
      <c r="G416" s="11">
        <f t="shared" si="36"/>
        <v>35.975730146022897</v>
      </c>
    </row>
    <row r="417" spans="5:7" x14ac:dyDescent="0.25">
      <c r="E417" s="11">
        <f t="shared" si="34"/>
        <v>105</v>
      </c>
      <c r="F417" s="11">
        <f t="shared" si="35"/>
        <v>35.979928632540712</v>
      </c>
      <c r="G417" s="11">
        <f t="shared" si="36"/>
        <v>36.021545393531404</v>
      </c>
    </row>
    <row r="418" spans="5:7" x14ac:dyDescent="0.25">
      <c r="E418" s="11">
        <f t="shared" si="34"/>
        <v>106</v>
      </c>
      <c r="F418" s="11">
        <f t="shared" si="35"/>
        <v>36.035787542626764</v>
      </c>
      <c r="G418" s="11">
        <f t="shared" si="36"/>
        <v>36.065428724639752</v>
      </c>
    </row>
    <row r="419" spans="5:7" x14ac:dyDescent="0.25">
      <c r="E419" s="11">
        <f t="shared" si="34"/>
        <v>107</v>
      </c>
      <c r="F419" s="11">
        <f t="shared" si="35"/>
        <v>36.096190923416486</v>
      </c>
      <c r="G419" s="11">
        <f t="shared" si="36"/>
        <v>36.107766522627955</v>
      </c>
    </row>
    <row r="420" spans="5:7" x14ac:dyDescent="0.25">
      <c r="E420" s="11">
        <f t="shared" si="34"/>
        <v>108</v>
      </c>
      <c r="F420" s="11">
        <f t="shared" si="35"/>
        <v>36.162458543256371</v>
      </c>
      <c r="G420" s="11">
        <f t="shared" si="36"/>
        <v>36.148945170776067</v>
      </c>
    </row>
    <row r="421" spans="5:7" x14ac:dyDescent="0.25">
      <c r="E421" s="11">
        <f t="shared" si="34"/>
        <v>109</v>
      </c>
      <c r="F421" s="11">
        <f t="shared" si="35"/>
        <v>36.235966081221662</v>
      </c>
      <c r="G421" s="11">
        <f t="shared" si="36"/>
        <v>36.18935105236411</v>
      </c>
    </row>
    <row r="422" spans="5:7" x14ac:dyDescent="0.25">
      <c r="E422" s="11">
        <f t="shared" si="34"/>
        <v>110</v>
      </c>
      <c r="F422" s="11">
        <f t="shared" si="35"/>
        <v>36.318145167403983</v>
      </c>
      <c r="G422" s="11">
        <f t="shared" si="36"/>
        <v>36.229370550672115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2022-01-05T08:22:20Z</dcterms:modified>
</cp:coreProperties>
</file>