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P32" i="11" s="1"/>
  <c r="O31" i="11"/>
  <c r="N31" i="11"/>
  <c r="P31" i="11" s="1"/>
  <c r="O30" i="11"/>
  <c r="N30" i="11"/>
  <c r="P29" i="11"/>
  <c r="O29" i="11"/>
  <c r="N29" i="11"/>
  <c r="O28" i="11"/>
  <c r="N28" i="11"/>
  <c r="P28" i="11" s="1"/>
  <c r="O27" i="11"/>
  <c r="P27" i="11" s="1"/>
  <c r="N27" i="11"/>
  <c r="O26" i="11"/>
  <c r="N26" i="11"/>
  <c r="P26" i="11" s="1"/>
  <c r="P25" i="11"/>
  <c r="O25" i="11"/>
  <c r="N25" i="11"/>
  <c r="O24" i="11"/>
  <c r="N24" i="11"/>
  <c r="P24" i="11" s="1"/>
  <c r="O23" i="11"/>
  <c r="P23" i="11" s="1"/>
  <c r="N23" i="11"/>
  <c r="O22" i="11"/>
  <c r="N22" i="11"/>
  <c r="O21" i="11"/>
  <c r="N21" i="11"/>
  <c r="P21" i="11" s="1"/>
  <c r="O20" i="11"/>
  <c r="N20" i="11"/>
  <c r="P20" i="11" s="1"/>
  <c r="O19" i="11"/>
  <c r="N19" i="11"/>
  <c r="P19" i="11" s="1"/>
  <c r="O18" i="11"/>
  <c r="N18" i="11"/>
  <c r="P17" i="11"/>
  <c r="O17" i="11"/>
  <c r="N17" i="11"/>
  <c r="O16" i="11"/>
  <c r="N16" i="11"/>
  <c r="P16" i="11" s="1"/>
  <c r="O15" i="11"/>
  <c r="P15" i="11" s="1"/>
  <c r="N15" i="11"/>
  <c r="O14" i="11"/>
  <c r="N14" i="11"/>
  <c r="P14" i="11" s="1"/>
  <c r="P13" i="11"/>
  <c r="O13" i="11"/>
  <c r="N13" i="11"/>
  <c r="O12" i="11"/>
  <c r="N12" i="11"/>
  <c r="P12" i="11" s="1"/>
  <c r="O11" i="11"/>
  <c r="P11" i="11" s="1"/>
  <c r="N11" i="11"/>
  <c r="O10" i="11"/>
  <c r="N10" i="11"/>
  <c r="O9" i="11"/>
  <c r="N9" i="11"/>
  <c r="P9" i="11" s="1"/>
  <c r="O8" i="11"/>
  <c r="N8" i="11"/>
  <c r="P8" i="11" s="1"/>
  <c r="O7" i="11"/>
  <c r="N7" i="11"/>
  <c r="P7" i="11" s="1"/>
  <c r="O6" i="11"/>
  <c r="N6" i="11"/>
  <c r="P5" i="11"/>
  <c r="O5" i="11"/>
  <c r="N5" i="11"/>
  <c r="O4" i="11"/>
  <c r="N4" i="11"/>
  <c r="P4" i="11" s="1"/>
  <c r="O3" i="11"/>
  <c r="P3" i="11" s="1"/>
  <c r="N3" i="11"/>
  <c r="P6" i="11" l="1"/>
  <c r="P18" i="11"/>
  <c r="P30"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19" i="43"/>
  <c r="C423" i="43"/>
  <c r="C428" i="43"/>
  <c r="C404" i="43"/>
  <c r="C420" i="43"/>
  <c r="C431" i="43"/>
  <c r="C426" i="43"/>
  <c r="C409" i="43"/>
  <c r="C421" i="43"/>
  <c r="C434" i="43"/>
  <c r="C407" i="43"/>
  <c r="C414" i="43"/>
  <c r="C418" i="43"/>
  <c r="C425" i="43"/>
  <c r="C427" i="43"/>
  <c r="C429" i="43"/>
  <c r="C432" i="43"/>
  <c r="C410" i="43"/>
  <c r="C412" i="43"/>
  <c r="C422" i="43"/>
  <c r="C433" i="43"/>
  <c r="C405" i="43"/>
  <c r="C408" i="43"/>
  <c r="C415" i="43"/>
  <c r="C424" i="43"/>
  <c r="C430" i="43"/>
  <c r="C413" i="43"/>
  <c r="C411" i="43"/>
  <c r="C416" i="43"/>
  <c r="H434" i="43"/>
  <c r="H418" i="43"/>
  <c r="H415" i="43"/>
  <c r="H410" i="43"/>
  <c r="H424" i="43"/>
  <c r="H405" i="43"/>
  <c r="H428" i="43"/>
  <c r="H406" i="43"/>
  <c r="H417" i="43"/>
  <c r="H414" i="43"/>
  <c r="H430" i="43"/>
  <c r="H423" i="43"/>
  <c r="H419" i="43"/>
  <c r="H429" i="43"/>
  <c r="H416" i="43"/>
  <c r="H404" i="43"/>
  <c r="H413" i="43"/>
  <c r="H427" i="43"/>
  <c r="H409" i="43"/>
  <c r="H422" i="43"/>
  <c r="H421" i="43"/>
  <c r="H426" i="43"/>
  <c r="H420" i="43"/>
  <c r="H431" i="43"/>
  <c r="H433" i="43"/>
  <c r="H408" i="43"/>
  <c r="H432" i="43"/>
  <c r="H412" i="43"/>
  <c r="H425" i="43"/>
  <c r="H407" i="43"/>
  <c r="H411" i="43"/>
  <c r="G410" i="43"/>
  <c r="G413" i="43"/>
  <c r="G431" i="43"/>
  <c r="G416" i="43"/>
  <c r="G434" i="43"/>
  <c r="G428" i="43"/>
  <c r="G429" i="43"/>
  <c r="G411" i="43"/>
  <c r="G427" i="43"/>
  <c r="G409" i="43"/>
  <c r="G405" i="43"/>
  <c r="G404" i="43"/>
  <c r="G422" i="43"/>
  <c r="G426" i="43"/>
  <c r="G408" i="43"/>
  <c r="G424" i="43"/>
  <c r="G433" i="43"/>
  <c r="G430" i="43"/>
  <c r="G406" i="43"/>
  <c r="G419" i="43"/>
  <c r="G423" i="43"/>
  <c r="G421" i="43"/>
  <c r="G418" i="43"/>
  <c r="G415" i="43"/>
  <c r="G432" i="43"/>
  <c r="G407" i="43"/>
  <c r="G420" i="43"/>
  <c r="G425" i="43"/>
  <c r="G417" i="43"/>
  <c r="G414" i="43"/>
  <c r="G412" i="43"/>
  <c r="B405" i="43"/>
  <c r="B424" i="43"/>
  <c r="B425" i="43"/>
  <c r="B413" i="43"/>
  <c r="B414" i="43"/>
  <c r="B408" i="43"/>
  <c r="B431" i="43"/>
  <c r="B422" i="43"/>
  <c r="B415" i="43"/>
  <c r="B417" i="43"/>
  <c r="B409" i="43"/>
  <c r="B406" i="43"/>
  <c r="B429" i="43"/>
  <c r="B433" i="43"/>
  <c r="B411" i="43"/>
  <c r="B416" i="43"/>
  <c r="B432" i="43"/>
  <c r="B404" i="43"/>
  <c r="B428" i="43"/>
  <c r="B420" i="43"/>
  <c r="B421" i="43"/>
  <c r="B410" i="43"/>
  <c r="B407" i="43"/>
  <c r="B427" i="43"/>
  <c r="B426" i="43"/>
  <c r="B434" i="43"/>
  <c r="B430" i="43"/>
  <c r="B423" i="43"/>
  <c r="B418" i="43"/>
  <c r="B419" i="43"/>
  <c r="B412" i="43"/>
  <c r="F415" i="43"/>
  <c r="F410" i="43"/>
  <c r="F420" i="43"/>
  <c r="F431" i="43"/>
  <c r="F423" i="43"/>
  <c r="F424" i="43"/>
  <c r="F419" i="43"/>
  <c r="F430" i="43"/>
  <c r="F416" i="43"/>
  <c r="F404" i="43"/>
  <c r="F427" i="43"/>
  <c r="F434" i="43"/>
  <c r="F421" i="43"/>
  <c r="F425" i="43"/>
  <c r="F426" i="43"/>
  <c r="F412" i="43"/>
  <c r="F409" i="43"/>
  <c r="F407" i="43"/>
  <c r="F417" i="43"/>
  <c r="F414" i="43"/>
  <c r="F422" i="43"/>
  <c r="F411" i="43"/>
  <c r="F405" i="43"/>
  <c r="F408" i="43"/>
  <c r="F432" i="43"/>
  <c r="F418" i="43"/>
  <c r="F413" i="43"/>
  <c r="F428" i="43"/>
  <c r="F429" i="43"/>
  <c r="F406" i="43"/>
  <c r="F433" i="43"/>
  <c r="D405" i="43"/>
  <c r="D408" i="43"/>
  <c r="D413" i="43"/>
  <c r="D415" i="43"/>
  <c r="D424" i="43"/>
  <c r="D433" i="43"/>
  <c r="D406" i="43"/>
  <c r="D417" i="43"/>
  <c r="D419" i="43"/>
  <c r="D426" i="43"/>
  <c r="D430" i="43"/>
  <c r="D414" i="43"/>
  <c r="D427" i="43"/>
  <c r="D431" i="43"/>
  <c r="D411" i="43"/>
  <c r="D416" i="43"/>
  <c r="D423" i="43"/>
  <c r="D428" i="43"/>
  <c r="D404" i="43"/>
  <c r="D409" i="43"/>
  <c r="D421" i="43"/>
  <c r="D434" i="43"/>
  <c r="D407" i="43"/>
  <c r="D418" i="43"/>
  <c r="D425" i="43"/>
  <c r="D429" i="43"/>
  <c r="D432" i="43"/>
  <c r="D410" i="43"/>
  <c r="D412" i="43"/>
  <c r="D420" i="43"/>
  <c r="D422" i="43"/>
  <c r="E405" i="43"/>
  <c r="E410" i="43"/>
  <c r="E420" i="43"/>
  <c r="E422" i="43"/>
  <c r="E408" i="43"/>
  <c r="E413" i="43"/>
  <c r="E415" i="43"/>
  <c r="E424" i="43"/>
  <c r="E433" i="43"/>
  <c r="E406" i="43"/>
  <c r="E417" i="43"/>
  <c r="E419" i="43"/>
  <c r="E426" i="43"/>
  <c r="E430" i="43"/>
  <c r="E411" i="43"/>
  <c r="E416" i="43"/>
  <c r="E423" i="43"/>
  <c r="E404" i="43"/>
  <c r="E434" i="43"/>
  <c r="E431" i="43"/>
  <c r="E418" i="43"/>
  <c r="E425" i="43"/>
  <c r="E427" i="43"/>
  <c r="E429" i="43"/>
  <c r="E414" i="43"/>
  <c r="E421" i="43"/>
  <c r="E409" i="43"/>
  <c r="E428" i="43"/>
  <c r="E432" i="43"/>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N247" i="43"/>
  <c r="L416" i="43"/>
  <c r="Y247" i="43"/>
  <c r="L427" i="43"/>
  <c r="Y169" i="43"/>
  <c r="K427" i="43"/>
  <c r="G208" i="43"/>
  <c r="K409" i="43"/>
  <c r="Z169" i="43"/>
  <c r="K428" i="43"/>
  <c r="N169" i="43"/>
  <c r="K416" i="43"/>
  <c r="H169" i="43"/>
  <c r="K410" i="43"/>
  <c r="D169" i="43"/>
  <c r="K406" i="43"/>
  <c r="R169" i="43"/>
  <c r="K420" i="43"/>
  <c r="F169" i="43"/>
  <c r="K408" i="43"/>
  <c r="K208" i="43"/>
  <c r="K413"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AE247" i="43"/>
  <c r="L433" i="43"/>
  <c r="M247" i="43"/>
  <c r="L415" i="43"/>
  <c r="D247" i="43"/>
  <c r="L406" i="43"/>
  <c r="G130" i="43"/>
  <c r="J409" i="43"/>
  <c r="T130" i="43"/>
  <c r="J422" i="43"/>
  <c r="I130" i="43"/>
  <c r="J411" i="43"/>
  <c r="X130" i="43"/>
  <c r="J426" i="43"/>
  <c r="AE130" i="43"/>
  <c r="J433" i="43"/>
  <c r="R130" i="43"/>
  <c r="J420" i="43"/>
  <c r="N130" i="43"/>
  <c r="J416" i="43"/>
  <c r="E130" i="43"/>
  <c r="J407" i="43"/>
  <c r="AB130" i="43"/>
  <c r="J430" i="43"/>
  <c r="P130" i="43"/>
  <c r="J418" i="43"/>
  <c r="O130" i="43"/>
  <c r="J417" i="43"/>
  <c r="F130" i="43"/>
  <c r="J408" i="43"/>
  <c r="Z130" i="43"/>
  <c r="J428" i="43"/>
  <c r="S130" i="43"/>
  <c r="J421" i="43"/>
  <c r="W130" i="43"/>
  <c r="J425" i="43"/>
  <c r="D130" i="43"/>
  <c r="J406" i="43"/>
  <c r="AF130" i="43"/>
  <c r="J434" i="43"/>
  <c r="M130" i="43"/>
  <c r="J415" i="43"/>
  <c r="V130" i="43"/>
  <c r="J424" i="43"/>
  <c r="K130" i="43"/>
  <c r="J413" i="43"/>
  <c r="Q130" i="43"/>
  <c r="J419" i="43"/>
  <c r="L130" i="43"/>
  <c r="J414" i="43"/>
  <c r="Y130" i="43"/>
  <c r="J427" i="43"/>
  <c r="J130" i="43"/>
  <c r="J412" i="43"/>
  <c r="AD130" i="43"/>
  <c r="J432" i="43"/>
  <c r="AC130" i="43"/>
  <c r="J431" i="43"/>
  <c r="C130" i="43"/>
  <c r="J405"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<sst xmlns="http://schemas.openxmlformats.org/spreadsheetml/2006/main" count="311" uniqueCount="164">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</sst>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57311168"/>
        <c:axId val="5573119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7311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311952"/>
        <c:crossesAt val="-8.0000000000000019E-3"/>
        <c:crossBetween val="midCat"/>
      </c:valAx>
      <c:valAx>
        <c:axId val="557311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311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42437280"/>
        <c:axId val="6424384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4243728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8456"/>
        <c:crosses val="autoZero"/>
        <c:crossBetween val="midCat"/>
      </c:valAx>
      <c:valAx>
        <c:axId val="64243845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728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42436496"/>
        <c:axId val="6424392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424364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9240"/>
        <c:crosses val="autoZero"/>
        <c:crossBetween val="midCat"/>
        <c:majorUnit val="10000"/>
      </c:valAx>
      <c:valAx>
        <c:axId val="64243924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3649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42436888"/>
        <c:axId val="642443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424368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42443160"/>
        <c:crosses val="autoZero"/>
        <c:crossBetween val="midCat"/>
        <c:majorUnit val="10000"/>
      </c:valAx>
      <c:valAx>
        <c:axId val="64244316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4243688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42440416"/>
        <c:axId val="6424439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42440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3944"/>
        <c:crosses val="autoZero"/>
        <c:crossBetween val="midCat"/>
        <c:majorUnit val="10000"/>
      </c:valAx>
      <c:valAx>
        <c:axId val="64244394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041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5.1778177353843069E-5</c:v>
                </c:pt>
                <c:pt idx="1">
                  <c:v>4.5296123749897124E-5</c:v>
                </c:pt>
                <c:pt idx="2">
                  <c:v>4.6323443019237001E-5</c:v>
                </c:pt>
                <c:pt idx="3">
                  <c:v>2.039085393198963E-5</c:v>
                </c:pt>
                <c:pt idx="4">
                  <c:v>2.0117678645092265E-4</c:v>
                </c:pt>
                <c:pt idx="5">
                  <c:v>4.3812561677949411E-5</c:v>
                </c:pt>
                <c:pt idx="6">
                  <c:v>5.1887745613985414E-6</c:v>
                </c:pt>
                <c:pt idx="7">
                  <c:v>2.2495971014771445E-5</c:v>
                </c:pt>
                <c:pt idx="8">
                  <c:v>5.1752109345642535E-5</c:v>
                </c:pt>
                <c:pt idx="9">
                  <c:v>1.0519680682007685E-4</c:v>
                </c:pt>
                <c:pt idx="10">
                  <c:v>1.8004087827243513E-4</c:v>
                </c:pt>
                <c:pt idx="11">
                  <c:v>2.6311260021177251E-4</c:v>
                </c:pt>
                <c:pt idx="12">
                  <c:v>3.2770809048272392E-4</c:v>
                </c:pt>
                <c:pt idx="13">
                  <c:v>3.4444039770090514E-4</c:v>
                </c:pt>
                <c:pt idx="14">
                  <c:v>3.1171012816443906E-4</c:v>
                </c:pt>
                <c:pt idx="15">
                  <c:v>2.4958432225046049E-4</c:v>
                </c:pt>
                <c:pt idx="16">
                  <c:v>1.8137640546992244E-4</c:v>
                </c:pt>
                <c:pt idx="17">
                  <c:v>1.1622306690306049E-4</c:v>
                </c:pt>
                <c:pt idx="18">
                  <c:v>6.851612757936128E-5</c:v>
                </c:pt>
                <c:pt idx="19">
                  <c:v>2.5106286741774794E-5</c:v>
                </c:pt>
                <c:pt idx="20">
                  <c:v>9.1640009268335533E-6</c:v>
                </c:pt>
                <c:pt idx="21">
                  <c:v>1.1653119290182292E-5</c:v>
                </c:pt>
                <c:pt idx="22">
                  <c:v>8.6218571673127158E-6</c:v>
                </c:pt>
                <c:pt idx="23">
                  <c:v>1.4083718211945254E-4</c:v>
                </c:pt>
                <c:pt idx="24">
                  <c:v>8.5190332708262483E-7</c:v>
                </c:pt>
                <c:pt idx="25">
                  <c:v>1.8395176336295695E-4</c:v>
                </c:pt>
                <c:pt idx="26">
                  <c:v>2.1965171382670265E-4</c:v>
                </c:pt>
                <c:pt idx="27">
                  <c:v>2.5577712407989783E-4</c:v>
                </c:pt>
                <c:pt idx="28">
                  <c:v>5.9056677790350861E-5</c:v>
                </c:pt>
                <c:pt idx="29">
                  <c:v>5.3428923619743307E-5</c:v>
                </c:pt>
                <c:pt idx="30">
                  <c:v>7.4175197145380425E-5</c:v>
                </c:pt>
              </c:numCache>
            </c:numRef>
          </c:yVal>
          <c:smooth val="1"/>
        </c:ser>
        <c:dLbls>
          <c:showLegendKey val="0"/>
          <c:showVal val="0"/>
          <c:showCatName val="0"/>
          <c:showSerName val="0"/>
          <c:showPercent val="0"/>
          <c:showBubbleSize val="0"/>
        </c:dLbls>
        <c:axId val="642441984"/>
        <c:axId val="642441592"/>
      </c:scatterChart>
      <c:valAx>
        <c:axId val="6424419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1592"/>
        <c:crossesAt val="-1.5000000000000005E-3"/>
        <c:crossBetween val="midCat"/>
      </c:valAx>
      <c:valAx>
        <c:axId val="6424415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4244198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dLbls>
          <c:showLegendKey val="0"/>
          <c:showVal val="0"/>
          <c:showCatName val="0"/>
          <c:showSerName val="0"/>
          <c:showPercent val="0"/>
          <c:showBubbleSize val="0"/>
        </c:dLbls>
        <c:axId val="443247240"/>
        <c:axId val="443247632"/>
      </c:scatterChart>
      <c:valAx>
        <c:axId val="4432472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7632"/>
        <c:crosses val="autoZero"/>
        <c:crossBetween val="midCat"/>
      </c:valAx>
      <c:valAx>
        <c:axId val="443247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724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2.5360978761204147E-3</c:v>
                </c:pt>
                <c:pt idx="1">
                  <c:v>2.5423395621178872E-3</c:v>
                </c:pt>
                <c:pt idx="2">
                  <c:v>2.538590013298485E-3</c:v>
                </c:pt>
                <c:pt idx="3">
                  <c:v>2.5381069521783085E-3</c:v>
                </c:pt>
                <c:pt idx="4">
                  <c:v>2.5440363391885474E-3</c:v>
                </c:pt>
                <c:pt idx="5">
                  <c:v>2.60569528908217E-3</c:v>
                </c:pt>
                <c:pt idx="6">
                  <c:v>3.137505526470177E-3</c:v>
                </c:pt>
                <c:pt idx="7">
                  <c:v>4.6902878953289902E-3</c:v>
                </c:pt>
                <c:pt idx="8">
                  <c:v>4.7922252250403577E-3</c:v>
                </c:pt>
                <c:pt idx="9">
                  <c:v>4.7922256002997793E-3</c:v>
                </c:pt>
                <c:pt idx="10">
                  <c:v>4.7922293528920102E-3</c:v>
                </c:pt>
                <c:pt idx="11">
                  <c:v>4.7922601164642363E-3</c:v>
                </c:pt>
                <c:pt idx="12">
                  <c:v>4.7925271717808669E-3</c:v>
                </c:pt>
                <c:pt idx="13">
                  <c:v>4.7951192894189415E-3</c:v>
                </c:pt>
                <c:pt idx="14">
                  <c:v>4.8210480444449708E-3</c:v>
                </c:pt>
                <c:pt idx="15">
                  <c:v>5.074009453636133E-3</c:v>
                </c:pt>
                <c:pt idx="16">
                  <c:v>7.0776291473790276E-3</c:v>
                </c:pt>
                <c:pt idx="17">
                  <c:v>1.2378259960439777E-2</c:v>
                </c:pt>
                <c:pt idx="18">
                  <c:v>1.5087469713457792E-2</c:v>
                </c:pt>
                <c:pt idx="19">
                  <c:v>1.5317532451906922E-2</c:v>
                </c:pt>
                <c:pt idx="20">
                  <c:v>1.4876296490147494E-2</c:v>
                </c:pt>
                <c:pt idx="21">
                  <c:v>5.0302487848968239E-3</c:v>
                </c:pt>
                <c:pt idx="22">
                  <c:v>1.0527541005558909E-2</c:v>
                </c:pt>
                <c:pt idx="23">
                  <c:v>2.0819855542868231E-2</c:v>
                </c:pt>
                <c:pt idx="24">
                  <c:v>3.6302827424248944E-2</c:v>
                </c:pt>
                <c:pt idx="25">
                  <c:v>4.0716630783339557E-2</c:v>
                </c:pt>
                <c:pt idx="26">
                  <c:v>4.5564369943299855E-2</c:v>
                </c:pt>
                <c:pt idx="27">
                  <c:v>3.5224704634995128E-2</c:v>
                </c:pt>
                <c:pt idx="28">
                  <c:v>5.1504582775558872E-3</c:v>
                </c:pt>
                <c:pt idx="29">
                  <c:v>3.0944903997317037E-2</c:v>
                </c:pt>
                <c:pt idx="30">
                  <c:v>8.2684861555053349E-2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3.7363137610194271E-5</c:v>
                </c:pt>
                <c:pt idx="1">
                  <c:v>1.2327637844810903E-3</c:v>
                </c:pt>
                <c:pt idx="2">
                  <c:v>1.2327278937387682E-3</c:v>
                </c:pt>
                <c:pt idx="3">
                  <c:v>1.2315858465667122E-3</c:v>
                </c:pt>
                <c:pt idx="4">
                  <c:v>1.2312453776028255E-3</c:v>
                </c:pt>
                <c:pt idx="5">
                  <c:v>1.2311744938247947E-3</c:v>
                </c:pt>
                <c:pt idx="6">
                  <c:v>1.2315442117825605E-3</c:v>
                </c:pt>
                <c:pt idx="7">
                  <c:v>1.2357930360968707E-3</c:v>
                </c:pt>
                <c:pt idx="8">
                  <c:v>1.2780163988271669E-3</c:v>
                </c:pt>
                <c:pt idx="9">
                  <c:v>1.6750046998205298E-3</c:v>
                </c:pt>
                <c:pt idx="10">
                  <c:v>3.9210847067672845E-3</c:v>
                </c:pt>
                <c:pt idx="11">
                  <c:v>5.3203518140687994E-3</c:v>
                </c:pt>
                <c:pt idx="12">
                  <c:v>7.0452270331736507E-3</c:v>
                </c:pt>
                <c:pt idx="13">
                  <c:v>7.9436232244753276E-3</c:v>
                </c:pt>
                <c:pt idx="14">
                  <c:v>9.6287109479904053E-3</c:v>
                </c:pt>
                <c:pt idx="15">
                  <c:v>1.1032376366445719E-2</c:v>
                </c:pt>
                <c:pt idx="16">
                  <c:v>1.2419817845245745E-2</c:v>
                </c:pt>
                <c:pt idx="17">
                  <c:v>1.0003050641536976E-2</c:v>
                </c:pt>
                <c:pt idx="18">
                  <c:v>4.5352778166598846E-3</c:v>
                </c:pt>
                <c:pt idx="19">
                  <c:v>1.7665554349123945E-2</c:v>
                </c:pt>
                <c:pt idx="20">
                  <c:v>3.0345812807382591E-2</c:v>
                </c:pt>
                <c:pt idx="21">
                  <c:v>2.6651018610686385E-2</c:v>
                </c:pt>
                <c:pt idx="22">
                  <c:v>6.1759808061446105E-3</c:v>
                </c:pt>
                <c:pt idx="23">
                  <c:v>1.8920510372995466E-2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5.1778193198967456E-5</c:v>
                </c:pt>
                <c:pt idx="1">
                  <c:v>4.5296282183090664E-5</c:v>
                </c:pt>
                <c:pt idx="2">
                  <c:v>4.6325025703931599E-5</c:v>
                </c:pt>
                <c:pt idx="3">
                  <c:v>2.040651675839886E-5</c:v>
                </c:pt>
                <c:pt idx="4">
                  <c:v>2.0103520052376476E-4</c:v>
                </c:pt>
                <c:pt idx="5">
                  <c:v>4.4517825767880555E-5</c:v>
                </c:pt>
                <c:pt idx="6">
                  <c:v>6.7644296365472497E-6</c:v>
                </c:pt>
                <c:pt idx="7">
                  <c:v>2.1013310442470406E-5</c:v>
                </c:pt>
                <c:pt idx="8">
                  <c:v>5.3666805008742518E-5</c:v>
                </c:pt>
                <c:pt idx="9">
                  <c:v>1.0295167797745228E-4</c:v>
                </c:pt>
                <c:pt idx="10">
                  <c:v>1.8232757904908996E-4</c:v>
                </c:pt>
                <c:pt idx="11">
                  <c:v>2.5972999729396068E-4</c:v>
                </c:pt>
                <c:pt idx="12">
                  <c:v>3.3079464959780668E-4</c:v>
                </c:pt>
                <c:pt idx="13">
                  <c:v>3.4088089840205772E-4</c:v>
                </c:pt>
                <c:pt idx="14">
                  <c:v>3.1537395451602772E-4</c:v>
                </c:pt>
                <c:pt idx="15">
                  <c:v>2.4495896422677078E-4</c:v>
                </c:pt>
                <c:pt idx="16">
                  <c:v>1.8842862107677498E-4</c:v>
                </c:pt>
                <c:pt idx="17">
                  <c:v>1.0715973711795955E-4</c:v>
                </c:pt>
                <c:pt idx="18">
                  <c:v>8.105220983401004E-5</c:v>
                </c:pt>
                <c:pt idx="19">
                  <c:v>7.8380803483707334E-6</c:v>
                </c:pt>
                <c:pt idx="20">
                  <c:v>1.266290299064302E-5</c:v>
                </c:pt>
                <c:pt idx="21">
                  <c:v>3.3278826230809595E-5</c:v>
                </c:pt>
                <c:pt idx="22">
                  <c:v>4.5373802311387114E-5</c:v>
                </c:pt>
                <c:pt idx="23">
                  <c:v>1.1676718709768515E-4</c:v>
                </c:pt>
                <c:pt idx="24">
                  <c:v>3.411981883021458E-6</c:v>
                </c:pt>
                <c:pt idx="25">
                  <c:v>1.9156750619861657E-4</c:v>
                </c:pt>
                <c:pt idx="26">
                  <c:v>2.1963133440515954E-4</c:v>
                </c:pt>
                <c:pt idx="27">
                  <c:v>2.5581566121553599E-4</c:v>
                </c:pt>
                <c:pt idx="28">
                  <c:v>5.9056390808318912E-5</c:v>
                </c:pt>
                <c:pt idx="29">
                  <c:v>5.3428156024000229E-5</c:v>
                </c:pt>
                <c:pt idx="30">
                  <c:v>7.417254966307758E-5</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7.2798134742550428E-3</c:v>
                </c:pt>
                <c:pt idx="1">
                  <c:v>3.6523505592277648E-5</c:v>
                </c:pt>
                <c:pt idx="2">
                  <c:v>3.9440506523135618E-3</c:v>
                </c:pt>
                <c:pt idx="3">
                  <c:v>2.2630224774973762E-3</c:v>
                </c:pt>
                <c:pt idx="4">
                  <c:v>4.9614427302311376E-3</c:v>
                </c:pt>
                <c:pt idx="5">
                  <c:v>3.1397051245189234E-3</c:v>
                </c:pt>
                <c:pt idx="6">
                  <c:v>4.1028214128376482E-3</c:v>
                </c:pt>
                <c:pt idx="7">
                  <c:v>9.3646859427944582E-3</c:v>
                </c:pt>
                <c:pt idx="8">
                  <c:v>1.1319579110089153E-2</c:v>
                </c:pt>
                <c:pt idx="9">
                  <c:v>1.1401232790361258E-2</c:v>
                </c:pt>
                <c:pt idx="10">
                  <c:v>2.70573286800567E-2</c:v>
                </c:pt>
                <c:pt idx="11">
                  <c:v>6.6402338631512792E-2</c:v>
                </c:pt>
                <c:pt idx="12">
                  <c:v>1.514930026949694E-2</c:v>
                </c:pt>
                <c:pt idx="13">
                  <c:v>4.5336718219825024E-2</c:v>
                </c:pt>
                <c:pt idx="14">
                  <c:v>8.7703384221886806E-3</c:v>
                </c:pt>
                <c:pt idx="15">
                  <c:v>2.08800230716015E-2</c:v>
                </c:pt>
                <c:pt idx="16">
                  <c:v>1.1191986385556124E-2</c:v>
                </c:pt>
                <c:pt idx="17">
                  <c:v>1.1189950280492285E-2</c:v>
                </c:pt>
                <c:pt idx="18">
                  <c:v>1.037656180614605E-2</c:v>
                </c:pt>
                <c:pt idx="19">
                  <c:v>9.397396354165876E-3</c:v>
                </c:pt>
                <c:pt idx="20">
                  <c:v>8.1851906776855606E-3</c:v>
                </c:pt>
                <c:pt idx="21">
                  <c:v>6.7497613388202643E-3</c:v>
                </c:pt>
                <c:pt idx="22">
                  <c:v>5.20134524148141E-3</c:v>
                </c:pt>
                <c:pt idx="23">
                  <c:v>3.6228056978485934E-3</c:v>
                </c:pt>
                <c:pt idx="24">
                  <c:v>3.5884531279440092E-3</c:v>
                </c:pt>
                <c:pt idx="25">
                  <c:v>2.8469971753302499E-3</c:v>
                </c:pt>
                <c:pt idx="26">
                  <c:v>1.8446883475729114E-3</c:v>
                </c:pt>
                <c:pt idx="27">
                  <c:v>8.1191551916452785E-4</c:v>
                </c:pt>
                <c:pt idx="28">
                  <c:v>7.5204288547326336E-4</c:v>
                </c:pt>
                <c:pt idx="29">
                  <c:v>7.2302381765910746E-4</c:v>
                </c:pt>
                <c:pt idx="30">
                  <c:v>7.0243352472870431E-4</c:v>
                </c:pt>
              </c:numCache>
            </c:numRef>
          </c:yVal>
          <c:smooth val="1"/>
        </c:ser>
        <c:dLbls>
          <c:showLegendKey val="0"/>
          <c:showVal val="0"/>
          <c:showCatName val="0"/>
          <c:showSerName val="0"/>
          <c:showPercent val="0"/>
          <c:showBubbleSize val="0"/>
        </c:dLbls>
        <c:axId val="443249592"/>
        <c:axId val="443248808"/>
      </c:scatterChart>
      <c:valAx>
        <c:axId val="443249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8808"/>
        <c:crossesAt val="1.0000000000000005E-9"/>
        <c:crossBetween val="midCat"/>
      </c:valAx>
      <c:valAx>
        <c:axId val="443248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959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-26.500682963138459</c:v>
                </c:pt>
                <c:pt idx="1">
                  <c:v>-22.958170002975599</c:v>
                </c:pt>
                <c:pt idx="2">
                  <c:v>-18.648467323418366</c:v>
                </c:pt>
                <c:pt idx="3">
                  <c:v>-11.958520051934006</c:v>
                </c:pt>
                <c:pt idx="4">
                  <c:v>0</c:v>
                </c:pt>
                <c:pt idx="5">
                  <c:v>19.686903376106656</c:v>
                </c:pt>
                <c:pt idx="6">
                  <c:v>23.845951458670253</c:v>
                </c:pt>
              </c:numCache>
            </c:numRef>
          </c:yVal>
          <c:smooth val="0"/>
        </c:ser>
        <c:dLbls>
          <c:showLegendKey val="0"/>
          <c:showVal val="0"/>
          <c:showCatName val="0"/>
          <c:showSerName val="0"/>
          <c:showPercent val="0"/>
          <c:showBubbleSize val="0"/>
        </c:dLbls>
        <c:axId val="443248416"/>
        <c:axId val="553557600"/>
      </c:scatterChart>
      <c:valAx>
        <c:axId val="443248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7600"/>
        <c:crossesAt val="-100"/>
        <c:crossBetween val="midCat"/>
      </c:valAx>
      <c:valAx>
        <c:axId val="55355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324841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553558384"/>
        <c:axId val="553557208"/>
      </c:scatterChart>
      <c:valAx>
        <c:axId val="5535583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7208"/>
        <c:crosses val="autoZero"/>
        <c:crossBetween val="midCat"/>
      </c:valAx>
      <c:valAx>
        <c:axId val="5535572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838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553554856"/>
        <c:axId val="553555248"/>
      </c:scatterChart>
      <c:valAx>
        <c:axId val="55355485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5248"/>
        <c:crosses val="autoZero"/>
        <c:crossBetween val="midCat"/>
      </c:valAx>
      <c:valAx>
        <c:axId val="553555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55485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3.0967034820173342E-27</c:v>
                </c:pt>
                <c:pt idx="1">
                  <c:v>3.0967034820173337E-26</c:v>
                </c:pt>
                <c:pt idx="2">
                  <c:v>3.0967034820173343E-25</c:v>
                </c:pt>
                <c:pt idx="3">
                  <c:v>3.0967034820173337E-24</c:v>
                </c:pt>
                <c:pt idx="4">
                  <c:v>3.096703482017334E-23</c:v>
                </c:pt>
                <c:pt idx="5">
                  <c:v>3.0967034820173341E-22</c:v>
                </c:pt>
                <c:pt idx="6">
                  <c:v>3.0967034820173343E-21</c:v>
                </c:pt>
                <c:pt idx="7">
                  <c:v>3.096703482017334E-20</c:v>
                </c:pt>
                <c:pt idx="8">
                  <c:v>3.0967034820173339E-19</c:v>
                </c:pt>
                <c:pt idx="9">
                  <c:v>3.0967034820173337E-18</c:v>
                </c:pt>
                <c:pt idx="10">
                  <c:v>3.0967034820173343E-17</c:v>
                </c:pt>
                <c:pt idx="11">
                  <c:v>3.0967034820173343E-16</c:v>
                </c:pt>
                <c:pt idx="12">
                  <c:v>3.096703482017334E-15</c:v>
                </c:pt>
                <c:pt idx="13">
                  <c:v>3.0967034820173341E-14</c:v>
                </c:pt>
                <c:pt idx="14">
                  <c:v>3.0967034820173341E-13</c:v>
                </c:pt>
                <c:pt idx="15">
                  <c:v>3.0967034820173341E-12</c:v>
                </c:pt>
                <c:pt idx="16">
                  <c:v>3.0967034820173337E-11</c:v>
                </c:pt>
                <c:pt idx="17">
                  <c:v>3.0967034820173337E-10</c:v>
                </c:pt>
                <c:pt idx="18">
                  <c:v>3.0967034820173339E-9</c:v>
                </c:pt>
                <c:pt idx="19">
                  <c:v>3.096703482017334E-8</c:v>
                </c:pt>
                <c:pt idx="20">
                  <c:v>3.0967034820173337E-7</c:v>
                </c:pt>
                <c:pt idx="21">
                  <c:v>3.0967034820173342E-6</c:v>
                </c:pt>
                <c:pt idx="22">
                  <c:v>3.0967034820173339E-5</c:v>
                </c:pt>
                <c:pt idx="23">
                  <c:v>3.0967034820173341E-4</c:v>
                </c:pt>
                <c:pt idx="24">
                  <c:v>3.0967034820173342E-3</c:v>
                </c:pt>
                <c:pt idx="25">
                  <c:v>3.096703482017334E-2</c:v>
                </c:pt>
                <c:pt idx="26">
                  <c:v>0.30967034820173339</c:v>
                </c:pt>
                <c:pt idx="27">
                  <c:v>3.0967034820173338</c:v>
                </c:pt>
                <c:pt idx="28">
                  <c:v>30.967034820173339</c:v>
                </c:pt>
                <c:pt idx="29">
                  <c:v>309.67034820173342</c:v>
                </c:pt>
                <c:pt idx="30">
                  <c:v>3096.703482017334</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1.0700238382509549E-25</c:v>
                </c:pt>
                <c:pt idx="1">
                  <c:v>1.070023838250955E-24</c:v>
                </c:pt>
                <c:pt idx="2">
                  <c:v>1.0700238382509549E-23</c:v>
                </c:pt>
                <c:pt idx="3">
                  <c:v>1.0700238382509548E-22</c:v>
                </c:pt>
                <c:pt idx="4">
                  <c:v>1.0700238382509549E-21</c:v>
                </c:pt>
                <c:pt idx="5">
                  <c:v>1.0700238382509549E-20</c:v>
                </c:pt>
                <c:pt idx="6">
                  <c:v>1.0700238382509549E-19</c:v>
                </c:pt>
                <c:pt idx="7">
                  <c:v>1.070023838250955E-18</c:v>
                </c:pt>
                <c:pt idx="8">
                  <c:v>1.0700238382509548E-17</c:v>
                </c:pt>
                <c:pt idx="9">
                  <c:v>1.0700238382509548E-16</c:v>
                </c:pt>
                <c:pt idx="10">
                  <c:v>1.070023838250955E-15</c:v>
                </c:pt>
                <c:pt idx="11">
                  <c:v>1.070023838250955E-14</c:v>
                </c:pt>
                <c:pt idx="12">
                  <c:v>1.0700238382509549E-13</c:v>
                </c:pt>
                <c:pt idx="13">
                  <c:v>1.0700238382509549E-12</c:v>
                </c:pt>
                <c:pt idx="14">
                  <c:v>1.070023838250955E-11</c:v>
                </c:pt>
                <c:pt idx="15">
                  <c:v>1.0700238382509549E-10</c:v>
                </c:pt>
                <c:pt idx="16">
                  <c:v>1.0700238382509549E-9</c:v>
                </c:pt>
                <c:pt idx="17">
                  <c:v>1.0700238382509549E-8</c:v>
                </c:pt>
                <c:pt idx="18">
                  <c:v>1.0700238382509549E-7</c:v>
                </c:pt>
                <c:pt idx="19">
                  <c:v>1.0700238382509549E-6</c:v>
                </c:pt>
                <c:pt idx="20">
                  <c:v>1.0700238382509549E-5</c:v>
                </c:pt>
                <c:pt idx="21">
                  <c:v>1.0700238382509549E-4</c:v>
                </c:pt>
                <c:pt idx="22">
                  <c:v>1.070023838250955E-3</c:v>
                </c:pt>
                <c:pt idx="23">
                  <c:v>1.0700238382509549E-2</c:v>
                </c:pt>
                <c:pt idx="24">
                  <c:v>0.10700238382509548</c:v>
                </c:pt>
                <c:pt idx="25">
                  <c:v>1.0700238382509548</c:v>
                </c:pt>
                <c:pt idx="26">
                  <c:v>10.70023838250955</c:v>
                </c:pt>
                <c:pt idx="27">
                  <c:v>107.00238382509549</c:v>
                </c:pt>
                <c:pt idx="28">
                  <c:v>1070.0238382509549</c:v>
                </c:pt>
                <c:pt idx="29">
                  <c:v>10700.238382509549</c:v>
                </c:pt>
                <c:pt idx="30">
                  <c:v>107002.38382509549</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7.9629418723247065E-24</c:v>
                </c:pt>
                <c:pt idx="1">
                  <c:v>7.9629418723247062E-23</c:v>
                </c:pt>
                <c:pt idx="2">
                  <c:v>7.9629418723247064E-22</c:v>
                </c:pt>
                <c:pt idx="3">
                  <c:v>7.9629418723247057E-21</c:v>
                </c:pt>
                <c:pt idx="4">
                  <c:v>7.9629418723247054E-20</c:v>
                </c:pt>
                <c:pt idx="5">
                  <c:v>7.9629418723247071E-19</c:v>
                </c:pt>
                <c:pt idx="6">
                  <c:v>7.9629418723247073E-18</c:v>
                </c:pt>
                <c:pt idx="7">
                  <c:v>7.962941872324707E-17</c:v>
                </c:pt>
                <c:pt idx="8">
                  <c:v>7.9629418723247065E-16</c:v>
                </c:pt>
                <c:pt idx="9">
                  <c:v>7.9629418723247057E-15</c:v>
                </c:pt>
                <c:pt idx="10">
                  <c:v>7.9629418723247066E-14</c:v>
                </c:pt>
                <c:pt idx="11">
                  <c:v>7.9629418723247071E-13</c:v>
                </c:pt>
                <c:pt idx="12">
                  <c:v>7.9629418723247059E-12</c:v>
                </c:pt>
                <c:pt idx="13">
                  <c:v>7.9629418723247062E-11</c:v>
                </c:pt>
                <c:pt idx="14">
                  <c:v>7.962941872324707E-10</c:v>
                </c:pt>
                <c:pt idx="15">
                  <c:v>7.9629418723247068E-9</c:v>
                </c:pt>
                <c:pt idx="16">
                  <c:v>7.9629418723247061E-8</c:v>
                </c:pt>
                <c:pt idx="17">
                  <c:v>7.9629418723247061E-7</c:v>
                </c:pt>
                <c:pt idx="18">
                  <c:v>7.9629418723247057E-6</c:v>
                </c:pt>
                <c:pt idx="19">
                  <c:v>7.9629418723247067E-5</c:v>
                </c:pt>
                <c:pt idx="20">
                  <c:v>7.9629418723247065E-4</c:v>
                </c:pt>
                <c:pt idx="21">
                  <c:v>7.9629418723247067E-3</c:v>
                </c:pt>
                <c:pt idx="22">
                  <c:v>7.9629418723247067E-2</c:v>
                </c:pt>
                <c:pt idx="23">
                  <c:v>0.79629418723247058</c:v>
                </c:pt>
                <c:pt idx="24">
                  <c:v>7.9629418723247065</c:v>
                </c:pt>
                <c:pt idx="25">
                  <c:v>79.62941872324707</c:v>
                </c:pt>
                <c:pt idx="26">
                  <c:v>796.29418723247068</c:v>
                </c:pt>
                <c:pt idx="27">
                  <c:v>7962.9418723247063</c:v>
                </c:pt>
                <c:pt idx="28">
                  <c:v>79629.418723247058</c:v>
                </c:pt>
                <c:pt idx="29">
                  <c:v>796294.18723247061</c:v>
                </c:pt>
                <c:pt idx="30">
                  <c:v>7962941.8723247061</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6.4044336352574559E-21</c:v>
                </c:pt>
                <c:pt idx="1">
                  <c:v>6.4044336352574548E-20</c:v>
                </c:pt>
                <c:pt idx="2">
                  <c:v>6.4044336352574551E-19</c:v>
                </c:pt>
                <c:pt idx="3">
                  <c:v>6.4044336352574554E-18</c:v>
                </c:pt>
                <c:pt idx="4">
                  <c:v>6.4044336352574545E-17</c:v>
                </c:pt>
                <c:pt idx="5">
                  <c:v>6.4044336352574558E-16</c:v>
                </c:pt>
                <c:pt idx="6">
                  <c:v>6.4044336352574558E-15</c:v>
                </c:pt>
                <c:pt idx="7">
                  <c:v>6.4044336352574553E-14</c:v>
                </c:pt>
                <c:pt idx="8">
                  <c:v>6.4044336352574553E-13</c:v>
                </c:pt>
                <c:pt idx="9">
                  <c:v>6.4044336352574553E-12</c:v>
                </c:pt>
                <c:pt idx="10">
                  <c:v>6.4044336352574558E-11</c:v>
                </c:pt>
                <c:pt idx="11">
                  <c:v>6.4044336352574558E-10</c:v>
                </c:pt>
                <c:pt idx="12">
                  <c:v>6.4044336352574551E-9</c:v>
                </c:pt>
                <c:pt idx="13">
                  <c:v>6.4044336352574555E-8</c:v>
                </c:pt>
                <c:pt idx="14">
                  <c:v>6.4044336352574552E-7</c:v>
                </c:pt>
                <c:pt idx="15">
                  <c:v>6.404433635257455E-6</c:v>
                </c:pt>
                <c:pt idx="16">
                  <c:v>6.4044336352574548E-5</c:v>
                </c:pt>
                <c:pt idx="17">
                  <c:v>6.4044336352574551E-4</c:v>
                </c:pt>
                <c:pt idx="18">
                  <c:v>6.4044336352574553E-3</c:v>
                </c:pt>
                <c:pt idx="19">
                  <c:v>6.4044336352574546E-2</c:v>
                </c:pt>
                <c:pt idx="20">
                  <c:v>0.64044336352574549</c:v>
                </c:pt>
                <c:pt idx="21">
                  <c:v>6.4044336352574556</c:v>
                </c:pt>
                <c:pt idx="22">
                  <c:v>64.044336352574547</c:v>
                </c:pt>
                <c:pt idx="23">
                  <c:v>640.44336352574555</c:v>
                </c:pt>
                <c:pt idx="24">
                  <c:v>6404.4336352574555</c:v>
                </c:pt>
                <c:pt idx="25">
                  <c:v>64044.336352574552</c:v>
                </c:pt>
                <c:pt idx="26">
                  <c:v>640443.36352574558</c:v>
                </c:pt>
                <c:pt idx="27">
                  <c:v>6404433.6352574555</c:v>
                </c:pt>
                <c:pt idx="28">
                  <c:v>64044336.35257455</c:v>
                </c:pt>
                <c:pt idx="29">
                  <c:v>640443363.52574551</c:v>
                </c:pt>
                <c:pt idx="30">
                  <c:v>6404433635.2574549</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3.5474272844529211E-7</c:v>
                </c:pt>
                <c:pt idx="1">
                  <c:v>3.5474272844529212E-6</c:v>
                </c:pt>
                <c:pt idx="2">
                  <c:v>3.547427284452921E-5</c:v>
                </c:pt>
                <c:pt idx="3">
                  <c:v>3.5474272844529211E-4</c:v>
                </c:pt>
                <c:pt idx="4">
                  <c:v>3.547427284452921E-3</c:v>
                </c:pt>
                <c:pt idx="5">
                  <c:v>3.5474272844529212E-2</c:v>
                </c:pt>
                <c:pt idx="6">
                  <c:v>0.35474272844529214</c:v>
                </c:pt>
                <c:pt idx="7">
                  <c:v>3.5474272844529211</c:v>
                </c:pt>
                <c:pt idx="8">
                  <c:v>35.47427284452921</c:v>
                </c:pt>
                <c:pt idx="9">
                  <c:v>354.74272844529207</c:v>
                </c:pt>
                <c:pt idx="10">
                  <c:v>3547.4272844529214</c:v>
                </c:pt>
                <c:pt idx="11">
                  <c:v>35474.272844529209</c:v>
                </c:pt>
                <c:pt idx="12">
                  <c:v>354742.7284452921</c:v>
                </c:pt>
                <c:pt idx="13">
                  <c:v>3547427.2844529212</c:v>
                </c:pt>
                <c:pt idx="14">
                  <c:v>35474272.844529212</c:v>
                </c:pt>
                <c:pt idx="15">
                  <c:v>354742728.44529212</c:v>
                </c:pt>
                <c:pt idx="16">
                  <c:v>3547427284.4529209</c:v>
                </c:pt>
                <c:pt idx="17">
                  <c:v>35474272844.529213</c:v>
                </c:pt>
                <c:pt idx="18">
                  <c:v>354742728445.29211</c:v>
                </c:pt>
                <c:pt idx="19">
                  <c:v>3547427284452.9209</c:v>
                </c:pt>
                <c:pt idx="20">
                  <c:v>35474272844529.211</c:v>
                </c:pt>
                <c:pt idx="21">
                  <c:v>354742728445292.12</c:v>
                </c:pt>
                <c:pt idx="22">
                  <c:v>3547427284452921</c:v>
                </c:pt>
                <c:pt idx="23">
                  <c:v>3.5474272844529212E+16</c:v>
                </c:pt>
                <c:pt idx="24">
                  <c:v>3.547427284452921E+17</c:v>
                </c:pt>
                <c:pt idx="25">
                  <c:v>3.5474272844529208E+18</c:v>
                </c:pt>
                <c:pt idx="26">
                  <c:v>3.5474272844529209E+19</c:v>
                </c:pt>
                <c:pt idx="27">
                  <c:v>3.5474272844529212E+20</c:v>
                </c:pt>
                <c:pt idx="28">
                  <c:v>3.5474272844529208E+21</c:v>
                </c:pt>
                <c:pt idx="29">
                  <c:v>3.547427284452921E+22</c:v>
                </c:pt>
                <c:pt idx="30">
                  <c:v>3.5474272844529212E+23</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2.2707280994703249E-5</c:v>
                </c:pt>
                <c:pt idx="1">
                  <c:v>2.2707280994703247E-4</c:v>
                </c:pt>
                <c:pt idx="2">
                  <c:v>2.2707280994703248E-3</c:v>
                </c:pt>
                <c:pt idx="3">
                  <c:v>2.2707280994703247E-2</c:v>
                </c:pt>
                <c:pt idx="4">
                  <c:v>0.22707280994703247</c:v>
                </c:pt>
                <c:pt idx="5">
                  <c:v>2.2707280994703249</c:v>
                </c:pt>
                <c:pt idx="6">
                  <c:v>22.70728099470325</c:v>
                </c:pt>
                <c:pt idx="7">
                  <c:v>227.07280994703248</c:v>
                </c:pt>
                <c:pt idx="8">
                  <c:v>2270.7280994703247</c:v>
                </c:pt>
                <c:pt idx="9">
                  <c:v>22707.280994703247</c:v>
                </c:pt>
                <c:pt idx="10">
                  <c:v>227072.80994703251</c:v>
                </c:pt>
                <c:pt idx="11">
                  <c:v>2270728.0994703248</c:v>
                </c:pt>
                <c:pt idx="12">
                  <c:v>22707280.994703248</c:v>
                </c:pt>
                <c:pt idx="13">
                  <c:v>227072809.94703248</c:v>
                </c:pt>
                <c:pt idx="14">
                  <c:v>2270728099.470325</c:v>
                </c:pt>
                <c:pt idx="15">
                  <c:v>22707280994.703247</c:v>
                </c:pt>
                <c:pt idx="16">
                  <c:v>227072809947.03247</c:v>
                </c:pt>
                <c:pt idx="17">
                  <c:v>2270728099470.3247</c:v>
                </c:pt>
                <c:pt idx="18">
                  <c:v>22707280994703.246</c:v>
                </c:pt>
                <c:pt idx="19">
                  <c:v>227072809947032.47</c:v>
                </c:pt>
                <c:pt idx="20">
                  <c:v>2270728099470325</c:v>
                </c:pt>
                <c:pt idx="21">
                  <c:v>2.2707280994703248E+16</c:v>
                </c:pt>
                <c:pt idx="22">
                  <c:v>2.2707280994703248E+17</c:v>
                </c:pt>
                <c:pt idx="23">
                  <c:v>2.2707280994703247E+18</c:v>
                </c:pt>
                <c:pt idx="24">
                  <c:v>2.2707280994703249E+19</c:v>
                </c:pt>
                <c:pt idx="25">
                  <c:v>2.2707280994703249E+20</c:v>
                </c:pt>
                <c:pt idx="26">
                  <c:v>2.2707280994703248E+21</c:v>
                </c:pt>
                <c:pt idx="27">
                  <c:v>2.2707280994703247E+22</c:v>
                </c:pt>
                <c:pt idx="28">
                  <c:v>2.2707280994703248E+23</c:v>
                </c:pt>
                <c:pt idx="29">
                  <c:v>2.2707280994703248E+24</c:v>
                </c:pt>
                <c:pt idx="30">
                  <c:v>2.2707280994703247E+25</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451046712"/>
        <c:axId val="451047496"/>
      </c:scatterChart>
      <c:valAx>
        <c:axId val="4510467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47496"/>
        <c:crosses val="autoZero"/>
        <c:crossBetween val="midCat"/>
      </c:valAx>
      <c:valAx>
        <c:axId val="45104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4671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-26.500682963138459</c:v>
                </c:pt>
                <c:pt idx="1">
                  <c:v>-26.433078251979069</c:v>
                </c:pt>
                <c:pt idx="2">
                  <c:v>-26.365394898745212</c:v>
                </c:pt>
                <c:pt idx="3">
                  <c:v>-26.297554261362428</c:v>
                </c:pt>
                <c:pt idx="4">
                  <c:v>-26.229477697756252</c:v>
                </c:pt>
                <c:pt idx="5">
                  <c:v>-26.161086565852223</c:v>
                </c:pt>
                <c:pt idx="6">
                  <c:v>-26.092302223575867</c:v>
                </c:pt>
                <c:pt idx="7">
                  <c:v>-26.023046028852725</c:v>
                </c:pt>
                <c:pt idx="8">
                  <c:v>-25.953239339608341</c:v>
                </c:pt>
                <c:pt idx="9">
                  <c:v>-25.882803513768245</c:v>
                </c:pt>
                <c:pt idx="10">
                  <c:v>-25.811659909257965</c:v>
                </c:pt>
                <c:pt idx="11">
                  <c:v>-25.739729884003047</c:v>
                </c:pt>
                <c:pt idx="12">
                  <c:v>-25.666934795929027</c:v>
                </c:pt>
                <c:pt idx="13">
                  <c:v>-25.593196002961434</c:v>
                </c:pt>
                <c:pt idx="14">
                  <c:v>-25.518434863025814</c:v>
                </c:pt>
                <c:pt idx="15">
                  <c:v>-25.442572734047694</c:v>
                </c:pt>
                <c:pt idx="16">
                  <c:v>-25.365530973952609</c:v>
                </c:pt>
                <c:pt idx="17">
                  <c:v>-25.287230940666102</c:v>
                </c:pt>
                <c:pt idx="18">
                  <c:v>-25.207593992113704</c:v>
                </c:pt>
                <c:pt idx="19">
                  <c:v>-25.126541486220951</c:v>
                </c:pt>
                <c:pt idx="20">
                  <c:v>-25.043994780913383</c:v>
                </c:pt>
                <c:pt idx="21">
                  <c:v>-24.959875234116531</c:v>
                </c:pt>
                <c:pt idx="22">
                  <c:v>-24.874104203755941</c:v>
                </c:pt>
                <c:pt idx="23">
                  <c:v>-24.786603047757133</c:v>
                </c:pt>
                <c:pt idx="24">
                  <c:v>-24.69729312404565</c:v>
                </c:pt>
                <c:pt idx="25">
                  <c:v>-24.60609579054703</c:v>
                </c:pt>
                <c:pt idx="26">
                  <c:v>-24.51293240518681</c:v>
                </c:pt>
                <c:pt idx="27">
                  <c:v>-24.417724325890525</c:v>
                </c:pt>
                <c:pt idx="28">
                  <c:v>-24.320392910583706</c:v>
                </c:pt>
                <c:pt idx="29">
                  <c:v>-24.220859517191897</c:v>
                </c:pt>
                <c:pt idx="30">
                  <c:v>-24.119045503640624</c:v>
                </c:pt>
                <c:pt idx="31">
                  <c:v>-24.014872227855431</c:v>
                </c:pt>
                <c:pt idx="32">
                  <c:v>-23.908261047761851</c:v>
                </c:pt>
                <c:pt idx="33">
                  <c:v>-23.799133321285424</c:v>
                </c:pt>
                <c:pt idx="34">
                  <c:v>-23.687410406351674</c:v>
                </c:pt>
                <c:pt idx="35">
                  <c:v>-23.573013660886147</c:v>
                </c:pt>
                <c:pt idx="36">
                  <c:v>-23.455864442814384</c:v>
                </c:pt>
                <c:pt idx="37">
                  <c:v>-23.335884110061912</c:v>
                </c:pt>
                <c:pt idx="38">
                  <c:v>-23.212994020554262</c:v>
                </c:pt>
                <c:pt idx="39">
                  <c:v>-23.087115532216977</c:v>
                </c:pt>
                <c:pt idx="40">
                  <c:v>-22.958170002975599</c:v>
                </c:pt>
                <c:pt idx="41">
                  <c:v>-22.825645113687351</c:v>
                </c:pt>
                <c:pt idx="42">
                  <c:v>-22.689954204669082</c:v>
                </c:pt>
                <c:pt idx="43">
                  <c:v>-22.551076939169338</c:v>
                </c:pt>
                <c:pt idx="44">
                  <c:v>-22.408992980436672</c:v>
                </c:pt>
                <c:pt idx="45">
                  <c:v>-22.263681991719622</c:v>
                </c:pt>
                <c:pt idx="46">
                  <c:v>-22.115123636266731</c:v>
                </c:pt>
                <c:pt idx="47">
                  <c:v>-21.963297577326557</c:v>
                </c:pt>
                <c:pt idx="48">
                  <c:v>-21.808183478147633</c:v>
                </c:pt>
                <c:pt idx="49">
                  <c:v>-21.649761001978508</c:v>
                </c:pt>
                <c:pt idx="50">
                  <c:v>-21.48800981206773</c:v>
                </c:pt>
                <c:pt idx="51">
                  <c:v>-21.322909571663843</c:v>
                </c:pt>
                <c:pt idx="52">
                  <c:v>-21.15443994401539</c:v>
                </c:pt>
                <c:pt idx="53">
                  <c:v>-20.982580592370919</c:v>
                </c:pt>
                <c:pt idx="54">
                  <c:v>-20.807311179978974</c:v>
                </c:pt>
                <c:pt idx="55">
                  <c:v>-20.628611370088109</c:v>
                </c:pt>
                <c:pt idx="56">
                  <c:v>-20.446460825946851</c:v>
                </c:pt>
                <c:pt idx="57">
                  <c:v>-20.260839210803763</c:v>
                </c:pt>
                <c:pt idx="58">
                  <c:v>-20.07172618790738</c:v>
                </c:pt>
                <c:pt idx="59">
                  <c:v>-19.879101420506252</c:v>
                </c:pt>
                <c:pt idx="60">
                  <c:v>-19.682944571848925</c:v>
                </c:pt>
                <c:pt idx="61">
                  <c:v>-19.483235305183943</c:v>
                </c:pt>
                <c:pt idx="62">
                  <c:v>-19.279953283759848</c:v>
                </c:pt>
                <c:pt idx="63">
                  <c:v>-19.073078170825191</c:v>
                </c:pt>
                <c:pt idx="64">
                  <c:v>-18.862589629628513</c:v>
                </c:pt>
                <c:pt idx="65">
                  <c:v>-18.648467323418362</c:v>
                </c:pt>
                <c:pt idx="66">
                  <c:v>-18.430684743860002</c:v>
                </c:pt>
                <c:pt idx="67">
                  <c:v>-18.209190696285535</c:v>
                </c:pt>
                <c:pt idx="68">
                  <c:v>-17.983927814443803</c:v>
                </c:pt>
                <c:pt idx="69">
                  <c:v>-17.754838732083623</c:v>
                </c:pt>
                <c:pt idx="70">
                  <c:v>-17.521866082953828</c:v>
                </c:pt>
                <c:pt idx="71">
                  <c:v>-17.284952500803247</c:v>
                </c:pt>
                <c:pt idx="72">
                  <c:v>-17.044040619380706</c:v>
                </c:pt>
                <c:pt idx="73">
                  <c:v>-16.799073072435032</c:v>
                </c:pt>
                <c:pt idx="74">
                  <c:v>-16.549992493715056</c:v>
                </c:pt>
                <c:pt idx="75">
                  <c:v>-16.296741516969607</c:v>
                </c:pt>
                <c:pt idx="76">
                  <c:v>-16.039262775947513</c:v>
                </c:pt>
                <c:pt idx="77">
                  <c:v>-15.777498904397593</c:v>
                </c:pt>
                <c:pt idx="78">
                  <c:v>-15.511392536068687</c:v>
                </c:pt>
                <c:pt idx="79">
                  <c:v>-15.240886304709619</c:v>
                </c:pt>
                <c:pt idx="80">
                  <c:v>-14.965922844069219</c:v>
                </c:pt>
                <c:pt idx="81">
                  <c:v>-14.68644478789631</c:v>
                </c:pt>
                <c:pt idx="82">
                  <c:v>-14.402394769939724</c:v>
                </c:pt>
                <c:pt idx="83">
                  <c:v>-14.113715423948287</c:v>
                </c:pt>
                <c:pt idx="84">
                  <c:v>-13.82034938367083</c:v>
                </c:pt>
                <c:pt idx="85">
                  <c:v>-13.52223928285618</c:v>
                </c:pt>
                <c:pt idx="86">
                  <c:v>-13.219327755253163</c:v>
                </c:pt>
                <c:pt idx="87">
                  <c:v>-12.911557434610609</c:v>
                </c:pt>
                <c:pt idx="88">
                  <c:v>-12.598870954677347</c:v>
                </c:pt>
                <c:pt idx="89">
                  <c:v>-12.281210949202203</c:v>
                </c:pt>
                <c:pt idx="90">
                  <c:v>-11.958520051934007</c:v>
                </c:pt>
                <c:pt idx="91">
                  <c:v>-11.630753715442165</c:v>
                </c:pt>
                <c:pt idx="92">
                  <c:v>-11.297918667578417</c:v>
                </c:pt>
                <c:pt idx="93">
                  <c:v>-10.960034455015075</c:v>
                </c:pt>
                <c:pt idx="94">
                  <c:v>-10.617120624424453</c:v>
                </c:pt>
                <c:pt idx="95">
                  <c:v>-10.269196722478872</c:v>
                </c:pt>
                <c:pt idx="96">
                  <c:v>-9.916282295850646</c:v>
                </c:pt>
                <c:pt idx="97">
                  <c:v>-9.5583968912120856</c:v>
                </c:pt>
                <c:pt idx="98">
                  <c:v>-9.1955600552355108</c:v>
                </c:pt>
                <c:pt idx="99">
                  <c:v>-8.8277913345932379</c:v>
                </c:pt>
                <c:pt idx="100">
                  <c:v>-8.4551102759575816</c:v>
                </c:pt>
                <c:pt idx="101">
                  <c:v>-8.077536426000858</c:v>
                </c:pt>
                <c:pt idx="102">
                  <c:v>-7.695089331395379</c:v>
                </c:pt>
                <c:pt idx="103">
                  <c:v>-7.3077885388134662</c:v>
                </c:pt>
                <c:pt idx="104">
                  <c:v>-6.9156535949274316</c:v>
                </c:pt>
                <c:pt idx="105">
                  <c:v>-6.5187040464095913</c:v>
                </c:pt>
                <c:pt idx="106">
                  <c:v>-6.1169594399322609</c:v>
                </c:pt>
                <c:pt idx="107">
                  <c:v>-5.7104393221677574</c:v>
                </c:pt>
                <c:pt idx="108">
                  <c:v>-5.2991632397883954</c:v>
                </c:pt>
                <c:pt idx="109">
                  <c:v>-4.8831507394664904</c:v>
                </c:pt>
                <c:pt idx="110">
                  <c:v>-4.4624213678743576</c:v>
                </c:pt>
                <c:pt idx="111">
                  <c:v>-4.0369946716843153</c:v>
                </c:pt>
                <c:pt idx="112">
                  <c:v>-3.606890197568676</c:v>
                </c:pt>
                <c:pt idx="113">
                  <c:v>-3.1721274921997571</c:v>
                </c:pt>
                <c:pt idx="114">
                  <c:v>-2.7327261022498739</c:v>
                </c:pt>
                <c:pt idx="115">
                  <c:v>-2.2887055743913418</c:v>
                </c:pt>
                <c:pt idx="116">
                  <c:v>-1.8400854552964767</c:v>
                </c:pt>
                <c:pt idx="117">
                  <c:v>-1.3868852916375944</c:v>
                </c:pt>
                <c:pt idx="118">
                  <c:v>-0.92912463008701041</c:v>
                </c:pt>
                <c:pt idx="119">
                  <c:v>-0.46682301731704035</c:v>
                </c:pt>
                <c:pt idx="120">
                  <c:v>0</c:v>
                </c:pt>
                <c:pt idx="121">
                  <c:v>0.47126251209914438</c:v>
                </c:pt>
                <c:pt idx="122">
                  <c:v>0.94663315684482519</c:v>
                </c:pt>
                <c:pt idx="123">
                  <c:v>1.4257182090088225</c:v>
                </c:pt>
                <c:pt idx="124">
                  <c:v>1.908123943362918</c:v>
                </c:pt>
                <c:pt idx="125">
                  <c:v>2.393456634678893</c:v>
                </c:pt>
                <c:pt idx="126">
                  <c:v>2.8813225577285286</c:v>
                </c:pt>
                <c:pt idx="127">
                  <c:v>3.3713279872836055</c:v>
                </c:pt>
                <c:pt idx="128">
                  <c:v>3.8630791981159054</c:v>
                </c:pt>
                <c:pt idx="129">
                  <c:v>4.3561824649972092</c:v>
                </c:pt>
                <c:pt idx="130">
                  <c:v>4.8502440626992982</c:v>
                </c:pt>
                <c:pt idx="131">
                  <c:v>5.3448702659939533</c:v>
                </c:pt>
                <c:pt idx="132">
                  <c:v>5.8396673496529568</c:v>
                </c:pt>
                <c:pt idx="133">
                  <c:v>6.334241588448088</c:v>
                </c:pt>
                <c:pt idx="134">
                  <c:v>6.8281992571511285</c:v>
                </c:pt>
                <c:pt idx="135">
                  <c:v>7.3211466305338595</c:v>
                </c:pt>
                <c:pt idx="136">
                  <c:v>7.812689983368065</c:v>
                </c:pt>
                <c:pt idx="137">
                  <c:v>8.3024355904255227</c:v>
                </c:pt>
                <c:pt idx="138">
                  <c:v>8.789989726478014</c:v>
                </c:pt>
                <c:pt idx="139">
                  <c:v>9.2749586662973211</c:v>
                </c:pt>
                <c:pt idx="140">
                  <c:v>9.7569486846552245</c:v>
                </c:pt>
                <c:pt idx="141">
                  <c:v>10.235566056323508</c:v>
                </c:pt>
                <c:pt idx="142">
                  <c:v>10.710417056073947</c:v>
                </c:pt>
                <c:pt idx="143">
                  <c:v>11.18110795867833</c:v>
                </c:pt>
                <c:pt idx="144">
                  <c:v>11.647245038908434</c:v>
                </c:pt>
                <c:pt idx="145">
                  <c:v>12.108434571536037</c:v>
                </c:pt>
                <c:pt idx="146">
                  <c:v>12.564282831332926</c:v>
                </c:pt>
                <c:pt idx="147">
                  <c:v>13.014396093070879</c:v>
                </c:pt>
                <c:pt idx="148">
                  <c:v>13.458380631521679</c:v>
                </c:pt>
                <c:pt idx="149">
                  <c:v>13.895842721457106</c:v>
                </c:pt>
                <c:pt idx="150">
                  <c:v>14.32638863764894</c:v>
                </c:pt>
                <c:pt idx="151">
                  <c:v>14.749624654868965</c:v>
                </c:pt>
                <c:pt idx="152">
                  <c:v>15.165157047888961</c:v>
                </c:pt>
                <c:pt idx="153">
                  <c:v>15.572592091480709</c:v>
                </c:pt>
                <c:pt idx="154">
                  <c:v>15.971536060415991</c:v>
                </c:pt>
                <c:pt idx="155">
                  <c:v>16.36159522946658</c:v>
                </c:pt>
                <c:pt idx="156">
                  <c:v>16.742375873404271</c:v>
                </c:pt>
                <c:pt idx="157">
                  <c:v>17.113484267000839</c:v>
                </c:pt>
                <c:pt idx="158">
                  <c:v>17.474526685028064</c:v>
                </c:pt>
                <c:pt idx="159">
                  <c:v>17.825109402257723</c:v>
                </c:pt>
                <c:pt idx="160">
                  <c:v>18.164838693461604</c:v>
                </c:pt>
                <c:pt idx="161">
                  <c:v>18.493320833411488</c:v>
                </c:pt>
                <c:pt idx="162">
                  <c:v>18.810162096879157</c:v>
                </c:pt>
                <c:pt idx="163">
                  <c:v>19.114968758636387</c:v>
                </c:pt>
                <c:pt idx="164">
                  <c:v>19.407347093454955</c:v>
                </c:pt>
                <c:pt idx="165">
                  <c:v>19.686903376106656</c:v>
                </c:pt>
                <c:pt idx="166">
                  <c:v>19.953372434507944</c:v>
                </c:pt>
                <c:pt idx="167">
                  <c:v>20.207003309153997</c:v>
                </c:pt>
                <c:pt idx="168">
                  <c:v>20.448173593684672</c:v>
                </c:pt>
                <c:pt idx="169">
                  <c:v>20.677260881739837</c:v>
                </c:pt>
                <c:pt idx="170">
                  <c:v>20.89464276695935</c:v>
                </c:pt>
                <c:pt idx="171">
                  <c:v>21.100696842983066</c:v>
                </c:pt>
                <c:pt idx="172">
                  <c:v>21.295800703450855</c:v>
                </c:pt>
                <c:pt idx="173">
                  <c:v>21.480331942002557</c:v>
                </c:pt>
                <c:pt idx="174">
                  <c:v>21.654668152278056</c:v>
                </c:pt>
                <c:pt idx="175">
                  <c:v>21.819186927917194</c:v>
                </c:pt>
                <c:pt idx="176">
                  <c:v>21.974265862559839</c:v>
                </c:pt>
                <c:pt idx="177">
                  <c:v>22.120282549845847</c:v>
                </c:pt>
                <c:pt idx="178">
                  <c:v>22.257614583415076</c:v>
                </c:pt>
                <c:pt idx="179">
                  <c:v>22.386639556907397</c:v>
                </c:pt>
                <c:pt idx="180">
                  <c:v>22.507735063962656</c:v>
                </c:pt>
                <c:pt idx="181">
                  <c:v>22.621278698220721</c:v>
                </c:pt>
                <c:pt idx="182">
                  <c:v>22.727648053321452</c:v>
                </c:pt>
                <c:pt idx="183">
                  <c:v>22.827220722904705</c:v>
                </c:pt>
                <c:pt idx="184">
                  <c:v>22.920374300610341</c:v>
                </c:pt>
                <c:pt idx="185">
                  <c:v>23.00748638007822</c:v>
                </c:pt>
                <c:pt idx="186">
                  <c:v>23.088934554948203</c:v>
                </c:pt>
                <c:pt idx="187">
                  <c:v>23.165096418860148</c:v>
                </c:pt>
                <c:pt idx="188">
                  <c:v>23.236349565453914</c:v>
                </c:pt>
                <c:pt idx="189">
                  <c:v>23.303071588369367</c:v>
                </c:pt>
                <c:pt idx="190">
                  <c:v>23.365640081246354</c:v>
                </c:pt>
                <c:pt idx="191">
                  <c:v>23.424432637724752</c:v>
                </c:pt>
                <c:pt idx="192">
                  <c:v>23.479826851444408</c:v>
                </c:pt>
                <c:pt idx="193">
                  <c:v>23.532200316045184</c:v>
                </c:pt>
                <c:pt idx="194">
                  <c:v>23.581930625166947</c:v>
                </c:pt>
                <c:pt idx="195">
                  <c:v>23.629395372449544</c:v>
                </c:pt>
                <c:pt idx="196">
                  <c:v>23.674972151532845</c:v>
                </c:pt>
                <c:pt idx="197">
                  <c:v>23.719038556056706</c:v>
                </c:pt>
                <c:pt idx="198">
                  <c:v>23.76197217966099</c:v>
                </c:pt>
                <c:pt idx="199">
                  <c:v>23.804150615985552</c:v>
                </c:pt>
                <c:pt idx="200">
                  <c:v>23.845951458670253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-26.500682963138459</c:v>
                </c:pt>
                <c:pt idx="1">
                  <c:v>-22.958170002975599</c:v>
                </c:pt>
                <c:pt idx="2">
                  <c:v>-18.648467323418366</c:v>
                </c:pt>
                <c:pt idx="3">
                  <c:v>-11.958520051934006</c:v>
                </c:pt>
                <c:pt idx="4">
                  <c:v>0</c:v>
                </c:pt>
                <c:pt idx="5">
                  <c:v>19.686903376106656</c:v>
                </c:pt>
                <c:pt idx="6">
                  <c:v>23.845951458670253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-26.590673886517838</c:v>
                </c:pt>
                <c:pt idx="1">
                  <c:v>-26.487707031064552</c:v>
                </c:pt>
                <c:pt idx="2">
                  <c:v>-26.39121322011416</c:v>
                </c:pt>
                <c:pt idx="3">
                  <c:v>-26.300386928006318</c:v>
                </c:pt>
                <c:pt idx="4">
                  <c:v>-26.214473405245489</c:v>
                </c:pt>
                <c:pt idx="5">
                  <c:v>-26.132766506257891</c:v>
                </c:pt>
                <c:pt idx="6">
                  <c:v>-26.054606569431328</c:v>
                </c:pt>
                <c:pt idx="7">
                  <c:v>-25.979378349022184</c:v>
                </c:pt>
                <c:pt idx="8">
                  <c:v>-25.906508998509857</c:v>
                </c:pt>
                <c:pt idx="9">
                  <c:v>-25.835466104974952</c:v>
                </c:pt>
                <c:pt idx="10">
                  <c:v>-25.765755774072602</c:v>
                </c:pt>
                <c:pt idx="11">
                  <c:v>-25.696920765168571</c:v>
                </c:pt>
                <c:pt idx="12">
                  <c:v>-25.628538676201227</c:v>
                </c:pt>
                <c:pt idx="13">
                  <c:v>-25.560220177828111</c:v>
                </c:pt>
                <c:pt idx="14">
                  <c:v>-25.491607296411591</c:v>
                </c:pt>
                <c:pt idx="15">
                  <c:v>-25.422371745393885</c:v>
                </c:pt>
                <c:pt idx="16">
                  <c:v>-25.352213304607428</c:v>
                </c:pt>
                <c:pt idx="17">
                  <c:v>-25.280858247061882</c:v>
                </c:pt>
                <c:pt idx="18">
                  <c:v>-25.208057812745327</c:v>
                </c:pt>
                <c:pt idx="19">
                  <c:v>-25.133586728972531</c:v>
                </c:pt>
                <c:pt idx="20">
                  <c:v>-25.05724177680904</c:v>
                </c:pt>
                <c:pt idx="21">
                  <c:v>-24.978840403095287</c:v>
                </c:pt>
                <c:pt idx="22">
                  <c:v>-24.898219377590983</c:v>
                </c:pt>
                <c:pt idx="23">
                  <c:v>-24.815233494755489</c:v>
                </c:pt>
                <c:pt idx="24">
                  <c:v>-24.729754319675521</c:v>
                </c:pt>
                <c:pt idx="25">
                  <c:v>-24.64166897764753</c:v>
                </c:pt>
                <c:pt idx="26">
                  <c:v>-24.550878986917422</c:v>
                </c:pt>
                <c:pt idx="27">
                  <c:v>-24.457299134076376</c:v>
                </c:pt>
                <c:pt idx="28">
                  <c:v>-24.360856391606692</c:v>
                </c:pt>
                <c:pt idx="29">
                  <c:v>-24.261488877067972</c:v>
                </c:pt>
                <c:pt idx="30">
                  <c:v>-24.159144853408961</c:v>
                </c:pt>
                <c:pt idx="31">
                  <c:v>-24.053781769886577</c:v>
                </c:pt>
                <c:pt idx="32">
                  <c:v>-23.945365343069017</c:v>
                </c:pt>
                <c:pt idx="33">
                  <c:v>-23.833868677395749</c:v>
                </c:pt>
                <c:pt idx="34">
                  <c:v>-23.719271424762741</c:v>
                </c:pt>
                <c:pt idx="35">
                  <c:v>-23.601558982597119</c:v>
                </c:pt>
                <c:pt idx="36">
                  <c:v>-23.480721729880955</c:v>
                </c:pt>
                <c:pt idx="37">
                  <c:v>-23.356754300579745</c:v>
                </c:pt>
                <c:pt idx="38">
                  <c:v>-23.229654893926842</c:v>
                </c:pt>
                <c:pt idx="39">
                  <c:v>-23.09942462101052</c:v>
                </c:pt>
                <c:pt idx="40">
                  <c:v>-22.966066887106532</c:v>
                </c:pt>
                <c:pt idx="41">
                  <c:v>-22.829586809194268</c:v>
                </c:pt>
                <c:pt idx="42">
                  <c:v>-22.689990668090466</c:v>
                </c:pt>
                <c:pt idx="43">
                  <c:v>-22.547285394630372</c:v>
                </c:pt>
                <c:pt idx="44">
                  <c:v>-22.401478089321408</c:v>
                </c:pt>
                <c:pt idx="45">
                  <c:v>-22.252575574890667</c:v>
                </c:pt>
                <c:pt idx="46">
                  <c:v>-22.100583981142897</c:v>
                </c:pt>
                <c:pt idx="47">
                  <c:v>-21.945508361541386</c:v>
                </c:pt>
                <c:pt idx="48">
                  <c:v>-21.78735234092003</c:v>
                </c:pt>
                <c:pt idx="49">
                  <c:v>-21.626117793730259</c:v>
                </c:pt>
                <c:pt idx="50">
                  <c:v>-21.461804552222532</c:v>
                </c:pt>
                <c:pt idx="51">
                  <c:v>-21.294410143957553</c:v>
                </c:pt>
                <c:pt idx="52">
                  <c:v>-21.123929558038128</c:v>
                </c:pt>
                <c:pt idx="53">
                  <c:v>-20.950355039448347</c:v>
                </c:pt>
                <c:pt idx="54">
                  <c:v>-20.773675910882375</c:v>
                </c:pt>
                <c:pt idx="55">
                  <c:v>-20.593878421440905</c:v>
                </c:pt>
                <c:pt idx="56">
                  <c:v>-20.410945621568981</c:v>
                </c:pt>
                <c:pt idx="57">
                  <c:v>-20.224857263604569</c:v>
                </c:pt>
                <c:pt idx="58">
                  <c:v>-20.03558972730303</c:v>
                </c:pt>
                <c:pt idx="59">
                  <c:v>-19.843115969698299</c:v>
                </c:pt>
                <c:pt idx="60">
                  <c:v>-19.6474054986572</c:v>
                </c:pt>
                <c:pt idx="61">
                  <c:v>-19.448424369479209</c:v>
                </c:pt>
                <c:pt idx="62">
                  <c:v>-19.246135203889438</c:v>
                </c:pt>
                <c:pt idx="63">
                  <c:v>-19.040497230768505</c:v>
                </c:pt>
                <c:pt idx="64">
                  <c:v>-18.831466347958546</c:v>
                </c:pt>
                <c:pt idx="65">
                  <c:v>-18.618995204480306</c:v>
                </c:pt>
                <c:pt idx="66">
                  <c:v>-18.403033302492069</c:v>
                </c:pt>
                <c:pt idx="67">
                  <c:v>-18.18352711831675</c:v>
                </c:pt>
                <c:pt idx="68">
                  <c:v>-17.960420241859129</c:v>
                </c:pt>
                <c:pt idx="69">
                  <c:v>-17.733653533731168</c:v>
                </c:pt>
                <c:pt idx="70">
                  <c:v>-17.503165299398717</c:v>
                </c:pt>
                <c:pt idx="71">
                  <c:v>-17.26889147965878</c:v>
                </c:pt>
                <c:pt idx="72">
                  <c:v>-17.030765856752286</c:v>
                </c:pt>
                <c:pt idx="73">
                  <c:v>-16.788720275412754</c:v>
                </c:pt>
                <c:pt idx="74">
                  <c:v>-16.542684878147259</c:v>
                </c:pt>
                <c:pt idx="75">
                  <c:v>-16.292588354041417</c:v>
                </c:pt>
                <c:pt idx="76">
                  <c:v>-16.038358200376308</c:v>
                </c:pt>
                <c:pt idx="77">
                  <c:v>-15.779920996340339</c:v>
                </c:pt>
                <c:pt idx="78">
                  <c:v>-15.517202688115335</c:v>
                </c:pt>
                <c:pt idx="79">
                  <c:v>-15.250128884611406</c:v>
                </c:pt>
                <c:pt idx="80">
                  <c:v>-14.978625163121061</c:v>
                </c:pt>
                <c:pt idx="81">
                  <c:v>-14.702617384158698</c:v>
                </c:pt>
                <c:pt idx="82">
                  <c:v>-14.422032014747213</c:v>
                </c:pt>
                <c:pt idx="83">
                  <c:v>-14.136796459409284</c:v>
                </c:pt>
                <c:pt idx="84">
                  <c:v>-13.846839398116474</c:v>
                </c:pt>
                <c:pt idx="85">
                  <c:v>-13.552091130445081</c:v>
                </c:pt>
                <c:pt idx="86">
                  <c:v>-13.252483925183274</c:v>
                </c:pt>
                <c:pt idx="87">
                  <c:v>-12.94795237462988</c:v>
                </c:pt>
                <c:pt idx="88">
                  <c:v>-12.638433752820649</c:v>
                </c:pt>
                <c:pt idx="89">
                  <c:v>-12.323868376913865</c:v>
                </c:pt>
                <c:pt idx="90">
                  <c:v>-12.004199970962473</c:v>
                </c:pt>
                <c:pt idx="91">
                  <c:v>-11.679376031295909</c:v>
                </c:pt>
                <c:pt idx="92">
                  <c:v>-11.349348192730375</c:v>
                </c:pt>
                <c:pt idx="93">
                  <c:v>-11.014072594821966</c:v>
                </c:pt>
                <c:pt idx="94">
                  <c:v>-10.673510247372811</c:v>
                </c:pt>
                <c:pt idx="95">
                  <c:v>-10.327627394396128</c:v>
                </c:pt>
                <c:pt idx="96">
                  <c:v>-9.9763958757416482</c:v>
                </c:pt>
                <c:pt idx="97">
                  <c:v>-9.6197934855787288</c:v>
                </c:pt>
                <c:pt idx="98">
                  <c:v>-9.2578043269299783</c:v>
                </c:pt>
                <c:pt idx="99">
                  <c:v>-8.8904191614441732</c:v>
                </c:pt>
                <c:pt idx="100">
                  <c:v>-8.5176357535926073</c:v>
                </c:pt>
                <c:pt idx="101">
                  <c:v>-8.1394592084690665</c:v>
                </c:pt>
                <c:pt idx="102">
                  <c:v>-7.7559023023689964</c:v>
                </c:pt>
                <c:pt idx="103">
                  <c:v>-7.3669858053193789</c:v>
                </c:pt>
                <c:pt idx="104">
                  <c:v>-6.972738794726359</c:v>
                </c:pt>
                <c:pt idx="105">
                  <c:v>-6.5731989593034328</c:v>
                </c:pt>
                <c:pt idx="106">
                  <c:v>-6.1684128924387283</c:v>
                </c:pt>
                <c:pt idx="107">
                  <c:v>-5.7584363741555142</c:v>
                </c:pt>
                <c:pt idx="108">
                  <c:v>-5.3433346408158711</c:v>
                </c:pt>
                <c:pt idx="109">
                  <c:v>-4.92318264171307</c:v>
                </c:pt>
                <c:pt idx="110">
                  <c:v>-4.4980652816939752</c:v>
                </c:pt>
                <c:pt idx="111">
                  <c:v>-4.0680776489484041</c:v>
                </c:pt>
                <c:pt idx="112">
                  <c:v>-3.633325227098144</c:v>
                </c:pt>
                <c:pt idx="113">
                  <c:v>-3.1939240907139648</c:v>
                </c:pt>
                <c:pt idx="114">
                  <c:v>-2.7500010833847233</c:v>
                </c:pt>
                <c:pt idx="115">
                  <c:v>-2.3016939774582728</c:v>
                </c:pt>
                <c:pt idx="116">
                  <c:v>-1.8491516145696547</c:v>
                </c:pt>
                <c:pt idx="117">
                  <c:v>-1.3925340260677204</c:v>
                </c:pt>
                <c:pt idx="118">
                  <c:v>-0.93201253244700877</c:v>
                </c:pt>
                <c:pt idx="119">
                  <c:v>-0.46776982088743241</c:v>
                </c:pt>
                <c:pt idx="120">
                  <c:v>0</c:v>
                </c:pt>
                <c:pt idx="121">
                  <c:v>0.47109136912749555</c:v>
                </c:pt>
                <c:pt idx="122">
                  <c:v>0.94528726649519901</c:v>
                </c:pt>
                <c:pt idx="123">
                  <c:v>1.422359232281003</c:v>
                </c:pt>
                <c:pt idx="124">
                  <c:v>1.9020674123744343</c:v>
                </c:pt>
                <c:pt idx="125">
                  <c:v>2.3841606312778953</c:v>
                </c:pt>
                <c:pt idx="126">
                  <c:v>2.8683764933028719</c:v>
                </c:pt>
                <c:pt idx="127">
                  <c:v>3.3544415129929868</c:v>
                </c:pt>
                <c:pt idx="128">
                  <c:v>3.8420712757101008</c:v>
                </c:pt>
                <c:pt idx="129">
                  <c:v>4.3309706293239971</c:v>
                </c:pt>
                <c:pt idx="130">
                  <c:v>4.8208339079504121</c:v>
                </c:pt>
                <c:pt idx="131">
                  <c:v>5.3113451886865741</c:v>
                </c:pt>
                <c:pt idx="132">
                  <c:v>5.8021785822976293</c:v>
                </c:pt>
                <c:pt idx="133">
                  <c:v>6.2929985588117239</c:v>
                </c:pt>
                <c:pt idx="134">
                  <c:v>6.7834603089857177</c:v>
                </c:pt>
                <c:pt idx="135">
                  <c:v>7.2732101426079154</c:v>
                </c:pt>
                <c:pt idx="136">
                  <c:v>7.7618859246084071</c:v>
                </c:pt>
                <c:pt idx="137">
                  <c:v>8.2491175499520004</c:v>
                </c:pt>
                <c:pt idx="138">
                  <c:v>8.7345274582929395</c:v>
                </c:pt>
                <c:pt idx="139">
                  <c:v>9.2177311893750513</c:v>
                </c:pt>
                <c:pt idx="140">
                  <c:v>9.6983379801650429</c:v>
                </c:pt>
                <c:pt idx="141">
                  <c:v>10.175951404711229</c:v>
                </c:pt>
                <c:pt idx="142">
                  <c:v>10.6501700577241</c:v>
                </c:pt>
                <c:pt idx="143">
                  <c:v>11.120588282879496</c:v>
                </c:pt>
                <c:pt idx="144">
                  <c:v>11.586796946849482</c:v>
                </c:pt>
                <c:pt idx="145">
                  <c:v>12.048384260070264</c:v>
                </c:pt>
                <c:pt idx="146">
                  <c:v>12.504936645260905</c:v>
                </c:pt>
                <c:pt idx="147">
                  <c:v>12.956039654710695</c:v>
                </c:pt>
                <c:pt idx="148">
                  <c:v>13.401278937357631</c:v>
                </c:pt>
                <c:pt idx="149">
                  <c:v>13.840241256684443</c:v>
                </c:pt>
                <c:pt idx="150">
                  <c:v>14.272515560463203</c:v>
                </c:pt>
                <c:pt idx="151">
                  <c:v>14.697694103383604</c:v>
                </c:pt>
                <c:pt idx="152">
                  <c:v>15.115373623604498</c:v>
                </c:pt>
                <c:pt idx="153">
                  <c:v>15.525156574272463</c:v>
                </c:pt>
                <c:pt idx="154">
                  <c:v>15.926652411055564</c:v>
                </c:pt>
                <c:pt idx="155">
                  <c:v>16.319478936744627</c:v>
                </c:pt>
                <c:pt idx="156">
                  <c:v>16.703263703978912</c:v>
                </c:pt>
                <c:pt idx="157">
                  <c:v>17.077645477157059</c:v>
                </c:pt>
                <c:pt idx="158">
                  <c:v>17.442275754598693</c:v>
                </c:pt>
                <c:pt idx="159">
                  <c:v>17.796820352026444</c:v>
                </c:pt>
                <c:pt idx="160">
                  <c:v>18.140961048442087</c:v>
                </c:pt>
                <c:pt idx="161">
                  <c:v>18.47439729547532</c:v>
                </c:pt>
                <c:pt idx="162">
                  <c:v>18.796847991287464</c:v>
                </c:pt>
                <c:pt idx="163">
                  <c:v>19.108053320117197</c:v>
                </c:pt>
                <c:pt idx="164">
                  <c:v>19.407776658559289</c:v>
                </c:pt>
                <c:pt idx="165">
                  <c:v>19.695806549671939</c:v>
                </c:pt>
                <c:pt idx="166">
                  <c:v>19.971958746012344</c:v>
                </c:pt>
                <c:pt idx="167">
                  <c:v>20.236078322704717</c:v>
                </c:pt>
                <c:pt idx="168">
                  <c:v>20.488041861649066</c:v>
                </c:pt>
                <c:pt idx="169">
                  <c:v>20.727759707983385</c:v>
                </c:pt>
                <c:pt idx="170">
                  <c:v>20.955178299916348</c:v>
                </c:pt>
                <c:pt idx="171">
                  <c:v>21.17028257305163</c:v>
                </c:pt>
                <c:pt idx="172">
                  <c:v>21.37309844032966</c:v>
                </c:pt>
                <c:pt idx="173">
                  <c:v>21.563695348716568</c:v>
                </c:pt>
                <c:pt idx="174">
                  <c:v>21.74218891377452</c:v>
                </c:pt>
                <c:pt idx="175">
                  <c:v>21.908743633252055</c:v>
                </c:pt>
                <c:pt idx="176">
                  <c:v>22.063575680837161</c:v>
                </c:pt>
                <c:pt idx="177">
                  <c:v>22.206955781220213</c:v>
                </c:pt>
                <c:pt idx="178">
                  <c:v>22.339212167618232</c:v>
                </c:pt>
                <c:pt idx="179">
                  <c:v>22.460733622916162</c:v>
                </c:pt>
                <c:pt idx="180">
                  <c:v>22.571972605585248</c:v>
                </c:pt>
                <c:pt idx="181">
                  <c:v>22.673448461542709</c:v>
                </c:pt>
                <c:pt idx="182">
                  <c:v>22.765750723121553</c:v>
                </c:pt>
                <c:pt idx="183">
                  <c:v>22.849542496323402</c:v>
                </c:pt>
                <c:pt idx="184">
                  <c:v>22.925563937531358</c:v>
                </c:pt>
                <c:pt idx="185">
                  <c:v>22.994635820864904</c:v>
                </c:pt>
                <c:pt idx="186">
                  <c:v>23.057663197362295</c:v>
                </c:pt>
                <c:pt idx="187">
                  <c:v>23.115639147180836</c:v>
                </c:pt>
                <c:pt idx="188">
                  <c:v>23.169648626009348</c:v>
                </c:pt>
                <c:pt idx="189">
                  <c:v>23.220872406891811</c:v>
                </c:pt>
                <c:pt idx="190">
                  <c:v>23.270591118665045</c:v>
                </c:pt>
                <c:pt idx="191">
                  <c:v>23.320189382217912</c:v>
                </c:pt>
                <c:pt idx="192">
                  <c:v>23.371160045783746</c:v>
                </c:pt>
                <c:pt idx="193">
                  <c:v>23.42510852048197</c:v>
                </c:pt>
                <c:pt idx="194">
                  <c:v>23.483757217329092</c:v>
                </c:pt>
                <c:pt idx="195">
                  <c:v>23.54895008694394</c:v>
                </c:pt>
                <c:pt idx="196">
                  <c:v>23.622657263175761</c:v>
                </c:pt>
                <c:pt idx="197">
                  <c:v>23.706979811888527</c:v>
                </c:pt>
                <c:pt idx="198">
                  <c:v>23.804154586138971</c:v>
                </c:pt>
                <c:pt idx="199">
                  <c:v>23.916559188990114</c:v>
                </c:pt>
                <c:pt idx="200">
                  <c:v>24.046717045206481</c:v>
                </c:pt>
              </c:numCache>
            </c:numRef>
          </c:yVal>
          <c:smooth val="1"/>
        </c:ser>
        <c:dLbls>
          <c:showLegendKey val="0"/>
          <c:showVal val="0"/>
          <c:showCatName val="0"/>
          <c:showSerName val="0"/>
          <c:showPercent val="0"/>
          <c:showBubbleSize val="0"/>
        </c:dLbls>
        <c:axId val="451045144"/>
        <c:axId val="447062512"/>
      </c:scatterChart>
      <c:valAx>
        <c:axId val="45104514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062512"/>
        <c:crossesAt val="-1000"/>
        <c:crossBetween val="midCat"/>
      </c:valAx>
      <c:valAx>
        <c:axId val="447062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4514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0.46946581030246137</v>
      </c>
      <c r="D59" s="55">
        <v>1</v>
      </c>
    </row>
    <row r="60" spans="1:4" s="11" customFormat="1" x14ac:dyDescent="0.25">
      <c r="A60" s="54">
        <v>2</v>
      </c>
      <c r="B60" s="56">
        <f>'Shiftfunktion bestimmen'!N2</f>
        <v>1.6612517165030748E-3</v>
      </c>
      <c r="D60" s="55">
        <v>2</v>
      </c>
    </row>
    <row r="61" spans="1:4" s="11" customFormat="1" x14ac:dyDescent="0.25">
      <c r="A61" s="54">
        <v>3</v>
      </c>
      <c r="B61" s="56">
        <f>'Shiftfunktion bestimmen'!N3</f>
        <v>-3.5215345359778821E-5</v>
      </c>
      <c r="D61" s="55">
        <v>3</v>
      </c>
    </row>
    <row r="62" spans="1:4" s="11" customFormat="1" x14ac:dyDescent="0.25">
      <c r="A62" s="54">
        <v>4</v>
      </c>
      <c r="B62" s="56">
        <f>'Shiftfunktion bestimmen'!N4</f>
        <v>-4.7763192160456358E-7</v>
      </c>
      <c r="D62" s="55">
        <v>4</v>
      </c>
    </row>
    <row r="63" spans="1:4" s="11" customFormat="1" x14ac:dyDescent="0.25">
      <c r="A63" s="54">
        <v>5</v>
      </c>
      <c r="B63" s="56">
        <f>'Shiftfunktion bestimmen'!N5</f>
        <v>5.0180461891847456E-11</v>
      </c>
      <c r="D63" s="55">
        <v>5</v>
      </c>
    </row>
    <row r="64" spans="1:4" s="11" customFormat="1" x14ac:dyDescent="0.25">
      <c r="A64" s="54">
        <v>6</v>
      </c>
      <c r="B64" s="56">
        <f>'Shiftfunktion bestimmen'!N6</f>
        <v>3.5450018287463353E-11</v>
      </c>
      <c r="D64" s="55">
        <v>6</v>
      </c>
    </row>
    <row r="65" spans="1:5" s="11" customFormat="1" x14ac:dyDescent="0.25">
      <c r="A65" s="54">
        <v>7</v>
      </c>
      <c r="B65" s="56">
        <f>'Shiftfunktion bestimmen'!N7</f>
        <v>1.8191111701198339E-13</v>
      </c>
      <c r="D65" s="55">
        <v>7</v>
      </c>
    </row>
    <row r="66" spans="1:5" x14ac:dyDescent="0.25">
      <c r="A66" s="54">
        <v>8</v>
      </c>
      <c r="B66" s="56">
        <f>'Shiftfunktion bestimmen'!N8</f>
        <v>1.067566921737343E-16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2.261088063148565E-3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4.2263320671389317E-3</v>
      </c>
      <c r="D78" s="51">
        <v>5</v>
      </c>
      <c r="E78" s="56">
        <f>'Mastercurve bestimmen'!A22</f>
        <v>5.31812225239524E-11</v>
      </c>
    </row>
    <row r="79" spans="1:5" x14ac:dyDescent="0.25">
      <c r="A79" s="50">
        <f t="shared" si="0"/>
        <v>6</v>
      </c>
      <c r="B79" s="56">
        <f>'Mastercurve bestimmen'!C23</f>
        <v>3.0334384971501784E-2</v>
      </c>
      <c r="D79" s="51">
        <v>6</v>
      </c>
      <c r="E79" s="56">
        <f>'Mastercurve bestimmen'!A23</f>
        <v>5.8953789402578301E-10</v>
      </c>
    </row>
    <row r="80" spans="1:5" x14ac:dyDescent="0.25">
      <c r="A80" s="50">
        <f t="shared" si="0"/>
        <v>7</v>
      </c>
      <c r="B80" s="56">
        <f>'Mastercurve bestimmen'!C24</f>
        <v>2.3501586958650868E-2</v>
      </c>
      <c r="D80" s="51">
        <v>7</v>
      </c>
      <c r="E80" s="56">
        <f>'Mastercurve bestimmen'!A24</f>
        <v>6.5352940755699598E-9</v>
      </c>
    </row>
    <row r="81" spans="1:5" x14ac:dyDescent="0.25">
      <c r="A81" s="50">
        <f t="shared" si="0"/>
        <v>8</v>
      </c>
      <c r="B81" s="56">
        <f>'Mastercurve bestimmen'!C25</f>
        <v>3.0161245732589943E-2</v>
      </c>
      <c r="D81" s="51">
        <v>8</v>
      </c>
      <c r="E81" s="56">
        <f>'Mastercurve bestimmen'!A25</f>
        <v>7.2446689325643296E-8</v>
      </c>
    </row>
    <row r="82" spans="1:5" x14ac:dyDescent="0.25">
      <c r="A82" s="50">
        <f t="shared" si="0"/>
        <v>9</v>
      </c>
      <c r="B82" s="56">
        <f>'Mastercurve bestimmen'!C26</f>
        <v>3.6781885068377713E-2</v>
      </c>
      <c r="D82" s="51">
        <f>A82</f>
        <v>9</v>
      </c>
      <c r="E82" s="56">
        <f>'Mastercurve bestimmen'!A26</f>
        <v>8.03104303120212E-7</v>
      </c>
    </row>
    <row r="83" spans="1:5" x14ac:dyDescent="0.25">
      <c r="A83" s="50">
        <f t="shared" si="0"/>
        <v>10</v>
      </c>
      <c r="B83" s="56">
        <f>'Mastercurve bestimmen'!C27</f>
        <v>3.0958488235130539E-2</v>
      </c>
      <c r="C83" s="11"/>
      <c r="D83" s="51">
        <f t="shared" ref="D83:D104" si="1">A83</f>
        <v>10</v>
      </c>
      <c r="E83" s="56">
        <f>'Mastercurve bestimmen'!A27</f>
        <v>8.9027742702096099E-6</v>
      </c>
    </row>
    <row r="84" spans="1:5" x14ac:dyDescent="0.25">
      <c r="A84" s="50">
        <f t="shared" si="0"/>
        <v>11</v>
      </c>
      <c r="B84" s="56">
        <f>'Mastercurve bestimmen'!C28</f>
        <v>5.2155951905646973E-2</v>
      </c>
      <c r="C84" s="11"/>
      <c r="D84" s="51">
        <f t="shared" si="1"/>
        <v>11</v>
      </c>
      <c r="E84" s="56">
        <f>'Mastercurve bestimmen'!A28</f>
        <v>9.86912775817142E-5</v>
      </c>
    </row>
    <row r="85" spans="1:5" x14ac:dyDescent="0.25">
      <c r="A85" s="50">
        <f t="shared" si="0"/>
        <v>12</v>
      </c>
      <c r="B85" s="56">
        <f>'Mastercurve bestimmen'!C29</f>
        <v>4.3160709564069449E-2</v>
      </c>
      <c r="C85" s="11"/>
      <c r="D85" s="51">
        <f t="shared" si="1"/>
        <v>12</v>
      </c>
      <c r="E85" s="56">
        <f>'Mastercurve bestimmen'!A29</f>
        <v>1.0940374286813801E-3</v>
      </c>
    </row>
    <row r="86" spans="1:5" x14ac:dyDescent="0.25">
      <c r="A86" s="50">
        <f t="shared" si="0"/>
        <v>13</v>
      </c>
      <c r="B86" s="56">
        <f>'Mastercurve bestimmen'!C30</f>
        <v>4.9762672836986856E-2</v>
      </c>
      <c r="C86" s="11"/>
      <c r="D86" s="51">
        <f t="shared" si="1"/>
        <v>13</v>
      </c>
      <c r="E86" s="56">
        <f>'Mastercurve bestimmen'!A30</f>
        <v>1.2127899493091E-2</v>
      </c>
    </row>
    <row r="87" spans="1:5" x14ac:dyDescent="0.25">
      <c r="A87" s="50">
        <f t="shared" si="0"/>
        <v>14</v>
      </c>
      <c r="B87" s="56">
        <f>'Mastercurve bestimmen'!C31</f>
        <v>4.7420297810237655E-2</v>
      </c>
      <c r="C87" s="11"/>
      <c r="D87" s="51">
        <f t="shared" si="1"/>
        <v>14</v>
      </c>
      <c r="E87" s="56">
        <f>'Mastercurve bestimmen'!A31</f>
        <v>0.13444324870292301</v>
      </c>
    </row>
    <row r="88" spans="1:5" x14ac:dyDescent="0.25">
      <c r="A88" s="50">
        <f t="shared" si="0"/>
        <v>15</v>
      </c>
      <c r="B88" s="56">
        <f>'Mastercurve bestimmen'!C32</f>
        <v>5.5060707858971492E-2</v>
      </c>
      <c r="C88" s="11"/>
      <c r="D88" s="51">
        <f t="shared" si="1"/>
        <v>15</v>
      </c>
      <c r="E88" s="56">
        <f>'Mastercurve bestimmen'!A32</f>
        <v>1.49036419143257</v>
      </c>
    </row>
    <row r="89" spans="1:5" x14ac:dyDescent="0.25">
      <c r="A89" s="50">
        <f t="shared" si="0"/>
        <v>16</v>
      </c>
      <c r="B89" s="56">
        <f>'Mastercurve bestimmen'!C33</f>
        <v>8.2774016803130748E-2</v>
      </c>
      <c r="C89" s="11"/>
      <c r="D89" s="51">
        <f t="shared" si="1"/>
        <v>16</v>
      </c>
      <c r="E89" s="56">
        <f>'Mastercurve bestimmen'!A33</f>
        <v>16.521360830937301</v>
      </c>
    </row>
    <row r="90" spans="1:5" x14ac:dyDescent="0.25">
      <c r="A90" s="50">
        <f t="shared" si="0"/>
        <v>17</v>
      </c>
      <c r="B90" s="56">
        <f>'Mastercurve bestimmen'!C34</f>
        <v>9.2826583311544017E-2</v>
      </c>
      <c r="C90" s="11"/>
      <c r="D90" s="51">
        <f t="shared" si="1"/>
        <v>17</v>
      </c>
      <c r="E90" s="56">
        <f>'Mastercurve bestimmen'!A34</f>
        <v>183.146753843879</v>
      </c>
    </row>
    <row r="91" spans="1:5" x14ac:dyDescent="0.25">
      <c r="A91" s="50">
        <f t="shared" si="0"/>
        <v>18</v>
      </c>
      <c r="B91" s="56">
        <f>'Mastercurve bestimmen'!C35</f>
        <v>0.10795546608785625</v>
      </c>
      <c r="C91" s="11"/>
      <c r="D91" s="51">
        <f t="shared" si="1"/>
        <v>18</v>
      </c>
      <c r="E91" s="56">
        <f>'Mastercurve bestimmen'!A35</f>
        <v>2030.26456396616</v>
      </c>
    </row>
    <row r="92" spans="1:5" x14ac:dyDescent="0.25">
      <c r="A92" s="50">
        <f t="shared" si="0"/>
        <v>19</v>
      </c>
      <c r="B92" s="56">
        <f>'Mastercurve bestimmen'!C36</f>
        <v>0.11222824358997255</v>
      </c>
      <c r="C92" s="11"/>
      <c r="D92" s="51">
        <f t="shared" si="1"/>
        <v>19</v>
      </c>
      <c r="E92" s="56">
        <f>'Mastercurve bestimmen'!A36</f>
        <v>22506.400540467101</v>
      </c>
    </row>
    <row r="93" spans="1:5" x14ac:dyDescent="0.25">
      <c r="A93" s="50">
        <f t="shared" si="0"/>
        <v>20</v>
      </c>
      <c r="B93" s="56">
        <f>'Mastercurve bestimmen'!C37</f>
        <v>8.9690702482137605E-2</v>
      </c>
      <c r="C93" s="11"/>
      <c r="D93" s="51">
        <f t="shared" si="1"/>
        <v>20</v>
      </c>
      <c r="E93" s="56">
        <f>'Mastercurve bestimmen'!A37</f>
        <v>249493.62476110301</v>
      </c>
    </row>
    <row r="94" spans="1:5" x14ac:dyDescent="0.25">
      <c r="A94" s="50">
        <f t="shared" si="0"/>
        <v>21</v>
      </c>
      <c r="B94" s="56">
        <f>'Mastercurve bestimmen'!C38</f>
        <v>3.260199419264094E-2</v>
      </c>
      <c r="C94" s="11"/>
      <c r="D94" s="51">
        <f t="shared" si="1"/>
        <v>21</v>
      </c>
      <c r="E94" s="56">
        <f>'Mastercurve bestimmen'!A38</f>
        <v>2765749.6224023802</v>
      </c>
    </row>
    <row r="95" spans="1:5" x14ac:dyDescent="0.25">
      <c r="A95" s="50">
        <f t="shared" si="0"/>
        <v>22</v>
      </c>
      <c r="B95" s="56">
        <f>'Mastercurve bestimmen'!C39</f>
        <v>3.3353536546241076E-2</v>
      </c>
      <c r="C95" s="11"/>
      <c r="D95" s="51">
        <f t="shared" si="1"/>
        <v>22</v>
      </c>
      <c r="E95" s="56">
        <f>'Mastercurve bestimmen'!A39</f>
        <v>10000000</v>
      </c>
    </row>
    <row r="96" spans="1:5" x14ac:dyDescent="0.25">
      <c r="A96" s="50">
        <f t="shared" si="0"/>
        <v>23</v>
      </c>
      <c r="B96" s="56">
        <f>'Mastercurve bestimmen'!C40</f>
        <v>1.7436587013509221E-2</v>
      </c>
      <c r="C96" s="11"/>
      <c r="D96" s="51">
        <f t="shared" si="1"/>
        <v>23</v>
      </c>
      <c r="E96" s="56">
        <f>'Mastercurve bestimmen'!A40</f>
        <v>100000000</v>
      </c>
    </row>
    <row r="97" spans="1:5" x14ac:dyDescent="0.25">
      <c r="A97" s="50">
        <f t="shared" si="0"/>
        <v>24</v>
      </c>
      <c r="B97" s="56">
        <f>'Mastercurve bestimmen'!C41</f>
        <v>4.7217849635186409E-4</v>
      </c>
      <c r="C97" s="11"/>
      <c r="D97" s="51">
        <f t="shared" si="1"/>
        <v>24</v>
      </c>
      <c r="E97" s="56">
        <f>'Mastercurve bestimmen'!A41</f>
        <v>1000000000</v>
      </c>
    </row>
    <row r="98" spans="1:5" x14ac:dyDescent="0.25">
      <c r="A98" s="50">
        <f t="shared" si="0"/>
        <v>25</v>
      </c>
      <c r="B98" s="56">
        <f>'Mastercurve bestimmen'!C42</f>
        <v>3.9532606595692786E-3</v>
      </c>
      <c r="C98" s="11"/>
      <c r="D98" s="51">
        <f t="shared" si="1"/>
        <v>25</v>
      </c>
      <c r="E98" s="56">
        <f>'Mastercurve bestimmen'!A42</f>
        <v>10000000000</v>
      </c>
    </row>
    <row r="99" spans="1:5" x14ac:dyDescent="0.25">
      <c r="A99" s="50">
        <f t="shared" si="0"/>
        <v>26</v>
      </c>
      <c r="B99" s="56">
        <f>'Mastercurve bestimmen'!C43</f>
        <v>4.2057154474780992E-7</v>
      </c>
      <c r="C99" s="11"/>
      <c r="D99" s="51">
        <f t="shared" si="1"/>
        <v>26</v>
      </c>
      <c r="E99" s="56">
        <f>'Mastercurve bestimmen'!A43</f>
        <v>100000000000</v>
      </c>
    </row>
    <row r="100" spans="1:5" x14ac:dyDescent="0.25">
      <c r="A100" s="50">
        <f t="shared" si="0"/>
        <v>27</v>
      </c>
      <c r="B100" s="56">
        <f>'Mastercurve bestimmen'!C44</f>
        <v>1.8675724725031384E-5</v>
      </c>
      <c r="C100" s="11"/>
      <c r="D100" s="51">
        <f t="shared" si="1"/>
        <v>27</v>
      </c>
      <c r="E100" s="56">
        <f>'Mastercurve bestimmen'!A44</f>
        <v>1000000000000</v>
      </c>
    </row>
    <row r="101" spans="1:5" x14ac:dyDescent="0.25">
      <c r="A101" s="50">
        <f t="shared" si="0"/>
        <v>28</v>
      </c>
      <c r="B101" s="56">
        <f>'Mastercurve bestimmen'!C45</f>
        <v>6.5581020384023116E-8</v>
      </c>
      <c r="C101" s="11"/>
      <c r="D101" s="51">
        <f t="shared" si="1"/>
        <v>28</v>
      </c>
      <c r="E101" s="56">
        <f>'Mastercurve bestimmen'!A45</f>
        <v>10000000000000</v>
      </c>
    </row>
    <row r="102" spans="1:5" x14ac:dyDescent="0.25">
      <c r="A102" s="50">
        <f t="shared" si="0"/>
        <v>29</v>
      </c>
      <c r="B102" s="56">
        <f>'Mastercurve bestimmen'!C46</f>
        <v>7.3021852336235098E-8</v>
      </c>
      <c r="C102" s="11"/>
      <c r="D102" s="51">
        <f t="shared" si="1"/>
        <v>29</v>
      </c>
      <c r="E102" s="56">
        <f>'Mastercurve bestimmen'!A46</f>
        <v>100000000000000</v>
      </c>
    </row>
    <row r="103" spans="1:5" x14ac:dyDescent="0.25">
      <c r="A103" s="50">
        <f t="shared" si="0"/>
        <v>30</v>
      </c>
      <c r="B103" s="56">
        <f>'Mastercurve bestimmen'!C47</f>
        <v>1.1629614521313135E-6</v>
      </c>
      <c r="C103" s="11"/>
      <c r="D103" s="51">
        <f t="shared" si="1"/>
        <v>30</v>
      </c>
      <c r="E103" s="56">
        <f>'Mastercurve bestimmen'!A47</f>
        <v>1000000000000000</v>
      </c>
    </row>
    <row r="104" spans="1:5" x14ac:dyDescent="0.25">
      <c r="A104" s="50">
        <f t="shared" si="0"/>
        <v>31</v>
      </c>
      <c r="B104" s="56">
        <f>'Mastercurve bestimmen'!C48</f>
        <v>4.9365030271996854E-7</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12">
        <f>STUTT!D8</f>
        <v>5930.4079000000002</v>
      </c>
      <c r="D113" s="112"/>
    </row>
    <row r="114" spans="1:4" s="11" customFormat="1" x14ac:dyDescent="0.25">
      <c r="A114" s="61" t="str">
        <f>STUTT!B9</f>
        <v>MP,GXY,</v>
      </c>
      <c r="B114" s="52" t="str">
        <f>STUTT!C9</f>
        <v>MatID,</v>
      </c>
      <c r="C114" s="112">
        <f>STUTT!D9</f>
        <v>6613.9741000000004</v>
      </c>
      <c r="D114" s="112"/>
    </row>
    <row r="115" spans="1:4" x14ac:dyDescent="0.25">
      <c r="A115" s="61" t="str">
        <f>STUTT!B10</f>
        <v>MP,GYZ,</v>
      </c>
      <c r="B115" s="52" t="str">
        <f>STUTT!C10</f>
        <v>MatID,</v>
      </c>
      <c r="C115" s="112">
        <f>STUTT!D10</f>
        <v>6613.9741000000004</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8" zoomScale="120" zoomScaleNormal="120" zoomScaleSheetLayoutView="110" workbookViewId="0">
      <selection activeCell="I114" sqref="I11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5916.6915694579875</v>
      </c>
      <c r="G16" s="26">
        <f>INDEX(Comparison!$AM$3:$AS$33,G14,$B$3)</f>
        <v>5916.7227160627044</v>
      </c>
      <c r="H16" s="26">
        <f>INDEX(Comparison!$AM$3:$AS$33,H14,$B$3)</f>
        <v>5916.6446401256508</v>
      </c>
      <c r="I16" s="26">
        <f>INDEX(Comparison!$AM$3:$AS$33,I14,$B$3)</f>
        <v>5916.0822262002403</v>
      </c>
      <c r="J16" s="26">
        <f>INDEX(Comparison!$AM$3:$AS$33,J14,$B$3)</f>
        <v>5910.6250002955303</v>
      </c>
      <c r="K16" s="26">
        <f>INDEX(Comparison!$AM$3:$AS$33,K14,$B$3)</f>
        <v>5865.0413696390469</v>
      </c>
      <c r="L16" s="26">
        <f>INDEX(Comparison!$AM$3:$AS$33,L14,$B$3)</f>
        <v>5722.4751414535358</v>
      </c>
      <c r="M16" s="26">
        <f>INDEX(Comparison!$AM$3:$AS$33,M14,$B$3)</f>
        <v>5576.9650996615301</v>
      </c>
      <c r="N16" s="26">
        <f>INDEX(Comparison!$AM$3:$AS$33,N14,$B$3)</f>
        <v>5410.5738362167167</v>
      </c>
      <c r="O16" s="26">
        <f>INDEX(Comparison!$AM$3:$AS$33,O14,$B$3)</f>
        <v>5216.1277029195053</v>
      </c>
      <c r="P16" s="26">
        <f>INDEX(Comparison!$AM$3:$AS$33,P14,$B$3)</f>
        <v>5018.4752297884525</v>
      </c>
      <c r="Q16" s="26">
        <f>INDEX(Comparison!$AM$3:$AS$33,Q14,$B$3)</f>
        <v>4771.2929786824907</v>
      </c>
      <c r="R16" s="26">
        <f>INDEX(Comparison!$AM$3:$AS$33,R14,$B$3)</f>
        <v>4502.260327638488</v>
      </c>
      <c r="S16" s="26">
        <f>INDEX(Comparison!$AM$3:$AS$33,S14,$B$3)</f>
        <v>4239.8922301770135</v>
      </c>
      <c r="T16" s="26">
        <f>INDEX(Comparison!$AM$3:$AS$33,T14,$B$3)</f>
        <v>3958.4879028609685</v>
      </c>
      <c r="U16" s="26">
        <f>INDEX(Comparison!$AM$3:$AS$33,U14,$B$3)</f>
        <v>3659.7650677599231</v>
      </c>
      <c r="V16" s="26">
        <f>INDEX(Comparison!$AM$3:$AS$33,V14,$B$3)</f>
        <v>3268.126124643903</v>
      </c>
      <c r="W16" s="26">
        <f>INDEX(Comparison!$AM$3:$AS$33,W14,$B$3)</f>
        <v>2768.9657420868534</v>
      </c>
      <c r="X16" s="26">
        <f>INDEX(Comparison!$AM$3:$AS$33,X14,$B$3)</f>
        <v>2204.5974524100161</v>
      </c>
      <c r="Y16" s="26">
        <f>INDEX(Comparison!$AM$3:$AS$33,Y14,$B$3)</f>
        <v>1586.454168957242</v>
      </c>
      <c r="Z16" s="26">
        <f>INDEX(Comparison!$AM$3:$AS$33,Z14,$B$3)</f>
        <v>1000.0232976856266</v>
      </c>
      <c r="AA16" s="26">
        <f>INDEX(Comparison!$AM$3:$AS$33,AA14,$B$3)</f>
        <v>576.00660610456418</v>
      </c>
      <c r="AB16" s="26">
        <f>INDEX(Comparison!$AM$3:$AS$33,AB14,$B$3)</f>
        <v>321.80010935687142</v>
      </c>
      <c r="AC16" s="26">
        <f>INDEX(Comparison!$AM$3:$AS$33,AC14,$B$3)</f>
        <v>187.89777287454069</v>
      </c>
      <c r="AD16" s="26">
        <f>INDEX(Comparison!$AM$3:$AS$33,AD14,$B$3)</f>
        <v>146.32445551645827</v>
      </c>
      <c r="AE16" s="26">
        <f>INDEX(Comparison!$AM$3:$AS$33,AE14,$B$3)</f>
        <v>132.67557886184474</v>
      </c>
      <c r="AF16" s="26">
        <f>INDEX(Comparison!$AM$3:$AS$33,AF14,$B$3)</f>
        <v>124.09266721325585</v>
      </c>
      <c r="AG16" s="26">
        <f>INDEX(Comparison!$AM$3:$AS$33,AG14,$B$3)</f>
        <v>123.97220489326934</v>
      </c>
      <c r="AH16" s="26">
        <f>INDEX(Comparison!$AM$3:$AS$33,AH14,$B$3)</f>
        <v>123.97018586453261</v>
      </c>
      <c r="AI16" s="26">
        <f>INDEX(Comparison!$AM$3:$AS$33,AI14,$B$3)</f>
        <v>123.96849358445334</v>
      </c>
      <c r="AJ16" s="26">
        <f>INDEX(Comparison!$AM$3:$AS$33,AJ14,$B$3)</f>
        <v>123.96695327212331</v>
      </c>
    </row>
    <row r="17" spans="1:36" x14ac:dyDescent="0.25">
      <c r="A17" s="14" t="s">
        <v>20</v>
      </c>
      <c r="B17" s="105">
        <v>2.2559941946259536E-2</v>
      </c>
      <c r="C17" s="18">
        <f t="shared" ref="C17:C48" si="3">ABS(B17/$B$49)</f>
        <v>2.0901188233697934E-2</v>
      </c>
      <c r="D17" s="66"/>
      <c r="E17" s="65" t="s">
        <v>22</v>
      </c>
      <c r="F17" s="27">
        <f>($C$17+SUM(F18:F48))*$B$51</f>
        <v>5916.9979249634189</v>
      </c>
      <c r="G17" s="27">
        <f t="shared" ref="G17:M17" si="4">($C$17+SUM(G18:G48))*$B$51</f>
        <v>5916.990720667045</v>
      </c>
      <c r="H17" s="27">
        <f t="shared" si="4"/>
        <v>5916.9187194765027</v>
      </c>
      <c r="I17" s="27">
        <f t="shared" si="4"/>
        <v>5916.2028601687643</v>
      </c>
      <c r="J17" s="27">
        <f t="shared" si="4"/>
        <v>5909.4359197520544</v>
      </c>
      <c r="K17" s="27">
        <f t="shared" si="4"/>
        <v>5865.298332125798</v>
      </c>
      <c r="L17" s="27">
        <f t="shared" si="4"/>
        <v>5722.504834086978</v>
      </c>
      <c r="M17" s="27">
        <f t="shared" si="4"/>
        <v>5576.8396404162977</v>
      </c>
      <c r="N17" s="27">
        <f t="shared" ref="N17" si="5">($C$17+SUM(N18:N48))*$B$51</f>
        <v>5410.8538448255113</v>
      </c>
      <c r="O17" s="27">
        <f t="shared" ref="O17" si="6">($C$17+SUM(O18:O48))*$B$51</f>
        <v>5215.5789829411924</v>
      </c>
      <c r="P17" s="27">
        <f t="shared" ref="P17" si="7">($C$17+SUM(P18:P48))*$B$51</f>
        <v>5019.378760476412</v>
      </c>
      <c r="Q17" s="27">
        <f t="shared" ref="Q17" si="8">($C$17+SUM(Q18:Q48))*$B$51</f>
        <v>4770.0375913804974</v>
      </c>
      <c r="R17" s="27">
        <f t="shared" ref="R17" si="9">($C$17+SUM(R18:R48))*$B$51</f>
        <v>4503.7357547733145</v>
      </c>
      <c r="S17" s="27">
        <f t="shared" ref="S17:T17" si="10">($C$17+SUM(S18:S48))*$B$51</f>
        <v>4238.4318400110424</v>
      </c>
      <c r="T17" s="27">
        <f t="shared" si="10"/>
        <v>3959.7218036325066</v>
      </c>
      <c r="U17" s="27">
        <f t="shared" ref="U17" si="11">($C$17+SUM(U18:U48))*$B$51</f>
        <v>3658.8516477758903</v>
      </c>
      <c r="V17" s="27">
        <f t="shared" ref="V17" si="12">($C$17+SUM(V18:V48))*$B$51</f>
        <v>3268.7188856130133</v>
      </c>
      <c r="W17" s="27">
        <f t="shared" ref="W17" si="13">($C$17+SUM(W18:W48))*$B$51</f>
        <v>2768.6439243961586</v>
      </c>
      <c r="X17" s="27">
        <f t="shared" ref="X17" si="14">($C$17+SUM(X18:X48))*$B$51</f>
        <v>2204.7485028903266</v>
      </c>
      <c r="Y17" s="27">
        <f t="shared" ref="Y17" si="15">($C$17+SUM(Y18:Y48))*$B$51</f>
        <v>1586.4143389839735</v>
      </c>
      <c r="Z17" s="27">
        <f t="shared" ref="Z17:AA17" si="16">($C$17+SUM(Z18:Z48))*$B$51</f>
        <v>1000.0141334711998</v>
      </c>
      <c r="AA17" s="27">
        <f t="shared" si="16"/>
        <v>576.01331837825705</v>
      </c>
      <c r="AB17" s="27">
        <f t="shared" ref="AB17" si="17">($C$17+SUM(AB18:AB48))*$B$51</f>
        <v>321.80288387145072</v>
      </c>
      <c r="AC17" s="27">
        <f t="shared" ref="AC17" si="18">($C$17+SUM(AC18:AC48))*$B$51</f>
        <v>187.87130988168252</v>
      </c>
      <c r="AD17" s="27">
        <f t="shared" ref="AD17" si="19">($C$17+SUM(AD18:AD48))*$B$51</f>
        <v>146.32458017074876</v>
      </c>
      <c r="AE17" s="27">
        <f t="shared" ref="AE17" si="20">($C$17+SUM(AE18:AE48))*$B$51</f>
        <v>132.69998476853158</v>
      </c>
      <c r="AF17" s="27">
        <f t="shared" ref="AF17" si="21">($C$17+SUM(AF18:AF48))*$B$51</f>
        <v>124.06541004622913</v>
      </c>
      <c r="AG17" s="27">
        <f t="shared" ref="AG17:AH17" si="22">($C$17+SUM(AG18:AG48))*$B$51</f>
        <v>124.00391414730278</v>
      </c>
      <c r="AH17" s="27">
        <f t="shared" si="22"/>
        <v>123.9628645972104</v>
      </c>
      <c r="AI17" s="27">
        <f t="shared" ref="AI17" si="23">($C$17+SUM(AI18:AI48))*$B$51</f>
        <v>123.96187008127836</v>
      </c>
      <c r="AJ17" s="27">
        <f t="shared" ref="AJ17" si="24">($C$17+SUM(AJ18:AJ48))*$B$51</f>
        <v>123.95775799892483</v>
      </c>
    </row>
    <row r="18" spans="1:36" x14ac:dyDescent="0.25">
      <c r="A18" s="3">
        <f>0.000000000000001/10^5</f>
        <v>1.0000000000000001E-20</v>
      </c>
      <c r="B18" s="106">
        <v>2.4405318429586297E-3</v>
      </c>
      <c r="C18" s="18">
        <f t="shared" si="3"/>
        <v>2.261088063148565E-3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4.5617409409551236E-3</v>
      </c>
      <c r="C22" s="18">
        <f t="shared" si="3"/>
        <v>4.2263320671389317E-3</v>
      </c>
      <c r="D22" s="17"/>
      <c r="F22" s="3">
        <f t="shared" si="25"/>
        <v>4.2262525975041319E-3</v>
      </c>
      <c r="G22" s="3">
        <f t="shared" si="25"/>
        <v>4.2255374380312178E-3</v>
      </c>
      <c r="H22" s="3">
        <f t="shared" si="25"/>
        <v>4.2183924959199332E-3</v>
      </c>
      <c r="I22" s="3">
        <f t="shared" si="25"/>
        <v>4.1476041897731053E-3</v>
      </c>
      <c r="J22" s="3">
        <f t="shared" si="25"/>
        <v>3.5018738087572326E-3</v>
      </c>
      <c r="K22" s="3">
        <f t="shared" si="25"/>
        <v>6.4466244008542985E-4</v>
      </c>
      <c r="L22" s="3">
        <f t="shared" si="25"/>
        <v>2.8817156412834858E-11</v>
      </c>
      <c r="M22" s="3">
        <f t="shared" si="25"/>
        <v>9.1799155210047889E-85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3.2741773160496104E-2</v>
      </c>
      <c r="C23" s="18">
        <f t="shared" si="3"/>
        <v>3.0334384971501784E-2</v>
      </c>
      <c r="D23" s="17"/>
      <c r="F23" s="3">
        <f t="shared" si="25"/>
        <v>3.0334333517032866E-2</v>
      </c>
      <c r="G23" s="3">
        <f t="shared" si="25"/>
        <v>3.0333870430740151E-2</v>
      </c>
      <c r="H23" s="3">
        <f t="shared" si="25"/>
        <v>3.0329239956618313E-2</v>
      </c>
      <c r="I23" s="3">
        <f t="shared" si="25"/>
        <v>3.028297407397889E-2</v>
      </c>
      <c r="J23" s="3">
        <f t="shared" si="25"/>
        <v>2.9824179245586745E-2</v>
      </c>
      <c r="K23" s="3">
        <f t="shared" si="25"/>
        <v>2.560166801584661E-2</v>
      </c>
      <c r="L23" s="3">
        <f t="shared" si="25"/>
        <v>5.5624467954162506E-3</v>
      </c>
      <c r="M23" s="3">
        <f t="shared" si="25"/>
        <v>1.3038929987952781E-9</v>
      </c>
      <c r="N23" s="3">
        <f t="shared" si="25"/>
        <v>6.5313474470218182E-76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2.5366712720060958E-2</v>
      </c>
      <c r="C24" s="18">
        <f t="shared" si="3"/>
        <v>2.3501586958650868E-2</v>
      </c>
      <c r="D24" s="17"/>
      <c r="F24" s="3">
        <f t="shared" si="25"/>
        <v>2.3501583362548706E-2</v>
      </c>
      <c r="G24" s="3">
        <f t="shared" si="25"/>
        <v>2.3501550997654001E-2</v>
      </c>
      <c r="H24" s="3">
        <f t="shared" si="25"/>
        <v>2.3501227351158342E-2</v>
      </c>
      <c r="I24" s="3">
        <f t="shared" si="25"/>
        <v>2.3497991131328118E-2</v>
      </c>
      <c r="J24" s="3">
        <f t="shared" si="25"/>
        <v>2.3465653433177674E-2</v>
      </c>
      <c r="K24" s="3">
        <f t="shared" si="25"/>
        <v>2.3144714028873647E-2</v>
      </c>
      <c r="L24" s="3">
        <f t="shared" si="25"/>
        <v>2.016710166920959E-2</v>
      </c>
      <c r="M24" s="3">
        <f t="shared" si="25"/>
        <v>5.0881531400853025E-3</v>
      </c>
      <c r="N24" s="3">
        <f t="shared" si="25"/>
        <v>5.3177392256898695E-9</v>
      </c>
      <c r="O24" s="3">
        <f t="shared" si="25"/>
        <v>8.2679084694477471E-69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3.2554893298222379E-2</v>
      </c>
      <c r="C25" s="18">
        <f t="shared" si="3"/>
        <v>3.0161245732589943E-2</v>
      </c>
      <c r="D25" s="17"/>
      <c r="F25" s="3">
        <f t="shared" si="25"/>
        <v>3.0161245316266631E-2</v>
      </c>
      <c r="G25" s="3">
        <f t="shared" si="25"/>
        <v>3.0161241569357098E-2</v>
      </c>
      <c r="H25" s="3">
        <f t="shared" si="25"/>
        <v>3.0161204100287355E-2</v>
      </c>
      <c r="I25" s="3">
        <f t="shared" si="25"/>
        <v>3.0160829412150005E-2</v>
      </c>
      <c r="J25" s="3">
        <f t="shared" si="25"/>
        <v>3.015708278677523E-2</v>
      </c>
      <c r="K25" s="3">
        <f t="shared" si="25"/>
        <v>3.0119642121131815E-2</v>
      </c>
      <c r="L25" s="3">
        <f t="shared" si="25"/>
        <v>2.9747782552585842E-2</v>
      </c>
      <c r="M25" s="3">
        <f t="shared" si="25"/>
        <v>2.6272566972480798E-2</v>
      </c>
      <c r="N25" s="3">
        <f t="shared" si="25"/>
        <v>7.585454419279037E-3</v>
      </c>
      <c r="O25" s="3">
        <f t="shared" si="25"/>
        <v>3.0533216384644685E-8</v>
      </c>
      <c r="P25" s="3">
        <f t="shared" si="25"/>
        <v>3.4094323709945826E-62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3.9700957789507461E-2</v>
      </c>
      <c r="C26" s="18">
        <f t="shared" si="3"/>
        <v>3.6781885068377713E-2</v>
      </c>
      <c r="D26" s="17"/>
      <c r="F26" s="3">
        <f t="shared" si="25"/>
        <v>3.6781885022578079E-2</v>
      </c>
      <c r="G26" s="3">
        <f t="shared" si="25"/>
        <v>3.678188461038135E-2</v>
      </c>
      <c r="H26" s="3">
        <f t="shared" si="25"/>
        <v>3.678188048841436E-2</v>
      </c>
      <c r="I26" s="3">
        <f t="shared" si="25"/>
        <v>3.6781839268769836E-2</v>
      </c>
      <c r="J26" s="3">
        <f t="shared" si="25"/>
        <v>3.6781427074865189E-2</v>
      </c>
      <c r="K26" s="3">
        <f t="shared" si="25"/>
        <v>3.677730538986787E-2</v>
      </c>
      <c r="L26" s="3">
        <f t="shared" si="25"/>
        <v>3.6736113934280785E-2</v>
      </c>
      <c r="M26" s="3">
        <f t="shared" si="25"/>
        <v>3.6326728318950369E-2</v>
      </c>
      <c r="N26" s="3">
        <f t="shared" si="25"/>
        <v>3.2475587163545365E-2</v>
      </c>
      <c r="O26" s="3">
        <f t="shared" si="25"/>
        <v>1.05892273340392E-2</v>
      </c>
      <c r="P26" s="3">
        <f t="shared" si="25"/>
        <v>1.4385894564732299E-7</v>
      </c>
      <c r="Q26" s="3">
        <f t="shared" si="25"/>
        <v>3.080795581648489E-56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3.3415406316587959E-2</v>
      </c>
      <c r="C27" s="18">
        <f t="shared" si="3"/>
        <v>3.0958488235130539E-2</v>
      </c>
      <c r="D27" s="17"/>
      <c r="F27" s="3">
        <f t="shared" si="25"/>
        <v>3.0958488231653144E-2</v>
      </c>
      <c r="G27" s="3">
        <f t="shared" si="25"/>
        <v>3.095848820035656E-2</v>
      </c>
      <c r="H27" s="3">
        <f t="shared" si="25"/>
        <v>3.0958487887390754E-2</v>
      </c>
      <c r="I27" s="3">
        <f t="shared" si="25"/>
        <v>3.0958484757732871E-2</v>
      </c>
      <c r="J27" s="3">
        <f t="shared" si="25"/>
        <v>3.0958453461171424E-2</v>
      </c>
      <c r="K27" s="3">
        <f t="shared" si="25"/>
        <v>3.095814049729707E-2</v>
      </c>
      <c r="L27" s="3">
        <f t="shared" si="25"/>
        <v>3.0955011032557305E-2</v>
      </c>
      <c r="M27" s="3">
        <f t="shared" si="25"/>
        <v>3.0923733779030863E-2</v>
      </c>
      <c r="N27" s="3">
        <f t="shared" si="25"/>
        <v>3.0612694142427014E-2</v>
      </c>
      <c r="O27" s="3">
        <f t="shared" si="25"/>
        <v>2.7669277459454644E-2</v>
      </c>
      <c r="P27" s="3">
        <f t="shared" si="25"/>
        <v>1.006840039522267E-2</v>
      </c>
      <c r="Q27" s="3">
        <f t="shared" si="25"/>
        <v>4.0981426812170906E-7</v>
      </c>
      <c r="R27" s="3">
        <f t="shared" si="25"/>
        <v>5.1150872024480884E-51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5.6295136620331969E-2</v>
      </c>
      <c r="C28" s="18">
        <f t="shared" si="3"/>
        <v>5.2155951905646973E-2</v>
      </c>
      <c r="D28" s="17"/>
      <c r="F28" s="3">
        <f t="shared" si="25"/>
        <v>5.21559519051185E-2</v>
      </c>
      <c r="G28" s="3">
        <f t="shared" si="25"/>
        <v>5.2155951900362214E-2</v>
      </c>
      <c r="H28" s="3">
        <f t="shared" si="25"/>
        <v>5.2155951852799393E-2</v>
      </c>
      <c r="I28" s="3">
        <f t="shared" si="25"/>
        <v>5.2155951377171175E-2</v>
      </c>
      <c r="J28" s="3">
        <f t="shared" si="25"/>
        <v>5.2155946620889237E-2</v>
      </c>
      <c r="K28" s="3">
        <f t="shared" si="25"/>
        <v>5.2155899058093716E-2</v>
      </c>
      <c r="L28" s="3">
        <f t="shared" si="25"/>
        <v>5.2155423432524051E-2</v>
      </c>
      <c r="M28" s="3">
        <f t="shared" si="25"/>
        <v>5.2150667415376523E-2</v>
      </c>
      <c r="N28" s="3">
        <f t="shared" si="25"/>
        <v>5.2103131090762971E-2</v>
      </c>
      <c r="O28" s="3">
        <f t="shared" si="25"/>
        <v>5.1630144504082896E-2</v>
      </c>
      <c r="P28" s="3">
        <f t="shared" si="25"/>
        <v>4.7130117231955024E-2</v>
      </c>
      <c r="Q28" s="3">
        <f t="shared" si="25"/>
        <v>1.8934346246669283E-2</v>
      </c>
      <c r="R28" s="3">
        <f t="shared" si="25"/>
        <v>2.073806641637052E-6</v>
      </c>
      <c r="S28" s="3">
        <f t="shared" si="25"/>
        <v>5.1516663105036268E-46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4.6586016605262806E-2</v>
      </c>
      <c r="C29" s="18">
        <f t="shared" si="3"/>
        <v>4.3160709564069449E-2</v>
      </c>
      <c r="D29" s="17"/>
      <c r="F29" s="3">
        <f t="shared" si="25"/>
        <v>4.3160709564030002E-2</v>
      </c>
      <c r="G29" s="3">
        <f t="shared" si="25"/>
        <v>4.3160709563674939E-2</v>
      </c>
      <c r="H29" s="3">
        <f t="shared" si="25"/>
        <v>4.3160709560124362E-2</v>
      </c>
      <c r="I29" s="3">
        <f t="shared" si="25"/>
        <v>4.3160709524618597E-2</v>
      </c>
      <c r="J29" s="3">
        <f t="shared" si="25"/>
        <v>4.3160709169560926E-2</v>
      </c>
      <c r="K29" s="3">
        <f t="shared" si="25"/>
        <v>4.316070561898435E-2</v>
      </c>
      <c r="L29" s="3">
        <f t="shared" si="25"/>
        <v>4.3160670113234677E-2</v>
      </c>
      <c r="M29" s="3">
        <f t="shared" si="25"/>
        <v>4.316031505734437E-2</v>
      </c>
      <c r="N29" s="3">
        <f t="shared" si="25"/>
        <v>4.3156764659082643E-2</v>
      </c>
      <c r="O29" s="3">
        <f t="shared" si="25"/>
        <v>4.3121276735707932E-2</v>
      </c>
      <c r="P29" s="3">
        <f t="shared" si="25"/>
        <v>4.2767998548881497E-2</v>
      </c>
      <c r="Q29" s="3">
        <f t="shared" si="25"/>
        <v>3.9390553533407091E-2</v>
      </c>
      <c r="R29" s="3">
        <f t="shared" si="25"/>
        <v>1.7303089512141101E-2</v>
      </c>
      <c r="S29" s="3">
        <f t="shared" si="25"/>
        <v>4.6284903406816963E-6</v>
      </c>
      <c r="T29" s="3">
        <f t="shared" si="25"/>
        <v>8.6815332763457035E-42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5.3711922869683987E-2</v>
      </c>
      <c r="C30" s="18">
        <f t="shared" si="3"/>
        <v>4.9762672836986856E-2</v>
      </c>
      <c r="D30" s="17"/>
      <c r="F30" s="3">
        <f t="shared" si="25"/>
        <v>4.9762672836982748E-2</v>
      </c>
      <c r="G30" s="3">
        <f t="shared" si="25"/>
        <v>4.9762672836945826E-2</v>
      </c>
      <c r="H30" s="3">
        <f t="shared" si="25"/>
        <v>4.9762672836576545E-2</v>
      </c>
      <c r="I30" s="3">
        <f t="shared" si="25"/>
        <v>4.97626728328837E-2</v>
      </c>
      <c r="J30" s="3">
        <f t="shared" si="25"/>
        <v>4.9762672795955289E-2</v>
      </c>
      <c r="K30" s="3">
        <f t="shared" si="25"/>
        <v>4.9762672426671178E-2</v>
      </c>
      <c r="L30" s="3">
        <f t="shared" si="25"/>
        <v>4.9762668733830263E-2</v>
      </c>
      <c r="M30" s="3">
        <f t="shared" si="25"/>
        <v>4.9762631805436129E-2</v>
      </c>
      <c r="N30" s="3">
        <f t="shared" si="25"/>
        <v>4.9762262523002081E-2</v>
      </c>
      <c r="O30" s="3">
        <f t="shared" si="25"/>
        <v>4.9758569849380194E-2</v>
      </c>
      <c r="P30" s="3">
        <f t="shared" si="25"/>
        <v>4.9721658180888272E-2</v>
      </c>
      <c r="Q30" s="3">
        <f t="shared" si="25"/>
        <v>4.9354044139663357E-2</v>
      </c>
      <c r="R30" s="3">
        <f t="shared" si="25"/>
        <v>4.5824122856463728E-2</v>
      </c>
      <c r="S30" s="3">
        <f t="shared" si="25"/>
        <v>2.1817667335948653E-2</v>
      </c>
      <c r="T30" s="3">
        <f t="shared" si="25"/>
        <v>1.3060201117853398E-5</v>
      </c>
      <c r="U30" s="3">
        <f t="shared" si="25"/>
        <v>7.7155227685484524E-38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5.1183652991963223E-2</v>
      </c>
      <c r="C31" s="18">
        <f t="shared" si="3"/>
        <v>4.7420297810237655E-2</v>
      </c>
      <c r="D31" s="17"/>
      <c r="F31" s="3">
        <f t="shared" si="25"/>
        <v>4.7420297810237301E-2</v>
      </c>
      <c r="G31" s="3">
        <f t="shared" si="25"/>
        <v>4.742029781023413E-2</v>
      </c>
      <c r="H31" s="3">
        <f t="shared" si="25"/>
        <v>4.7420297810202384E-2</v>
      </c>
      <c r="I31" s="3">
        <f t="shared" si="25"/>
        <v>4.7420297809884937E-2</v>
      </c>
      <c r="J31" s="3">
        <f t="shared" si="25"/>
        <v>4.742029780671049E-2</v>
      </c>
      <c r="K31" s="3">
        <f t="shared" si="25"/>
        <v>4.742029777496605E-2</v>
      </c>
      <c r="L31" s="3">
        <f t="shared" si="25"/>
        <v>4.7420297457521556E-2</v>
      </c>
      <c r="M31" s="3">
        <f t="shared" si="25"/>
        <v>4.7420294283076828E-2</v>
      </c>
      <c r="N31" s="3">
        <f t="shared" si="25"/>
        <v>4.7420262538641178E-2</v>
      </c>
      <c r="O31" s="3">
        <f t="shared" si="25"/>
        <v>4.7419945095453463E-2</v>
      </c>
      <c r="P31" s="3">
        <f t="shared" si="25"/>
        <v>4.7416770780451409E-2</v>
      </c>
      <c r="Q31" s="3">
        <f t="shared" si="25"/>
        <v>4.7385039315047672E-2</v>
      </c>
      <c r="R31" s="3">
        <f t="shared" si="25"/>
        <v>4.7068890233721676E-2</v>
      </c>
      <c r="S31" s="3">
        <f t="shared" si="25"/>
        <v>4.4021120673552967E-2</v>
      </c>
      <c r="T31" s="3">
        <f t="shared" si="25"/>
        <v>2.2538886190651974E-2</v>
      </c>
      <c r="U31" s="3">
        <f t="shared" si="25"/>
        <v>2.7902686012442299E-5</v>
      </c>
      <c r="V31" s="3">
        <f t="shared" si="26"/>
        <v>2.3592916258563223E-34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5.9430418927842142E-2</v>
      </c>
      <c r="C32" s="18">
        <f t="shared" si="3"/>
        <v>5.5060707858971492E-2</v>
      </c>
      <c r="D32" s="17"/>
      <c r="F32" s="3">
        <f t="shared" si="25"/>
        <v>5.5060707858971457E-2</v>
      </c>
      <c r="G32" s="3">
        <f t="shared" si="25"/>
        <v>5.5060707858971124E-2</v>
      </c>
      <c r="H32" s="3">
        <f t="shared" si="25"/>
        <v>5.50607078589678E-2</v>
      </c>
      <c r="I32" s="3">
        <f t="shared" si="25"/>
        <v>5.5060707858934542E-2</v>
      </c>
      <c r="J32" s="3">
        <f t="shared" si="25"/>
        <v>5.5060707858602051E-2</v>
      </c>
      <c r="K32" s="3">
        <f t="shared" si="25"/>
        <v>5.5060707855277044E-2</v>
      </c>
      <c r="L32" s="3">
        <f t="shared" si="25"/>
        <v>5.5060707822027023E-2</v>
      </c>
      <c r="M32" s="3">
        <f t="shared" si="25"/>
        <v>5.5060707489526843E-2</v>
      </c>
      <c r="N32" s="3">
        <f t="shared" si="25"/>
        <v>5.5060704164525104E-2</v>
      </c>
      <c r="O32" s="3">
        <f t="shared" si="25"/>
        <v>5.5060670914518786E-2</v>
      </c>
      <c r="P32" s="3">
        <f t="shared" si="25"/>
        <v>5.5060338415559913E-2</v>
      </c>
      <c r="Q32" s="3">
        <f t="shared" si="25"/>
        <v>5.5057013536402986E-2</v>
      </c>
      <c r="R32" s="3">
        <f t="shared" si="25"/>
        <v>5.5023775785540296E-2</v>
      </c>
      <c r="S32" s="3">
        <f t="shared" si="25"/>
        <v>5.4692499884673083E-2</v>
      </c>
      <c r="T32" s="3">
        <f t="shared" si="25"/>
        <v>5.1487479524458583E-2</v>
      </c>
      <c r="U32" s="3">
        <f t="shared" si="25"/>
        <v>2.8147524719060041E-2</v>
      </c>
      <c r="V32" s="3">
        <f t="shared" si="26"/>
        <v>6.7115986599976788E-5</v>
      </c>
      <c r="W32" s="3">
        <f t="shared" si="26"/>
        <v>3.9873437078086156E-31</v>
      </c>
      <c r="X32" s="3">
        <f t="shared" si="26"/>
        <v>2.1840401602338786E-293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8.9343103026394602E-2</v>
      </c>
      <c r="C33" s="18">
        <f t="shared" si="3"/>
        <v>8.2774016803130748E-2</v>
      </c>
      <c r="D33" s="17"/>
      <c r="F33" s="3">
        <f t="shared" si="25"/>
        <v>8.2774016803130734E-2</v>
      </c>
      <c r="G33" s="3">
        <f t="shared" si="25"/>
        <v>8.2774016803130707E-2</v>
      </c>
      <c r="H33" s="3">
        <f t="shared" si="25"/>
        <v>8.2774016803130249E-2</v>
      </c>
      <c r="I33" s="3">
        <f t="shared" si="25"/>
        <v>8.2774016803125738E-2</v>
      </c>
      <c r="J33" s="3">
        <f t="shared" si="25"/>
        <v>8.2774016803080649E-2</v>
      </c>
      <c r="K33" s="3">
        <f t="shared" si="25"/>
        <v>8.2774016802629732E-2</v>
      </c>
      <c r="L33" s="3">
        <f t="shared" si="25"/>
        <v>8.2774016798120631E-2</v>
      </c>
      <c r="M33" s="3">
        <f t="shared" si="25"/>
        <v>8.2774016753029533E-2</v>
      </c>
      <c r="N33" s="3">
        <f t="shared" si="25"/>
        <v>8.2774016302118641E-2</v>
      </c>
      <c r="O33" s="3">
        <f t="shared" si="25"/>
        <v>8.2774011793009902E-2</v>
      </c>
      <c r="P33" s="3">
        <f t="shared" si="25"/>
        <v>8.2773966701935944E-2</v>
      </c>
      <c r="Q33" s="3">
        <f t="shared" si="25"/>
        <v>8.277351579254727E-2</v>
      </c>
      <c r="R33" s="3">
        <f t="shared" si="25"/>
        <v>8.2769006833755931E-2</v>
      </c>
      <c r="S33" s="3">
        <f t="shared" si="25"/>
        <v>8.272393075265444E-2</v>
      </c>
      <c r="T33" s="3">
        <f t="shared" si="25"/>
        <v>8.2274517904387612E-2</v>
      </c>
      <c r="U33" s="3">
        <f t="shared" ref="P33:AE48" si="27">$C33*EXP(-U$15/$A33)</f>
        <v>7.7912507914846718E-2</v>
      </c>
      <c r="V33" s="3">
        <f t="shared" si="27"/>
        <v>4.5188254119297284E-2</v>
      </c>
      <c r="W33" s="3">
        <f t="shared" si="27"/>
        <v>1.9462980429316794E-4</v>
      </c>
      <c r="X33" s="3">
        <f t="shared" si="27"/>
        <v>4.2760933902138657E-28</v>
      </c>
      <c r="Y33" s="3">
        <f t="shared" si="27"/>
        <v>1.120535290375232E-264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0.10019345824567738</v>
      </c>
      <c r="C34" s="18">
        <f t="shared" si="3"/>
        <v>9.2826583311544017E-2</v>
      </c>
      <c r="D34" s="17"/>
      <c r="F34" s="3">
        <f t="shared" ref="F34:O48" si="28">$C34*EXP(-F$15/$A34)</f>
        <v>9.2826583311544017E-2</v>
      </c>
      <c r="G34" s="3">
        <f t="shared" si="28"/>
        <v>9.2826583311544017E-2</v>
      </c>
      <c r="H34" s="3">
        <f t="shared" si="28"/>
        <v>9.2826583311543961E-2</v>
      </c>
      <c r="I34" s="3">
        <f t="shared" si="28"/>
        <v>9.2826583311543517E-2</v>
      </c>
      <c r="J34" s="3">
        <f t="shared" si="28"/>
        <v>9.2826583311538952E-2</v>
      </c>
      <c r="K34" s="3">
        <f t="shared" si="28"/>
        <v>9.2826583311493335E-2</v>
      </c>
      <c r="L34" s="3">
        <f t="shared" si="28"/>
        <v>9.2826583311037172E-2</v>
      </c>
      <c r="M34" s="3">
        <f t="shared" si="28"/>
        <v>9.2826583306475599E-2</v>
      </c>
      <c r="N34" s="3">
        <f t="shared" si="28"/>
        <v>9.2826583260859755E-2</v>
      </c>
      <c r="O34" s="3">
        <f t="shared" si="28"/>
        <v>9.282658280470138E-2</v>
      </c>
      <c r="P34" s="3">
        <f t="shared" si="27"/>
        <v>9.282657824311781E-2</v>
      </c>
      <c r="Q34" s="3">
        <f t="shared" si="27"/>
        <v>9.2826532627294345E-2</v>
      </c>
      <c r="R34" s="3">
        <f t="shared" si="27"/>
        <v>9.2826076470292715E-2</v>
      </c>
      <c r="S34" s="3">
        <f t="shared" si="27"/>
        <v>9.2821515023562035E-2</v>
      </c>
      <c r="T34" s="3">
        <f t="shared" si="27"/>
        <v>9.2775912882588116E-2</v>
      </c>
      <c r="U34" s="3">
        <f t="shared" si="27"/>
        <v>9.2321121867878594E-2</v>
      </c>
      <c r="V34" s="3">
        <f t="shared" si="27"/>
        <v>8.7894043203734437E-2</v>
      </c>
      <c r="W34" s="3">
        <f t="shared" si="27"/>
        <v>5.3770384056048962E-2</v>
      </c>
      <c r="X34" s="3">
        <f t="shared" si="27"/>
        <v>3.9480268199216335E-4</v>
      </c>
      <c r="Y34" s="3">
        <f t="shared" si="27"/>
        <v>1.7978342616493151E-25</v>
      </c>
      <c r="Z34" s="3">
        <f t="shared" si="27"/>
        <v>6.8935866010195576E-239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0.11652299479303492</v>
      </c>
      <c r="C35" s="18">
        <f t="shared" si="3"/>
        <v>0.10795546608785625</v>
      </c>
      <c r="D35" s="17"/>
      <c r="F35" s="3">
        <f t="shared" si="28"/>
        <v>0.10795546608785625</v>
      </c>
      <c r="G35" s="3">
        <f t="shared" si="28"/>
        <v>0.10795546608785625</v>
      </c>
      <c r="H35" s="3">
        <f t="shared" si="28"/>
        <v>0.10795546608785625</v>
      </c>
      <c r="I35" s="3">
        <f t="shared" si="28"/>
        <v>0.10795546608785621</v>
      </c>
      <c r="J35" s="3">
        <f t="shared" si="28"/>
        <v>0.10795546608785572</v>
      </c>
      <c r="K35" s="3">
        <f t="shared" si="28"/>
        <v>0.10795546608785093</v>
      </c>
      <c r="L35" s="3">
        <f t="shared" si="28"/>
        <v>0.10795546608780308</v>
      </c>
      <c r="M35" s="3">
        <f t="shared" si="28"/>
        <v>0.10795546608732451</v>
      </c>
      <c r="N35" s="3">
        <f t="shared" si="28"/>
        <v>0.10795546608253893</v>
      </c>
      <c r="O35" s="3">
        <f t="shared" si="28"/>
        <v>0.10795546603468315</v>
      </c>
      <c r="P35" s="3">
        <f t="shared" si="27"/>
        <v>0.10795546555612522</v>
      </c>
      <c r="Q35" s="3">
        <f t="shared" si="27"/>
        <v>0.10795546077054612</v>
      </c>
      <c r="R35" s="3">
        <f t="shared" si="27"/>
        <v>0.10795541291476668</v>
      </c>
      <c r="S35" s="3">
        <f t="shared" si="27"/>
        <v>0.10795493435813916</v>
      </c>
      <c r="T35" s="3">
        <f t="shared" si="27"/>
        <v>0.10795014890853921</v>
      </c>
      <c r="U35" s="3">
        <f t="shared" si="27"/>
        <v>0.10790230607816265</v>
      </c>
      <c r="V35" s="3">
        <f t="shared" si="27"/>
        <v>0.10742504242557699</v>
      </c>
      <c r="W35" s="3">
        <f t="shared" si="27"/>
        <v>0.10276698321874198</v>
      </c>
      <c r="X35" s="3">
        <f t="shared" si="27"/>
        <v>6.5968156331636135E-2</v>
      </c>
      <c r="Y35" s="3">
        <f t="shared" si="27"/>
        <v>7.8368536315215267E-4</v>
      </c>
      <c r="Z35" s="3">
        <f t="shared" si="27"/>
        <v>4.3874847962208371E-23</v>
      </c>
      <c r="AA35" s="3">
        <f t="shared" si="27"/>
        <v>1.3272554409484522E-215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0.12113486715738295</v>
      </c>
      <c r="C36" s="18">
        <f t="shared" si="3"/>
        <v>0.11222824358997255</v>
      </c>
      <c r="D36" s="17"/>
      <c r="F36" s="3">
        <f t="shared" si="28"/>
        <v>0.11222824358997255</v>
      </c>
      <c r="G36" s="3">
        <f t="shared" si="28"/>
        <v>0.11222824358997255</v>
      </c>
      <c r="H36" s="3">
        <f t="shared" si="28"/>
        <v>0.11222824358997255</v>
      </c>
      <c r="I36" s="3">
        <f t="shared" si="28"/>
        <v>0.11222824358997255</v>
      </c>
      <c r="J36" s="3">
        <f t="shared" si="28"/>
        <v>0.11222824358997249</v>
      </c>
      <c r="K36" s="3">
        <f t="shared" si="28"/>
        <v>0.11222824358997205</v>
      </c>
      <c r="L36" s="3">
        <f t="shared" si="28"/>
        <v>0.11222824358996757</v>
      </c>
      <c r="M36" s="3">
        <f t="shared" si="28"/>
        <v>0.11222824358992269</v>
      </c>
      <c r="N36" s="3">
        <f t="shared" si="28"/>
        <v>0.11222824358947389</v>
      </c>
      <c r="O36" s="3">
        <f t="shared" si="28"/>
        <v>0.11222824358498605</v>
      </c>
      <c r="P36" s="3">
        <f t="shared" si="27"/>
        <v>0.11222824354010752</v>
      </c>
      <c r="Q36" s="3">
        <f t="shared" si="27"/>
        <v>0.11222824309132221</v>
      </c>
      <c r="R36" s="3">
        <f t="shared" si="27"/>
        <v>0.11222823860346923</v>
      </c>
      <c r="S36" s="3">
        <f t="shared" si="27"/>
        <v>0.11222819372494929</v>
      </c>
      <c r="T36" s="3">
        <f t="shared" si="27"/>
        <v>0.11222774494073691</v>
      </c>
      <c r="U36" s="3">
        <f t="shared" si="27"/>
        <v>0.11222325719731623</v>
      </c>
      <c r="V36" s="3">
        <f t="shared" si="27"/>
        <v>0.11217838963195589</v>
      </c>
      <c r="W36" s="3">
        <f t="shared" si="27"/>
        <v>0.11173069940438553</v>
      </c>
      <c r="X36" s="3">
        <f t="shared" si="27"/>
        <v>0.10735089718030459</v>
      </c>
      <c r="Y36" s="3">
        <f t="shared" si="27"/>
        <v>7.196764455555231E-2</v>
      </c>
      <c r="Z36" s="3">
        <f t="shared" si="27"/>
        <v>1.319633685506201E-3</v>
      </c>
      <c r="AA36" s="3">
        <f t="shared" si="27"/>
        <v>5.6704096490187753E-21</v>
      </c>
      <c r="AB36" s="3">
        <f t="shared" si="27"/>
        <v>1.2168158379780219E-194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9.6808708600308532E-2</v>
      </c>
      <c r="C37" s="18">
        <f t="shared" si="3"/>
        <v>8.9690702482137605E-2</v>
      </c>
      <c r="D37" s="17"/>
      <c r="F37" s="3">
        <f t="shared" si="28"/>
        <v>8.9690702482137605E-2</v>
      </c>
      <c r="G37" s="3">
        <f t="shared" si="28"/>
        <v>8.9690702482137605E-2</v>
      </c>
      <c r="H37" s="3">
        <f t="shared" si="28"/>
        <v>8.9690702482137605E-2</v>
      </c>
      <c r="I37" s="3">
        <f t="shared" si="28"/>
        <v>8.9690702482137605E-2</v>
      </c>
      <c r="J37" s="3">
        <f t="shared" si="28"/>
        <v>8.9690702482137605E-2</v>
      </c>
      <c r="K37" s="3">
        <f t="shared" si="28"/>
        <v>8.9690702482137563E-2</v>
      </c>
      <c r="L37" s="3">
        <f t="shared" si="28"/>
        <v>8.9690702482137244E-2</v>
      </c>
      <c r="M37" s="3">
        <f t="shared" si="28"/>
        <v>8.969070248213401E-2</v>
      </c>
      <c r="N37" s="3">
        <f t="shared" si="28"/>
        <v>8.9690702482101661E-2</v>
      </c>
      <c r="O37" s="3">
        <f t="shared" si="28"/>
        <v>8.9690702481778115E-2</v>
      </c>
      <c r="P37" s="3">
        <f t="shared" si="27"/>
        <v>8.9690702478542703E-2</v>
      </c>
      <c r="Q37" s="3">
        <f t="shared" si="27"/>
        <v>8.9690702446188514E-2</v>
      </c>
      <c r="R37" s="3">
        <f t="shared" si="27"/>
        <v>8.9690702122646654E-2</v>
      </c>
      <c r="S37" s="3">
        <f t="shared" si="27"/>
        <v>8.9690698887228082E-2</v>
      </c>
      <c r="T37" s="3">
        <f t="shared" si="27"/>
        <v>8.9690666533048885E-2</v>
      </c>
      <c r="U37" s="3">
        <f t="shared" si="27"/>
        <v>8.9690342991898833E-2</v>
      </c>
      <c r="V37" s="3">
        <f t="shared" si="27"/>
        <v>8.9687107644588662E-2</v>
      </c>
      <c r="W37" s="3">
        <f t="shared" si="27"/>
        <v>8.9654760589665886E-2</v>
      </c>
      <c r="X37" s="3">
        <f t="shared" si="27"/>
        <v>8.9331931002526219E-2</v>
      </c>
      <c r="Y37" s="3">
        <f t="shared" si="27"/>
        <v>8.6166884037568739E-2</v>
      </c>
      <c r="Z37" s="3">
        <f t="shared" si="27"/>
        <v>6.0072686318241544E-2</v>
      </c>
      <c r="AA37" s="3">
        <f t="shared" si="27"/>
        <v>1.6294599887589111E-3</v>
      </c>
      <c r="AB37" s="3">
        <f t="shared" si="27"/>
        <v>3.5132590918818402E-19</v>
      </c>
      <c r="AC37" s="3">
        <f t="shared" si="27"/>
        <v>7.6273725317622534E-176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3.5189343691592712E-2</v>
      </c>
      <c r="C38" s="18">
        <f t="shared" si="3"/>
        <v>3.260199419264094E-2</v>
      </c>
      <c r="D38" s="17"/>
      <c r="F38" s="3">
        <f t="shared" si="28"/>
        <v>3.260199419264094E-2</v>
      </c>
      <c r="G38" s="3">
        <f t="shared" si="28"/>
        <v>3.260199419264094E-2</v>
      </c>
      <c r="H38" s="3">
        <f t="shared" si="28"/>
        <v>3.260199419264094E-2</v>
      </c>
      <c r="I38" s="3">
        <f t="shared" si="28"/>
        <v>3.260199419264094E-2</v>
      </c>
      <c r="J38" s="3">
        <f t="shared" si="28"/>
        <v>3.260199419264094E-2</v>
      </c>
      <c r="K38" s="3">
        <f t="shared" si="28"/>
        <v>3.260199419264094E-2</v>
      </c>
      <c r="L38" s="3">
        <f t="shared" si="28"/>
        <v>3.2601994192640926E-2</v>
      </c>
      <c r="M38" s="3">
        <f t="shared" si="28"/>
        <v>3.2601994192640822E-2</v>
      </c>
      <c r="N38" s="3">
        <f t="shared" si="28"/>
        <v>3.2601994192639761E-2</v>
      </c>
      <c r="O38" s="3">
        <f t="shared" si="28"/>
        <v>3.2601994192629151E-2</v>
      </c>
      <c r="P38" s="3">
        <f t="shared" si="27"/>
        <v>3.2601994192523062E-2</v>
      </c>
      <c r="Q38" s="3">
        <f t="shared" si="27"/>
        <v>3.2601994191462168E-2</v>
      </c>
      <c r="R38" s="3">
        <f t="shared" si="27"/>
        <v>3.2601994180853175E-2</v>
      </c>
      <c r="S38" s="3">
        <f t="shared" si="27"/>
        <v>3.2601994074763337E-2</v>
      </c>
      <c r="T38" s="3">
        <f t="shared" si="27"/>
        <v>3.2601993013864912E-2</v>
      </c>
      <c r="U38" s="3">
        <f t="shared" si="27"/>
        <v>3.260198240488256E-2</v>
      </c>
      <c r="V38" s="3">
        <f t="shared" si="27"/>
        <v>3.2601876315248898E-2</v>
      </c>
      <c r="W38" s="3">
        <f t="shared" si="27"/>
        <v>3.2600815437899451E-2</v>
      </c>
      <c r="X38" s="3">
        <f t="shared" si="27"/>
        <v>3.2590208562893894E-2</v>
      </c>
      <c r="Y38" s="3">
        <f t="shared" si="27"/>
        <v>3.2484329433342202E-2</v>
      </c>
      <c r="Z38" s="3">
        <f t="shared" si="27"/>
        <v>3.1444273856158923E-2</v>
      </c>
      <c r="AA38" s="3">
        <f t="shared" si="27"/>
        <v>2.2710056175925024E-2</v>
      </c>
      <c r="AB38" s="3">
        <f t="shared" si="27"/>
        <v>8.7696971022710197E-4</v>
      </c>
      <c r="AC38" s="3">
        <f t="shared" si="27"/>
        <v>6.4661897259082322E-18</v>
      </c>
      <c r="AD38" s="3">
        <f t="shared" si="27"/>
        <v>3.0710503757646862E-159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3.600052971976498E-2</v>
      </c>
      <c r="C39" s="18">
        <f t="shared" si="3"/>
        <v>3.3353536546241076E-2</v>
      </c>
      <c r="D39" s="17"/>
      <c r="F39" s="3">
        <f t="shared" si="28"/>
        <v>3.3353536546241076E-2</v>
      </c>
      <c r="G39" s="3">
        <f t="shared" si="28"/>
        <v>3.3353536546241076E-2</v>
      </c>
      <c r="H39" s="3">
        <f t="shared" si="28"/>
        <v>3.3353536546241076E-2</v>
      </c>
      <c r="I39" s="3">
        <f t="shared" si="28"/>
        <v>3.3353536546241076E-2</v>
      </c>
      <c r="J39" s="3">
        <f t="shared" si="28"/>
        <v>3.3353536546241076E-2</v>
      </c>
      <c r="K39" s="3">
        <f t="shared" si="28"/>
        <v>3.3353536546241076E-2</v>
      </c>
      <c r="L39" s="3">
        <f t="shared" si="28"/>
        <v>3.3353536546241069E-2</v>
      </c>
      <c r="M39" s="3">
        <f t="shared" si="28"/>
        <v>3.3353536546241042E-2</v>
      </c>
      <c r="N39" s="3">
        <f t="shared" si="28"/>
        <v>3.3353536546240743E-2</v>
      </c>
      <c r="O39" s="3">
        <f t="shared" si="28"/>
        <v>3.3353536546237739E-2</v>
      </c>
      <c r="P39" s="3">
        <f t="shared" si="27"/>
        <v>3.3353536546207721E-2</v>
      </c>
      <c r="Q39" s="3">
        <f t="shared" si="27"/>
        <v>3.3353536545907538E-2</v>
      </c>
      <c r="R39" s="3">
        <f t="shared" si="27"/>
        <v>3.3353536542905723E-2</v>
      </c>
      <c r="S39" s="3">
        <f t="shared" si="27"/>
        <v>3.3353536512887541E-2</v>
      </c>
      <c r="T39" s="3">
        <f t="shared" si="27"/>
        <v>3.335353621270571E-2</v>
      </c>
      <c r="U39" s="3">
        <f t="shared" si="27"/>
        <v>3.335353321088759E-2</v>
      </c>
      <c r="V39" s="3">
        <f t="shared" si="27"/>
        <v>3.3353503192721207E-2</v>
      </c>
      <c r="W39" s="3">
        <f t="shared" si="27"/>
        <v>3.3353203012543284E-2</v>
      </c>
      <c r="X39" s="3">
        <f t="shared" si="27"/>
        <v>3.3350201359348575E-2</v>
      </c>
      <c r="Y39" s="3">
        <f t="shared" si="27"/>
        <v>3.3320199680905577E-2</v>
      </c>
      <c r="Z39" s="3">
        <f t="shared" si="27"/>
        <v>3.3021663312552782E-2</v>
      </c>
      <c r="AA39" s="3">
        <f t="shared" si="27"/>
        <v>3.017952789086879E-2</v>
      </c>
      <c r="AB39" s="3">
        <f t="shared" si="27"/>
        <v>1.2270080385722446E-2</v>
      </c>
      <c r="AC39" s="3">
        <f t="shared" si="27"/>
        <v>1.5142482165298166E-6</v>
      </c>
      <c r="AD39" s="3">
        <f t="shared" si="27"/>
        <v>1.240776900210044E-45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1.8820384102922097E-2</v>
      </c>
      <c r="C40" s="18">
        <f t="shared" si="3"/>
        <v>1.7436587013509221E-2</v>
      </c>
      <c r="D40" s="17"/>
      <c r="F40" s="3">
        <f t="shared" si="28"/>
        <v>1.7436587013509221E-2</v>
      </c>
      <c r="G40" s="3">
        <f t="shared" si="28"/>
        <v>1.7436587013509221E-2</v>
      </c>
      <c r="H40" s="3">
        <f t="shared" si="28"/>
        <v>1.7436587013509221E-2</v>
      </c>
      <c r="I40" s="3">
        <f t="shared" si="28"/>
        <v>1.7436587013509221E-2</v>
      </c>
      <c r="J40" s="3">
        <f t="shared" si="28"/>
        <v>1.7436587013509221E-2</v>
      </c>
      <c r="K40" s="3">
        <f t="shared" si="28"/>
        <v>1.7436587013509221E-2</v>
      </c>
      <c r="L40" s="3">
        <f t="shared" si="28"/>
        <v>1.7436587013509221E-2</v>
      </c>
      <c r="M40" s="3">
        <f t="shared" si="28"/>
        <v>1.7436587013509218E-2</v>
      </c>
      <c r="N40" s="3">
        <f t="shared" si="28"/>
        <v>1.7436587013509204E-2</v>
      </c>
      <c r="O40" s="3">
        <f t="shared" si="28"/>
        <v>1.7436587013509048E-2</v>
      </c>
      <c r="P40" s="3">
        <f t="shared" si="27"/>
        <v>1.7436587013507476E-2</v>
      </c>
      <c r="Q40" s="3">
        <f t="shared" si="27"/>
        <v>1.7436587013491784E-2</v>
      </c>
      <c r="R40" s="3">
        <f t="shared" si="27"/>
        <v>1.7436587013334854E-2</v>
      </c>
      <c r="S40" s="3">
        <f t="shared" si="27"/>
        <v>1.7436587011765564E-2</v>
      </c>
      <c r="T40" s="3">
        <f t="shared" si="27"/>
        <v>1.7436586996072635E-2</v>
      </c>
      <c r="U40" s="3">
        <f t="shared" si="27"/>
        <v>1.7436586839143352E-2</v>
      </c>
      <c r="V40" s="3">
        <f t="shared" si="27"/>
        <v>1.7436585269850608E-2</v>
      </c>
      <c r="W40" s="3">
        <f t="shared" si="27"/>
        <v>1.7436569576930926E-2</v>
      </c>
      <c r="X40" s="3">
        <f t="shared" si="27"/>
        <v>1.7436412648510913E-2</v>
      </c>
      <c r="Y40" s="3">
        <f t="shared" si="27"/>
        <v>1.74348434419879E-2</v>
      </c>
      <c r="Z40" s="3">
        <f t="shared" si="27"/>
        <v>1.7419159141883848E-2</v>
      </c>
      <c r="AA40" s="3">
        <f t="shared" si="27"/>
        <v>1.7263090073877708E-2</v>
      </c>
      <c r="AB40" s="3">
        <f t="shared" si="27"/>
        <v>1.5777276372663025E-2</v>
      </c>
      <c r="AC40" s="3">
        <f t="shared" si="27"/>
        <v>6.4145618864670014E-3</v>
      </c>
      <c r="AD40" s="3">
        <f t="shared" si="27"/>
        <v>7.9161982571077424E-7</v>
      </c>
      <c r="AE40" s="3">
        <f t="shared" si="27"/>
        <v>6.4865428452752554E-46</v>
      </c>
      <c r="AF40" s="3">
        <f t="shared" si="29"/>
        <v>0</v>
      </c>
      <c r="AG40" s="3">
        <f t="shared" si="29"/>
        <v>0</v>
      </c>
      <c r="AH40" s="3">
        <f t="shared" si="29"/>
        <v>0</v>
      </c>
      <c r="AI40" s="3">
        <f t="shared" si="29"/>
        <v>0</v>
      </c>
      <c r="AJ40" s="3">
        <f t="shared" si="29"/>
        <v>0</v>
      </c>
    </row>
    <row r="41" spans="1:36" x14ac:dyDescent="0.25">
      <c r="A41" s="3">
        <f t="shared" si="30"/>
        <v>1000000000</v>
      </c>
      <c r="B41" s="106">
        <v>5.0965138186717901E-4</v>
      </c>
      <c r="C41" s="18">
        <f t="shared" si="3"/>
        <v>4.7217849635186409E-4</v>
      </c>
      <c r="D41" s="17"/>
      <c r="F41" s="3">
        <f t="shared" si="28"/>
        <v>4.7217849635186409E-4</v>
      </c>
      <c r="G41" s="3">
        <f t="shared" si="28"/>
        <v>4.7217849635186409E-4</v>
      </c>
      <c r="H41" s="3">
        <f t="shared" si="28"/>
        <v>4.7217849635186409E-4</v>
      </c>
      <c r="I41" s="3">
        <f t="shared" si="28"/>
        <v>4.7217849635186409E-4</v>
      </c>
      <c r="J41" s="3">
        <f t="shared" si="28"/>
        <v>4.7217849635186409E-4</v>
      </c>
      <c r="K41" s="3">
        <f t="shared" si="28"/>
        <v>4.7217849635186409E-4</v>
      </c>
      <c r="L41" s="3">
        <f t="shared" si="28"/>
        <v>4.7217849635186409E-4</v>
      </c>
      <c r="M41" s="3">
        <f t="shared" si="28"/>
        <v>4.7217849635186409E-4</v>
      </c>
      <c r="N41" s="3">
        <f t="shared" si="28"/>
        <v>4.7217849635186403E-4</v>
      </c>
      <c r="O41" s="3">
        <f t="shared" si="28"/>
        <v>4.721784963518636E-4</v>
      </c>
      <c r="P41" s="3">
        <f t="shared" si="27"/>
        <v>4.7217849635185937E-4</v>
      </c>
      <c r="Q41" s="3">
        <f t="shared" si="27"/>
        <v>4.7217849635181687E-4</v>
      </c>
      <c r="R41" s="3">
        <f t="shared" si="27"/>
        <v>4.7217849635139192E-4</v>
      </c>
      <c r="S41" s="3">
        <f t="shared" si="27"/>
        <v>4.7217849634714228E-4</v>
      </c>
      <c r="T41" s="3">
        <f t="shared" si="27"/>
        <v>4.7217849630464622E-4</v>
      </c>
      <c r="U41" s="3">
        <f t="shared" si="27"/>
        <v>4.7217849587968558E-4</v>
      </c>
      <c r="V41" s="3">
        <f t="shared" si="27"/>
        <v>4.7217849163007917E-4</v>
      </c>
      <c r="W41" s="3">
        <f t="shared" si="27"/>
        <v>4.7217844913401683E-4</v>
      </c>
      <c r="X41" s="3">
        <f t="shared" si="27"/>
        <v>4.7217802417360384E-4</v>
      </c>
      <c r="Y41" s="3">
        <f t="shared" si="27"/>
        <v>4.721737745905094E-4</v>
      </c>
      <c r="Z41" s="3">
        <f t="shared" si="27"/>
        <v>4.7213128086304271E-4</v>
      </c>
      <c r="AA41" s="3">
        <f t="shared" si="27"/>
        <v>4.7170655386608365E-4</v>
      </c>
      <c r="AB41" s="3">
        <f t="shared" si="27"/>
        <v>4.674802418130952E-4</v>
      </c>
      <c r="AC41" s="3">
        <f t="shared" si="27"/>
        <v>4.2724477149112242E-4</v>
      </c>
      <c r="AD41" s="3">
        <f t="shared" si="27"/>
        <v>1.7370476137109568E-4</v>
      </c>
      <c r="AE41" s="3">
        <f t="shared" si="27"/>
        <v>2.1436870569730342E-8</v>
      </c>
      <c r="AF41" s="3">
        <f t="shared" si="29"/>
        <v>1.7565398806722116E-47</v>
      </c>
      <c r="AG41" s="3">
        <f t="shared" si="29"/>
        <v>0</v>
      </c>
      <c r="AH41" s="3">
        <f t="shared" si="29"/>
        <v>0</v>
      </c>
      <c r="AI41" s="3">
        <f t="shared" si="29"/>
        <v>0</v>
      </c>
      <c r="AJ41" s="3">
        <f t="shared" si="29"/>
        <v>0</v>
      </c>
    </row>
    <row r="42" spans="1:36" x14ac:dyDescent="0.25">
      <c r="A42" s="3">
        <f t="shared" si="30"/>
        <v>10000000000</v>
      </c>
      <c r="B42" s="106">
        <v>4.2669981237968852E-3</v>
      </c>
      <c r="C42" s="18">
        <f t="shared" si="3"/>
        <v>3.9532606595692786E-3</v>
      </c>
      <c r="D42" s="17"/>
      <c r="F42" s="3">
        <f t="shared" si="28"/>
        <v>3.9532606595692786E-3</v>
      </c>
      <c r="G42" s="3">
        <f t="shared" si="28"/>
        <v>3.9532606595692786E-3</v>
      </c>
      <c r="H42" s="3">
        <f t="shared" si="28"/>
        <v>3.9532606595692786E-3</v>
      </c>
      <c r="I42" s="3">
        <f t="shared" si="28"/>
        <v>3.9532606595692786E-3</v>
      </c>
      <c r="J42" s="3">
        <f t="shared" si="28"/>
        <v>3.9532606595692786E-3</v>
      </c>
      <c r="K42" s="3">
        <f t="shared" si="28"/>
        <v>3.9532606595692786E-3</v>
      </c>
      <c r="L42" s="3">
        <f t="shared" si="28"/>
        <v>3.9532606595692786E-3</v>
      </c>
      <c r="M42" s="3">
        <f t="shared" si="28"/>
        <v>3.9532606595692786E-3</v>
      </c>
      <c r="N42" s="3">
        <f t="shared" si="28"/>
        <v>3.9532606595692786E-3</v>
      </c>
      <c r="O42" s="3">
        <f t="shared" si="28"/>
        <v>3.9532606595692778E-3</v>
      </c>
      <c r="P42" s="3">
        <f t="shared" si="27"/>
        <v>3.9532606595692743E-3</v>
      </c>
      <c r="Q42" s="3">
        <f t="shared" si="27"/>
        <v>3.9532606595692387E-3</v>
      </c>
      <c r="R42" s="3">
        <f t="shared" si="27"/>
        <v>3.9532606595688831E-3</v>
      </c>
      <c r="S42" s="3">
        <f t="shared" si="27"/>
        <v>3.9532606595653252E-3</v>
      </c>
      <c r="T42" s="3">
        <f t="shared" si="27"/>
        <v>3.953260659529746E-3</v>
      </c>
      <c r="U42" s="3">
        <f t="shared" si="27"/>
        <v>3.9532606591739525E-3</v>
      </c>
      <c r="V42" s="3">
        <f t="shared" si="27"/>
        <v>3.9532606556160182E-3</v>
      </c>
      <c r="W42" s="3">
        <f t="shared" si="27"/>
        <v>3.9532606200366723E-3</v>
      </c>
      <c r="X42" s="3">
        <f t="shared" si="27"/>
        <v>3.9532602642432324E-3</v>
      </c>
      <c r="Y42" s="3">
        <f t="shared" si="27"/>
        <v>3.9532567063105956E-3</v>
      </c>
      <c r="Z42" s="3">
        <f t="shared" si="27"/>
        <v>3.9532211271603454E-3</v>
      </c>
      <c r="AA42" s="3">
        <f t="shared" si="27"/>
        <v>3.952865353268966E-3</v>
      </c>
      <c r="AB42" s="3">
        <f t="shared" si="27"/>
        <v>3.9493093748813272E-3</v>
      </c>
      <c r="AC42" s="3">
        <f t="shared" si="27"/>
        <v>3.9139250587736912E-3</v>
      </c>
      <c r="AD42" s="3">
        <f t="shared" si="27"/>
        <v>3.5770581680278006E-3</v>
      </c>
      <c r="AE42" s="3">
        <f t="shared" si="27"/>
        <v>1.4543233222473937E-3</v>
      </c>
      <c r="AF42" s="3">
        <f t="shared" si="29"/>
        <v>1.7947775627723979E-7</v>
      </c>
      <c r="AG42" s="3">
        <f t="shared" si="29"/>
        <v>1.4706430006611958E-46</v>
      </c>
      <c r="AH42" s="3">
        <f t="shared" si="29"/>
        <v>0</v>
      </c>
      <c r="AI42" s="3">
        <f t="shared" si="29"/>
        <v>0</v>
      </c>
      <c r="AJ42" s="3">
        <f t="shared" si="29"/>
        <v>0</v>
      </c>
    </row>
    <row r="43" spans="1:36" x14ac:dyDescent="0.25">
      <c r="A43" s="3">
        <f t="shared" si="30"/>
        <v>100000000000</v>
      </c>
      <c r="B43" s="106">
        <v>4.539488151425836E-7</v>
      </c>
      <c r="C43" s="18">
        <f t="shared" si="3"/>
        <v>4.2057154474780992E-7</v>
      </c>
      <c r="D43" s="17"/>
      <c r="F43" s="3">
        <f t="shared" si="28"/>
        <v>4.2057154474780992E-7</v>
      </c>
      <c r="G43" s="3">
        <f t="shared" si="28"/>
        <v>4.2057154474780992E-7</v>
      </c>
      <c r="H43" s="3">
        <f t="shared" si="28"/>
        <v>4.2057154474780992E-7</v>
      </c>
      <c r="I43" s="3">
        <f t="shared" si="28"/>
        <v>4.2057154474780992E-7</v>
      </c>
      <c r="J43" s="3">
        <f t="shared" si="28"/>
        <v>4.2057154474780992E-7</v>
      </c>
      <c r="K43" s="3">
        <f t="shared" si="28"/>
        <v>4.2057154474780992E-7</v>
      </c>
      <c r="L43" s="3">
        <f t="shared" si="28"/>
        <v>4.2057154474780992E-7</v>
      </c>
      <c r="M43" s="3">
        <f t="shared" si="28"/>
        <v>4.2057154474780992E-7</v>
      </c>
      <c r="N43" s="3">
        <f t="shared" si="28"/>
        <v>4.2057154474780992E-7</v>
      </c>
      <c r="O43" s="3">
        <f t="shared" si="28"/>
        <v>4.2057154474780992E-7</v>
      </c>
      <c r="P43" s="3">
        <f t="shared" si="27"/>
        <v>4.2057154474780987E-7</v>
      </c>
      <c r="Q43" s="3">
        <f t="shared" si="27"/>
        <v>4.205715447478095E-7</v>
      </c>
      <c r="R43" s="3">
        <f t="shared" si="27"/>
        <v>4.2057154474780574E-7</v>
      </c>
      <c r="S43" s="3">
        <f t="shared" si="27"/>
        <v>4.2057154474776784E-7</v>
      </c>
      <c r="T43" s="3">
        <f t="shared" si="27"/>
        <v>4.2057154474738937E-7</v>
      </c>
      <c r="U43" s="3">
        <f t="shared" si="27"/>
        <v>4.2057154474360419E-7</v>
      </c>
      <c r="V43" s="3">
        <f t="shared" si="27"/>
        <v>4.2057154470575278E-7</v>
      </c>
      <c r="W43" s="3">
        <f t="shared" si="27"/>
        <v>4.2057154432723837E-7</v>
      </c>
      <c r="X43" s="3">
        <f t="shared" si="27"/>
        <v>4.2057154054209451E-7</v>
      </c>
      <c r="Y43" s="3">
        <f t="shared" si="27"/>
        <v>4.2057150269065755E-7</v>
      </c>
      <c r="Z43" s="3">
        <f t="shared" si="27"/>
        <v>4.2057112417647546E-7</v>
      </c>
      <c r="AA43" s="3">
        <f t="shared" si="27"/>
        <v>4.2056733905339097E-7</v>
      </c>
      <c r="AB43" s="3">
        <f t="shared" si="27"/>
        <v>4.2052948969612277E-7</v>
      </c>
      <c r="AC43" s="3">
        <f t="shared" si="27"/>
        <v>4.2015118341875675E-7</v>
      </c>
      <c r="AD43" s="3">
        <f t="shared" si="27"/>
        <v>4.1638678795720004E-7</v>
      </c>
      <c r="AE43" s="3">
        <f t="shared" si="27"/>
        <v>3.8054887064900335E-7</v>
      </c>
      <c r="AF43" s="3">
        <f t="shared" si="29"/>
        <v>1.5471962485443457E-7</v>
      </c>
      <c r="AG43" s="3">
        <f t="shared" si="29"/>
        <v>1.9093918591650325E-11</v>
      </c>
      <c r="AH43" s="3">
        <f t="shared" si="29"/>
        <v>1.5645580998142998E-50</v>
      </c>
      <c r="AI43" s="3">
        <f t="shared" si="29"/>
        <v>0</v>
      </c>
      <c r="AJ43" s="3">
        <f t="shared" si="29"/>
        <v>0</v>
      </c>
    </row>
    <row r="44" spans="1:36" x14ac:dyDescent="0.25">
      <c r="A44" s="3">
        <f t="shared" si="30"/>
        <v>1000000000000</v>
      </c>
      <c r="B44" s="106">
        <v>2.0157861882787772E-5</v>
      </c>
      <c r="C44" s="18">
        <f t="shared" si="3"/>
        <v>1.8675724725031384E-5</v>
      </c>
      <c r="D44" s="17"/>
      <c r="F44" s="3">
        <f t="shared" si="28"/>
        <v>1.8675724725031384E-5</v>
      </c>
      <c r="G44" s="3">
        <f t="shared" si="28"/>
        <v>1.8675724725031384E-5</v>
      </c>
      <c r="H44" s="3">
        <f t="shared" si="28"/>
        <v>1.8675724725031384E-5</v>
      </c>
      <c r="I44" s="3">
        <f t="shared" si="28"/>
        <v>1.8675724725031384E-5</v>
      </c>
      <c r="J44" s="3">
        <f t="shared" si="28"/>
        <v>1.8675724725031384E-5</v>
      </c>
      <c r="K44" s="3">
        <f t="shared" si="28"/>
        <v>1.8675724725031384E-5</v>
      </c>
      <c r="L44" s="3">
        <f t="shared" si="28"/>
        <v>1.8675724725031384E-5</v>
      </c>
      <c r="M44" s="3">
        <f t="shared" si="28"/>
        <v>1.8675724725031384E-5</v>
      </c>
      <c r="N44" s="3">
        <f t="shared" si="28"/>
        <v>1.8675724725031384E-5</v>
      </c>
      <c r="O44" s="3">
        <f t="shared" si="28"/>
        <v>1.8675724725031384E-5</v>
      </c>
      <c r="P44" s="3">
        <f t="shared" si="27"/>
        <v>1.8675724725031384E-5</v>
      </c>
      <c r="Q44" s="3">
        <f t="shared" si="27"/>
        <v>1.867572472503138E-5</v>
      </c>
      <c r="R44" s="3">
        <f t="shared" si="27"/>
        <v>1.8675724725031363E-5</v>
      </c>
      <c r="S44" s="3">
        <f t="shared" si="27"/>
        <v>1.8675724725031197E-5</v>
      </c>
      <c r="T44" s="3">
        <f t="shared" si="27"/>
        <v>1.8675724725029517E-5</v>
      </c>
      <c r="U44" s="3">
        <f t="shared" si="27"/>
        <v>1.8675724725012708E-5</v>
      </c>
      <c r="V44" s="3">
        <f t="shared" si="27"/>
        <v>1.8675724724844627E-5</v>
      </c>
      <c r="W44" s="3">
        <f t="shared" si="27"/>
        <v>1.8675724723163812E-5</v>
      </c>
      <c r="X44" s="3">
        <f t="shared" si="27"/>
        <v>1.8675724706355659E-5</v>
      </c>
      <c r="Y44" s="3">
        <f t="shared" si="27"/>
        <v>1.8675724538274138E-5</v>
      </c>
      <c r="Z44" s="3">
        <f t="shared" si="27"/>
        <v>1.8675722857459006E-5</v>
      </c>
      <c r="AA44" s="3">
        <f t="shared" si="27"/>
        <v>1.8675706049315998E-5</v>
      </c>
      <c r="AB44" s="3">
        <f t="shared" si="27"/>
        <v>1.8675537968717916E-5</v>
      </c>
      <c r="AC44" s="3">
        <f t="shared" si="27"/>
        <v>1.8673857245934393E-5</v>
      </c>
      <c r="AD44" s="3">
        <f t="shared" si="27"/>
        <v>1.8657058335056872E-5</v>
      </c>
      <c r="AE44" s="3">
        <f t="shared" si="27"/>
        <v>1.8489898159162551E-5</v>
      </c>
      <c r="AF44" s="3">
        <f t="shared" si="29"/>
        <v>1.6898494540147728E-5</v>
      </c>
      <c r="AG44" s="3">
        <f t="shared" si="29"/>
        <v>6.8704151753162338E-6</v>
      </c>
      <c r="AH44" s="3">
        <f t="shared" si="29"/>
        <v>8.4787659077992656E-10</v>
      </c>
      <c r="AI44" s="3">
        <f t="shared" si="29"/>
        <v>6.9475114884367591E-49</v>
      </c>
      <c r="AJ44" s="3">
        <f t="shared" si="29"/>
        <v>0</v>
      </c>
    </row>
    <row r="45" spans="1:36" x14ac:dyDescent="0.25">
      <c r="A45" s="3">
        <f t="shared" si="30"/>
        <v>10000000000000</v>
      </c>
      <c r="B45" s="106">
        <v>7.0785641280178267E-8</v>
      </c>
      <c r="C45" s="18">
        <f t="shared" si="3"/>
        <v>6.5581020384023116E-8</v>
      </c>
      <c r="D45" s="17"/>
      <c r="F45" s="3">
        <f t="shared" si="28"/>
        <v>6.5581020384023116E-8</v>
      </c>
      <c r="G45" s="3">
        <f t="shared" si="28"/>
        <v>6.5581020384023116E-8</v>
      </c>
      <c r="H45" s="3">
        <f t="shared" si="28"/>
        <v>6.5581020384023116E-8</v>
      </c>
      <c r="I45" s="3">
        <f t="shared" si="28"/>
        <v>6.5581020384023116E-8</v>
      </c>
      <c r="J45" s="3">
        <f t="shared" si="28"/>
        <v>6.5581020384023116E-8</v>
      </c>
      <c r="K45" s="3">
        <f t="shared" si="28"/>
        <v>6.5581020384023116E-8</v>
      </c>
      <c r="L45" s="3">
        <f t="shared" si="28"/>
        <v>6.5581020384023116E-8</v>
      </c>
      <c r="M45" s="3">
        <f t="shared" si="28"/>
        <v>6.5581020384023116E-8</v>
      </c>
      <c r="N45" s="3">
        <f t="shared" si="28"/>
        <v>6.5581020384023116E-8</v>
      </c>
      <c r="O45" s="3">
        <f t="shared" si="28"/>
        <v>6.5581020384023116E-8</v>
      </c>
      <c r="P45" s="3">
        <f t="shared" si="27"/>
        <v>6.5581020384023116E-8</v>
      </c>
      <c r="Q45" s="3">
        <f t="shared" si="27"/>
        <v>6.5581020384023116E-8</v>
      </c>
      <c r="R45" s="3">
        <f t="shared" si="27"/>
        <v>6.5581020384023102E-8</v>
      </c>
      <c r="S45" s="3">
        <f t="shared" si="27"/>
        <v>6.5581020384023049E-8</v>
      </c>
      <c r="T45" s="3">
        <f t="shared" si="27"/>
        <v>6.5581020384022454E-8</v>
      </c>
      <c r="U45" s="3">
        <f t="shared" si="27"/>
        <v>6.5581020384016551E-8</v>
      </c>
      <c r="V45" s="3">
        <f t="shared" si="27"/>
        <v>6.5581020383957537E-8</v>
      </c>
      <c r="W45" s="3">
        <f t="shared" si="27"/>
        <v>6.55810203833673E-8</v>
      </c>
      <c r="X45" s="3">
        <f t="shared" si="27"/>
        <v>6.5581020377465016E-8</v>
      </c>
      <c r="Y45" s="3">
        <f t="shared" si="27"/>
        <v>6.5581020318442093E-8</v>
      </c>
      <c r="Z45" s="3">
        <f t="shared" si="27"/>
        <v>6.5581019728212912E-8</v>
      </c>
      <c r="AA45" s="3">
        <f t="shared" si="27"/>
        <v>6.558101382592141E-8</v>
      </c>
      <c r="AB45" s="3">
        <f t="shared" si="27"/>
        <v>6.5580954803035517E-8</v>
      </c>
      <c r="AC45" s="3">
        <f t="shared" si="27"/>
        <v>6.558036457709831E-8</v>
      </c>
      <c r="AD45" s="3">
        <f t="shared" si="27"/>
        <v>6.5574462609878886E-8</v>
      </c>
      <c r="AE45" s="3">
        <f t="shared" si="27"/>
        <v>6.5515472143221843E-8</v>
      </c>
      <c r="AF45" s="3">
        <f t="shared" si="29"/>
        <v>6.4928478328302887E-8</v>
      </c>
      <c r="AG45" s="3">
        <f t="shared" si="29"/>
        <v>5.9340161156443103E-8</v>
      </c>
      <c r="AH45" s="3">
        <f t="shared" si="29"/>
        <v>2.4125909130327392E-8</v>
      </c>
      <c r="AI45" s="3">
        <f t="shared" si="29"/>
        <v>2.977373719186737E-12</v>
      </c>
      <c r="AJ45" s="3">
        <f t="shared" si="29"/>
        <v>2.4396637841353715E-51</v>
      </c>
    </row>
    <row r="46" spans="1:36" x14ac:dyDescent="0.25">
      <c r="A46" s="3">
        <f t="shared" si="30"/>
        <v>100000000000000</v>
      </c>
      <c r="B46" s="106">
        <v>7.8816990263636332E-8</v>
      </c>
      <c r="C46" s="18">
        <f t="shared" si="3"/>
        <v>7.3021852336235098E-8</v>
      </c>
      <c r="D46" s="17"/>
      <c r="F46" s="3">
        <f t="shared" si="28"/>
        <v>7.3021852336235098E-8</v>
      </c>
      <c r="G46" s="3">
        <f t="shared" si="28"/>
        <v>7.3021852336235098E-8</v>
      </c>
      <c r="H46" s="3">
        <f t="shared" si="28"/>
        <v>7.3021852336235098E-8</v>
      </c>
      <c r="I46" s="3">
        <f t="shared" si="28"/>
        <v>7.3021852336235098E-8</v>
      </c>
      <c r="J46" s="3">
        <f t="shared" si="28"/>
        <v>7.3021852336235098E-8</v>
      </c>
      <c r="K46" s="3">
        <f t="shared" si="28"/>
        <v>7.3021852336235098E-8</v>
      </c>
      <c r="L46" s="3">
        <f t="shared" si="28"/>
        <v>7.3021852336235098E-8</v>
      </c>
      <c r="M46" s="3">
        <f t="shared" si="28"/>
        <v>7.3021852336235098E-8</v>
      </c>
      <c r="N46" s="3">
        <f t="shared" si="28"/>
        <v>7.3021852336235098E-8</v>
      </c>
      <c r="O46" s="3">
        <f t="shared" si="28"/>
        <v>7.3021852336235098E-8</v>
      </c>
      <c r="P46" s="3">
        <f t="shared" si="27"/>
        <v>7.3021852336235098E-8</v>
      </c>
      <c r="Q46" s="3">
        <f t="shared" si="27"/>
        <v>7.3021852336235098E-8</v>
      </c>
      <c r="R46" s="3">
        <f t="shared" si="27"/>
        <v>7.3021852336235098E-8</v>
      </c>
      <c r="S46" s="3">
        <f t="shared" si="27"/>
        <v>7.3021852336235085E-8</v>
      </c>
      <c r="T46" s="3">
        <f t="shared" si="27"/>
        <v>7.3021852336235019E-8</v>
      </c>
      <c r="U46" s="3">
        <f t="shared" si="27"/>
        <v>7.302185233623437E-8</v>
      </c>
      <c r="V46" s="3">
        <f t="shared" si="27"/>
        <v>7.3021852336227792E-8</v>
      </c>
      <c r="W46" s="3">
        <f t="shared" si="27"/>
        <v>7.3021852336162081E-8</v>
      </c>
      <c r="X46" s="3">
        <f t="shared" si="27"/>
        <v>7.3021852335504876E-8</v>
      </c>
      <c r="Y46" s="3">
        <f t="shared" si="27"/>
        <v>7.3021852328932906E-8</v>
      </c>
      <c r="Z46" s="3">
        <f t="shared" si="27"/>
        <v>7.3021852263213248E-8</v>
      </c>
      <c r="AA46" s="3">
        <f t="shared" si="27"/>
        <v>7.3021851606016584E-8</v>
      </c>
      <c r="AB46" s="3">
        <f t="shared" si="27"/>
        <v>7.3021845034050232E-8</v>
      </c>
      <c r="AC46" s="3">
        <f t="shared" si="27"/>
        <v>7.3021779314419275E-8</v>
      </c>
      <c r="AD46" s="3">
        <f t="shared" si="27"/>
        <v>7.302112212136281E-8</v>
      </c>
      <c r="AE46" s="3">
        <f t="shared" si="27"/>
        <v>7.3014550516098569E-8</v>
      </c>
      <c r="AF46" s="3">
        <f t="shared" si="29"/>
        <v>7.2948866982657762E-8</v>
      </c>
      <c r="AG46" s="3">
        <f t="shared" si="29"/>
        <v>7.2295272765545857E-8</v>
      </c>
      <c r="AH46" s="3">
        <f t="shared" si="29"/>
        <v>6.6072904328122069E-8</v>
      </c>
      <c r="AI46" s="3">
        <f t="shared" si="29"/>
        <v>2.6863238230757748E-8</v>
      </c>
      <c r="AJ46" s="3">
        <f t="shared" si="29"/>
        <v>3.3151869671916141E-12</v>
      </c>
    </row>
    <row r="47" spans="1:36" x14ac:dyDescent="0.25">
      <c r="A47" s="3">
        <f t="shared" si="30"/>
        <v>1000000000000000</v>
      </c>
      <c r="B47" s="106">
        <v>1.2552560434588396E-6</v>
      </c>
      <c r="C47" s="18">
        <f t="shared" si="3"/>
        <v>1.1629614521313135E-6</v>
      </c>
      <c r="D47" s="17"/>
      <c r="F47" s="3">
        <f t="shared" si="28"/>
        <v>1.1629614521313135E-6</v>
      </c>
      <c r="G47" s="3">
        <f t="shared" si="28"/>
        <v>1.1629614521313135E-6</v>
      </c>
      <c r="H47" s="3">
        <f t="shared" si="28"/>
        <v>1.1629614521313135E-6</v>
      </c>
      <c r="I47" s="3">
        <f t="shared" si="28"/>
        <v>1.1629614521313135E-6</v>
      </c>
      <c r="J47" s="3">
        <f t="shared" si="28"/>
        <v>1.1629614521313135E-6</v>
      </c>
      <c r="K47" s="3">
        <f t="shared" si="28"/>
        <v>1.1629614521313135E-6</v>
      </c>
      <c r="L47" s="3">
        <f t="shared" si="28"/>
        <v>1.1629614521313135E-6</v>
      </c>
      <c r="M47" s="3">
        <f t="shared" si="28"/>
        <v>1.1629614521313135E-6</v>
      </c>
      <c r="N47" s="3">
        <f t="shared" si="28"/>
        <v>1.1629614521313135E-6</v>
      </c>
      <c r="O47" s="3">
        <f t="shared" si="28"/>
        <v>1.1629614521313135E-6</v>
      </c>
      <c r="P47" s="3">
        <f t="shared" si="27"/>
        <v>1.1629614521313135E-6</v>
      </c>
      <c r="Q47" s="3">
        <f t="shared" si="27"/>
        <v>1.1629614521313135E-6</v>
      </c>
      <c r="R47" s="3">
        <f t="shared" si="27"/>
        <v>1.1629614521313135E-6</v>
      </c>
      <c r="S47" s="3">
        <f t="shared" si="27"/>
        <v>1.1629614521313135E-6</v>
      </c>
      <c r="T47" s="3">
        <f t="shared" si="27"/>
        <v>1.1629614521313132E-6</v>
      </c>
      <c r="U47" s="3">
        <f t="shared" si="27"/>
        <v>1.1629614521313124E-6</v>
      </c>
      <c r="V47" s="3">
        <f t="shared" si="27"/>
        <v>1.1629614521313018E-6</v>
      </c>
      <c r="W47" s="3">
        <f t="shared" si="27"/>
        <v>1.1629614521311972E-6</v>
      </c>
      <c r="X47" s="3">
        <f t="shared" si="27"/>
        <v>1.1629614521301505E-6</v>
      </c>
      <c r="Y47" s="3">
        <f t="shared" si="27"/>
        <v>1.1629614521196839E-6</v>
      </c>
      <c r="Z47" s="3">
        <f t="shared" si="27"/>
        <v>1.1629614520150173E-6</v>
      </c>
      <c r="AA47" s="3">
        <f t="shared" si="27"/>
        <v>1.162961450968352E-6</v>
      </c>
      <c r="AB47" s="3">
        <f t="shared" si="27"/>
        <v>1.1629614405016991E-6</v>
      </c>
      <c r="AC47" s="3">
        <f t="shared" si="27"/>
        <v>1.162961335835174E-6</v>
      </c>
      <c r="AD47" s="3">
        <f t="shared" si="27"/>
        <v>1.1629602891704429E-6</v>
      </c>
      <c r="AE47" s="3">
        <f t="shared" si="27"/>
        <v>1.1629498225749399E-6</v>
      </c>
      <c r="AF47" s="3">
        <f t="shared" si="29"/>
        <v>1.1628451618007137E-6</v>
      </c>
      <c r="AG47" s="3">
        <f t="shared" si="29"/>
        <v>1.1617990719661298E-6</v>
      </c>
      <c r="AH47" s="3">
        <f t="shared" si="29"/>
        <v>1.151389792339298E-6</v>
      </c>
      <c r="AI47" s="3">
        <f t="shared" si="29"/>
        <v>1.0522910376218478E-6</v>
      </c>
      <c r="AJ47" s="3">
        <f t="shared" si="29"/>
        <v>4.2782960911399666E-7</v>
      </c>
    </row>
    <row r="48" spans="1:36" x14ac:dyDescent="0.25">
      <c r="A48" s="3">
        <f t="shared" si="30"/>
        <v>1E+16</v>
      </c>
      <c r="B48" s="106">
        <v>5.3282722716982956E-7</v>
      </c>
      <c r="C48" s="18">
        <f t="shared" si="3"/>
        <v>4.9365030271996854E-7</v>
      </c>
      <c r="D48" s="17"/>
      <c r="F48" s="3">
        <f t="shared" si="28"/>
        <v>4.9365030271996854E-7</v>
      </c>
      <c r="G48" s="3">
        <f t="shared" si="28"/>
        <v>4.9365030271996854E-7</v>
      </c>
      <c r="H48" s="3">
        <f t="shared" si="28"/>
        <v>4.9365030271996854E-7</v>
      </c>
      <c r="I48" s="3">
        <f t="shared" si="28"/>
        <v>4.9365030271996854E-7</v>
      </c>
      <c r="J48" s="3">
        <f t="shared" si="28"/>
        <v>4.9365030271996854E-7</v>
      </c>
      <c r="K48" s="3">
        <f t="shared" si="28"/>
        <v>4.9365030271996854E-7</v>
      </c>
      <c r="L48" s="3">
        <f t="shared" si="28"/>
        <v>4.9365030271996854E-7</v>
      </c>
      <c r="M48" s="3">
        <f t="shared" si="28"/>
        <v>4.9365030271996854E-7</v>
      </c>
      <c r="N48" s="3">
        <f t="shared" si="28"/>
        <v>4.9365030271996854E-7</v>
      </c>
      <c r="O48" s="3">
        <f t="shared" si="28"/>
        <v>4.9365030271996854E-7</v>
      </c>
      <c r="P48" s="3">
        <f t="shared" si="27"/>
        <v>4.9365030271996854E-7</v>
      </c>
      <c r="Q48" s="3">
        <f t="shared" si="27"/>
        <v>4.9365030271996854E-7</v>
      </c>
      <c r="R48" s="3">
        <f t="shared" si="27"/>
        <v>4.9365030271996854E-7</v>
      </c>
      <c r="S48" s="3">
        <f t="shared" si="27"/>
        <v>4.9365030271996854E-7</v>
      </c>
      <c r="T48" s="3">
        <f t="shared" si="27"/>
        <v>4.9365030271996854E-7</v>
      </c>
      <c r="U48" s="3">
        <f t="shared" si="27"/>
        <v>4.9365030271996844E-7</v>
      </c>
      <c r="V48" s="3">
        <f t="shared" si="27"/>
        <v>4.9365030271996801E-7</v>
      </c>
      <c r="W48" s="3">
        <f t="shared" si="27"/>
        <v>4.9365030271996357E-7</v>
      </c>
      <c r="X48" s="3">
        <f t="shared" si="27"/>
        <v>4.936503027199192E-7</v>
      </c>
      <c r="Y48" s="3">
        <f t="shared" si="27"/>
        <v>4.9365030271947493E-7</v>
      </c>
      <c r="Z48" s="3">
        <f t="shared" si="27"/>
        <v>4.9365030271503203E-7</v>
      </c>
      <c r="AA48" s="3">
        <f t="shared" si="27"/>
        <v>4.9365030267060346E-7</v>
      </c>
      <c r="AB48" s="3">
        <f t="shared" si="27"/>
        <v>4.9365030222631827E-7</v>
      </c>
      <c r="AC48" s="3">
        <f t="shared" si="27"/>
        <v>4.936502977834655E-7</v>
      </c>
      <c r="AD48" s="3">
        <f t="shared" si="27"/>
        <v>4.9365025335494079E-7</v>
      </c>
      <c r="AE48" s="3">
        <f t="shared" si="27"/>
        <v>4.936498090699127E-7</v>
      </c>
      <c r="AF48" s="3">
        <f t="shared" si="29"/>
        <v>4.9364536624162372E-7</v>
      </c>
      <c r="AG48" s="3">
        <f t="shared" si="29"/>
        <v>4.9360094015786581E-7</v>
      </c>
      <c r="AH48" s="3">
        <f t="shared" si="29"/>
        <v>4.9315689916014548E-7</v>
      </c>
      <c r="AI48" s="3">
        <f t="shared" si="29"/>
        <v>4.8873840013813131E-7</v>
      </c>
      <c r="AJ48" s="3">
        <f t="shared" si="29"/>
        <v>4.4667326532580614E-7</v>
      </c>
    </row>
    <row r="49" spans="1:36" x14ac:dyDescent="0.25">
      <c r="B49" s="16">
        <f>SUM(B17:B48)</f>
        <v>1.079361694369475</v>
      </c>
      <c r="C49" s="18">
        <f>SUM(C17:C48)</f>
        <v>0.99999999999999967</v>
      </c>
      <c r="F49" s="3">
        <f t="shared" ref="F49:AJ49" si="31">F16-F17</f>
        <v>-0.30635550543138379</v>
      </c>
      <c r="G49" s="3">
        <f t="shared" si="31"/>
        <v>-0.26800460434060369</v>
      </c>
      <c r="H49" s="3">
        <f t="shared" si="31"/>
        <v>-0.27407935085193458</v>
      </c>
      <c r="I49" s="3">
        <f t="shared" si="31"/>
        <v>-0.12063396852408914</v>
      </c>
      <c r="J49" s="3">
        <f t="shared" si="31"/>
        <v>1.1890805434759386</v>
      </c>
      <c r="K49" s="3">
        <f t="shared" si="31"/>
        <v>-0.25696248675103561</v>
      </c>
      <c r="L49" s="3">
        <f t="shared" si="31"/>
        <v>-2.9692633442209626E-2</v>
      </c>
      <c r="M49" s="3">
        <f t="shared" si="31"/>
        <v>0.12545924523237773</v>
      </c>
      <c r="N49" s="3">
        <f t="shared" si="31"/>
        <v>-0.28000860879456013</v>
      </c>
      <c r="O49" s="3">
        <f t="shared" si="31"/>
        <v>0.54871997831287445</v>
      </c>
      <c r="P49" s="3">
        <f t="shared" si="31"/>
        <v>-0.9035306879595737</v>
      </c>
      <c r="Q49" s="3">
        <f t="shared" si="31"/>
        <v>1.2553873019933235</v>
      </c>
      <c r="R49" s="3">
        <f t="shared" si="31"/>
        <v>-1.475427134826532</v>
      </c>
      <c r="S49" s="3">
        <f t="shared" si="31"/>
        <v>1.4603901659711482</v>
      </c>
      <c r="T49" s="3">
        <f t="shared" si="31"/>
        <v>-1.233900771538174</v>
      </c>
      <c r="U49" s="3">
        <f t="shared" si="31"/>
        <v>0.91341998403277103</v>
      </c>
      <c r="V49" s="3">
        <f t="shared" si="31"/>
        <v>-0.59276096911025888</v>
      </c>
      <c r="W49" s="3">
        <f t="shared" si="31"/>
        <v>0.3218176906948429</v>
      </c>
      <c r="X49" s="3">
        <f t="shared" si="31"/>
        <v>-0.15105048031045953</v>
      </c>
      <c r="Y49" s="3">
        <f t="shared" si="31"/>
        <v>3.9829973268524554E-2</v>
      </c>
      <c r="Z49" s="3">
        <f t="shared" si="31"/>
        <v>9.1642144268462289E-3</v>
      </c>
      <c r="AA49" s="3">
        <f t="shared" si="31"/>
        <v>-6.7122736928695304E-3</v>
      </c>
      <c r="AB49" s="3">
        <f t="shared" si="31"/>
        <v>-2.7745145793005577E-3</v>
      </c>
      <c r="AC49" s="3">
        <f t="shared" si="31"/>
        <v>2.6462992858171219E-2</v>
      </c>
      <c r="AD49" s="3">
        <f t="shared" si="31"/>
        <v>-1.2465429048802434E-4</v>
      </c>
      <c r="AE49" s="3">
        <f t="shared" si="31"/>
        <v>-2.4405906686837398E-2</v>
      </c>
      <c r="AF49" s="3">
        <f t="shared" si="31"/>
        <v>2.7257167026718321E-2</v>
      </c>
      <c r="AG49" s="3">
        <f t="shared" si="31"/>
        <v>-3.1709254033444267E-2</v>
      </c>
      <c r="AH49" s="3">
        <f t="shared" si="31"/>
        <v>7.3212673222116109E-3</v>
      </c>
      <c r="AI49" s="3">
        <f t="shared" si="31"/>
        <v>6.6235031749783957E-3</v>
      </c>
      <c r="AJ49" s="3">
        <f t="shared" si="31"/>
        <v>9.1952731984719094E-3</v>
      </c>
    </row>
    <row r="50" spans="1:36" x14ac:dyDescent="0.25">
      <c r="F50" s="57">
        <f t="shared" ref="F50:AJ50" si="32">F49/F17</f>
        <v>-5.1775496513002037E-5</v>
      </c>
      <c r="G50" s="57">
        <f t="shared" si="32"/>
        <v>-4.5294072104001965E-5</v>
      </c>
      <c r="H50" s="57">
        <f t="shared" si="32"/>
        <v>-4.6321297257262925E-5</v>
      </c>
      <c r="I50" s="57">
        <f t="shared" si="32"/>
        <v>-2.0390438153543632E-5</v>
      </c>
      <c r="J50" s="57">
        <f t="shared" si="32"/>
        <v>2.0121726669401462E-4</v>
      </c>
      <c r="K50" s="57">
        <f t="shared" si="32"/>
        <v>-4.3810642221484925E-5</v>
      </c>
      <c r="L50" s="57">
        <f t="shared" si="32"/>
        <v>-5.1887476381567911E-6</v>
      </c>
      <c r="M50" s="57">
        <f t="shared" si="32"/>
        <v>2.2496477094868104E-5</v>
      </c>
      <c r="N50" s="57">
        <f t="shared" si="32"/>
        <v>-5.1749431203420323E-5</v>
      </c>
      <c r="O50" s="57">
        <f t="shared" si="32"/>
        <v>1.0520787435251107E-4</v>
      </c>
      <c r="P50" s="57">
        <f t="shared" si="32"/>
        <v>-1.8000846938950977E-4</v>
      </c>
      <c r="Q50" s="57">
        <f t="shared" si="32"/>
        <v>2.6318184667177888E-4</v>
      </c>
      <c r="R50" s="57">
        <f t="shared" si="32"/>
        <v>-3.2760073307204815E-4</v>
      </c>
      <c r="S50" s="57">
        <f t="shared" si="32"/>
        <v>3.4455907776668256E-4</v>
      </c>
      <c r="T50" s="57">
        <f t="shared" si="32"/>
        <v>-3.1161299523775577E-4</v>
      </c>
      <c r="U50" s="57">
        <f t="shared" si="32"/>
        <v>2.4964663013544498E-4</v>
      </c>
      <c r="V50" s="57">
        <f t="shared" si="32"/>
        <v>-1.8134351403519146E-4</v>
      </c>
      <c r="W50" s="57">
        <f t="shared" si="32"/>
        <v>1.1623657627444142E-4</v>
      </c>
      <c r="X50" s="57">
        <f t="shared" si="32"/>
        <v>-6.8511433441246987E-5</v>
      </c>
      <c r="Y50" s="57">
        <f t="shared" si="32"/>
        <v>2.5106917083234287E-5</v>
      </c>
      <c r="Z50" s="57">
        <f t="shared" si="32"/>
        <v>9.1640849065161295E-6</v>
      </c>
      <c r="AA50" s="57">
        <f t="shared" si="32"/>
        <v>-1.165298349657552E-5</v>
      </c>
      <c r="AB50" s="57">
        <f t="shared" si="32"/>
        <v>-8.6217828315326154E-6</v>
      </c>
      <c r="AC50" s="57">
        <f t="shared" si="32"/>
        <v>1.4085702002523465E-4</v>
      </c>
      <c r="AD50" s="57">
        <f t="shared" si="32"/>
        <v>-8.5190260134396447E-7</v>
      </c>
      <c r="AE50" s="57">
        <f t="shared" si="32"/>
        <v>-1.8391793133517377E-4</v>
      </c>
      <c r="AF50" s="57">
        <f t="shared" si="32"/>
        <v>2.1969997130192679E-4</v>
      </c>
      <c r="AG50" s="57">
        <f t="shared" si="32"/>
        <v>-2.5571171887185125E-4</v>
      </c>
      <c r="AH50" s="57">
        <f t="shared" si="32"/>
        <v>5.9060165687526111E-5</v>
      </c>
      <c r="AI50" s="57">
        <f t="shared" si="32"/>
        <v>5.3431778422151489E-5</v>
      </c>
      <c r="AJ50" s="57">
        <f t="shared" si="32"/>
        <v>7.418069951339122E-5</v>
      </c>
    </row>
    <row r="51" spans="1:36" x14ac:dyDescent="0.25">
      <c r="A51" s="13" t="s">
        <v>21</v>
      </c>
      <c r="B51" s="3">
        <f>STUTT!D8</f>
        <v>5930.4079000000002</v>
      </c>
      <c r="E51" s="11" t="s">
        <v>24</v>
      </c>
      <c r="F51" s="20">
        <f t="shared" ref="F51:AJ51" si="33">(F16-F17)^2</f>
        <v>9.385369570811862E-2</v>
      </c>
      <c r="G51" s="20">
        <f t="shared" si="33"/>
        <v>7.1826467947763525E-2</v>
      </c>
      <c r="H51" s="20">
        <f t="shared" si="33"/>
        <v>7.5119490563417851E-2</v>
      </c>
      <c r="I51" s="20">
        <f t="shared" si="33"/>
        <v>1.455255436187093E-2</v>
      </c>
      <c r="J51" s="20">
        <f t="shared" si="33"/>
        <v>1.4139125388730336</v>
      </c>
      <c r="K51" s="20">
        <f t="shared" si="33"/>
        <v>6.6029719597276146E-2</v>
      </c>
      <c r="L51" s="20">
        <f t="shared" si="33"/>
        <v>8.8165248073342542E-4</v>
      </c>
      <c r="M51" s="20">
        <f t="shared" si="33"/>
        <v>1.5740022214277893E-2</v>
      </c>
      <c r="N51" s="20">
        <f t="shared" si="33"/>
        <v>7.8404820999065011E-2</v>
      </c>
      <c r="O51" s="20">
        <f t="shared" si="33"/>
        <v>0.30109361459968143</v>
      </c>
      <c r="P51" s="20">
        <f t="shared" si="33"/>
        <v>0.8163677040847005</v>
      </c>
      <c r="Q51" s="20">
        <f t="shared" si="33"/>
        <v>1.575997278006076</v>
      </c>
      <c r="R51" s="20">
        <f t="shared" si="33"/>
        <v>2.1768852301824295</v>
      </c>
      <c r="S51" s="20">
        <f t="shared" si="33"/>
        <v>2.1327394368652377</v>
      </c>
      <c r="T51" s="20">
        <f t="shared" si="33"/>
        <v>1.5225111140025012</v>
      </c>
      <c r="U51" s="20">
        <f t="shared" si="33"/>
        <v>0.83433606723042764</v>
      </c>
      <c r="V51" s="20">
        <f t="shared" si="33"/>
        <v>0.3513655665005333</v>
      </c>
      <c r="W51" s="20">
        <f t="shared" si="33"/>
        <v>0.10356662604416157</v>
      </c>
      <c r="X51" s="20">
        <f t="shared" si="33"/>
        <v>2.2816247602020525E-2</v>
      </c>
      <c r="Y51" s="20">
        <f t="shared" si="33"/>
        <v>1.5864267705713805E-3</v>
      </c>
      <c r="Z51" s="20">
        <f t="shared" si="33"/>
        <v>8.3982826061216551E-5</v>
      </c>
      <c r="AA51" s="20">
        <f t="shared" si="33"/>
        <v>4.5054618127988362E-5</v>
      </c>
      <c r="AB51" s="20">
        <f t="shared" si="33"/>
        <v>7.6979311507513506E-6</v>
      </c>
      <c r="AC51" s="20">
        <f t="shared" si="33"/>
        <v>7.0028999101162095E-4</v>
      </c>
      <c r="AD51" s="20">
        <f t="shared" si="33"/>
        <v>1.5538692137072757E-8</v>
      </c>
      <c r="AE51" s="20">
        <f t="shared" si="33"/>
        <v>5.9564828120661436E-4</v>
      </c>
      <c r="AF51" s="20">
        <f t="shared" si="33"/>
        <v>7.4295315432242048E-4</v>
      </c>
      <c r="AG51" s="20">
        <f t="shared" si="33"/>
        <v>1.0054767913575016E-3</v>
      </c>
      <c r="AH51" s="20">
        <f t="shared" si="33"/>
        <v>5.3600955203283571E-5</v>
      </c>
      <c r="AI51" s="20">
        <f t="shared" si="33"/>
        <v>4.3870794308948888E-5</v>
      </c>
      <c r="AJ51" s="20">
        <f t="shared" si="33"/>
        <v>8.4553049194535817E-5</v>
      </c>
    </row>
    <row r="52" spans="1:36" x14ac:dyDescent="0.25">
      <c r="A52" s="13"/>
    </row>
    <row r="53" spans="1:36" x14ac:dyDescent="0.25">
      <c r="E53" s="118" t="s">
        <v>25</v>
      </c>
      <c r="F53" s="118"/>
      <c r="G53" s="104">
        <f>SUM(F51:AJ51)</f>
        <v>11.672949418564537</v>
      </c>
      <c r="I53" s="3">
        <f>G53+C123</f>
        <v>11.672949418564537</v>
      </c>
      <c r="K53" s="3">
        <f>SUM(Z51:AJ51)</f>
        <v>3.3631439306370191E-3</v>
      </c>
    </row>
    <row r="55" spans="1:36" x14ac:dyDescent="0.25">
      <c r="E55" s="30" t="s">
        <v>30</v>
      </c>
      <c r="F55" s="31">
        <f t="shared" ref="F55:AJ55" si="34">ABS(F17-F16)/F16</f>
        <v>5.1778177353843069E-5</v>
      </c>
      <c r="G55" s="31">
        <f t="shared" si="34"/>
        <v>4.5296123749897124E-5</v>
      </c>
      <c r="H55" s="31">
        <f t="shared" si="34"/>
        <v>4.6323443019237001E-5</v>
      </c>
      <c r="I55" s="31">
        <f t="shared" si="34"/>
        <v>2.039085393198963E-5</v>
      </c>
      <c r="J55" s="31">
        <f t="shared" si="34"/>
        <v>2.0117678645092265E-4</v>
      </c>
      <c r="K55" s="31">
        <f t="shared" si="34"/>
        <v>4.3812561677949411E-5</v>
      </c>
      <c r="L55" s="31">
        <f t="shared" si="34"/>
        <v>5.1887745613985414E-6</v>
      </c>
      <c r="M55" s="31">
        <f t="shared" si="34"/>
        <v>2.2495971014771445E-5</v>
      </c>
      <c r="N55" s="31">
        <f t="shared" si="34"/>
        <v>5.1752109345642535E-5</v>
      </c>
      <c r="O55" s="31">
        <f t="shared" si="34"/>
        <v>1.0519680682007685E-4</v>
      </c>
      <c r="P55" s="31">
        <f t="shared" si="34"/>
        <v>1.8004087827243513E-4</v>
      </c>
      <c r="Q55" s="31">
        <f t="shared" si="34"/>
        <v>2.6311260021177251E-4</v>
      </c>
      <c r="R55" s="31">
        <f t="shared" si="34"/>
        <v>3.2770809048272392E-4</v>
      </c>
      <c r="S55" s="31">
        <f t="shared" si="34"/>
        <v>3.4444039770090514E-4</v>
      </c>
      <c r="T55" s="31">
        <f t="shared" si="34"/>
        <v>3.1171012816443906E-4</v>
      </c>
      <c r="U55" s="31">
        <f t="shared" si="34"/>
        <v>2.4958432225046049E-4</v>
      </c>
      <c r="V55" s="31">
        <f t="shared" si="34"/>
        <v>1.8137640546992244E-4</v>
      </c>
      <c r="W55" s="31">
        <f t="shared" si="34"/>
        <v>1.1622306690306049E-4</v>
      </c>
      <c r="X55" s="31">
        <f t="shared" si="34"/>
        <v>6.851612757936128E-5</v>
      </c>
      <c r="Y55" s="31">
        <f t="shared" si="34"/>
        <v>2.5106286741774794E-5</v>
      </c>
      <c r="Z55" s="31">
        <f t="shared" si="34"/>
        <v>9.1640009268335533E-6</v>
      </c>
      <c r="AA55" s="31">
        <f t="shared" si="34"/>
        <v>1.1653119290182292E-5</v>
      </c>
      <c r="AB55" s="31">
        <f t="shared" si="34"/>
        <v>8.6218571673127158E-6</v>
      </c>
      <c r="AC55" s="31">
        <f t="shared" si="34"/>
        <v>1.4083718211945254E-4</v>
      </c>
      <c r="AD55" s="31">
        <f t="shared" si="34"/>
        <v>8.5190332708262483E-7</v>
      </c>
      <c r="AE55" s="31">
        <f t="shared" si="34"/>
        <v>1.8395176336295695E-4</v>
      </c>
      <c r="AF55" s="31">
        <f t="shared" si="34"/>
        <v>2.1965171382670265E-4</v>
      </c>
      <c r="AG55" s="31">
        <f t="shared" si="34"/>
        <v>2.5577712407989783E-4</v>
      </c>
      <c r="AH55" s="31">
        <f t="shared" si="34"/>
        <v>5.9056677790350861E-5</v>
      </c>
      <c r="AI55" s="31">
        <f t="shared" si="34"/>
        <v>5.3428923619743307E-5</v>
      </c>
      <c r="AJ55" s="31">
        <f t="shared" si="34"/>
        <v>7.4175197145380425E-5</v>
      </c>
    </row>
    <row r="56" spans="1:36" x14ac:dyDescent="0.25">
      <c r="E56" s="13" t="s">
        <v>31</v>
      </c>
      <c r="F56" s="32">
        <f>AVERAGE(F55:AJ55)</f>
        <v>1.186580443341445E-4</v>
      </c>
    </row>
    <row r="57" spans="1:36" x14ac:dyDescent="0.25">
      <c r="A57" s="42"/>
      <c r="B57" s="15"/>
      <c r="C57" s="15"/>
      <c r="D57" s="15"/>
      <c r="F57" s="60">
        <f>AVERAGE(S55:X55)</f>
        <v>2.1197507467802482E-4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-26.500682963138459</v>
      </c>
    </row>
    <row r="119" spans="1:14" x14ac:dyDescent="0.25">
      <c r="L119" s="11">
        <f>L118+1</f>
        <v>2</v>
      </c>
      <c r="M119" s="11">
        <f t="shared" ref="M119:M124" si="35">INDEX($B$125:$K$126,1,L119)</f>
        <v>0</v>
      </c>
      <c r="N119" s="11">
        <f t="shared" ref="N119:N124" si="36">IF(L119=$B$3,0,INDEX($B$125:$K$126,2,L119))</f>
        <v>-22.958170002975599</v>
      </c>
    </row>
    <row r="120" spans="1:14" x14ac:dyDescent="0.25">
      <c r="L120" s="11">
        <f t="shared" ref="L120:L124" si="37">L119+1</f>
        <v>3</v>
      </c>
      <c r="M120" s="11">
        <f t="shared" si="35"/>
        <v>25</v>
      </c>
      <c r="N120" s="11">
        <f t="shared" si="36"/>
        <v>-18.648467323418366</v>
      </c>
    </row>
    <row r="121" spans="1:14" x14ac:dyDescent="0.25">
      <c r="A121" s="103">
        <f>(A165+A204+A243+A282+A321+A360+A399)*10^9</f>
        <v>622587315263135.5</v>
      </c>
      <c r="L121" s="11">
        <f t="shared" si="37"/>
        <v>4</v>
      </c>
      <c r="M121" s="11">
        <f t="shared" si="35"/>
        <v>50</v>
      </c>
      <c r="N121" s="11">
        <f t="shared" si="36"/>
        <v>-11.958520051934006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19.686903376106656</v>
      </c>
    </row>
    <row r="124" spans="1:14" x14ac:dyDescent="0.25">
      <c r="B124" s="3"/>
      <c r="C124" s="3"/>
      <c r="D124" s="3"/>
      <c r="E124" s="3"/>
      <c r="F124" s="3"/>
      <c r="G124" s="3"/>
      <c r="H124" s="3"/>
      <c r="I124" s="3"/>
      <c r="J124" s="3"/>
      <c r="K124" s="3"/>
      <c r="L124" s="11">
        <f t="shared" si="37"/>
        <v>7</v>
      </c>
      <c r="M124" s="11">
        <f t="shared" si="35"/>
        <v>160</v>
      </c>
      <c r="N124" s="11">
        <f t="shared" si="36"/>
        <v>23.845951458670253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-26.500682963138459</v>
      </c>
      <c r="C126" s="107">
        <v>-22.958170002975599</v>
      </c>
      <c r="D126" s="107">
        <v>-18.648467323418366</v>
      </c>
      <c r="E126" s="107">
        <v>-11.958520051934006</v>
      </c>
      <c r="F126" s="107">
        <v>-1.1711893055584564E-4</v>
      </c>
      <c r="G126" s="107">
        <v>19.686903376106656</v>
      </c>
      <c r="H126" s="107">
        <v>23.845951458670253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8" t="s">
        <v>22</v>
      </c>
      <c r="B131" s="27">
        <f>($C$17+SUM(B132:B162))*$B$51</f>
        <v>5930.4078958475739</v>
      </c>
      <c r="C131" s="27">
        <f t="shared" ref="C131:AF131" si="40">($C$17+SUM(C132:C162))*$B$51</f>
        <v>5930.4078584758245</v>
      </c>
      <c r="D131" s="27">
        <f t="shared" si="40"/>
        <v>5930.4074847640522</v>
      </c>
      <c r="E131" s="27">
        <f t="shared" si="40"/>
        <v>5930.4037482191297</v>
      </c>
      <c r="F131" s="27">
        <f t="shared" si="40"/>
        <v>5930.3664399903791</v>
      </c>
      <c r="G131" s="27">
        <f t="shared" si="40"/>
        <v>5929.9990211822596</v>
      </c>
      <c r="H131" s="27">
        <f t="shared" si="40"/>
        <v>5926.8368863496689</v>
      </c>
      <c r="I131" s="27">
        <f t="shared" si="40"/>
        <v>5917.6047927015406</v>
      </c>
      <c r="J131" s="27">
        <f t="shared" si="40"/>
        <v>5916.9987252398059</v>
      </c>
      <c r="K131" s="27">
        <f t="shared" si="40"/>
        <v>5916.9987230087045</v>
      </c>
      <c r="L131" s="27">
        <f t="shared" si="40"/>
        <v>5916.9987006977017</v>
      </c>
      <c r="M131" s="27">
        <f t="shared" si="40"/>
        <v>5916.9984775880675</v>
      </c>
      <c r="N131" s="27">
        <f t="shared" si="40"/>
        <v>5916.9962465318204</v>
      </c>
      <c r="O131" s="27">
        <f t="shared" si="40"/>
        <v>5916.973939977046</v>
      </c>
      <c r="P131" s="27">
        <f t="shared" si="40"/>
        <v>5916.75127446233</v>
      </c>
      <c r="Q131" s="27">
        <f t="shared" si="40"/>
        <v>5914.5638963740676</v>
      </c>
      <c r="R131" s="27">
        <f t="shared" si="40"/>
        <v>5895.9859069442809</v>
      </c>
      <c r="S131" s="27">
        <f t="shared" si="40"/>
        <v>5811.1977626975277</v>
      </c>
      <c r="T131" s="27">
        <f t="shared" si="40"/>
        <v>5651.9835244630876</v>
      </c>
      <c r="U131" s="27">
        <f t="shared" si="40"/>
        <v>5502.6766040627817</v>
      </c>
      <c r="V131" s="27">
        <f t="shared" si="40"/>
        <v>5319.169195837555</v>
      </c>
      <c r="W131" s="27">
        <f t="shared" si="40"/>
        <v>5115.9812854034262</v>
      </c>
      <c r="X131" s="27">
        <f t="shared" si="40"/>
        <v>4906.4641974899514</v>
      </c>
      <c r="Y131" s="27">
        <f t="shared" si="40"/>
        <v>4624.9160829908251</v>
      </c>
      <c r="Z131" s="27">
        <f t="shared" si="40"/>
        <v>4368.213553947644</v>
      </c>
      <c r="AA131" s="27">
        <f t="shared" si="40"/>
        <v>4089.0604310486256</v>
      </c>
      <c r="AB131" s="27">
        <f t="shared" si="40"/>
        <v>3807.1529295035875</v>
      </c>
      <c r="AC131" s="27">
        <f t="shared" si="40"/>
        <v>3470.6132854366692</v>
      </c>
      <c r="AD131" s="27">
        <f t="shared" si="40"/>
        <v>3012.0675664930254</v>
      </c>
      <c r="AE131" s="27">
        <f t="shared" si="40"/>
        <v>2483.6944721789828</v>
      </c>
      <c r="AF131" s="27">
        <f t="shared" si="40"/>
        <v>1889.2228361138625</v>
      </c>
    </row>
    <row r="132" spans="1:33" x14ac:dyDescent="0.25">
      <c r="B132" s="3">
        <f t="shared" ref="B132:Z133" si="41">$C18*EXP(-B$129/$A18/EXP(-$B$126))</f>
        <v>2.2610873629567456E-3</v>
      </c>
      <c r="C132" s="3">
        <f t="shared" ref="C132:AF132" si="42">$C18*EXP(-C$129/$A18/EXP(-$B$126))</f>
        <v>2.2610810612401283E-3</v>
      </c>
      <c r="D132" s="3">
        <f t="shared" si="42"/>
        <v>2.2610180450399141E-3</v>
      </c>
      <c r="E132" s="3">
        <f t="shared" si="42"/>
        <v>2.2603879796238842E-3</v>
      </c>
      <c r="F132" s="3">
        <f t="shared" si="42"/>
        <v>2.2540969741219265E-3</v>
      </c>
      <c r="G132" s="3">
        <f t="shared" si="42"/>
        <v>2.1921419089574604E-3</v>
      </c>
      <c r="H132" s="3">
        <f t="shared" si="42"/>
        <v>1.6589349384284675E-3</v>
      </c>
      <c r="I132" s="3">
        <f t="shared" si="42"/>
        <v>1.021965518806074E-4</v>
      </c>
      <c r="J132" s="3">
        <f t="shared" si="42"/>
        <v>8.044612583023708E-17</v>
      </c>
      <c r="K132" s="3">
        <f t="shared" si="42"/>
        <v>7.3484212465219917E-138</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4.2263320671389309E-3</v>
      </c>
      <c r="C136" s="3">
        <f t="shared" si="49"/>
        <v>4.2263320671389291E-3</v>
      </c>
      <c r="D136" s="3">
        <f t="shared" si="49"/>
        <v>4.2263320671389075E-3</v>
      </c>
      <c r="E136" s="3">
        <f t="shared" si="49"/>
        <v>4.2263320671386863E-3</v>
      </c>
      <c r="F136" s="3">
        <f t="shared" si="49"/>
        <v>4.226332067136471E-3</v>
      </c>
      <c r="G136" s="3">
        <f t="shared" si="49"/>
        <v>4.2263320671143221E-3</v>
      </c>
      <c r="H136" s="3">
        <f t="shared" si="49"/>
        <v>4.2263320668928352E-3</v>
      </c>
      <c r="I136" s="3">
        <f t="shared" si="49"/>
        <v>4.2263320646779698E-3</v>
      </c>
      <c r="J136" s="3">
        <f t="shared" si="49"/>
        <v>4.226332042529311E-3</v>
      </c>
      <c r="K136" s="3">
        <f t="shared" si="49"/>
        <v>4.2263318210427302E-3</v>
      </c>
      <c r="L136" s="3">
        <f t="shared" si="49"/>
        <v>4.226329606177563E-3</v>
      </c>
      <c r="M136" s="3">
        <f t="shared" si="49"/>
        <v>4.2263074575897286E-3</v>
      </c>
      <c r="N136" s="3">
        <f t="shared" si="49"/>
        <v>4.2260859780952568E-3</v>
      </c>
      <c r="O136" s="3">
        <f t="shared" si="49"/>
        <v>4.223871821414581E-3</v>
      </c>
      <c r="P136" s="3">
        <f t="shared" si="49"/>
        <v>4.2017939574229193E-3</v>
      </c>
      <c r="Q136" s="3">
        <f t="shared" si="49"/>
        <v>3.9872637894766529E-3</v>
      </c>
      <c r="R136" s="3">
        <f t="shared" si="49"/>
        <v>2.3608975075338971E-3</v>
      </c>
      <c r="S136" s="3">
        <f t="shared" si="49"/>
        <v>1.250543443831572E-5</v>
      </c>
      <c r="T136" s="3">
        <f t="shared" si="49"/>
        <v>2.1742790633073798E-28</v>
      </c>
      <c r="U136" s="3">
        <f t="shared" si="49"/>
        <v>5.488836399293314E-256</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3.0334384971501784E-2</v>
      </c>
      <c r="C137" s="3">
        <f t="shared" si="51"/>
        <v>3.0334384971501784E-2</v>
      </c>
      <c r="D137" s="3">
        <f t="shared" si="51"/>
        <v>3.0334384971501767E-2</v>
      </c>
      <c r="E137" s="3">
        <f t="shared" si="51"/>
        <v>3.0334384971501625E-2</v>
      </c>
      <c r="F137" s="3">
        <f t="shared" si="51"/>
        <v>3.0334384971500192E-2</v>
      </c>
      <c r="G137" s="3">
        <f t="shared" si="51"/>
        <v>3.0334384971485853E-2</v>
      </c>
      <c r="H137" s="3">
        <f t="shared" si="51"/>
        <v>3.0334384971342443E-2</v>
      </c>
      <c r="I137" s="3">
        <f t="shared" si="51"/>
        <v>3.0334384969908389E-2</v>
      </c>
      <c r="J137" s="3">
        <f t="shared" si="51"/>
        <v>3.033438495556785E-2</v>
      </c>
      <c r="K137" s="3">
        <f t="shared" si="51"/>
        <v>3.0334384812162416E-2</v>
      </c>
      <c r="L137" s="3">
        <f t="shared" si="51"/>
        <v>3.0334383378108145E-2</v>
      </c>
      <c r="M137" s="3">
        <f t="shared" si="51"/>
        <v>3.0334369037569149E-2</v>
      </c>
      <c r="N137" s="3">
        <f t="shared" si="51"/>
        <v>3.0334225632552066E-2</v>
      </c>
      <c r="O137" s="3">
        <f t="shared" si="51"/>
        <v>3.0332791619667621E-2</v>
      </c>
      <c r="P137" s="3">
        <f t="shared" si="51"/>
        <v>3.0318455218809354E-2</v>
      </c>
      <c r="Q137" s="3">
        <f t="shared" si="51"/>
        <v>3.0175463357579355E-2</v>
      </c>
      <c r="R137" s="3">
        <f t="shared" si="51"/>
        <v>2.87821166809137E-2</v>
      </c>
      <c r="S137" s="3">
        <f t="shared" si="51"/>
        <v>1.7939508819730207E-2</v>
      </c>
      <c r="T137" s="3">
        <f t="shared" si="51"/>
        <v>1.5874086157534702E-4</v>
      </c>
      <c r="U137" s="3">
        <f t="shared" si="51"/>
        <v>4.6716530848400701E-25</v>
      </c>
      <c r="V137" s="3">
        <f t="shared" si="51"/>
        <v>2.2766124211345672E-230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2.3501586958650868E-2</v>
      </c>
      <c r="C138" s="3">
        <f t="shared" si="53"/>
        <v>2.3501586958650868E-2</v>
      </c>
      <c r="D138" s="3">
        <f t="shared" si="53"/>
        <v>2.3501586958650868E-2</v>
      </c>
      <c r="E138" s="3">
        <f t="shared" si="53"/>
        <v>2.3501586958650858E-2</v>
      </c>
      <c r="F138" s="3">
        <f t="shared" si="53"/>
        <v>2.3501586958650757E-2</v>
      </c>
      <c r="G138" s="3">
        <f t="shared" si="53"/>
        <v>2.3501586958649755E-2</v>
      </c>
      <c r="H138" s="3">
        <f t="shared" si="53"/>
        <v>2.3501586958639731E-2</v>
      </c>
      <c r="I138" s="3">
        <f t="shared" si="53"/>
        <v>2.3501586958539506E-2</v>
      </c>
      <c r="J138" s="3">
        <f t="shared" si="53"/>
        <v>2.3501586957537263E-2</v>
      </c>
      <c r="K138" s="3">
        <f t="shared" si="53"/>
        <v>2.3501586947514808E-2</v>
      </c>
      <c r="L138" s="3">
        <f t="shared" si="53"/>
        <v>2.3501586847290239E-2</v>
      </c>
      <c r="M138" s="3">
        <f t="shared" si="53"/>
        <v>2.3501585845044599E-2</v>
      </c>
      <c r="N138" s="3">
        <f t="shared" si="53"/>
        <v>2.3501575822590565E-2</v>
      </c>
      <c r="O138" s="3">
        <f t="shared" si="53"/>
        <v>2.350147559828529E-2</v>
      </c>
      <c r="P138" s="3">
        <f t="shared" si="53"/>
        <v>2.3500473378740016E-2</v>
      </c>
      <c r="Q138" s="3">
        <f t="shared" si="53"/>
        <v>2.3490453533665384E-2</v>
      </c>
      <c r="R138" s="3">
        <f t="shared" si="53"/>
        <v>2.3390489750287447E-2</v>
      </c>
      <c r="S138" s="3">
        <f t="shared" si="53"/>
        <v>2.2413952558251866E-2</v>
      </c>
      <c r="T138" s="3">
        <f t="shared" si="53"/>
        <v>1.463220511040926E-2</v>
      </c>
      <c r="U138" s="3">
        <f t="shared" si="53"/>
        <v>2.0569469924861371E-4</v>
      </c>
      <c r="V138" s="3">
        <f t="shared" si="53"/>
        <v>6.1994947623662098E-23</v>
      </c>
      <c r="W138" s="3">
        <f t="shared" si="53"/>
        <v>3.8343192590248797E-208</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3.0161245732589943E-2</v>
      </c>
      <c r="C139" s="3">
        <f t="shared" si="55"/>
        <v>3.0161245732589943E-2</v>
      </c>
      <c r="D139" s="3">
        <f t="shared" si="55"/>
        <v>3.0161245732589943E-2</v>
      </c>
      <c r="E139" s="3">
        <f t="shared" si="55"/>
        <v>3.0161245732589943E-2</v>
      </c>
      <c r="F139" s="3">
        <f t="shared" si="55"/>
        <v>3.0161245732589929E-2</v>
      </c>
      <c r="G139" s="3">
        <f t="shared" si="55"/>
        <v>3.0161245732589811E-2</v>
      </c>
      <c r="H139" s="3">
        <f t="shared" si="55"/>
        <v>3.0161245732588653E-2</v>
      </c>
      <c r="I139" s="3">
        <f t="shared" si="55"/>
        <v>3.0161245732577051E-2</v>
      </c>
      <c r="J139" s="3">
        <f t="shared" si="55"/>
        <v>3.0161245732461019E-2</v>
      </c>
      <c r="K139" s="3">
        <f t="shared" si="55"/>
        <v>3.0161245731300714E-2</v>
      </c>
      <c r="L139" s="3">
        <f t="shared" si="55"/>
        <v>3.0161245719697645E-2</v>
      </c>
      <c r="M139" s="3">
        <f t="shared" si="55"/>
        <v>3.016124560366696E-2</v>
      </c>
      <c r="N139" s="3">
        <f t="shared" si="55"/>
        <v>3.0161244443360116E-2</v>
      </c>
      <c r="O139" s="3">
        <f t="shared" si="55"/>
        <v>3.0161232840294164E-2</v>
      </c>
      <c r="P139" s="3">
        <f t="shared" si="55"/>
        <v>3.0161116809880109E-2</v>
      </c>
      <c r="Q139" s="3">
        <f t="shared" si="55"/>
        <v>3.0159956530289623E-2</v>
      </c>
      <c r="R139" s="3">
        <f t="shared" si="55"/>
        <v>3.014835618903974E-2</v>
      </c>
      <c r="S139" s="3">
        <f t="shared" si="55"/>
        <v>3.0032597893003499E-2</v>
      </c>
      <c r="T139" s="3">
        <f t="shared" si="55"/>
        <v>2.8899181242577725E-2</v>
      </c>
      <c r="U139" s="3">
        <f t="shared" si="55"/>
        <v>1.967034206316445E-2</v>
      </c>
      <c r="V139" s="3">
        <f t="shared" si="55"/>
        <v>4.1983210639047182E-4</v>
      </c>
      <c r="W139" s="3">
        <f t="shared" si="55"/>
        <v>8.2359367792809032E-21</v>
      </c>
      <c r="X139" s="3">
        <f t="shared" si="55"/>
        <v>6.9516286978388485E-188</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3.6781885068377713E-2</v>
      </c>
      <c r="C140" s="3">
        <f t="shared" si="57"/>
        <v>3.6781885068377713E-2</v>
      </c>
      <c r="D140" s="3">
        <f t="shared" si="57"/>
        <v>3.6781885068377713E-2</v>
      </c>
      <c r="E140" s="3">
        <f t="shared" si="57"/>
        <v>3.6781885068377713E-2</v>
      </c>
      <c r="F140" s="3">
        <f t="shared" si="57"/>
        <v>3.6781885068377713E-2</v>
      </c>
      <c r="G140" s="3">
        <f t="shared" si="57"/>
        <v>3.67818850683777E-2</v>
      </c>
      <c r="H140" s="3">
        <f t="shared" si="57"/>
        <v>3.6781885068377568E-2</v>
      </c>
      <c r="I140" s="3">
        <f t="shared" si="57"/>
        <v>3.6781885068376298E-2</v>
      </c>
      <c r="J140" s="3">
        <f t="shared" si="57"/>
        <v>3.678188506836353E-2</v>
      </c>
      <c r="K140" s="3">
        <f t="shared" si="57"/>
        <v>3.6781885068235882E-2</v>
      </c>
      <c r="L140" s="3">
        <f t="shared" si="57"/>
        <v>3.6781885066959438E-2</v>
      </c>
      <c r="M140" s="3">
        <f t="shared" si="57"/>
        <v>3.6781885054194927E-2</v>
      </c>
      <c r="N140" s="3">
        <f t="shared" si="57"/>
        <v>3.6781884926549824E-2</v>
      </c>
      <c r="O140" s="3">
        <f t="shared" si="57"/>
        <v>3.6781883650098803E-2</v>
      </c>
      <c r="P140" s="3">
        <f t="shared" si="57"/>
        <v>3.6781870885591095E-2</v>
      </c>
      <c r="Q140" s="3">
        <f t="shared" si="57"/>
        <v>3.6781743240757656E-2</v>
      </c>
      <c r="R140" s="3">
        <f t="shared" si="57"/>
        <v>3.6780466816786261E-2</v>
      </c>
      <c r="S140" s="3">
        <f t="shared" si="57"/>
        <v>3.6767705013059912E-2</v>
      </c>
      <c r="T140" s="3">
        <f t="shared" si="57"/>
        <v>3.6640330262059942E-2</v>
      </c>
      <c r="U140" s="3">
        <f t="shared" si="57"/>
        <v>3.5390601872448524E-2</v>
      </c>
      <c r="V140" s="3">
        <f t="shared" si="57"/>
        <v>2.5013452421864528E-2</v>
      </c>
      <c r="W140" s="3">
        <f t="shared" si="57"/>
        <v>7.7809125805697126E-4</v>
      </c>
      <c r="X140" s="3">
        <f t="shared" si="57"/>
        <v>6.6008446637580994E-19</v>
      </c>
      <c r="Y140" s="3">
        <f t="shared" si="57"/>
        <v>1.2743516332910061E-169</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3.0958488235130539E-2</v>
      </c>
      <c r="C141" s="3">
        <f t="shared" si="59"/>
        <v>3.0958488235130539E-2</v>
      </c>
      <c r="D141" s="3">
        <f t="shared" si="59"/>
        <v>3.0958488235130539E-2</v>
      </c>
      <c r="E141" s="3">
        <f t="shared" si="59"/>
        <v>3.0958488235130539E-2</v>
      </c>
      <c r="F141" s="3">
        <f t="shared" si="59"/>
        <v>3.0958488235130539E-2</v>
      </c>
      <c r="G141" s="3">
        <f t="shared" si="59"/>
        <v>3.0958488235130539E-2</v>
      </c>
      <c r="H141" s="3">
        <f t="shared" si="59"/>
        <v>3.0958488235130529E-2</v>
      </c>
      <c r="I141" s="3">
        <f t="shared" si="59"/>
        <v>3.0958488235130432E-2</v>
      </c>
      <c r="J141" s="3">
        <f t="shared" si="59"/>
        <v>3.0958488235129464E-2</v>
      </c>
      <c r="K141" s="3">
        <f t="shared" si="59"/>
        <v>3.095848823511977E-2</v>
      </c>
      <c r="L141" s="3">
        <f t="shared" si="59"/>
        <v>3.0958488235022855E-2</v>
      </c>
      <c r="M141" s="3">
        <f t="shared" si="59"/>
        <v>3.0958488234053692E-2</v>
      </c>
      <c r="N141" s="3">
        <f t="shared" si="59"/>
        <v>3.095848822436207E-2</v>
      </c>
      <c r="O141" s="3">
        <f t="shared" si="59"/>
        <v>3.0958488127445838E-2</v>
      </c>
      <c r="P141" s="3">
        <f t="shared" si="59"/>
        <v>3.0958487158283553E-2</v>
      </c>
      <c r="Q141" s="3">
        <f t="shared" si="59"/>
        <v>3.0958477466662335E-2</v>
      </c>
      <c r="R141" s="3">
        <f t="shared" si="59"/>
        <v>3.0958380550617066E-2</v>
      </c>
      <c r="S141" s="3">
        <f t="shared" si="59"/>
        <v>3.0957411406851092E-2</v>
      </c>
      <c r="T141" s="3">
        <f t="shared" si="59"/>
        <v>3.0947721637667756E-2</v>
      </c>
      <c r="U141" s="3">
        <f t="shared" si="59"/>
        <v>3.085099060038312E-2</v>
      </c>
      <c r="V141" s="3">
        <f t="shared" si="59"/>
        <v>2.9900154253337329E-2</v>
      </c>
      <c r="W141" s="3">
        <f t="shared" si="59"/>
        <v>2.1863343733912525E-2</v>
      </c>
      <c r="X141" s="3">
        <f t="shared" si="59"/>
        <v>9.5531835524931372E-4</v>
      </c>
      <c r="Y141" s="3">
        <f t="shared" si="59"/>
        <v>2.4236143596137794E-17</v>
      </c>
      <c r="Z141" s="3">
        <f t="shared" si="59"/>
        <v>2.6768094953685682E-153</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5.2155951905646973E-2</v>
      </c>
      <c r="C142" s="3">
        <f t="shared" si="61"/>
        <v>5.2155951905646973E-2</v>
      </c>
      <c r="D142" s="3">
        <f t="shared" si="61"/>
        <v>5.2155951905646973E-2</v>
      </c>
      <c r="E142" s="3">
        <f t="shared" si="61"/>
        <v>5.2155951905646973E-2</v>
      </c>
      <c r="F142" s="3">
        <f t="shared" si="61"/>
        <v>5.2155951905646973E-2</v>
      </c>
      <c r="G142" s="3">
        <f t="shared" si="61"/>
        <v>5.2155951905646973E-2</v>
      </c>
      <c r="H142" s="3">
        <f t="shared" si="61"/>
        <v>5.2155951905646973E-2</v>
      </c>
      <c r="I142" s="3">
        <f t="shared" si="61"/>
        <v>5.2155951905646952E-2</v>
      </c>
      <c r="J142" s="3">
        <f t="shared" si="61"/>
        <v>5.2155951905646813E-2</v>
      </c>
      <c r="K142" s="3">
        <f t="shared" si="61"/>
        <v>5.2155951905645336E-2</v>
      </c>
      <c r="L142" s="3">
        <f t="shared" si="61"/>
        <v>5.2155951905630611E-2</v>
      </c>
      <c r="M142" s="3">
        <f t="shared" si="61"/>
        <v>5.2155951905483319E-2</v>
      </c>
      <c r="N142" s="3">
        <f t="shared" si="61"/>
        <v>5.2155951904010442E-2</v>
      </c>
      <c r="O142" s="3">
        <f t="shared" si="61"/>
        <v>5.2155951889281647E-2</v>
      </c>
      <c r="P142" s="3">
        <f t="shared" si="61"/>
        <v>5.2155951741993688E-2</v>
      </c>
      <c r="Q142" s="3">
        <f t="shared" si="61"/>
        <v>5.2155950269114147E-2</v>
      </c>
      <c r="R142" s="3">
        <f t="shared" si="61"/>
        <v>5.2155935540321031E-2</v>
      </c>
      <c r="S142" s="3">
        <f t="shared" si="61"/>
        <v>5.2155788252618622E-2</v>
      </c>
      <c r="T142" s="3">
        <f t="shared" si="61"/>
        <v>5.2154315398470964E-2</v>
      </c>
      <c r="U142" s="3">
        <f t="shared" si="61"/>
        <v>5.2139589144398327E-2</v>
      </c>
      <c r="V142" s="3">
        <f t="shared" si="61"/>
        <v>5.1992555105242519E-2</v>
      </c>
      <c r="W142" s="3">
        <f t="shared" si="61"/>
        <v>5.054482790753223E-2</v>
      </c>
      <c r="X142" s="3">
        <f t="shared" si="61"/>
        <v>3.8109419772707896E-2</v>
      </c>
      <c r="Y142" s="3">
        <f t="shared" si="61"/>
        <v>2.2624994378089417E-3</v>
      </c>
      <c r="Z142" s="3">
        <f t="shared" si="61"/>
        <v>1.2306935202673852E-15</v>
      </c>
      <c r="AA142" s="3">
        <f t="shared" ref="AA142" si="62">$C28*EXP(-AA$129/$A28/EXP(-$B$126))</f>
        <v>2.7910283915035609E-138</v>
      </c>
      <c r="AB142" s="3">
        <f t="shared" si="46"/>
        <v>0</v>
      </c>
      <c r="AC142" s="3">
        <f t="shared" si="46"/>
        <v>0</v>
      </c>
      <c r="AD142" s="3">
        <f t="shared" si="46"/>
        <v>0</v>
      </c>
      <c r="AE142" s="3">
        <f t="shared" si="46"/>
        <v>0</v>
      </c>
      <c r="AF142" s="3">
        <f t="shared" si="46"/>
        <v>0</v>
      </c>
    </row>
    <row r="143" spans="1:33" x14ac:dyDescent="0.25">
      <c r="B143" s="3">
        <f t="shared" ref="B143:Z143" si="63">$C29*EXP(-B$129/$A29/EXP(-$B$126))</f>
        <v>4.3160709564069449E-2</v>
      </c>
      <c r="C143" s="3">
        <f t="shared" si="63"/>
        <v>4.3160709564069449E-2</v>
      </c>
      <c r="D143" s="3">
        <f t="shared" si="63"/>
        <v>4.3160709564069449E-2</v>
      </c>
      <c r="E143" s="3">
        <f t="shared" si="63"/>
        <v>4.3160709564069449E-2</v>
      </c>
      <c r="F143" s="3">
        <f t="shared" si="63"/>
        <v>4.3160709564069449E-2</v>
      </c>
      <c r="G143" s="3">
        <f t="shared" si="63"/>
        <v>4.3160709564069449E-2</v>
      </c>
      <c r="H143" s="3">
        <f t="shared" si="63"/>
        <v>4.3160709564069449E-2</v>
      </c>
      <c r="I143" s="3">
        <f t="shared" si="63"/>
        <v>4.3160709564069449E-2</v>
      </c>
      <c r="J143" s="3">
        <f t="shared" si="63"/>
        <v>4.3160709564069435E-2</v>
      </c>
      <c r="K143" s="3">
        <f t="shared" si="63"/>
        <v>4.3160709564069331E-2</v>
      </c>
      <c r="L143" s="3">
        <f t="shared" si="63"/>
        <v>4.3160709564068228E-2</v>
      </c>
      <c r="M143" s="3">
        <f t="shared" si="63"/>
        <v>4.316070956405723E-2</v>
      </c>
      <c r="N143" s="3">
        <f t="shared" si="63"/>
        <v>4.3160709563947283E-2</v>
      </c>
      <c r="O143" s="3">
        <f t="shared" si="63"/>
        <v>4.3160709562847774E-2</v>
      </c>
      <c r="P143" s="3">
        <f t="shared" si="63"/>
        <v>4.3160709551852687E-2</v>
      </c>
      <c r="Q143" s="3">
        <f t="shared" si="63"/>
        <v>4.3160709441901854E-2</v>
      </c>
      <c r="R143" s="3">
        <f t="shared" si="63"/>
        <v>4.3160708342393529E-2</v>
      </c>
      <c r="S143" s="3">
        <f t="shared" si="63"/>
        <v>4.3160697347311851E-2</v>
      </c>
      <c r="T143" s="3">
        <f t="shared" si="63"/>
        <v>4.3160587396649096E-2</v>
      </c>
      <c r="U143" s="3">
        <f t="shared" si="63"/>
        <v>4.3159487905426668E-2</v>
      </c>
      <c r="V143" s="3">
        <f t="shared" si="63"/>
        <v>4.3148494533574701E-2</v>
      </c>
      <c r="W143" s="3">
        <f t="shared" si="63"/>
        <v>4.3038714707188688E-2</v>
      </c>
      <c r="X143" s="3">
        <f t="shared" si="63"/>
        <v>4.1956161586352729E-2</v>
      </c>
      <c r="Y143" s="3">
        <f t="shared" si="63"/>
        <v>3.2520731850822056E-2</v>
      </c>
      <c r="Z143" s="3">
        <f t="shared" si="63"/>
        <v>2.545692373601281E-3</v>
      </c>
      <c r="AA143" s="3">
        <f t="shared" ref="AA143" si="64">$C29*EXP(-AA$129/$A29/EXP(-$B$126))</f>
        <v>2.1991863538020336E-14</v>
      </c>
      <c r="AB143" s="3">
        <f t="shared" si="46"/>
        <v>5.0912349226136781E-125</v>
      </c>
      <c r="AC143" s="3">
        <f t="shared" si="46"/>
        <v>0</v>
      </c>
      <c r="AD143" s="3">
        <f t="shared" si="46"/>
        <v>0</v>
      </c>
      <c r="AE143" s="3">
        <f t="shared" si="46"/>
        <v>0</v>
      </c>
      <c r="AF143" s="3">
        <f t="shared" si="46"/>
        <v>0</v>
      </c>
    </row>
    <row r="144" spans="1:33" x14ac:dyDescent="0.25">
      <c r="B144" s="3">
        <f t="shared" ref="B144:Z144" si="65">$C30*EXP(-B$129/$A30/EXP(-$B$126))</f>
        <v>4.9762672836986856E-2</v>
      </c>
      <c r="C144" s="3">
        <f t="shared" si="65"/>
        <v>4.9762672836986856E-2</v>
      </c>
      <c r="D144" s="3">
        <f t="shared" si="65"/>
        <v>4.9762672836986856E-2</v>
      </c>
      <c r="E144" s="3">
        <f t="shared" si="65"/>
        <v>4.9762672836986856E-2</v>
      </c>
      <c r="F144" s="3">
        <f t="shared" si="65"/>
        <v>4.9762672836986856E-2</v>
      </c>
      <c r="G144" s="3">
        <f t="shared" si="65"/>
        <v>4.9762672836986856E-2</v>
      </c>
      <c r="H144" s="3">
        <f t="shared" si="65"/>
        <v>4.9762672836986856E-2</v>
      </c>
      <c r="I144" s="3">
        <f t="shared" si="65"/>
        <v>4.9762672836986856E-2</v>
      </c>
      <c r="J144" s="3">
        <f t="shared" si="65"/>
        <v>4.9762672836986856E-2</v>
      </c>
      <c r="K144" s="3">
        <f t="shared" si="65"/>
        <v>4.9762672836986842E-2</v>
      </c>
      <c r="L144" s="3">
        <f t="shared" si="65"/>
        <v>4.9762672836986731E-2</v>
      </c>
      <c r="M144" s="3">
        <f t="shared" si="65"/>
        <v>4.9762672836985586E-2</v>
      </c>
      <c r="N144" s="3">
        <f t="shared" si="65"/>
        <v>4.9762672836974151E-2</v>
      </c>
      <c r="O144" s="3">
        <f t="shared" si="65"/>
        <v>4.9762672836859791E-2</v>
      </c>
      <c r="P144" s="3">
        <f t="shared" si="65"/>
        <v>4.9762672835716233E-2</v>
      </c>
      <c r="Q144" s="3">
        <f t="shared" si="65"/>
        <v>4.9762672824280596E-2</v>
      </c>
      <c r="R144" s="3">
        <f t="shared" si="65"/>
        <v>4.9762672709924259E-2</v>
      </c>
      <c r="S144" s="3">
        <f t="shared" si="65"/>
        <v>4.976267156636089E-2</v>
      </c>
      <c r="T144" s="3">
        <f t="shared" si="65"/>
        <v>4.9762660130728636E-2</v>
      </c>
      <c r="U144" s="3">
        <f t="shared" si="65"/>
        <v>4.9762545774550693E-2</v>
      </c>
      <c r="V144" s="3">
        <f t="shared" si="65"/>
        <v>4.9761402227224819E-2</v>
      </c>
      <c r="W144" s="3">
        <f t="shared" si="65"/>
        <v>4.9749968199200946E-2</v>
      </c>
      <c r="X144" s="3">
        <f t="shared" si="65"/>
        <v>4.9635772319644778E-2</v>
      </c>
      <c r="Y144" s="3">
        <f t="shared" si="65"/>
        <v>4.8508131563436648E-2</v>
      </c>
      <c r="Z144" s="3">
        <f t="shared" si="65"/>
        <v>3.8548916601598801E-2</v>
      </c>
      <c r="AA144" s="3">
        <f t="shared" ref="AA144" si="66">$C30*EXP(-AA$129/$A30/EXP(-$B$126))</f>
        <v>3.8724737120659786E-3</v>
      </c>
      <c r="AB144" s="3">
        <f t="shared" ref="AB144:AF153" si="67">$C30*EXP(-AB$129/$A30/EXP(-$B$126))</f>
        <v>4.0527656522029012E-13</v>
      </c>
      <c r="AC144" s="3">
        <f t="shared" si="67"/>
        <v>6.3882459240594835E-113</v>
      </c>
      <c r="AD144" s="3">
        <f t="shared" si="67"/>
        <v>0</v>
      </c>
      <c r="AE144" s="3">
        <f t="shared" si="67"/>
        <v>0</v>
      </c>
      <c r="AF144" s="3">
        <f t="shared" si="67"/>
        <v>0</v>
      </c>
    </row>
    <row r="145" spans="1:32" x14ac:dyDescent="0.25">
      <c r="B145" s="3">
        <f t="shared" ref="B145:Z145" si="68">$C31*EXP(-B$129/$A31/EXP(-$B$126))</f>
        <v>4.7420297810237655E-2</v>
      </c>
      <c r="C145" s="3">
        <f t="shared" si="68"/>
        <v>4.7420297810237655E-2</v>
      </c>
      <c r="D145" s="3">
        <f t="shared" si="68"/>
        <v>4.7420297810237655E-2</v>
      </c>
      <c r="E145" s="3">
        <f t="shared" si="68"/>
        <v>4.7420297810237655E-2</v>
      </c>
      <c r="F145" s="3">
        <f t="shared" si="68"/>
        <v>4.7420297810237655E-2</v>
      </c>
      <c r="G145" s="3">
        <f t="shared" si="68"/>
        <v>4.7420297810237655E-2</v>
      </c>
      <c r="H145" s="3">
        <f t="shared" si="68"/>
        <v>4.7420297810237655E-2</v>
      </c>
      <c r="I145" s="3">
        <f t="shared" si="68"/>
        <v>4.7420297810237655E-2</v>
      </c>
      <c r="J145" s="3">
        <f t="shared" si="68"/>
        <v>4.7420297810237655E-2</v>
      </c>
      <c r="K145" s="3">
        <f t="shared" si="68"/>
        <v>4.7420297810237655E-2</v>
      </c>
      <c r="L145" s="3">
        <f t="shared" si="68"/>
        <v>4.7420297810237641E-2</v>
      </c>
      <c r="M145" s="3">
        <f t="shared" si="68"/>
        <v>4.7420297810237544E-2</v>
      </c>
      <c r="N145" s="3">
        <f t="shared" si="68"/>
        <v>4.7420297810236565E-2</v>
      </c>
      <c r="O145" s="3">
        <f t="shared" si="68"/>
        <v>4.7420297810226733E-2</v>
      </c>
      <c r="P145" s="3">
        <f t="shared" si="68"/>
        <v>4.742029781012843E-2</v>
      </c>
      <c r="Q145" s="3">
        <f t="shared" si="68"/>
        <v>4.7420297809145397E-2</v>
      </c>
      <c r="R145" s="3">
        <f t="shared" si="68"/>
        <v>4.742029779931508E-2</v>
      </c>
      <c r="S145" s="3">
        <f t="shared" si="68"/>
        <v>4.7420297701011943E-2</v>
      </c>
      <c r="T145" s="3">
        <f t="shared" si="68"/>
        <v>4.7420296717980502E-2</v>
      </c>
      <c r="U145" s="3">
        <f t="shared" si="68"/>
        <v>4.7420286887667286E-2</v>
      </c>
      <c r="V145" s="3">
        <f t="shared" si="68"/>
        <v>4.7420188584647201E-2</v>
      </c>
      <c r="W145" s="3">
        <f t="shared" si="68"/>
        <v>4.7419205565654314E-2</v>
      </c>
      <c r="X145" s="3">
        <f t="shared" si="68"/>
        <v>4.7409376496443209E-2</v>
      </c>
      <c r="Y145" s="3">
        <f t="shared" si="68"/>
        <v>4.7311197790186589E-2</v>
      </c>
      <c r="Z145" s="3">
        <f t="shared" si="68"/>
        <v>4.6340523892248998E-2</v>
      </c>
      <c r="AA145" s="3">
        <f t="shared" ref="AA145" si="69">$C31*EXP(-AA$129/$A31/EXP(-$B$126))</f>
        <v>3.7664386599283367E-2</v>
      </c>
      <c r="AB145" s="3">
        <f t="shared" si="67"/>
        <v>4.7383866403824422E-3</v>
      </c>
      <c r="AC145" s="3">
        <f t="shared" si="67"/>
        <v>4.7057240674834431E-12</v>
      </c>
      <c r="AD145" s="3">
        <f t="shared" si="67"/>
        <v>4.391228958560077E-102</v>
      </c>
      <c r="AE145" s="3">
        <f t="shared" si="67"/>
        <v>0</v>
      </c>
      <c r="AF145" s="3">
        <f t="shared" si="67"/>
        <v>0</v>
      </c>
    </row>
    <row r="146" spans="1:32" x14ac:dyDescent="0.25">
      <c r="B146" s="3">
        <f t="shared" ref="B146:Z146" si="70">$C32*EXP(-B$129/$A32/EXP(-$B$126))</f>
        <v>5.5060707858971492E-2</v>
      </c>
      <c r="C146" s="3">
        <f t="shared" si="70"/>
        <v>5.5060707858971492E-2</v>
      </c>
      <c r="D146" s="3">
        <f t="shared" si="70"/>
        <v>5.5060707858971492E-2</v>
      </c>
      <c r="E146" s="3">
        <f t="shared" si="70"/>
        <v>5.5060707858971492E-2</v>
      </c>
      <c r="F146" s="3">
        <f t="shared" si="70"/>
        <v>5.5060707858971492E-2</v>
      </c>
      <c r="G146" s="3">
        <f t="shared" si="70"/>
        <v>5.5060707858971492E-2</v>
      </c>
      <c r="H146" s="3">
        <f t="shared" si="70"/>
        <v>5.5060707858971492E-2</v>
      </c>
      <c r="I146" s="3">
        <f t="shared" si="70"/>
        <v>5.5060707858971492E-2</v>
      </c>
      <c r="J146" s="3">
        <f t="shared" si="70"/>
        <v>5.5060707858971492E-2</v>
      </c>
      <c r="K146" s="3">
        <f t="shared" si="70"/>
        <v>5.5060707858971492E-2</v>
      </c>
      <c r="L146" s="3">
        <f t="shared" si="70"/>
        <v>5.5060707858971492E-2</v>
      </c>
      <c r="M146" s="3">
        <f t="shared" si="70"/>
        <v>5.5060707858971478E-2</v>
      </c>
      <c r="N146" s="3">
        <f t="shared" si="70"/>
        <v>5.5060707858971374E-2</v>
      </c>
      <c r="O146" s="3">
        <f t="shared" si="70"/>
        <v>5.5060707858970347E-2</v>
      </c>
      <c r="P146" s="3">
        <f t="shared" si="70"/>
        <v>5.5060707858960049E-2</v>
      </c>
      <c r="Q146" s="3">
        <f t="shared" si="70"/>
        <v>5.506070785885709E-2</v>
      </c>
      <c r="R146" s="3">
        <f t="shared" si="70"/>
        <v>5.5060707857827434E-2</v>
      </c>
      <c r="S146" s="3">
        <f t="shared" si="70"/>
        <v>5.5060707847530886E-2</v>
      </c>
      <c r="T146" s="3">
        <f t="shared" si="70"/>
        <v>5.5060707744565437E-2</v>
      </c>
      <c r="U146" s="3">
        <f t="shared" si="70"/>
        <v>5.5060706714910965E-2</v>
      </c>
      <c r="V146" s="3">
        <f t="shared" si="70"/>
        <v>5.5060696418367305E-2</v>
      </c>
      <c r="W146" s="3">
        <f t="shared" si="70"/>
        <v>5.5060593453036627E-2</v>
      </c>
      <c r="X146" s="3">
        <f t="shared" si="70"/>
        <v>5.5059563810319942E-2</v>
      </c>
      <c r="Y146" s="3">
        <f t="shared" si="70"/>
        <v>5.504926844209105E-2</v>
      </c>
      <c r="Z146" s="3">
        <f t="shared" si="70"/>
        <v>5.4946420580371462E-2</v>
      </c>
      <c r="AA146" s="3">
        <f t="shared" ref="AA146" si="71">$C32*EXP(-AA$129/$A32/EXP(-$B$126))</f>
        <v>5.3928451166290504E-2</v>
      </c>
      <c r="AB146" s="3">
        <f t="shared" si="67"/>
        <v>4.4730459676781353E-2</v>
      </c>
      <c r="AC146" s="3">
        <f t="shared" si="67"/>
        <v>6.8937812630005526E-3</v>
      </c>
      <c r="AD146" s="3">
        <f t="shared" si="67"/>
        <v>5.2119336653555177E-11</v>
      </c>
      <c r="AE146" s="3">
        <f t="shared" si="67"/>
        <v>3.1798942894067831E-92</v>
      </c>
      <c r="AF146" s="3">
        <f t="shared" si="67"/>
        <v>0</v>
      </c>
    </row>
    <row r="147" spans="1:32" x14ac:dyDescent="0.25">
      <c r="B147" s="3">
        <f t="shared" ref="B147:Z147" si="72">$C33*EXP(-B$129/$A33/EXP(-$B$126))</f>
        <v>8.2774016803130748E-2</v>
      </c>
      <c r="C147" s="3">
        <f t="shared" si="72"/>
        <v>8.2774016803130748E-2</v>
      </c>
      <c r="D147" s="3">
        <f t="shared" si="72"/>
        <v>8.2774016803130748E-2</v>
      </c>
      <c r="E147" s="3">
        <f t="shared" si="72"/>
        <v>8.2774016803130748E-2</v>
      </c>
      <c r="F147" s="3">
        <f t="shared" si="72"/>
        <v>8.2774016803130748E-2</v>
      </c>
      <c r="G147" s="3">
        <f t="shared" si="72"/>
        <v>8.2774016803130748E-2</v>
      </c>
      <c r="H147" s="3">
        <f t="shared" si="72"/>
        <v>8.2774016803130748E-2</v>
      </c>
      <c r="I147" s="3">
        <f t="shared" si="72"/>
        <v>8.2774016803130748E-2</v>
      </c>
      <c r="J147" s="3">
        <f t="shared" si="72"/>
        <v>8.2774016803130748E-2</v>
      </c>
      <c r="K147" s="3">
        <f t="shared" si="72"/>
        <v>8.2774016803130748E-2</v>
      </c>
      <c r="L147" s="3">
        <f t="shared" si="72"/>
        <v>8.2774016803130748E-2</v>
      </c>
      <c r="M147" s="3">
        <f t="shared" si="72"/>
        <v>8.2774016803130748E-2</v>
      </c>
      <c r="N147" s="3">
        <f t="shared" si="72"/>
        <v>8.2774016803130734E-2</v>
      </c>
      <c r="O147" s="3">
        <f t="shared" si="72"/>
        <v>8.2774016803130596E-2</v>
      </c>
      <c r="P147" s="3">
        <f t="shared" si="72"/>
        <v>8.2774016803129194E-2</v>
      </c>
      <c r="Q147" s="3">
        <f t="shared" si="72"/>
        <v>8.2774016803115233E-2</v>
      </c>
      <c r="R147" s="3">
        <f t="shared" si="72"/>
        <v>8.2774016802975595E-2</v>
      </c>
      <c r="S147" s="3">
        <f t="shared" si="72"/>
        <v>8.2774016801579253E-2</v>
      </c>
      <c r="T147" s="3">
        <f t="shared" si="72"/>
        <v>8.2774016787615881E-2</v>
      </c>
      <c r="U147" s="3">
        <f t="shared" si="72"/>
        <v>8.277401664798216E-2</v>
      </c>
      <c r="V147" s="3">
        <f t="shared" si="72"/>
        <v>8.277401525164485E-2</v>
      </c>
      <c r="W147" s="3">
        <f t="shared" si="72"/>
        <v>8.2774001288273072E-2</v>
      </c>
      <c r="X147" s="3">
        <f t="shared" si="72"/>
        <v>8.2773861654684769E-2</v>
      </c>
      <c r="Y147" s="3">
        <f t="shared" si="72"/>
        <v>8.2772465331757125E-2</v>
      </c>
      <c r="Z147" s="3">
        <f t="shared" si="72"/>
        <v>8.2758503397926467E-2</v>
      </c>
      <c r="AA147" s="3">
        <f t="shared" ref="AA147" si="73">$C33*EXP(-AA$129/$A33/EXP(-$B$126))</f>
        <v>8.2619013523375001E-2</v>
      </c>
      <c r="AB147" s="3">
        <f t="shared" si="67"/>
        <v>8.1236980710222173E-2</v>
      </c>
      <c r="AC147" s="3">
        <f t="shared" si="67"/>
        <v>6.862643846270268E-2</v>
      </c>
      <c r="AD147" s="3">
        <f t="shared" si="67"/>
        <v>1.2701889467775609E-2</v>
      </c>
      <c r="AE147" s="3">
        <f t="shared" si="67"/>
        <v>5.9928997655450139E-10</v>
      </c>
      <c r="AF147" s="3">
        <f t="shared" si="67"/>
        <v>3.2758489012459058E-83</v>
      </c>
    </row>
    <row r="148" spans="1:32" x14ac:dyDescent="0.25">
      <c r="B148" s="3">
        <f t="shared" ref="B148:Z148" si="74">$C34*EXP(-B$129/$A34/EXP(-$B$126))</f>
        <v>9.2826583311544017E-2</v>
      </c>
      <c r="C148" s="3">
        <f t="shared" si="74"/>
        <v>9.2826583311544017E-2</v>
      </c>
      <c r="D148" s="3">
        <f t="shared" si="74"/>
        <v>9.2826583311544017E-2</v>
      </c>
      <c r="E148" s="3">
        <f t="shared" si="74"/>
        <v>9.2826583311544017E-2</v>
      </c>
      <c r="F148" s="3">
        <f t="shared" si="74"/>
        <v>9.2826583311544017E-2</v>
      </c>
      <c r="G148" s="3">
        <f t="shared" si="74"/>
        <v>9.2826583311544017E-2</v>
      </c>
      <c r="H148" s="3">
        <f t="shared" si="74"/>
        <v>9.2826583311544017E-2</v>
      </c>
      <c r="I148" s="3">
        <f t="shared" si="74"/>
        <v>9.2826583311544017E-2</v>
      </c>
      <c r="J148" s="3">
        <f t="shared" si="74"/>
        <v>9.2826583311544017E-2</v>
      </c>
      <c r="K148" s="3">
        <f t="shared" si="74"/>
        <v>9.2826583311544017E-2</v>
      </c>
      <c r="L148" s="3">
        <f t="shared" si="74"/>
        <v>9.2826583311544017E-2</v>
      </c>
      <c r="M148" s="3">
        <f t="shared" si="74"/>
        <v>9.2826583311544017E-2</v>
      </c>
      <c r="N148" s="3">
        <f t="shared" si="74"/>
        <v>9.2826583311544017E-2</v>
      </c>
      <c r="O148" s="3">
        <f t="shared" si="74"/>
        <v>9.2826583311544003E-2</v>
      </c>
      <c r="P148" s="3">
        <f t="shared" si="74"/>
        <v>9.2826583311543864E-2</v>
      </c>
      <c r="Q148" s="3">
        <f t="shared" si="74"/>
        <v>9.2826583311542449E-2</v>
      </c>
      <c r="R148" s="3">
        <f t="shared" si="74"/>
        <v>9.2826583311528321E-2</v>
      </c>
      <c r="S148" s="3">
        <f t="shared" si="74"/>
        <v>9.2826583311387059E-2</v>
      </c>
      <c r="T148" s="3">
        <f t="shared" si="74"/>
        <v>9.2826583309974467E-2</v>
      </c>
      <c r="U148" s="3">
        <f t="shared" si="74"/>
        <v>9.28265832958486E-2</v>
      </c>
      <c r="V148" s="3">
        <f t="shared" si="74"/>
        <v>9.2826583154589873E-2</v>
      </c>
      <c r="W148" s="3">
        <f t="shared" si="74"/>
        <v>9.2826581742002687E-2</v>
      </c>
      <c r="X148" s="3">
        <f t="shared" si="74"/>
        <v>9.2826567616131825E-2</v>
      </c>
      <c r="Y148" s="3">
        <f t="shared" si="74"/>
        <v>9.2826426357541444E-2</v>
      </c>
      <c r="Z148" s="3">
        <f t="shared" si="74"/>
        <v>9.2825013783460419E-2</v>
      </c>
      <c r="AA148" s="3">
        <f>$C34*EXP(-AA$129/$A34/EXP(-$B$126))</f>
        <v>9.2810889224857751E-2</v>
      </c>
      <c r="AB148" s="3">
        <f t="shared" si="67"/>
        <v>9.2669761793041011E-2</v>
      </c>
      <c r="AC148" s="3">
        <f t="shared" si="67"/>
        <v>9.1270236639435842E-2</v>
      </c>
      <c r="AD148" s="3">
        <f t="shared" si="67"/>
        <v>7.8386355940170391E-2</v>
      </c>
      <c r="AE148" s="3">
        <f t="shared" si="67"/>
        <v>1.7114076235119319E-2</v>
      </c>
      <c r="AF148" s="3">
        <f t="shared" si="67"/>
        <v>4.2119512135225676E-9</v>
      </c>
    </row>
    <row r="149" spans="1:32" x14ac:dyDescent="0.25">
      <c r="B149" s="3">
        <f t="shared" ref="B149:Z149" si="75">$C35*EXP(-B$129/$A35/EXP(-$B$126))</f>
        <v>0.10795546608785625</v>
      </c>
      <c r="C149" s="3">
        <f t="shared" si="75"/>
        <v>0.10795546608785625</v>
      </c>
      <c r="D149" s="3">
        <f t="shared" si="75"/>
        <v>0.10795546608785625</v>
      </c>
      <c r="E149" s="3">
        <f t="shared" si="75"/>
        <v>0.10795546608785625</v>
      </c>
      <c r="F149" s="3">
        <f t="shared" si="75"/>
        <v>0.10795546608785625</v>
      </c>
      <c r="G149" s="3">
        <f t="shared" si="75"/>
        <v>0.10795546608785625</v>
      </c>
      <c r="H149" s="3">
        <f t="shared" si="75"/>
        <v>0.10795546608785625</v>
      </c>
      <c r="I149" s="3">
        <f t="shared" si="75"/>
        <v>0.10795546608785625</v>
      </c>
      <c r="J149" s="3">
        <f t="shared" si="75"/>
        <v>0.10795546608785625</v>
      </c>
      <c r="K149" s="3">
        <f t="shared" si="75"/>
        <v>0.10795546608785625</v>
      </c>
      <c r="L149" s="3">
        <f t="shared" si="75"/>
        <v>0.10795546608785625</v>
      </c>
      <c r="M149" s="3">
        <f t="shared" si="75"/>
        <v>0.10795546608785625</v>
      </c>
      <c r="N149" s="3">
        <f t="shared" si="75"/>
        <v>0.10795546608785625</v>
      </c>
      <c r="O149" s="3">
        <f t="shared" si="75"/>
        <v>0.10795546608785625</v>
      </c>
      <c r="P149" s="3">
        <f t="shared" si="75"/>
        <v>0.10795546608785624</v>
      </c>
      <c r="Q149" s="3">
        <f t="shared" si="75"/>
        <v>0.10795546608785608</v>
      </c>
      <c r="R149" s="3">
        <f t="shared" si="75"/>
        <v>0.10795546608785461</v>
      </c>
      <c r="S149" s="3">
        <f t="shared" si="75"/>
        <v>0.10795546608783978</v>
      </c>
      <c r="T149" s="3">
        <f t="shared" si="75"/>
        <v>0.10795546608769159</v>
      </c>
      <c r="U149" s="3">
        <f t="shared" si="75"/>
        <v>0.10795546608620964</v>
      </c>
      <c r="V149" s="3">
        <f t="shared" si="75"/>
        <v>0.10795546607139012</v>
      </c>
      <c r="W149" s="3">
        <f t="shared" si="75"/>
        <v>0.10795546592319492</v>
      </c>
      <c r="X149" s="3">
        <f t="shared" si="75"/>
        <v>0.10795546444124295</v>
      </c>
      <c r="Y149" s="3">
        <f t="shared" si="75"/>
        <v>0.10795544962172429</v>
      </c>
      <c r="Z149" s="3">
        <f t="shared" si="75"/>
        <v>0.10795530142664966</v>
      </c>
      <c r="AA149" s="3">
        <f t="shared" ref="AA149" si="76">$C35*EXP(-AA$129/$A35/EXP(-$B$126))</f>
        <v>0.10795381948709226</v>
      </c>
      <c r="AB149" s="3">
        <f t="shared" si="67"/>
        <v>0.10793900121034225</v>
      </c>
      <c r="AC149" s="3">
        <f t="shared" si="67"/>
        <v>0.10779093026844598</v>
      </c>
      <c r="AD149" s="3">
        <f t="shared" si="67"/>
        <v>0.10632134681989874</v>
      </c>
      <c r="AE149" s="3">
        <f t="shared" si="67"/>
        <v>9.2683614621444602E-2</v>
      </c>
      <c r="AF149" s="3">
        <f t="shared" si="67"/>
        <v>2.3487018859511197E-2</v>
      </c>
    </row>
    <row r="150" spans="1:32" x14ac:dyDescent="0.25">
      <c r="B150" s="3">
        <f t="shared" ref="B150:Z150" si="77">$C36*EXP(-B$129/$A36/EXP(-$B$126))</f>
        <v>0.11222824358997255</v>
      </c>
      <c r="C150" s="3">
        <f t="shared" si="77"/>
        <v>0.11222824358997255</v>
      </c>
      <c r="D150" s="3">
        <f t="shared" si="77"/>
        <v>0.11222824358997255</v>
      </c>
      <c r="E150" s="3">
        <f t="shared" si="77"/>
        <v>0.11222824358997255</v>
      </c>
      <c r="F150" s="3">
        <f t="shared" si="77"/>
        <v>0.11222824358997255</v>
      </c>
      <c r="G150" s="3">
        <f t="shared" si="77"/>
        <v>0.11222824358997255</v>
      </c>
      <c r="H150" s="3">
        <f t="shared" si="77"/>
        <v>0.11222824358997255</v>
      </c>
      <c r="I150" s="3">
        <f t="shared" si="77"/>
        <v>0.11222824358997255</v>
      </c>
      <c r="J150" s="3">
        <f t="shared" si="77"/>
        <v>0.11222824358997255</v>
      </c>
      <c r="K150" s="3">
        <f t="shared" si="77"/>
        <v>0.11222824358997255</v>
      </c>
      <c r="L150" s="3">
        <f t="shared" si="77"/>
        <v>0.11222824358997255</v>
      </c>
      <c r="M150" s="3">
        <f t="shared" si="77"/>
        <v>0.11222824358997255</v>
      </c>
      <c r="N150" s="3">
        <f t="shared" si="77"/>
        <v>0.11222824358997255</v>
      </c>
      <c r="O150" s="3">
        <f t="shared" si="77"/>
        <v>0.11222824358997255</v>
      </c>
      <c r="P150" s="3">
        <f t="shared" si="77"/>
        <v>0.11222824358997255</v>
      </c>
      <c r="Q150" s="3">
        <f t="shared" si="77"/>
        <v>0.11222824358997253</v>
      </c>
      <c r="R150" s="3">
        <f t="shared" si="77"/>
        <v>0.1122282435899724</v>
      </c>
      <c r="S150" s="3">
        <f t="shared" si="77"/>
        <v>0.11222824358997101</v>
      </c>
      <c r="T150" s="3">
        <f t="shared" si="77"/>
        <v>0.11222824358995712</v>
      </c>
      <c r="U150" s="3">
        <f t="shared" si="77"/>
        <v>0.11222824358981813</v>
      </c>
      <c r="V150" s="3">
        <f t="shared" si="77"/>
        <v>0.11222824358842838</v>
      </c>
      <c r="W150" s="3">
        <f t="shared" si="77"/>
        <v>0.11222824357453082</v>
      </c>
      <c r="X150" s="3">
        <f t="shared" si="77"/>
        <v>0.11222824343555532</v>
      </c>
      <c r="Y150" s="3">
        <f t="shared" si="77"/>
        <v>0.1122282420458003</v>
      </c>
      <c r="Z150" s="3">
        <f t="shared" si="77"/>
        <v>0.11222822814825106</v>
      </c>
      <c r="AA150" s="3">
        <f t="shared" ref="AA150" si="78">$C36*EXP(-AA$129/$A36/EXP(-$B$126))</f>
        <v>0.11222808917285329</v>
      </c>
      <c r="AB150" s="3">
        <f t="shared" si="67"/>
        <v>0.11222669942834097</v>
      </c>
      <c r="AC150" s="3">
        <f t="shared" si="67"/>
        <v>0.11221280292970529</v>
      </c>
      <c r="AD150" s="3">
        <f t="shared" si="67"/>
        <v>0.11207393254875518</v>
      </c>
      <c r="AE150" s="3">
        <f t="shared" si="67"/>
        <v>0.11069464607666385</v>
      </c>
      <c r="AF150" s="3">
        <f t="shared" si="67"/>
        <v>9.7801758902301056E-2</v>
      </c>
    </row>
    <row r="151" spans="1:32" x14ac:dyDescent="0.25">
      <c r="B151" s="3">
        <f t="shared" ref="B151:Z151" si="79">$C37*EXP(-B$129/$A37/EXP(-$B$126))</f>
        <v>8.9690702482137605E-2</v>
      </c>
      <c r="C151" s="3">
        <f t="shared" si="79"/>
        <v>8.9690702482137605E-2</v>
      </c>
      <c r="D151" s="3">
        <f t="shared" si="79"/>
        <v>8.9690702482137605E-2</v>
      </c>
      <c r="E151" s="3">
        <f t="shared" si="79"/>
        <v>8.9690702482137605E-2</v>
      </c>
      <c r="F151" s="3">
        <f t="shared" si="79"/>
        <v>8.9690702482137605E-2</v>
      </c>
      <c r="G151" s="3">
        <f t="shared" si="79"/>
        <v>8.9690702482137605E-2</v>
      </c>
      <c r="H151" s="3">
        <f t="shared" si="79"/>
        <v>8.9690702482137605E-2</v>
      </c>
      <c r="I151" s="3">
        <f t="shared" si="79"/>
        <v>8.9690702482137605E-2</v>
      </c>
      <c r="J151" s="3">
        <f t="shared" si="79"/>
        <v>8.9690702482137605E-2</v>
      </c>
      <c r="K151" s="3">
        <f t="shared" si="79"/>
        <v>8.9690702482137605E-2</v>
      </c>
      <c r="L151" s="3">
        <f t="shared" si="79"/>
        <v>8.9690702482137605E-2</v>
      </c>
      <c r="M151" s="3">
        <f t="shared" si="79"/>
        <v>8.9690702482137605E-2</v>
      </c>
      <c r="N151" s="3">
        <f t="shared" si="79"/>
        <v>8.9690702482137605E-2</v>
      </c>
      <c r="O151" s="3">
        <f t="shared" si="79"/>
        <v>8.9690702482137605E-2</v>
      </c>
      <c r="P151" s="3">
        <f t="shared" si="79"/>
        <v>8.9690702482137605E-2</v>
      </c>
      <c r="Q151" s="3">
        <f t="shared" si="79"/>
        <v>8.9690702482137605E-2</v>
      </c>
      <c r="R151" s="3">
        <f t="shared" si="79"/>
        <v>8.9690702482137591E-2</v>
      </c>
      <c r="S151" s="3">
        <f t="shared" si="79"/>
        <v>8.9690702482137494E-2</v>
      </c>
      <c r="T151" s="3">
        <f t="shared" si="79"/>
        <v>8.9690702482136495E-2</v>
      </c>
      <c r="U151" s="3">
        <f t="shared" si="79"/>
        <v>8.9690702482126475E-2</v>
      </c>
      <c r="V151" s="3">
        <f t="shared" si="79"/>
        <v>8.9690702482026277E-2</v>
      </c>
      <c r="W151" s="3">
        <f t="shared" si="79"/>
        <v>8.969070248102437E-2</v>
      </c>
      <c r="X151" s="3">
        <f t="shared" si="79"/>
        <v>8.9690702471005246E-2</v>
      </c>
      <c r="Y151" s="3">
        <f t="shared" si="79"/>
        <v>8.9690702370813905E-2</v>
      </c>
      <c r="Z151" s="3">
        <f t="shared" si="79"/>
        <v>8.9690701368900713E-2</v>
      </c>
      <c r="AA151" s="3">
        <f t="shared" ref="AA151" si="80">$C37*EXP(-AA$129/$A37/EXP(-$B$126))</f>
        <v>8.9690691349769244E-2</v>
      </c>
      <c r="AB151" s="3">
        <f t="shared" si="67"/>
        <v>8.9690591158516186E-2</v>
      </c>
      <c r="AC151" s="3">
        <f t="shared" si="67"/>
        <v>8.9689589252141155E-2</v>
      </c>
      <c r="AD151" s="3">
        <f t="shared" si="67"/>
        <v>8.9679570803929909E-2</v>
      </c>
      <c r="AE151" s="3">
        <f t="shared" si="67"/>
        <v>8.957944785027723E-2</v>
      </c>
      <c r="AF151" s="3">
        <f t="shared" si="67"/>
        <v>8.8584345804714679E-2</v>
      </c>
    </row>
    <row r="152" spans="1:32" x14ac:dyDescent="0.25">
      <c r="B152" s="3">
        <f t="shared" ref="B152:Z152" si="81">$C38*EXP(-B$129/$A38/EXP(-$B$126))</f>
        <v>3.260199419264094E-2</v>
      </c>
      <c r="C152" s="3">
        <f t="shared" si="81"/>
        <v>3.260199419264094E-2</v>
      </c>
      <c r="D152" s="3">
        <f t="shared" si="81"/>
        <v>3.260199419264094E-2</v>
      </c>
      <c r="E152" s="3">
        <f t="shared" si="81"/>
        <v>3.260199419264094E-2</v>
      </c>
      <c r="F152" s="3">
        <f t="shared" si="81"/>
        <v>3.260199419264094E-2</v>
      </c>
      <c r="G152" s="3">
        <f t="shared" si="81"/>
        <v>3.260199419264094E-2</v>
      </c>
      <c r="H152" s="3">
        <f t="shared" si="81"/>
        <v>3.260199419264094E-2</v>
      </c>
      <c r="I152" s="3">
        <f t="shared" si="81"/>
        <v>3.260199419264094E-2</v>
      </c>
      <c r="J152" s="3">
        <f t="shared" si="81"/>
        <v>3.260199419264094E-2</v>
      </c>
      <c r="K152" s="3">
        <f t="shared" si="81"/>
        <v>3.260199419264094E-2</v>
      </c>
      <c r="L152" s="3">
        <f t="shared" si="81"/>
        <v>3.260199419264094E-2</v>
      </c>
      <c r="M152" s="3">
        <f t="shared" si="81"/>
        <v>3.260199419264094E-2</v>
      </c>
      <c r="N152" s="3">
        <f t="shared" si="81"/>
        <v>3.260199419264094E-2</v>
      </c>
      <c r="O152" s="3">
        <f t="shared" si="81"/>
        <v>3.260199419264094E-2</v>
      </c>
      <c r="P152" s="3">
        <f t="shared" si="81"/>
        <v>3.260199419264094E-2</v>
      </c>
      <c r="Q152" s="3">
        <f t="shared" si="81"/>
        <v>3.260199419264094E-2</v>
      </c>
      <c r="R152" s="3">
        <f t="shared" si="81"/>
        <v>3.260199419264094E-2</v>
      </c>
      <c r="S152" s="3">
        <f t="shared" si="81"/>
        <v>3.2601994192640933E-2</v>
      </c>
      <c r="T152" s="3">
        <f t="shared" si="81"/>
        <v>3.2601994192640905E-2</v>
      </c>
      <c r="U152" s="3">
        <f t="shared" si="81"/>
        <v>3.2601994192640572E-2</v>
      </c>
      <c r="V152" s="3">
        <f t="shared" si="81"/>
        <v>3.260199419263729E-2</v>
      </c>
      <c r="W152" s="3">
        <f t="shared" si="81"/>
        <v>3.2601994192604435E-2</v>
      </c>
      <c r="X152" s="3">
        <f t="shared" si="81"/>
        <v>3.2601994192275906E-2</v>
      </c>
      <c r="Y152" s="3">
        <f t="shared" si="81"/>
        <v>3.2601994188990624E-2</v>
      </c>
      <c r="Z152" s="3">
        <f t="shared" si="81"/>
        <v>3.2601994156137737E-2</v>
      </c>
      <c r="AA152" s="3">
        <f t="shared" ref="AA152" si="82">$C38*EXP(-AA$129/$A38/EXP(-$B$126))</f>
        <v>3.2601993827608956E-2</v>
      </c>
      <c r="AB152" s="3">
        <f t="shared" si="67"/>
        <v>3.2601990542321241E-2</v>
      </c>
      <c r="AC152" s="3">
        <f t="shared" si="67"/>
        <v>3.2601957689462342E-2</v>
      </c>
      <c r="AD152" s="3">
        <f t="shared" si="67"/>
        <v>3.2601629162694185E-2</v>
      </c>
      <c r="AE152" s="3">
        <f t="shared" si="67"/>
        <v>3.2598344077086332E-2</v>
      </c>
      <c r="AF152" s="3">
        <f t="shared" si="67"/>
        <v>3.2565511421598893E-2</v>
      </c>
    </row>
    <row r="153" spans="1:32" x14ac:dyDescent="0.25">
      <c r="B153" s="3">
        <f t="shared" ref="B153:Z153" si="83">$C39*EXP(-B$129/$A39/EXP(-$B$126))</f>
        <v>3.3353536546241076E-2</v>
      </c>
      <c r="C153" s="3">
        <f t="shared" si="83"/>
        <v>3.3353536546241076E-2</v>
      </c>
      <c r="D153" s="3">
        <f t="shared" si="83"/>
        <v>3.3353536546241076E-2</v>
      </c>
      <c r="E153" s="3">
        <f t="shared" si="83"/>
        <v>3.3353536546241076E-2</v>
      </c>
      <c r="F153" s="3">
        <f t="shared" si="83"/>
        <v>3.3353536546241076E-2</v>
      </c>
      <c r="G153" s="3">
        <f t="shared" si="83"/>
        <v>3.3353536546241076E-2</v>
      </c>
      <c r="H153" s="3">
        <f t="shared" si="83"/>
        <v>3.3353536546241076E-2</v>
      </c>
      <c r="I153" s="3">
        <f t="shared" si="83"/>
        <v>3.3353536546241076E-2</v>
      </c>
      <c r="J153" s="3">
        <f t="shared" si="83"/>
        <v>3.3353536546241076E-2</v>
      </c>
      <c r="K153" s="3">
        <f t="shared" si="83"/>
        <v>3.3353536546241076E-2</v>
      </c>
      <c r="L153" s="3">
        <f t="shared" si="83"/>
        <v>3.3353536546241076E-2</v>
      </c>
      <c r="M153" s="3">
        <f t="shared" si="83"/>
        <v>3.3353536546241076E-2</v>
      </c>
      <c r="N153" s="3">
        <f t="shared" si="83"/>
        <v>3.3353536546241076E-2</v>
      </c>
      <c r="O153" s="3">
        <f t="shared" si="83"/>
        <v>3.3353536546241076E-2</v>
      </c>
      <c r="P153" s="3">
        <f t="shared" si="83"/>
        <v>3.3353536546241076E-2</v>
      </c>
      <c r="Q153" s="3">
        <f t="shared" si="83"/>
        <v>3.3353536546241076E-2</v>
      </c>
      <c r="R153" s="3">
        <f t="shared" si="83"/>
        <v>3.3353536546241076E-2</v>
      </c>
      <c r="S153" s="3">
        <f t="shared" si="83"/>
        <v>3.3353536546241076E-2</v>
      </c>
      <c r="T153" s="3">
        <f t="shared" si="83"/>
        <v>3.3353536546241062E-2</v>
      </c>
      <c r="U153" s="3">
        <f t="shared" si="83"/>
        <v>3.3353536546240972E-2</v>
      </c>
      <c r="V153" s="3">
        <f t="shared" si="83"/>
        <v>3.3353536546240042E-2</v>
      </c>
      <c r="W153" s="3">
        <f t="shared" si="83"/>
        <v>3.3353536546230751E-2</v>
      </c>
      <c r="X153" s="3">
        <f t="shared" si="83"/>
        <v>3.3353536546137791E-2</v>
      </c>
      <c r="Y153" s="3">
        <f t="shared" si="83"/>
        <v>3.3353536545208215E-2</v>
      </c>
      <c r="Z153" s="3">
        <f t="shared" si="83"/>
        <v>3.335353653591247E-2</v>
      </c>
      <c r="AA153" s="3">
        <f t="shared" ref="AA153" si="84">$C39*EXP(-AA$129/$A39/EXP(-$B$126))</f>
        <v>3.3353536442955065E-2</v>
      </c>
      <c r="AB153" s="3">
        <f t="shared" si="67"/>
        <v>3.3353535513380966E-2</v>
      </c>
      <c r="AC153" s="3">
        <f t="shared" si="67"/>
        <v>3.3353526217641399E-2</v>
      </c>
      <c r="AD153" s="3">
        <f t="shared" si="67"/>
        <v>3.3353433260388241E-2</v>
      </c>
      <c r="AE153" s="3">
        <f t="shared" si="67"/>
        <v>3.3352503702105615E-2</v>
      </c>
      <c r="AF153" s="3">
        <f t="shared" si="67"/>
        <v>3.3343209544030757E-2</v>
      </c>
    </row>
    <row r="154" spans="1:32" x14ac:dyDescent="0.25">
      <c r="B154" s="3">
        <f t="shared" ref="B154:Z154" si="85">$C40*EXP(-B$129/$A40/EXP(-$B$126))</f>
        <v>1.7436587013509221E-2</v>
      </c>
      <c r="C154" s="3">
        <f t="shared" si="85"/>
        <v>1.7436587013509221E-2</v>
      </c>
      <c r="D154" s="3">
        <f t="shared" si="85"/>
        <v>1.7436587013509221E-2</v>
      </c>
      <c r="E154" s="3">
        <f t="shared" si="85"/>
        <v>1.7436587013509221E-2</v>
      </c>
      <c r="F154" s="3">
        <f t="shared" si="85"/>
        <v>1.7436587013509221E-2</v>
      </c>
      <c r="G154" s="3">
        <f t="shared" si="85"/>
        <v>1.7436587013509221E-2</v>
      </c>
      <c r="H154" s="3">
        <f t="shared" si="85"/>
        <v>1.7436587013509221E-2</v>
      </c>
      <c r="I154" s="3">
        <f t="shared" si="85"/>
        <v>1.7436587013509221E-2</v>
      </c>
      <c r="J154" s="3">
        <f t="shared" si="85"/>
        <v>1.7436587013509221E-2</v>
      </c>
      <c r="K154" s="3">
        <f t="shared" si="85"/>
        <v>1.7436587013509221E-2</v>
      </c>
      <c r="L154" s="3">
        <f t="shared" si="85"/>
        <v>1.7436587013509221E-2</v>
      </c>
      <c r="M154" s="3">
        <f t="shared" si="85"/>
        <v>1.7436587013509221E-2</v>
      </c>
      <c r="N154" s="3">
        <f t="shared" si="85"/>
        <v>1.7436587013509221E-2</v>
      </c>
      <c r="O154" s="3">
        <f t="shared" si="85"/>
        <v>1.7436587013509221E-2</v>
      </c>
      <c r="P154" s="3">
        <f t="shared" si="85"/>
        <v>1.7436587013509221E-2</v>
      </c>
      <c r="Q154" s="3">
        <f t="shared" si="85"/>
        <v>1.7436587013509221E-2</v>
      </c>
      <c r="R154" s="3">
        <f t="shared" si="85"/>
        <v>1.7436587013509221E-2</v>
      </c>
      <c r="S154" s="3">
        <f t="shared" si="85"/>
        <v>1.7436587013509221E-2</v>
      </c>
      <c r="T154" s="3">
        <f t="shared" si="85"/>
        <v>1.7436587013509221E-2</v>
      </c>
      <c r="U154" s="3">
        <f t="shared" si="85"/>
        <v>1.7436587013509214E-2</v>
      </c>
      <c r="V154" s="3">
        <f t="shared" si="85"/>
        <v>1.7436587013509166E-2</v>
      </c>
      <c r="W154" s="3">
        <f t="shared" si="85"/>
        <v>1.743658701350868E-2</v>
      </c>
      <c r="X154" s="3">
        <f t="shared" si="85"/>
        <v>1.7436587013503823E-2</v>
      </c>
      <c r="Y154" s="3">
        <f t="shared" si="85"/>
        <v>1.7436587013455226E-2</v>
      </c>
      <c r="Z154" s="3">
        <f t="shared" si="85"/>
        <v>1.7436587012969261E-2</v>
      </c>
      <c r="AA154" s="3">
        <f t="shared" ref="AA154:AF154" si="86">$C40*EXP(-AA$129/$A40/EXP(-$B$126))</f>
        <v>1.7436587008109627E-2</v>
      </c>
      <c r="AB154" s="3">
        <f t="shared" si="86"/>
        <v>1.7436586959513282E-2</v>
      </c>
      <c r="AC154" s="3">
        <f t="shared" si="86"/>
        <v>1.7436586473549832E-2</v>
      </c>
      <c r="AD154" s="3">
        <f t="shared" si="86"/>
        <v>1.7436581613916084E-2</v>
      </c>
      <c r="AE154" s="3">
        <f t="shared" si="86"/>
        <v>1.7436533017653105E-2</v>
      </c>
      <c r="AF154" s="3">
        <f t="shared" si="86"/>
        <v>1.7436047062472412E-2</v>
      </c>
    </row>
    <row r="155" spans="1:32" x14ac:dyDescent="0.25">
      <c r="B155" s="3">
        <f t="shared" ref="B155:Z155" si="87">$C41*EXP(-B$129/$A41/EXP(-$B$126))</f>
        <v>4.7217849635186409E-4</v>
      </c>
      <c r="C155" s="3">
        <f t="shared" si="87"/>
        <v>4.7217849635186409E-4</v>
      </c>
      <c r="D155" s="3">
        <f t="shared" si="87"/>
        <v>4.7217849635186409E-4</v>
      </c>
      <c r="E155" s="3">
        <f t="shared" si="87"/>
        <v>4.7217849635186409E-4</v>
      </c>
      <c r="F155" s="3">
        <f t="shared" si="87"/>
        <v>4.7217849635186409E-4</v>
      </c>
      <c r="G155" s="3">
        <f t="shared" si="87"/>
        <v>4.7217849635186409E-4</v>
      </c>
      <c r="H155" s="3">
        <f t="shared" si="87"/>
        <v>4.7217849635186409E-4</v>
      </c>
      <c r="I155" s="3">
        <f t="shared" si="87"/>
        <v>4.7217849635186409E-4</v>
      </c>
      <c r="J155" s="3">
        <f t="shared" si="87"/>
        <v>4.7217849635186409E-4</v>
      </c>
      <c r="K155" s="3">
        <f t="shared" si="87"/>
        <v>4.7217849635186409E-4</v>
      </c>
      <c r="L155" s="3">
        <f t="shared" si="87"/>
        <v>4.7217849635186409E-4</v>
      </c>
      <c r="M155" s="3">
        <f t="shared" si="87"/>
        <v>4.7217849635186409E-4</v>
      </c>
      <c r="N155" s="3">
        <f t="shared" si="87"/>
        <v>4.7217849635186409E-4</v>
      </c>
      <c r="O155" s="3">
        <f t="shared" si="87"/>
        <v>4.7217849635186409E-4</v>
      </c>
      <c r="P155" s="3">
        <f t="shared" si="87"/>
        <v>4.7217849635186409E-4</v>
      </c>
      <c r="Q155" s="3">
        <f t="shared" si="87"/>
        <v>4.7217849635186409E-4</v>
      </c>
      <c r="R155" s="3">
        <f t="shared" si="87"/>
        <v>4.7217849635186409E-4</v>
      </c>
      <c r="S155" s="3">
        <f t="shared" si="87"/>
        <v>4.7217849635186409E-4</v>
      </c>
      <c r="T155" s="3">
        <f t="shared" si="87"/>
        <v>4.7217849635186409E-4</v>
      </c>
      <c r="U155" s="3">
        <f t="shared" si="87"/>
        <v>4.7217849635186409E-4</v>
      </c>
      <c r="V155" s="3">
        <f t="shared" si="87"/>
        <v>4.7217849635186393E-4</v>
      </c>
      <c r="W155" s="3">
        <f t="shared" si="87"/>
        <v>4.7217849635186262E-4</v>
      </c>
      <c r="X155" s="3">
        <f t="shared" si="87"/>
        <v>4.7217849635184945E-4</v>
      </c>
      <c r="Y155" s="3">
        <f t="shared" si="87"/>
        <v>4.7217849635171788E-4</v>
      </c>
      <c r="Z155" s="3">
        <f t="shared" si="87"/>
        <v>4.7217849635040188E-4</v>
      </c>
      <c r="AA155" s="3">
        <f t="shared" ref="AA155:AF155" si="88">$C41*EXP(-AA$129/$A41/EXP(-$B$126))</f>
        <v>4.7217849633724216E-4</v>
      </c>
      <c r="AB155" s="3">
        <f t="shared" si="88"/>
        <v>4.7217849620564441E-4</v>
      </c>
      <c r="AC155" s="3">
        <f t="shared" si="88"/>
        <v>4.721784948896673E-4</v>
      </c>
      <c r="AD155" s="3">
        <f t="shared" si="88"/>
        <v>4.7217848172989633E-4</v>
      </c>
      <c r="AE155" s="3">
        <f t="shared" si="88"/>
        <v>4.7217835013220732E-4</v>
      </c>
      <c r="AF155" s="3">
        <f t="shared" si="88"/>
        <v>4.721770341573343E-4</v>
      </c>
    </row>
    <row r="156" spans="1:32" x14ac:dyDescent="0.25">
      <c r="B156" s="3">
        <f t="shared" ref="B156:Z156" si="89">$C42*EXP(-B$129/$A42/EXP(-$B$126))</f>
        <v>3.9532606595692786E-3</v>
      </c>
      <c r="C156" s="3">
        <f t="shared" si="89"/>
        <v>3.9532606595692786E-3</v>
      </c>
      <c r="D156" s="3">
        <f t="shared" si="89"/>
        <v>3.9532606595692786E-3</v>
      </c>
      <c r="E156" s="3">
        <f t="shared" si="89"/>
        <v>3.9532606595692786E-3</v>
      </c>
      <c r="F156" s="3">
        <f t="shared" si="89"/>
        <v>3.9532606595692786E-3</v>
      </c>
      <c r="G156" s="3">
        <f t="shared" si="89"/>
        <v>3.9532606595692786E-3</v>
      </c>
      <c r="H156" s="3">
        <f t="shared" si="89"/>
        <v>3.9532606595692786E-3</v>
      </c>
      <c r="I156" s="3">
        <f t="shared" si="89"/>
        <v>3.9532606595692786E-3</v>
      </c>
      <c r="J156" s="3">
        <f t="shared" si="89"/>
        <v>3.9532606595692786E-3</v>
      </c>
      <c r="K156" s="3">
        <f t="shared" si="89"/>
        <v>3.9532606595692786E-3</v>
      </c>
      <c r="L156" s="3">
        <f t="shared" si="89"/>
        <v>3.9532606595692786E-3</v>
      </c>
      <c r="M156" s="3">
        <f t="shared" si="89"/>
        <v>3.9532606595692786E-3</v>
      </c>
      <c r="N156" s="3">
        <f t="shared" si="89"/>
        <v>3.9532606595692786E-3</v>
      </c>
      <c r="O156" s="3">
        <f t="shared" si="89"/>
        <v>3.9532606595692786E-3</v>
      </c>
      <c r="P156" s="3">
        <f t="shared" si="89"/>
        <v>3.9532606595692786E-3</v>
      </c>
      <c r="Q156" s="3">
        <f t="shared" si="89"/>
        <v>3.9532606595692786E-3</v>
      </c>
      <c r="R156" s="3">
        <f t="shared" si="89"/>
        <v>3.9532606595692786E-3</v>
      </c>
      <c r="S156" s="3">
        <f t="shared" si="89"/>
        <v>3.9532606595692786E-3</v>
      </c>
      <c r="T156" s="3">
        <f t="shared" si="89"/>
        <v>3.9532606595692786E-3</v>
      </c>
      <c r="U156" s="3">
        <f t="shared" si="89"/>
        <v>3.9532606595692786E-3</v>
      </c>
      <c r="V156" s="3">
        <f t="shared" si="89"/>
        <v>3.9532606595692786E-3</v>
      </c>
      <c r="W156" s="3">
        <f t="shared" si="89"/>
        <v>3.9532606595692769E-3</v>
      </c>
      <c r="X156" s="3">
        <f t="shared" si="89"/>
        <v>3.9532606595692665E-3</v>
      </c>
      <c r="Y156" s="3">
        <f t="shared" si="89"/>
        <v>3.9532606595691563E-3</v>
      </c>
      <c r="Z156" s="3">
        <f t="shared" si="89"/>
        <v>3.9532606595680548E-3</v>
      </c>
      <c r="AA156" s="3">
        <f t="shared" ref="AA156:AF156" si="90">$C42*EXP(-AA$129/$A42/EXP(-$B$126))</f>
        <v>3.9532606595570367E-3</v>
      </c>
      <c r="AB156" s="3">
        <f t="shared" si="90"/>
        <v>3.9532606594468583E-3</v>
      </c>
      <c r="AC156" s="3">
        <f t="shared" si="90"/>
        <v>3.9532606583450704E-3</v>
      </c>
      <c r="AD156" s="3">
        <f t="shared" si="90"/>
        <v>3.9532606473272024E-3</v>
      </c>
      <c r="AE156" s="3">
        <f t="shared" si="90"/>
        <v>3.9532605371485202E-3</v>
      </c>
      <c r="AF156" s="3">
        <f t="shared" si="90"/>
        <v>3.9532594353618626E-3</v>
      </c>
    </row>
    <row r="157" spans="1:32" x14ac:dyDescent="0.25">
      <c r="B157" s="3">
        <f t="shared" ref="B157:Z157" si="91">$C43*EXP(-B$129/$A43/EXP(-$B$126))</f>
        <v>4.2057154474780992E-7</v>
      </c>
      <c r="C157" s="3">
        <f t="shared" si="91"/>
        <v>4.2057154474780992E-7</v>
      </c>
      <c r="D157" s="3">
        <f t="shared" si="91"/>
        <v>4.2057154474780992E-7</v>
      </c>
      <c r="E157" s="3">
        <f t="shared" si="91"/>
        <v>4.2057154474780992E-7</v>
      </c>
      <c r="F157" s="3">
        <f t="shared" si="91"/>
        <v>4.2057154474780992E-7</v>
      </c>
      <c r="G157" s="3">
        <f t="shared" si="91"/>
        <v>4.2057154474780992E-7</v>
      </c>
      <c r="H157" s="3">
        <f t="shared" si="91"/>
        <v>4.2057154474780992E-7</v>
      </c>
      <c r="I157" s="3">
        <f t="shared" si="91"/>
        <v>4.2057154474780992E-7</v>
      </c>
      <c r="J157" s="3">
        <f t="shared" si="91"/>
        <v>4.2057154474780992E-7</v>
      </c>
      <c r="K157" s="3">
        <f t="shared" si="91"/>
        <v>4.2057154474780992E-7</v>
      </c>
      <c r="L157" s="3">
        <f t="shared" si="91"/>
        <v>4.2057154474780992E-7</v>
      </c>
      <c r="M157" s="3">
        <f t="shared" si="91"/>
        <v>4.2057154474780992E-7</v>
      </c>
      <c r="N157" s="3">
        <f t="shared" si="91"/>
        <v>4.2057154474780992E-7</v>
      </c>
      <c r="O157" s="3">
        <f t="shared" si="91"/>
        <v>4.2057154474780992E-7</v>
      </c>
      <c r="P157" s="3">
        <f t="shared" si="91"/>
        <v>4.2057154474780992E-7</v>
      </c>
      <c r="Q157" s="3">
        <f t="shared" si="91"/>
        <v>4.2057154474780992E-7</v>
      </c>
      <c r="R157" s="3">
        <f t="shared" si="91"/>
        <v>4.2057154474780992E-7</v>
      </c>
      <c r="S157" s="3">
        <f t="shared" si="91"/>
        <v>4.2057154474780992E-7</v>
      </c>
      <c r="T157" s="3">
        <f t="shared" si="91"/>
        <v>4.2057154474780992E-7</v>
      </c>
      <c r="U157" s="3">
        <f t="shared" si="91"/>
        <v>4.2057154474780992E-7</v>
      </c>
      <c r="V157" s="3">
        <f t="shared" si="91"/>
        <v>4.2057154474780992E-7</v>
      </c>
      <c r="W157" s="3">
        <f t="shared" si="91"/>
        <v>4.2057154474780992E-7</v>
      </c>
      <c r="X157" s="3">
        <f t="shared" si="91"/>
        <v>4.2057154474780976E-7</v>
      </c>
      <c r="Y157" s="3">
        <f t="shared" si="91"/>
        <v>4.205715447478086E-7</v>
      </c>
      <c r="Z157" s="3">
        <f t="shared" si="91"/>
        <v>4.205715447477969E-7</v>
      </c>
      <c r="AA157" s="3">
        <f t="shared" ref="AA157:AF157" si="92">$C43*EXP(-AA$129/$A43/EXP(-$B$126))</f>
        <v>4.2057154474767969E-7</v>
      </c>
      <c r="AB157" s="3">
        <f t="shared" si="92"/>
        <v>4.205715447465075E-7</v>
      </c>
      <c r="AC157" s="3">
        <f t="shared" si="92"/>
        <v>4.205715447347861E-7</v>
      </c>
      <c r="AD157" s="3">
        <f t="shared" si="92"/>
        <v>4.2057154461757135E-7</v>
      </c>
      <c r="AE157" s="3">
        <f t="shared" si="92"/>
        <v>4.2057154344542456E-7</v>
      </c>
      <c r="AF157" s="3">
        <f t="shared" si="92"/>
        <v>4.2057153172395642E-7</v>
      </c>
    </row>
    <row r="158" spans="1:32" x14ac:dyDescent="0.25">
      <c r="B158" s="3">
        <f t="shared" ref="B158:Z158" si="93">$C44*EXP(-B$129/$A44/EXP(-$B$126))</f>
        <v>1.8675724725031384E-5</v>
      </c>
      <c r="C158" s="3">
        <f t="shared" si="93"/>
        <v>1.8675724725031384E-5</v>
      </c>
      <c r="D158" s="3">
        <f t="shared" si="93"/>
        <v>1.8675724725031384E-5</v>
      </c>
      <c r="E158" s="3">
        <f t="shared" si="93"/>
        <v>1.8675724725031384E-5</v>
      </c>
      <c r="F158" s="3">
        <f t="shared" si="93"/>
        <v>1.8675724725031384E-5</v>
      </c>
      <c r="G158" s="3">
        <f t="shared" si="93"/>
        <v>1.8675724725031384E-5</v>
      </c>
      <c r="H158" s="3">
        <f t="shared" si="93"/>
        <v>1.8675724725031384E-5</v>
      </c>
      <c r="I158" s="3">
        <f t="shared" si="93"/>
        <v>1.8675724725031384E-5</v>
      </c>
      <c r="J158" s="3">
        <f t="shared" si="93"/>
        <v>1.8675724725031384E-5</v>
      </c>
      <c r="K158" s="3">
        <f t="shared" si="93"/>
        <v>1.8675724725031384E-5</v>
      </c>
      <c r="L158" s="3">
        <f t="shared" si="93"/>
        <v>1.8675724725031384E-5</v>
      </c>
      <c r="M158" s="3">
        <f t="shared" si="93"/>
        <v>1.8675724725031384E-5</v>
      </c>
      <c r="N158" s="3">
        <f t="shared" si="93"/>
        <v>1.8675724725031384E-5</v>
      </c>
      <c r="O158" s="3">
        <f t="shared" si="93"/>
        <v>1.8675724725031384E-5</v>
      </c>
      <c r="P158" s="3">
        <f t="shared" si="93"/>
        <v>1.8675724725031384E-5</v>
      </c>
      <c r="Q158" s="3">
        <f t="shared" si="93"/>
        <v>1.8675724725031384E-5</v>
      </c>
      <c r="R158" s="3">
        <f t="shared" si="93"/>
        <v>1.8675724725031384E-5</v>
      </c>
      <c r="S158" s="3">
        <f t="shared" si="93"/>
        <v>1.8675724725031384E-5</v>
      </c>
      <c r="T158" s="3">
        <f t="shared" si="93"/>
        <v>1.8675724725031384E-5</v>
      </c>
      <c r="U158" s="3">
        <f t="shared" si="93"/>
        <v>1.8675724725031384E-5</v>
      </c>
      <c r="V158" s="3">
        <f t="shared" si="93"/>
        <v>1.8675724725031384E-5</v>
      </c>
      <c r="W158" s="3">
        <f t="shared" si="93"/>
        <v>1.8675724725031384E-5</v>
      </c>
      <c r="X158" s="3">
        <f t="shared" si="93"/>
        <v>1.8675724725031384E-5</v>
      </c>
      <c r="Y158" s="3">
        <f t="shared" si="93"/>
        <v>1.8675724725031377E-5</v>
      </c>
      <c r="Z158" s="3">
        <f t="shared" si="93"/>
        <v>1.8675724725031326E-5</v>
      </c>
      <c r="AA158" s="3">
        <f t="shared" ref="AA158:AF158" si="94">$C44*EXP(-AA$129/$A44/EXP(-$B$126))</f>
        <v>1.8675724725030804E-5</v>
      </c>
      <c r="AB158" s="3">
        <f t="shared" si="94"/>
        <v>1.86757247250256E-5</v>
      </c>
      <c r="AC158" s="3">
        <f t="shared" si="94"/>
        <v>1.8675724724973548E-5</v>
      </c>
      <c r="AD158" s="3">
        <f t="shared" si="94"/>
        <v>1.8675724724453053E-5</v>
      </c>
      <c r="AE158" s="3">
        <f t="shared" si="94"/>
        <v>1.8675724719248063E-5</v>
      </c>
      <c r="AF158" s="3">
        <f t="shared" si="94"/>
        <v>1.8675724667198204E-5</v>
      </c>
    </row>
    <row r="159" spans="1:32" x14ac:dyDescent="0.25">
      <c r="A159" s="11" t="s">
        <v>75</v>
      </c>
      <c r="B159" s="3">
        <f t="shared" ref="B159:Z159" si="95">$C45*EXP(-B$129/$A45/EXP(-$B$126))</f>
        <v>6.5581020384023116E-8</v>
      </c>
      <c r="C159" s="3">
        <f t="shared" si="95"/>
        <v>6.5581020384023116E-8</v>
      </c>
      <c r="D159" s="3">
        <f t="shared" si="95"/>
        <v>6.5581020384023116E-8</v>
      </c>
      <c r="E159" s="3">
        <f t="shared" si="95"/>
        <v>6.5581020384023116E-8</v>
      </c>
      <c r="F159" s="3">
        <f t="shared" si="95"/>
        <v>6.5581020384023116E-8</v>
      </c>
      <c r="G159" s="3">
        <f t="shared" si="95"/>
        <v>6.5581020384023116E-8</v>
      </c>
      <c r="H159" s="3">
        <f t="shared" si="95"/>
        <v>6.5581020384023116E-8</v>
      </c>
      <c r="I159" s="3">
        <f t="shared" si="95"/>
        <v>6.5581020384023116E-8</v>
      </c>
      <c r="J159" s="3">
        <f t="shared" si="95"/>
        <v>6.5581020384023116E-8</v>
      </c>
      <c r="K159" s="3">
        <f t="shared" si="95"/>
        <v>6.5581020384023116E-8</v>
      </c>
      <c r="L159" s="3">
        <f t="shared" si="95"/>
        <v>6.5581020384023116E-8</v>
      </c>
      <c r="M159" s="3">
        <f t="shared" si="95"/>
        <v>6.5581020384023116E-8</v>
      </c>
      <c r="N159" s="3">
        <f t="shared" si="95"/>
        <v>6.5581020384023116E-8</v>
      </c>
      <c r="O159" s="3">
        <f t="shared" si="95"/>
        <v>6.5581020384023116E-8</v>
      </c>
      <c r="P159" s="3">
        <f t="shared" si="95"/>
        <v>6.5581020384023116E-8</v>
      </c>
      <c r="Q159" s="3">
        <f t="shared" si="95"/>
        <v>6.5581020384023116E-8</v>
      </c>
      <c r="R159" s="3">
        <f t="shared" si="95"/>
        <v>6.5581020384023116E-8</v>
      </c>
      <c r="S159" s="3">
        <f t="shared" si="95"/>
        <v>6.5581020384023116E-8</v>
      </c>
      <c r="T159" s="3">
        <f t="shared" si="95"/>
        <v>6.5581020384023116E-8</v>
      </c>
      <c r="U159" s="3">
        <f t="shared" si="95"/>
        <v>6.5581020384023116E-8</v>
      </c>
      <c r="V159" s="3">
        <f t="shared" si="95"/>
        <v>6.5581020384023116E-8</v>
      </c>
      <c r="W159" s="3">
        <f t="shared" si="95"/>
        <v>6.5581020384023116E-8</v>
      </c>
      <c r="X159" s="3">
        <f t="shared" si="95"/>
        <v>6.5581020384023116E-8</v>
      </c>
      <c r="Y159" s="3">
        <f t="shared" si="95"/>
        <v>6.5581020384023116E-8</v>
      </c>
      <c r="Z159" s="3">
        <f t="shared" si="95"/>
        <v>6.5581020384023089E-8</v>
      </c>
      <c r="AA159" s="3">
        <f t="shared" ref="AA159:AF159" si="96">$C45*EXP(-AA$129/$A45/EXP(-$B$126))</f>
        <v>6.5581020384022917E-8</v>
      </c>
      <c r="AB159" s="3">
        <f t="shared" si="96"/>
        <v>6.5581020384021091E-8</v>
      </c>
      <c r="AC159" s="3">
        <f t="shared" si="96"/>
        <v>6.5581020384002813E-8</v>
      </c>
      <c r="AD159" s="3">
        <f t="shared" si="96"/>
        <v>6.5581020383820026E-8</v>
      </c>
      <c r="AE159" s="3">
        <f t="shared" si="96"/>
        <v>6.5581020381992261E-8</v>
      </c>
      <c r="AF159" s="3">
        <f t="shared" si="96"/>
        <v>6.5581020363714614E-8</v>
      </c>
    </row>
    <row r="160" spans="1:32" x14ac:dyDescent="0.25">
      <c r="B160" s="3">
        <f t="shared" ref="B160:Z160" si="97">$C46*EXP(-B$129/$A46/EXP(-$B$126))</f>
        <v>7.3021852336235098E-8</v>
      </c>
      <c r="C160" s="3">
        <f t="shared" si="97"/>
        <v>7.3021852336235098E-8</v>
      </c>
      <c r="D160" s="3">
        <f t="shared" si="97"/>
        <v>7.3021852336235098E-8</v>
      </c>
      <c r="E160" s="3">
        <f t="shared" si="97"/>
        <v>7.3021852336235098E-8</v>
      </c>
      <c r="F160" s="3">
        <f t="shared" si="97"/>
        <v>7.3021852336235098E-8</v>
      </c>
      <c r="G160" s="3">
        <f t="shared" si="97"/>
        <v>7.3021852336235098E-8</v>
      </c>
      <c r="H160" s="3">
        <f t="shared" si="97"/>
        <v>7.3021852336235098E-8</v>
      </c>
      <c r="I160" s="3">
        <f t="shared" si="97"/>
        <v>7.3021852336235098E-8</v>
      </c>
      <c r="J160" s="3">
        <f t="shared" si="97"/>
        <v>7.3021852336235098E-8</v>
      </c>
      <c r="K160" s="3">
        <f t="shared" si="97"/>
        <v>7.3021852336235098E-8</v>
      </c>
      <c r="L160" s="3">
        <f t="shared" si="97"/>
        <v>7.3021852336235098E-8</v>
      </c>
      <c r="M160" s="3">
        <f t="shared" si="97"/>
        <v>7.3021852336235098E-8</v>
      </c>
      <c r="N160" s="3">
        <f t="shared" si="97"/>
        <v>7.3021852336235098E-8</v>
      </c>
      <c r="O160" s="3">
        <f t="shared" si="97"/>
        <v>7.3021852336235098E-8</v>
      </c>
      <c r="P160" s="3">
        <f t="shared" si="97"/>
        <v>7.3021852336235098E-8</v>
      </c>
      <c r="Q160" s="3">
        <f t="shared" si="97"/>
        <v>7.3021852336235098E-8</v>
      </c>
      <c r="R160" s="3">
        <f t="shared" si="97"/>
        <v>7.3021852336235098E-8</v>
      </c>
      <c r="S160" s="3">
        <f t="shared" si="97"/>
        <v>7.3021852336235098E-8</v>
      </c>
      <c r="T160" s="3">
        <f t="shared" si="97"/>
        <v>7.3021852336235098E-8</v>
      </c>
      <c r="U160" s="3">
        <f t="shared" si="97"/>
        <v>7.3021852336235098E-8</v>
      </c>
      <c r="V160" s="3">
        <f t="shared" si="97"/>
        <v>7.3021852336235098E-8</v>
      </c>
      <c r="W160" s="3">
        <f t="shared" si="97"/>
        <v>7.3021852336235098E-8</v>
      </c>
      <c r="X160" s="3">
        <f t="shared" si="97"/>
        <v>7.3021852336235098E-8</v>
      </c>
      <c r="Y160" s="3">
        <f t="shared" si="97"/>
        <v>7.3021852336235098E-8</v>
      </c>
      <c r="Z160" s="3">
        <f t="shared" si="97"/>
        <v>7.3021852336235098E-8</v>
      </c>
      <c r="AA160" s="3">
        <f t="shared" ref="AA160:AF160" si="98">$C46*EXP(-AA$129/$A46/EXP(-$B$126))</f>
        <v>7.3021852336235071E-8</v>
      </c>
      <c r="AB160" s="3">
        <f t="shared" si="98"/>
        <v>7.3021852336234873E-8</v>
      </c>
      <c r="AC160" s="3">
        <f t="shared" si="98"/>
        <v>7.3021852336232835E-8</v>
      </c>
      <c r="AD160" s="3">
        <f t="shared" si="98"/>
        <v>7.3021852336212493E-8</v>
      </c>
      <c r="AE160" s="3">
        <f t="shared" si="98"/>
        <v>7.3021852336008967E-8</v>
      </c>
      <c r="AF160" s="3">
        <f t="shared" si="98"/>
        <v>7.3021852333973824E-8</v>
      </c>
    </row>
    <row r="161" spans="1:34" x14ac:dyDescent="0.25">
      <c r="A161" s="11" t="s">
        <v>75</v>
      </c>
      <c r="B161" s="3">
        <f t="shared" ref="B161:Z161" si="99">$C47*EXP(-B$129/$A47/EXP(-$B$126))</f>
        <v>1.1629614521313135E-6</v>
      </c>
      <c r="C161" s="3">
        <f t="shared" si="99"/>
        <v>1.1629614521313135E-6</v>
      </c>
      <c r="D161" s="3">
        <f t="shared" si="99"/>
        <v>1.1629614521313135E-6</v>
      </c>
      <c r="E161" s="3">
        <f t="shared" si="99"/>
        <v>1.1629614521313135E-6</v>
      </c>
      <c r="F161" s="3">
        <f t="shared" si="99"/>
        <v>1.1629614521313135E-6</v>
      </c>
      <c r="G161" s="3">
        <f t="shared" si="99"/>
        <v>1.1629614521313135E-6</v>
      </c>
      <c r="H161" s="3">
        <f t="shared" si="99"/>
        <v>1.1629614521313135E-6</v>
      </c>
      <c r="I161" s="3">
        <f t="shared" si="99"/>
        <v>1.1629614521313135E-6</v>
      </c>
      <c r="J161" s="3">
        <f t="shared" si="99"/>
        <v>1.1629614521313135E-6</v>
      </c>
      <c r="K161" s="3">
        <f t="shared" si="99"/>
        <v>1.1629614521313135E-6</v>
      </c>
      <c r="L161" s="3">
        <f t="shared" si="99"/>
        <v>1.1629614521313135E-6</v>
      </c>
      <c r="M161" s="3">
        <f t="shared" si="99"/>
        <v>1.1629614521313135E-6</v>
      </c>
      <c r="N161" s="3">
        <f t="shared" si="99"/>
        <v>1.1629614521313135E-6</v>
      </c>
      <c r="O161" s="3">
        <f t="shared" si="99"/>
        <v>1.1629614521313135E-6</v>
      </c>
      <c r="P161" s="3">
        <f t="shared" si="99"/>
        <v>1.1629614521313135E-6</v>
      </c>
      <c r="Q161" s="3">
        <f t="shared" si="99"/>
        <v>1.1629614521313135E-6</v>
      </c>
      <c r="R161" s="3">
        <f t="shared" si="99"/>
        <v>1.1629614521313135E-6</v>
      </c>
      <c r="S161" s="3">
        <f t="shared" si="99"/>
        <v>1.1629614521313135E-6</v>
      </c>
      <c r="T161" s="3">
        <f t="shared" si="99"/>
        <v>1.1629614521313135E-6</v>
      </c>
      <c r="U161" s="3">
        <f t="shared" si="99"/>
        <v>1.1629614521313135E-6</v>
      </c>
      <c r="V161" s="3">
        <f t="shared" si="99"/>
        <v>1.1629614521313135E-6</v>
      </c>
      <c r="W161" s="3">
        <f t="shared" si="99"/>
        <v>1.1629614521313135E-6</v>
      </c>
      <c r="X161" s="3">
        <f t="shared" si="99"/>
        <v>1.1629614521313135E-6</v>
      </c>
      <c r="Y161" s="3">
        <f t="shared" si="99"/>
        <v>1.1629614521313135E-6</v>
      </c>
      <c r="Z161" s="3">
        <f t="shared" si="99"/>
        <v>1.1629614521313135E-6</v>
      </c>
      <c r="AA161" s="3">
        <f t="shared" ref="AA161:AF161" si="100">$C47*EXP(-AA$129/$A47/EXP(-$B$126))</f>
        <v>1.1629614521313135E-6</v>
      </c>
      <c r="AB161" s="3">
        <f t="shared" si="100"/>
        <v>1.162961452131313E-6</v>
      </c>
      <c r="AC161" s="3">
        <f t="shared" si="100"/>
        <v>1.1629614521313099E-6</v>
      </c>
      <c r="AD161" s="3">
        <f t="shared" si="100"/>
        <v>1.1629614521312775E-6</v>
      </c>
      <c r="AE161" s="3">
        <f t="shared" si="100"/>
        <v>1.1629614521309533E-6</v>
      </c>
      <c r="AF161" s="3">
        <f t="shared" si="100"/>
        <v>1.1629614521277121E-6</v>
      </c>
    </row>
    <row r="162" spans="1:34" x14ac:dyDescent="0.25">
      <c r="B162" s="3">
        <f t="shared" ref="B162:Z162" si="101">$C48*EXP(-B$129/$A48/EXP(-$B$126))</f>
        <v>4.9365030271996854E-7</v>
      </c>
      <c r="C162" s="3">
        <f t="shared" si="101"/>
        <v>4.9365030271996854E-7</v>
      </c>
      <c r="D162" s="3">
        <f t="shared" si="101"/>
        <v>4.9365030271996854E-7</v>
      </c>
      <c r="E162" s="3">
        <f t="shared" si="101"/>
        <v>4.9365030271996854E-7</v>
      </c>
      <c r="F162" s="3">
        <f t="shared" si="101"/>
        <v>4.9365030271996854E-7</v>
      </c>
      <c r="G162" s="3">
        <f t="shared" si="101"/>
        <v>4.9365030271996854E-7</v>
      </c>
      <c r="H162" s="3">
        <f t="shared" si="101"/>
        <v>4.9365030271996854E-7</v>
      </c>
      <c r="I162" s="3">
        <f t="shared" si="101"/>
        <v>4.9365030271996854E-7</v>
      </c>
      <c r="J162" s="3">
        <f t="shared" si="101"/>
        <v>4.9365030271996854E-7</v>
      </c>
      <c r="K162" s="3">
        <f t="shared" si="101"/>
        <v>4.9365030271996854E-7</v>
      </c>
      <c r="L162" s="3">
        <f t="shared" si="101"/>
        <v>4.9365030271996854E-7</v>
      </c>
      <c r="M162" s="3">
        <f t="shared" si="101"/>
        <v>4.9365030271996854E-7</v>
      </c>
      <c r="N162" s="3">
        <f t="shared" si="101"/>
        <v>4.9365030271996854E-7</v>
      </c>
      <c r="O162" s="3">
        <f t="shared" si="101"/>
        <v>4.9365030271996854E-7</v>
      </c>
      <c r="P162" s="3">
        <f t="shared" si="101"/>
        <v>4.9365030271996854E-7</v>
      </c>
      <c r="Q162" s="3">
        <f t="shared" si="101"/>
        <v>4.9365030271996854E-7</v>
      </c>
      <c r="R162" s="3">
        <f t="shared" si="101"/>
        <v>4.9365030271996854E-7</v>
      </c>
      <c r="S162" s="3">
        <f t="shared" si="101"/>
        <v>4.9365030271996854E-7</v>
      </c>
      <c r="T162" s="3">
        <f t="shared" si="101"/>
        <v>4.9365030271996854E-7</v>
      </c>
      <c r="U162" s="3">
        <f t="shared" si="101"/>
        <v>4.9365030271996854E-7</v>
      </c>
      <c r="V162" s="3">
        <f t="shared" si="101"/>
        <v>4.9365030271996854E-7</v>
      </c>
      <c r="W162" s="3">
        <f t="shared" si="101"/>
        <v>4.9365030271996854E-7</v>
      </c>
      <c r="X162" s="3">
        <f t="shared" si="101"/>
        <v>4.9365030271996854E-7</v>
      </c>
      <c r="Y162" s="3">
        <f t="shared" si="101"/>
        <v>4.9365030271996854E-7</v>
      </c>
      <c r="Z162" s="3">
        <f t="shared" si="101"/>
        <v>4.9365030271996854E-7</v>
      </c>
      <c r="AA162" s="3">
        <f t="shared" ref="AA162:AF162" si="102">$C48*EXP(-AA$129/$A48/EXP(-$B$126))</f>
        <v>4.9365030271996854E-7</v>
      </c>
      <c r="AB162" s="3">
        <f t="shared" si="102"/>
        <v>4.9365030271996854E-7</v>
      </c>
      <c r="AC162" s="3">
        <f t="shared" si="102"/>
        <v>4.9365030271996833E-7</v>
      </c>
      <c r="AD162" s="3">
        <f t="shared" si="102"/>
        <v>4.9365030271996706E-7</v>
      </c>
      <c r="AE162" s="3">
        <f t="shared" si="102"/>
        <v>4.936503027199533E-7</v>
      </c>
      <c r="AF162" s="3">
        <f t="shared" si="102"/>
        <v>4.9365030271981565E-7</v>
      </c>
    </row>
    <row r="163" spans="1:34" x14ac:dyDescent="0.25">
      <c r="A163" s="79">
        <f>AVERAGE(B163:AF163)</f>
        <v>1.4177028820007322E-2</v>
      </c>
      <c r="B163" s="80">
        <f>IF($A$64&lt;=B129,IF($B$64&gt;=B129,ABS((B131-B130)/B130),0),0)</f>
        <v>2.5360978761204147E-3</v>
      </c>
      <c r="C163" s="80">
        <f t="shared" ref="C163:AF163" si="103">IF($A$64&lt;=C129,IF($B$64&gt;=C129,ABS((C131-C130)/C130),0),0)</f>
        <v>2.5423395621178872E-3</v>
      </c>
      <c r="D163" s="80">
        <f t="shared" si="103"/>
        <v>2.538590013298485E-3</v>
      </c>
      <c r="E163" s="80">
        <f t="shared" si="103"/>
        <v>2.5381069521783085E-3</v>
      </c>
      <c r="F163" s="80">
        <f t="shared" si="103"/>
        <v>2.5440363391885474E-3</v>
      </c>
      <c r="G163" s="80">
        <f t="shared" si="103"/>
        <v>2.60569528908217E-3</v>
      </c>
      <c r="H163" s="80">
        <f t="shared" si="103"/>
        <v>3.137505526470177E-3</v>
      </c>
      <c r="I163" s="80">
        <f t="shared" si="103"/>
        <v>4.6902878953289902E-3</v>
      </c>
      <c r="J163" s="80">
        <f t="shared" si="103"/>
        <v>4.7922252250403577E-3</v>
      </c>
      <c r="K163" s="80">
        <f t="shared" si="103"/>
        <v>4.7922256002997793E-3</v>
      </c>
      <c r="L163" s="80">
        <f t="shared" si="103"/>
        <v>4.7922293528920102E-3</v>
      </c>
      <c r="M163" s="80">
        <f t="shared" si="103"/>
        <v>4.7922601164642363E-3</v>
      </c>
      <c r="N163" s="80">
        <f t="shared" si="103"/>
        <v>4.7925271717808669E-3</v>
      </c>
      <c r="O163" s="80">
        <f t="shared" si="103"/>
        <v>4.7951192894189415E-3</v>
      </c>
      <c r="P163" s="80">
        <f t="shared" si="103"/>
        <v>4.8210480444449708E-3</v>
      </c>
      <c r="Q163" s="80">
        <f t="shared" si="103"/>
        <v>5.074009453636133E-3</v>
      </c>
      <c r="R163" s="80">
        <f t="shared" si="103"/>
        <v>7.0776291473790276E-3</v>
      </c>
      <c r="S163" s="80">
        <f t="shared" si="103"/>
        <v>1.2378259960439777E-2</v>
      </c>
      <c r="T163" s="80">
        <f t="shared" si="103"/>
        <v>1.5087469713457792E-2</v>
      </c>
      <c r="U163" s="80">
        <f t="shared" si="103"/>
        <v>1.5317532451906922E-2</v>
      </c>
      <c r="V163" s="80">
        <f t="shared" si="103"/>
        <v>1.4876296490147494E-2</v>
      </c>
      <c r="W163" s="80">
        <f t="shared" si="103"/>
        <v>5.0302487848968239E-3</v>
      </c>
      <c r="X163" s="80">
        <f t="shared" si="103"/>
        <v>1.0527541005558909E-2</v>
      </c>
      <c r="Y163" s="80">
        <f t="shared" si="103"/>
        <v>2.0819855542868231E-2</v>
      </c>
      <c r="Z163" s="80">
        <f t="shared" si="103"/>
        <v>3.6302827424248944E-2</v>
      </c>
      <c r="AA163" s="80">
        <f t="shared" si="103"/>
        <v>4.0716630783339557E-2</v>
      </c>
      <c r="AB163" s="80">
        <f t="shared" si="103"/>
        <v>4.5564369943299855E-2</v>
      </c>
      <c r="AC163" s="80">
        <f t="shared" si="103"/>
        <v>3.5224704634995128E-2</v>
      </c>
      <c r="AD163" s="80">
        <f t="shared" si="103"/>
        <v>5.1504582775558872E-3</v>
      </c>
      <c r="AE163" s="80">
        <f t="shared" si="103"/>
        <v>3.0944903997317037E-2</v>
      </c>
      <c r="AF163" s="80">
        <f t="shared" si="103"/>
        <v>8.2684861555053349E-2</v>
      </c>
    </row>
    <row r="164" spans="1:34" x14ac:dyDescent="0.25">
      <c r="B164" s="21">
        <f>(B131-B130)^2</f>
        <v>227.35618644949238</v>
      </c>
      <c r="C164" s="21">
        <f t="shared" ref="C164:AF164" si="104">(C131-C130)^2</f>
        <v>228.47952989565485</v>
      </c>
      <c r="D164" s="21">
        <f t="shared" si="104"/>
        <v>227.8043431278191</v>
      </c>
      <c r="E164" s="21">
        <f t="shared" si="104"/>
        <v>227.71714737042922</v>
      </c>
      <c r="F164" s="21">
        <f t="shared" si="104"/>
        <v>228.78219234662888</v>
      </c>
      <c r="G164" s="21">
        <f t="shared" si="104"/>
        <v>240.00634927850933</v>
      </c>
      <c r="H164" s="21">
        <f t="shared" si="104"/>
        <v>347.97210947229632</v>
      </c>
      <c r="I164" s="21">
        <f t="shared" si="104"/>
        <v>777.63255403568053</v>
      </c>
      <c r="J164" s="21">
        <f t="shared" si="104"/>
        <v>811.80154360910581</v>
      </c>
      <c r="K164" s="21">
        <f t="shared" si="104"/>
        <v>811.80167074678218</v>
      </c>
      <c r="L164" s="21">
        <f t="shared" si="104"/>
        <v>811.80294212341971</v>
      </c>
      <c r="M164" s="21">
        <f t="shared" si="104"/>
        <v>811.81335381373071</v>
      </c>
      <c r="N164" s="21">
        <f t="shared" si="104"/>
        <v>811.90365864010971</v>
      </c>
      <c r="O164" s="21">
        <f t="shared" si="104"/>
        <v>812.78026492061281</v>
      </c>
      <c r="P164" s="21">
        <f t="shared" si="104"/>
        <v>821.57493430246677</v>
      </c>
      <c r="Q164" s="21">
        <f t="shared" si="104"/>
        <v>909.84297814567958</v>
      </c>
      <c r="R164" s="21">
        <f t="shared" si="104"/>
        <v>1766.2732348951477</v>
      </c>
      <c r="S164" s="21">
        <f t="shared" si="104"/>
        <v>5304.8025847236349</v>
      </c>
      <c r="T164" s="21">
        <f t="shared" si="104"/>
        <v>7496.1673184019446</v>
      </c>
      <c r="U164" s="21">
        <f t="shared" si="104"/>
        <v>7327.1180249905001</v>
      </c>
      <c r="V164" s="21">
        <f t="shared" si="104"/>
        <v>6452.0202638379469</v>
      </c>
      <c r="W164" s="21">
        <f t="shared" si="104"/>
        <v>668.98606055934681</v>
      </c>
      <c r="X164" s="21">
        <f t="shared" si="104"/>
        <v>2612.7318715581187</v>
      </c>
      <c r="Y164" s="21">
        <f t="shared" si="104"/>
        <v>8897.436975444054</v>
      </c>
      <c r="Z164" s="21">
        <f t="shared" si="104"/>
        <v>23416.137533899138</v>
      </c>
      <c r="AA164" s="21">
        <f t="shared" si="104"/>
        <v>25593.267511819005</v>
      </c>
      <c r="AB164" s="21">
        <f t="shared" si="104"/>
        <v>27526.426385076869</v>
      </c>
      <c r="AC164" s="21">
        <f t="shared" si="104"/>
        <v>13945.622831165709</v>
      </c>
      <c r="AD164" s="21">
        <f t="shared" si="104"/>
        <v>238.20946638724834</v>
      </c>
      <c r="AE164" s="21">
        <f t="shared" si="104"/>
        <v>6290.3915804242861</v>
      </c>
      <c r="AF164" s="21">
        <f t="shared" si="104"/>
        <v>28998.882261285671</v>
      </c>
    </row>
    <row r="165" spans="1:34" x14ac:dyDescent="0.25">
      <c r="A165" s="71">
        <f>SUM(B165:AF165)</f>
        <v>175643.54566274706</v>
      </c>
      <c r="B165" s="60">
        <f>IF($A$64&lt;=B129,IF($B$64&gt;=B129,ABS(B164),0),0)</f>
        <v>227.35618644949238</v>
      </c>
      <c r="C165" s="60">
        <f t="shared" ref="C165:AF165" si="105">IF($A$64&lt;=C129,IF($B$64&gt;=C129,ABS(C164),0),0)</f>
        <v>228.47952989565485</v>
      </c>
      <c r="D165" s="60">
        <f t="shared" si="105"/>
        <v>227.8043431278191</v>
      </c>
      <c r="E165" s="60">
        <f t="shared" si="105"/>
        <v>227.71714737042922</v>
      </c>
      <c r="F165" s="60">
        <f t="shared" si="105"/>
        <v>228.78219234662888</v>
      </c>
      <c r="G165" s="60">
        <f t="shared" si="105"/>
        <v>240.00634927850933</v>
      </c>
      <c r="H165" s="60">
        <f t="shared" si="105"/>
        <v>347.97210947229632</v>
      </c>
      <c r="I165" s="60">
        <f t="shared" si="105"/>
        <v>777.63255403568053</v>
      </c>
      <c r="J165" s="60">
        <f t="shared" si="105"/>
        <v>811.80154360910581</v>
      </c>
      <c r="K165" s="60">
        <f t="shared" si="105"/>
        <v>811.80167074678218</v>
      </c>
      <c r="L165" s="60">
        <f t="shared" si="105"/>
        <v>811.80294212341971</v>
      </c>
      <c r="M165" s="60">
        <f t="shared" si="105"/>
        <v>811.81335381373071</v>
      </c>
      <c r="N165" s="60">
        <f t="shared" si="105"/>
        <v>811.90365864010971</v>
      </c>
      <c r="O165" s="60">
        <f t="shared" si="105"/>
        <v>812.78026492061281</v>
      </c>
      <c r="P165" s="60">
        <f t="shared" si="105"/>
        <v>821.57493430246677</v>
      </c>
      <c r="Q165" s="60">
        <f t="shared" si="105"/>
        <v>909.84297814567958</v>
      </c>
      <c r="R165" s="60">
        <f t="shared" si="105"/>
        <v>1766.2732348951477</v>
      </c>
      <c r="S165" s="60">
        <f t="shared" si="105"/>
        <v>5304.8025847236349</v>
      </c>
      <c r="T165" s="60">
        <f t="shared" si="105"/>
        <v>7496.1673184019446</v>
      </c>
      <c r="U165" s="60">
        <f t="shared" si="105"/>
        <v>7327.1180249905001</v>
      </c>
      <c r="V165" s="60">
        <f t="shared" si="105"/>
        <v>6452.0202638379469</v>
      </c>
      <c r="W165" s="60">
        <f t="shared" si="105"/>
        <v>668.98606055934681</v>
      </c>
      <c r="X165" s="60">
        <f t="shared" si="105"/>
        <v>2612.7318715581187</v>
      </c>
      <c r="Y165" s="60">
        <f t="shared" si="105"/>
        <v>8897.436975444054</v>
      </c>
      <c r="Z165" s="60">
        <f t="shared" si="105"/>
        <v>23416.137533899138</v>
      </c>
      <c r="AA165" s="60">
        <f t="shared" si="105"/>
        <v>25593.267511819005</v>
      </c>
      <c r="AB165" s="60">
        <f t="shared" si="105"/>
        <v>27526.426385076869</v>
      </c>
      <c r="AC165" s="60">
        <f t="shared" si="105"/>
        <v>13945.622831165709</v>
      </c>
      <c r="AD165" s="60">
        <f t="shared" si="105"/>
        <v>238.20946638724834</v>
      </c>
      <c r="AE165" s="60">
        <f t="shared" si="105"/>
        <v>6290.3915804242861</v>
      </c>
      <c r="AF165" s="60">
        <f t="shared" si="105"/>
        <v>28998.882261285671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0" t="s">
        <v>22</v>
      </c>
      <c r="B170" s="27">
        <f>($C$17+SUM(B171:B201))*$B$51</f>
        <v>5930.4077565194011</v>
      </c>
      <c r="C170" s="27">
        <f t="shared" ref="C170:AF170" si="106">($C$17+SUM(C171:C201))*$B$51</f>
        <v>5930.4064652631196</v>
      </c>
      <c r="D170" s="27">
        <f t="shared" si="106"/>
        <v>5930.3935595372959</v>
      </c>
      <c r="E170" s="27">
        <f t="shared" si="106"/>
        <v>5930.2651835478391</v>
      </c>
      <c r="F170" s="27">
        <f t="shared" si="106"/>
        <v>5929.0471843182977</v>
      </c>
      <c r="G170" s="27">
        <f t="shared" si="106"/>
        <v>5921.5980769066091</v>
      </c>
      <c r="H170" s="27">
        <f t="shared" si="106"/>
        <v>5916.9990276389972</v>
      </c>
      <c r="I170" s="27">
        <f t="shared" si="106"/>
        <v>5916.9987246311193</v>
      </c>
      <c r="J170" s="27">
        <f t="shared" si="106"/>
        <v>5916.9987169218548</v>
      </c>
      <c r="K170" s="27">
        <f t="shared" si="106"/>
        <v>5916.9986398292504</v>
      </c>
      <c r="L170" s="27">
        <f t="shared" si="106"/>
        <v>5916.9978689079871</v>
      </c>
      <c r="M170" s="27">
        <f t="shared" si="106"/>
        <v>5916.9901601739248</v>
      </c>
      <c r="N170" s="27">
        <f t="shared" si="106"/>
        <v>5916.9131206593593</v>
      </c>
      <c r="O170" s="27">
        <f t="shared" si="106"/>
        <v>5916.1474778423362</v>
      </c>
      <c r="P170" s="27">
        <f t="shared" si="106"/>
        <v>5908.9374633956868</v>
      </c>
      <c r="Q170" s="27">
        <f t="shared" si="106"/>
        <v>5862.8676410452081</v>
      </c>
      <c r="R170" s="27">
        <f t="shared" si="106"/>
        <v>5717.3446611607033</v>
      </c>
      <c r="S170" s="27">
        <f t="shared" si="106"/>
        <v>5572.0704084463841</v>
      </c>
      <c r="T170" s="27">
        <f t="shared" si="106"/>
        <v>5404.8708699382059</v>
      </c>
      <c r="U170" s="27">
        <f t="shared" si="106"/>
        <v>5208.8143250781159</v>
      </c>
      <c r="V170" s="27">
        <f t="shared" si="106"/>
        <v>5012.7047477035749</v>
      </c>
      <c r="W170" s="27">
        <f t="shared" si="106"/>
        <v>4760.669471453466</v>
      </c>
      <c r="X170" s="27">
        <f t="shared" si="106"/>
        <v>4495.6399155436166</v>
      </c>
      <c r="Y170" s="27">
        <f t="shared" si="106"/>
        <v>4229.6281861662846</v>
      </c>
      <c r="Z170" s="27">
        <f t="shared" si="106"/>
        <v>3951.2426998283636</v>
      </c>
      <c r="AA170" s="27">
        <f t="shared" si="106"/>
        <v>3648.9351358127278</v>
      </c>
      <c r="AB170" s="27">
        <f t="shared" si="106"/>
        <v>3255.2177226003423</v>
      </c>
      <c r="AC170" s="27">
        <f t="shared" si="106"/>
        <v>2753.9632617445277</v>
      </c>
      <c r="AD170" s="27">
        <f t="shared" si="106"/>
        <v>2188.6088065561435</v>
      </c>
      <c r="AE170" s="27">
        <f t="shared" si="106"/>
        <v>1570.4886312656552</v>
      </c>
      <c r="AF170" s="27">
        <f t="shared" si="106"/>
        <v>987.44595063229758</v>
      </c>
      <c r="AG170" s="27"/>
      <c r="AH170" s="27"/>
    </row>
    <row r="171" spans="1:34" x14ac:dyDescent="0.25">
      <c r="B171" s="3">
        <f t="shared" ref="B171:AF171" si="107">$C18*EXP(-B$168/$A18/EXP(-$C$126))</f>
        <v>2.2610638690967267E-3</v>
      </c>
      <c r="C171" s="3">
        <f t="shared" si="107"/>
        <v>2.2608461342794833E-3</v>
      </c>
      <c r="D171" s="3">
        <f t="shared" si="107"/>
        <v>2.2586699389765845E-3</v>
      </c>
      <c r="E171" s="3">
        <f t="shared" si="107"/>
        <v>2.2370228631691347E-3</v>
      </c>
      <c r="F171" s="3">
        <f t="shared" si="107"/>
        <v>2.0316408305487412E-3</v>
      </c>
      <c r="G171" s="3">
        <f t="shared" si="107"/>
        <v>7.7555397622304934E-4</v>
      </c>
      <c r="H171" s="3">
        <f t="shared" si="107"/>
        <v>5.096393964000256E-8</v>
      </c>
      <c r="I171" s="3">
        <f t="shared" si="107"/>
        <v>7.6519589497699528E-50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4.2263320671389231E-3</v>
      </c>
      <c r="C175" s="3">
        <f t="shared" si="111"/>
        <v>4.2263320671388467E-3</v>
      </c>
      <c r="D175" s="3">
        <f t="shared" si="111"/>
        <v>4.2263320671380817E-3</v>
      </c>
      <c r="E175" s="3">
        <f t="shared" si="111"/>
        <v>4.2263320671304281E-3</v>
      </c>
      <c r="F175" s="3">
        <f t="shared" si="111"/>
        <v>4.2263320670538965E-3</v>
      </c>
      <c r="G175" s="3">
        <f t="shared" si="111"/>
        <v>4.2263320662885798E-3</v>
      </c>
      <c r="H175" s="3">
        <f t="shared" si="111"/>
        <v>4.2263320586354109E-3</v>
      </c>
      <c r="I175" s="3">
        <f t="shared" si="111"/>
        <v>4.2263319821037298E-3</v>
      </c>
      <c r="J175" s="3">
        <f t="shared" si="111"/>
        <v>4.2263312167869858E-3</v>
      </c>
      <c r="K175" s="3">
        <f t="shared" si="111"/>
        <v>4.2263235636271733E-3</v>
      </c>
      <c r="L175" s="3">
        <f t="shared" si="111"/>
        <v>4.2262470327912608E-3</v>
      </c>
      <c r="M175" s="3">
        <f t="shared" si="111"/>
        <v>4.2254818006486859E-3</v>
      </c>
      <c r="N175" s="3">
        <f t="shared" si="111"/>
        <v>4.2178370957735214E-3</v>
      </c>
      <c r="O175" s="3">
        <f t="shared" si="111"/>
        <v>4.1421466235619566E-3</v>
      </c>
      <c r="P175" s="3">
        <f t="shared" si="111"/>
        <v>3.4560667884610909E-3</v>
      </c>
      <c r="Q175" s="3">
        <f t="shared" si="111"/>
        <v>5.6513045632863759E-4</v>
      </c>
      <c r="R175" s="3">
        <f t="shared" si="111"/>
        <v>7.7235076071179303E-12</v>
      </c>
      <c r="S175" s="3">
        <f t="shared" si="111"/>
        <v>1.7557926765876701E-90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3.0334384971501777E-2</v>
      </c>
      <c r="C176" s="3">
        <f t="shared" si="112"/>
        <v>3.0334384971501729E-2</v>
      </c>
      <c r="D176" s="3">
        <f t="shared" si="112"/>
        <v>3.0334384971501236E-2</v>
      </c>
      <c r="E176" s="3">
        <f t="shared" si="112"/>
        <v>3.0334384971496278E-2</v>
      </c>
      <c r="F176" s="3">
        <f t="shared" si="112"/>
        <v>3.0334384971446728E-2</v>
      </c>
      <c r="G176" s="3">
        <f t="shared" si="112"/>
        <v>3.0334384970951207E-2</v>
      </c>
      <c r="H176" s="3">
        <f t="shared" si="112"/>
        <v>3.0334384965996029E-2</v>
      </c>
      <c r="I176" s="3">
        <f t="shared" si="112"/>
        <v>3.0334384916444228E-2</v>
      </c>
      <c r="J176" s="3">
        <f t="shared" si="112"/>
        <v>3.0334384420926241E-2</v>
      </c>
      <c r="K176" s="3">
        <f t="shared" si="112"/>
        <v>3.0334379465746783E-2</v>
      </c>
      <c r="L176" s="3">
        <f t="shared" si="112"/>
        <v>3.0334329913996726E-2</v>
      </c>
      <c r="M176" s="3">
        <f t="shared" si="112"/>
        <v>3.033383440094806E-2</v>
      </c>
      <c r="N176" s="3">
        <f t="shared" si="112"/>
        <v>3.0328879715622481E-2</v>
      </c>
      <c r="O176" s="3">
        <f t="shared" si="112"/>
        <v>3.0279377351581305E-2</v>
      </c>
      <c r="P176" s="3">
        <f t="shared" si="112"/>
        <v>2.9788775860346069E-2</v>
      </c>
      <c r="Q176" s="3">
        <f t="shared" si="112"/>
        <v>2.5299376623812948E-2</v>
      </c>
      <c r="R176" s="3">
        <f t="shared" si="112"/>
        <v>4.9394825601654568E-3</v>
      </c>
      <c r="S176" s="3">
        <f t="shared" si="112"/>
        <v>3.9755554702867868E-10</v>
      </c>
      <c r="T176" s="3">
        <f t="shared" si="112"/>
        <v>4.534834355822533E-81</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2.3501586958650868E-2</v>
      </c>
      <c r="C177" s="3">
        <f t="shared" si="113"/>
        <v>2.3501586958650865E-2</v>
      </c>
      <c r="D177" s="3">
        <f t="shared" si="113"/>
        <v>2.350158695865083E-2</v>
      </c>
      <c r="E177" s="3">
        <f t="shared" si="113"/>
        <v>2.3501586958650483E-2</v>
      </c>
      <c r="F177" s="3">
        <f t="shared" si="113"/>
        <v>2.3501586958647021E-2</v>
      </c>
      <c r="G177" s="3">
        <f t="shared" si="113"/>
        <v>2.3501586958612392E-2</v>
      </c>
      <c r="H177" s="3">
        <f t="shared" si="113"/>
        <v>2.3501586958266076E-2</v>
      </c>
      <c r="I177" s="3">
        <f t="shared" si="113"/>
        <v>2.3501586954802953E-2</v>
      </c>
      <c r="J177" s="3">
        <f t="shared" si="113"/>
        <v>2.3501586920171715E-2</v>
      </c>
      <c r="K177" s="3">
        <f t="shared" si="113"/>
        <v>2.350158657385934E-2</v>
      </c>
      <c r="L177" s="3">
        <f t="shared" si="113"/>
        <v>2.3501583110735851E-2</v>
      </c>
      <c r="M177" s="3">
        <f t="shared" si="113"/>
        <v>2.3501548479529035E-2</v>
      </c>
      <c r="N177" s="3">
        <f t="shared" si="113"/>
        <v>2.3501202170267594E-2</v>
      </c>
      <c r="O177" s="3">
        <f t="shared" si="113"/>
        <v>2.3497739358309781E-2</v>
      </c>
      <c r="P177" s="3">
        <f t="shared" si="113"/>
        <v>2.3463139289093448E-2</v>
      </c>
      <c r="Q177" s="3">
        <f t="shared" si="113"/>
        <v>2.3119928399560355E-2</v>
      </c>
      <c r="R177" s="3">
        <f t="shared" si="113"/>
        <v>1.9952170366448821E-2</v>
      </c>
      <c r="S177" s="3">
        <f t="shared" si="113"/>
        <v>4.5711633548714227E-3</v>
      </c>
      <c r="T177" s="3">
        <f t="shared" si="113"/>
        <v>1.8213470708474715E-9</v>
      </c>
      <c r="U177" s="3">
        <f t="shared" si="113"/>
        <v>1.8367600002179357E-73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3.0161245732589943E-2</v>
      </c>
      <c r="C178" s="3">
        <f t="shared" si="114"/>
        <v>3.0161245732589943E-2</v>
      </c>
      <c r="D178" s="3">
        <f t="shared" si="114"/>
        <v>3.016124573258994E-2</v>
      </c>
      <c r="E178" s="3">
        <f t="shared" si="114"/>
        <v>3.0161245732589898E-2</v>
      </c>
      <c r="F178" s="3">
        <f t="shared" si="114"/>
        <v>3.0161245732589499E-2</v>
      </c>
      <c r="G178" s="3">
        <f t="shared" si="114"/>
        <v>3.0161245732585489E-2</v>
      </c>
      <c r="H178" s="3">
        <f t="shared" si="114"/>
        <v>3.0161245732545396E-2</v>
      </c>
      <c r="I178" s="3">
        <f t="shared" si="114"/>
        <v>3.0161245732144466E-2</v>
      </c>
      <c r="J178" s="3">
        <f t="shared" si="114"/>
        <v>3.0161245728135184E-2</v>
      </c>
      <c r="K178" s="3">
        <f t="shared" si="114"/>
        <v>3.0161245688042355E-2</v>
      </c>
      <c r="L178" s="3">
        <f t="shared" si="114"/>
        <v>3.0161245287114075E-2</v>
      </c>
      <c r="M178" s="3">
        <f t="shared" si="114"/>
        <v>3.0161241277831576E-2</v>
      </c>
      <c r="N178" s="3">
        <f t="shared" si="114"/>
        <v>3.0161201185035885E-2</v>
      </c>
      <c r="O178" s="3">
        <f t="shared" si="114"/>
        <v>3.0160800260010147E-2</v>
      </c>
      <c r="P178" s="3">
        <f t="shared" si="114"/>
        <v>3.0156791302857689E-2</v>
      </c>
      <c r="Q178" s="3">
        <f t="shared" si="114"/>
        <v>3.0116731027411622E-2</v>
      </c>
      <c r="R178" s="3">
        <f t="shared" si="114"/>
        <v>2.9719043523066386E-2</v>
      </c>
      <c r="S178" s="3">
        <f t="shared" si="114"/>
        <v>2.6019850986160116E-2</v>
      </c>
      <c r="T178" s="3">
        <f t="shared" si="114"/>
        <v>6.886595520428836E-3</v>
      </c>
      <c r="U178" s="3">
        <f t="shared" si="114"/>
        <v>1.1614547181324194E-8</v>
      </c>
      <c r="V178" s="3">
        <f t="shared" si="114"/>
        <v>2.1626156951591768E-66</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3.6781885068377713E-2</v>
      </c>
      <c r="C179" s="3">
        <f t="shared" si="115"/>
        <v>3.6781885068377713E-2</v>
      </c>
      <c r="D179" s="3">
        <f t="shared" si="115"/>
        <v>3.6781885068377713E-2</v>
      </c>
      <c r="E179" s="3">
        <f t="shared" si="115"/>
        <v>3.6781885068377707E-2</v>
      </c>
      <c r="F179" s="3">
        <f t="shared" si="115"/>
        <v>3.6781885068377665E-2</v>
      </c>
      <c r="G179" s="3">
        <f t="shared" si="115"/>
        <v>3.6781885068377221E-2</v>
      </c>
      <c r="H179" s="3">
        <f t="shared" si="115"/>
        <v>3.6781885068372815E-2</v>
      </c>
      <c r="I179" s="3">
        <f t="shared" si="115"/>
        <v>3.6781885068328704E-2</v>
      </c>
      <c r="J179" s="3">
        <f t="shared" si="115"/>
        <v>3.6781885067887647E-2</v>
      </c>
      <c r="K179" s="3">
        <f t="shared" si="115"/>
        <v>3.6781885063477043E-2</v>
      </c>
      <c r="L179" s="3">
        <f t="shared" si="115"/>
        <v>3.6781885019371012E-2</v>
      </c>
      <c r="M179" s="3">
        <f t="shared" si="115"/>
        <v>3.6781884578310685E-2</v>
      </c>
      <c r="N179" s="3">
        <f t="shared" si="115"/>
        <v>3.6781880167707767E-2</v>
      </c>
      <c r="O179" s="3">
        <f t="shared" si="115"/>
        <v>3.6781836061707637E-2</v>
      </c>
      <c r="P179" s="3">
        <f t="shared" si="115"/>
        <v>3.6781395004615192E-2</v>
      </c>
      <c r="Q179" s="3">
        <f t="shared" si="115"/>
        <v>3.6776984724563651E-2</v>
      </c>
      <c r="R179" s="3">
        <f t="shared" si="115"/>
        <v>3.673291099843852E-2</v>
      </c>
      <c r="S179" s="3">
        <f t="shared" si="115"/>
        <v>3.6295068317881596E-2</v>
      </c>
      <c r="T179" s="3">
        <f t="shared" si="115"/>
        <v>3.2193658645524585E-2</v>
      </c>
      <c r="U179" s="3">
        <f t="shared" si="115"/>
        <v>9.7050438334958522E-3</v>
      </c>
      <c r="V179" s="3">
        <f t="shared" si="115"/>
        <v>6.0154644596977536E-8</v>
      </c>
      <c r="W179" s="3">
        <f t="shared" si="115"/>
        <v>5.0348415243708336E-60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3.0958488235130539E-2</v>
      </c>
      <c r="C180" s="3">
        <f t="shared" si="116"/>
        <v>3.0958488235130539E-2</v>
      </c>
      <c r="D180" s="3">
        <f t="shared" si="116"/>
        <v>3.0958488235130539E-2</v>
      </c>
      <c r="E180" s="3">
        <f t="shared" si="116"/>
        <v>3.0958488235130539E-2</v>
      </c>
      <c r="F180" s="3">
        <f t="shared" si="116"/>
        <v>3.0958488235130536E-2</v>
      </c>
      <c r="G180" s="3">
        <f t="shared" si="116"/>
        <v>3.0958488235130501E-2</v>
      </c>
      <c r="H180" s="3">
        <f t="shared" si="116"/>
        <v>3.0958488235130168E-2</v>
      </c>
      <c r="I180" s="3">
        <f t="shared" si="116"/>
        <v>3.0958488235126817E-2</v>
      </c>
      <c r="J180" s="3">
        <f t="shared" si="116"/>
        <v>3.095848823509333E-2</v>
      </c>
      <c r="K180" s="3">
        <f t="shared" si="116"/>
        <v>3.0958488234758452E-2</v>
      </c>
      <c r="L180" s="3">
        <f t="shared" si="116"/>
        <v>3.0958488231409641E-2</v>
      </c>
      <c r="M180" s="3">
        <f t="shared" si="116"/>
        <v>3.0958488197921553E-2</v>
      </c>
      <c r="N180" s="3">
        <f t="shared" si="116"/>
        <v>3.095848786304068E-2</v>
      </c>
      <c r="O180" s="3">
        <f t="shared" si="116"/>
        <v>3.0958484514232151E-2</v>
      </c>
      <c r="P180" s="3">
        <f t="shared" si="116"/>
        <v>3.0958451026166799E-2</v>
      </c>
      <c r="Q180" s="3">
        <f t="shared" si="116"/>
        <v>3.0958116147505595E-2</v>
      </c>
      <c r="R180" s="3">
        <f t="shared" si="116"/>
        <v>3.0954767560118786E-2</v>
      </c>
      <c r="S180" s="3">
        <f t="shared" si="116"/>
        <v>3.0921301600801702E-2</v>
      </c>
      <c r="T180" s="3">
        <f t="shared" si="116"/>
        <v>3.0588625515292095E-2</v>
      </c>
      <c r="U180" s="3">
        <f t="shared" si="116"/>
        <v>2.7452501289280992E-2</v>
      </c>
      <c r="V180" s="3">
        <f t="shared" si="116"/>
        <v>9.3068239886324681E-3</v>
      </c>
      <c r="W180" s="3">
        <f t="shared" si="116"/>
        <v>1.866368088710732E-7</v>
      </c>
      <c r="X180" s="3">
        <f t="shared" si="116"/>
        <v>1.9631581936227258E-54</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5.2155951905646973E-2</v>
      </c>
      <c r="C181" s="3">
        <f t="shared" si="117"/>
        <v>5.2155951905646973E-2</v>
      </c>
      <c r="D181" s="3">
        <f t="shared" si="117"/>
        <v>5.2155951905646973E-2</v>
      </c>
      <c r="E181" s="3">
        <f t="shared" si="117"/>
        <v>5.2155951905646973E-2</v>
      </c>
      <c r="F181" s="3">
        <f t="shared" si="117"/>
        <v>5.2155951905646973E-2</v>
      </c>
      <c r="G181" s="3">
        <f t="shared" si="117"/>
        <v>5.2155951905646966E-2</v>
      </c>
      <c r="H181" s="3">
        <f t="shared" si="117"/>
        <v>5.2155951905646918E-2</v>
      </c>
      <c r="I181" s="3">
        <f t="shared" si="117"/>
        <v>5.2155951905646404E-2</v>
      </c>
      <c r="J181" s="3">
        <f t="shared" si="117"/>
        <v>5.2155951905641318E-2</v>
      </c>
      <c r="K181" s="3">
        <f t="shared" si="117"/>
        <v>5.2155951905590421E-2</v>
      </c>
      <c r="L181" s="3">
        <f t="shared" si="117"/>
        <v>5.2155951905081495E-2</v>
      </c>
      <c r="M181" s="3">
        <f t="shared" si="117"/>
        <v>5.2155951899992156E-2</v>
      </c>
      <c r="N181" s="3">
        <f t="shared" si="117"/>
        <v>5.2155951849098804E-2</v>
      </c>
      <c r="O181" s="3">
        <f t="shared" si="117"/>
        <v>5.215595134016527E-2</v>
      </c>
      <c r="P181" s="3">
        <f t="shared" si="117"/>
        <v>5.215594625083024E-2</v>
      </c>
      <c r="Q181" s="3">
        <f t="shared" si="117"/>
        <v>5.2155895357507198E-2</v>
      </c>
      <c r="R181" s="3">
        <f t="shared" si="117"/>
        <v>5.2155386427008184E-2</v>
      </c>
      <c r="S181" s="3">
        <f t="shared" si="117"/>
        <v>5.2150297395144332E-2</v>
      </c>
      <c r="T181" s="3">
        <f t="shared" si="117"/>
        <v>5.2099434379277644E-2</v>
      </c>
      <c r="U181" s="3">
        <f t="shared" si="117"/>
        <v>5.1593524666000361E-2</v>
      </c>
      <c r="V181" s="3">
        <f t="shared" si="117"/>
        <v>4.6796901221559571E-2</v>
      </c>
      <c r="W181" s="3">
        <f t="shared" si="117"/>
        <v>1.7637461357476153E-2</v>
      </c>
      <c r="X181" s="3">
        <f t="shared" si="117"/>
        <v>1.0200603503215565E-6</v>
      </c>
      <c r="Y181" s="3">
        <f t="shared" si="117"/>
        <v>4.2709430782060209E-49</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4.3160709564069449E-2</v>
      </c>
      <c r="C182" s="3">
        <f t="shared" si="118"/>
        <v>4.3160709564069449E-2</v>
      </c>
      <c r="D182" s="3">
        <f t="shared" si="118"/>
        <v>4.3160709564069449E-2</v>
      </c>
      <c r="E182" s="3">
        <f t="shared" si="118"/>
        <v>4.3160709564069449E-2</v>
      </c>
      <c r="F182" s="3">
        <f t="shared" si="118"/>
        <v>4.3160709564069449E-2</v>
      </c>
      <c r="G182" s="3">
        <f t="shared" si="118"/>
        <v>4.3160709564069449E-2</v>
      </c>
      <c r="H182" s="3">
        <f t="shared" si="118"/>
        <v>4.3160709564069442E-2</v>
      </c>
      <c r="I182" s="3">
        <f t="shared" si="118"/>
        <v>4.3160709564069408E-2</v>
      </c>
      <c r="J182" s="3">
        <f t="shared" si="118"/>
        <v>4.3160709564069026E-2</v>
      </c>
      <c r="K182" s="3">
        <f t="shared" si="118"/>
        <v>4.3160709564065231E-2</v>
      </c>
      <c r="L182" s="3">
        <f t="shared" si="118"/>
        <v>4.316070956402724E-2</v>
      </c>
      <c r="M182" s="3">
        <f t="shared" si="118"/>
        <v>4.3160709563647315E-2</v>
      </c>
      <c r="N182" s="3">
        <f t="shared" si="118"/>
        <v>4.3160709559848111E-2</v>
      </c>
      <c r="O182" s="3">
        <f t="shared" si="118"/>
        <v>4.3160709521856092E-2</v>
      </c>
      <c r="P182" s="3">
        <f t="shared" si="118"/>
        <v>4.316070914193592E-2</v>
      </c>
      <c r="Q182" s="3">
        <f t="shared" si="118"/>
        <v>4.3160705342734362E-2</v>
      </c>
      <c r="R182" s="3">
        <f t="shared" si="118"/>
        <v>4.3160667350737147E-2</v>
      </c>
      <c r="S182" s="3">
        <f t="shared" si="118"/>
        <v>4.3160287432604354E-2</v>
      </c>
      <c r="T182" s="3">
        <f t="shared" si="118"/>
        <v>4.3156488435202409E-2</v>
      </c>
      <c r="U182" s="3">
        <f t="shared" si="118"/>
        <v>4.3118516847793532E-2</v>
      </c>
      <c r="V182" s="3">
        <f t="shared" si="118"/>
        <v>4.2740633660489621E-2</v>
      </c>
      <c r="W182" s="3">
        <f t="shared" si="118"/>
        <v>3.913923951937831E-2</v>
      </c>
      <c r="X182" s="3">
        <f t="shared" si="118"/>
        <v>1.6230303724063682E-2</v>
      </c>
      <c r="Y182" s="3">
        <f t="shared" si="118"/>
        <v>2.4404464766308638E-6</v>
      </c>
      <c r="Z182" s="3">
        <f t="shared" si="118"/>
        <v>1.441769019971475E-44</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4.9762672836986856E-2</v>
      </c>
      <c r="C183" s="3">
        <f t="shared" si="119"/>
        <v>4.9762672836986856E-2</v>
      </c>
      <c r="D183" s="3">
        <f t="shared" si="119"/>
        <v>4.9762672836986856E-2</v>
      </c>
      <c r="E183" s="3">
        <f t="shared" si="119"/>
        <v>4.9762672836986856E-2</v>
      </c>
      <c r="F183" s="3">
        <f t="shared" si="119"/>
        <v>4.9762672836986856E-2</v>
      </c>
      <c r="G183" s="3">
        <f t="shared" si="119"/>
        <v>4.9762672836986856E-2</v>
      </c>
      <c r="H183" s="3">
        <f t="shared" si="119"/>
        <v>4.9762672836986856E-2</v>
      </c>
      <c r="I183" s="3">
        <f t="shared" si="119"/>
        <v>4.9762672836986849E-2</v>
      </c>
      <c r="J183" s="3">
        <f t="shared" si="119"/>
        <v>4.9762672836986814E-2</v>
      </c>
      <c r="K183" s="3">
        <f t="shared" si="119"/>
        <v>4.9762672836986419E-2</v>
      </c>
      <c r="L183" s="3">
        <f t="shared" si="119"/>
        <v>4.9762672836982463E-2</v>
      </c>
      <c r="M183" s="3">
        <f t="shared" si="119"/>
        <v>4.9762672836942953E-2</v>
      </c>
      <c r="N183" s="3">
        <f t="shared" si="119"/>
        <v>4.9762672836547811E-2</v>
      </c>
      <c r="O183" s="3">
        <f t="shared" si="119"/>
        <v>4.9762672832596382E-2</v>
      </c>
      <c r="P183" s="3">
        <f t="shared" si="119"/>
        <v>4.9762672793082101E-2</v>
      </c>
      <c r="Q183" s="3">
        <f t="shared" si="119"/>
        <v>4.97626723979393E-2</v>
      </c>
      <c r="R183" s="3">
        <f t="shared" si="119"/>
        <v>4.9762668446511504E-2</v>
      </c>
      <c r="S183" s="3">
        <f t="shared" si="119"/>
        <v>4.9762628932250731E-2</v>
      </c>
      <c r="T183" s="3">
        <f t="shared" si="119"/>
        <v>4.9762233791368723E-2</v>
      </c>
      <c r="U183" s="3">
        <f t="shared" si="119"/>
        <v>4.9758282555113782E-2</v>
      </c>
      <c r="V183" s="3">
        <f t="shared" si="119"/>
        <v>4.9718787444005076E-2</v>
      </c>
      <c r="W183" s="3">
        <f t="shared" si="119"/>
        <v>4.9325556419262215E-2</v>
      </c>
      <c r="X183" s="3">
        <f t="shared" si="119"/>
        <v>4.5560306737962755E-2</v>
      </c>
      <c r="Y183" s="3">
        <f t="shared" si="119"/>
        <v>2.0593639329347772E-2</v>
      </c>
      <c r="Z183" s="3">
        <f t="shared" si="119"/>
        <v>7.3315826153720164E-6</v>
      </c>
      <c r="AA183" s="3">
        <f t="shared" si="119"/>
        <v>2.397971606751566E-40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4.7420297810237655E-2</v>
      </c>
      <c r="C184" s="3">
        <f t="shared" si="120"/>
        <v>4.7420297810237655E-2</v>
      </c>
      <c r="D184" s="3">
        <f t="shared" si="120"/>
        <v>4.7420297810237655E-2</v>
      </c>
      <c r="E184" s="3">
        <f t="shared" si="120"/>
        <v>4.7420297810237655E-2</v>
      </c>
      <c r="F184" s="3">
        <f t="shared" si="120"/>
        <v>4.7420297810237655E-2</v>
      </c>
      <c r="G184" s="3">
        <f t="shared" si="120"/>
        <v>4.7420297810237655E-2</v>
      </c>
      <c r="H184" s="3">
        <f t="shared" si="120"/>
        <v>4.7420297810237655E-2</v>
      </c>
      <c r="I184" s="3">
        <f t="shared" si="120"/>
        <v>4.7420297810237655E-2</v>
      </c>
      <c r="J184" s="3">
        <f t="shared" si="120"/>
        <v>4.7420297810237648E-2</v>
      </c>
      <c r="K184" s="3">
        <f t="shared" si="120"/>
        <v>4.742029781023762E-2</v>
      </c>
      <c r="L184" s="3">
        <f t="shared" si="120"/>
        <v>4.7420297810237273E-2</v>
      </c>
      <c r="M184" s="3">
        <f t="shared" si="120"/>
        <v>4.742029781023388E-2</v>
      </c>
      <c r="N184" s="3">
        <f t="shared" si="120"/>
        <v>4.7420297810199914E-2</v>
      </c>
      <c r="O184" s="3">
        <f t="shared" si="120"/>
        <v>4.7420297809860242E-2</v>
      </c>
      <c r="P184" s="3">
        <f t="shared" si="120"/>
        <v>4.7420297806463507E-2</v>
      </c>
      <c r="Q184" s="3">
        <f t="shared" si="120"/>
        <v>4.7420297772496192E-2</v>
      </c>
      <c r="R184" s="3">
        <f t="shared" si="120"/>
        <v>4.7420297432823028E-2</v>
      </c>
      <c r="S184" s="3">
        <f t="shared" si="120"/>
        <v>4.74202940360915E-2</v>
      </c>
      <c r="T184" s="3">
        <f t="shared" si="120"/>
        <v>4.7420260068789591E-2</v>
      </c>
      <c r="U184" s="3">
        <f t="shared" si="120"/>
        <v>4.7419920397108753E-2</v>
      </c>
      <c r="V184" s="3">
        <f t="shared" si="120"/>
        <v>4.7416523814116339E-2</v>
      </c>
      <c r="W184" s="3">
        <f t="shared" si="120"/>
        <v>4.7382571362248244E-2</v>
      </c>
      <c r="X184" s="3">
        <f t="shared" si="120"/>
        <v>4.7044381110338887E-2</v>
      </c>
      <c r="Y184" s="3">
        <f t="shared" si="120"/>
        <v>4.3792435766317375E-2</v>
      </c>
      <c r="Z184" s="3">
        <f t="shared" si="120"/>
        <v>2.1395011400645089E-2</v>
      </c>
      <c r="AA184" s="3">
        <f t="shared" si="120"/>
        <v>1.6574740143984781E-5</v>
      </c>
      <c r="AB184" s="3">
        <f t="shared" si="120"/>
        <v>1.290591466735907E-36</v>
      </c>
      <c r="AC184" s="3">
        <f t="shared" si="120"/>
        <v>0</v>
      </c>
      <c r="AD184" s="3">
        <f t="shared" si="120"/>
        <v>0</v>
      </c>
      <c r="AE184" s="3">
        <f t="shared" si="120"/>
        <v>0</v>
      </c>
      <c r="AF184" s="3">
        <f t="shared" si="120"/>
        <v>0</v>
      </c>
      <c r="AG184" s="3"/>
      <c r="AH184" s="3"/>
    </row>
    <row r="185" spans="2:34" x14ac:dyDescent="0.25">
      <c r="B185" s="3">
        <f t="shared" ref="B185:AF185" si="121">$C32*EXP(-B$168/$A32/EXP(-$C$126))</f>
        <v>5.5060707858971492E-2</v>
      </c>
      <c r="C185" s="3">
        <f t="shared" si="121"/>
        <v>5.5060707858971492E-2</v>
      </c>
      <c r="D185" s="3">
        <f t="shared" si="121"/>
        <v>5.5060707858971492E-2</v>
      </c>
      <c r="E185" s="3">
        <f t="shared" si="121"/>
        <v>5.5060707858971492E-2</v>
      </c>
      <c r="F185" s="3">
        <f t="shared" si="121"/>
        <v>5.5060707858971492E-2</v>
      </c>
      <c r="G185" s="3">
        <f t="shared" si="121"/>
        <v>5.5060707858971492E-2</v>
      </c>
      <c r="H185" s="3">
        <f t="shared" si="121"/>
        <v>5.5060707858971492E-2</v>
      </c>
      <c r="I185" s="3">
        <f t="shared" si="121"/>
        <v>5.5060707858971492E-2</v>
      </c>
      <c r="J185" s="3">
        <f t="shared" si="121"/>
        <v>5.5060707858971492E-2</v>
      </c>
      <c r="K185" s="3">
        <f t="shared" si="121"/>
        <v>5.5060707858971485E-2</v>
      </c>
      <c r="L185" s="3">
        <f t="shared" si="121"/>
        <v>5.5060707858971457E-2</v>
      </c>
      <c r="M185" s="3">
        <f t="shared" si="121"/>
        <v>5.5060707858971096E-2</v>
      </c>
      <c r="N185" s="3">
        <f t="shared" si="121"/>
        <v>5.5060707858967536E-2</v>
      </c>
      <c r="O185" s="3">
        <f t="shared" si="121"/>
        <v>5.5060707858931961E-2</v>
      </c>
      <c r="P185" s="3">
        <f t="shared" si="121"/>
        <v>5.5060707858576176E-2</v>
      </c>
      <c r="Q185" s="3">
        <f t="shared" si="121"/>
        <v>5.5060707855018348E-2</v>
      </c>
      <c r="R185" s="3">
        <f t="shared" si="121"/>
        <v>5.506070781944003E-2</v>
      </c>
      <c r="S185" s="3">
        <f t="shared" si="121"/>
        <v>5.5060707463656912E-2</v>
      </c>
      <c r="T185" s="3">
        <f t="shared" si="121"/>
        <v>5.5060703905825799E-2</v>
      </c>
      <c r="U185" s="3">
        <f t="shared" si="121"/>
        <v>5.5060668327527332E-2</v>
      </c>
      <c r="V185" s="3">
        <f t="shared" si="121"/>
        <v>5.5060312545807094E-2</v>
      </c>
      <c r="W185" s="3">
        <f t="shared" si="121"/>
        <v>5.5056754855043383E-2</v>
      </c>
      <c r="X185" s="3">
        <f t="shared" si="121"/>
        <v>5.5021190588254776E-2</v>
      </c>
      <c r="Y185" s="3">
        <f t="shared" si="121"/>
        <v>5.4666808988250236E-2</v>
      </c>
      <c r="Z185" s="3">
        <f t="shared" si="121"/>
        <v>5.1246136203869933E-2</v>
      </c>
      <c r="AA185" s="3">
        <f t="shared" si="121"/>
        <v>2.6855618075921257E-2</v>
      </c>
      <c r="AB185" s="3">
        <f t="shared" si="121"/>
        <v>4.1954196387785413E-5</v>
      </c>
      <c r="AC185" s="3">
        <f t="shared" si="121"/>
        <v>3.6322685863487532E-33</v>
      </c>
      <c r="AD185" s="3">
        <f t="shared" si="121"/>
        <v>0</v>
      </c>
      <c r="AE185" s="3">
        <f t="shared" si="121"/>
        <v>0</v>
      </c>
      <c r="AF185" s="3">
        <f t="shared" si="121"/>
        <v>0</v>
      </c>
      <c r="AG185" s="3"/>
      <c r="AH185" s="3"/>
    </row>
    <row r="186" spans="2:34" x14ac:dyDescent="0.25">
      <c r="B186" s="3">
        <f t="shared" ref="B186:AF186" si="122">$C33*EXP(-B$168/$A33/EXP(-$C$126))</f>
        <v>8.2774016803130748E-2</v>
      </c>
      <c r="C186" s="3">
        <f t="shared" si="122"/>
        <v>8.2774016803130748E-2</v>
      </c>
      <c r="D186" s="3">
        <f t="shared" si="122"/>
        <v>8.2774016803130748E-2</v>
      </c>
      <c r="E186" s="3">
        <f t="shared" si="122"/>
        <v>8.2774016803130748E-2</v>
      </c>
      <c r="F186" s="3">
        <f t="shared" si="122"/>
        <v>8.2774016803130748E-2</v>
      </c>
      <c r="G186" s="3">
        <f t="shared" si="122"/>
        <v>8.2774016803130748E-2</v>
      </c>
      <c r="H186" s="3">
        <f t="shared" si="122"/>
        <v>8.2774016803130748E-2</v>
      </c>
      <c r="I186" s="3">
        <f t="shared" si="122"/>
        <v>8.2774016803130748E-2</v>
      </c>
      <c r="J186" s="3">
        <f t="shared" si="122"/>
        <v>8.2774016803130748E-2</v>
      </c>
      <c r="K186" s="3">
        <f t="shared" si="122"/>
        <v>8.2774016803130748E-2</v>
      </c>
      <c r="L186" s="3">
        <f t="shared" si="122"/>
        <v>8.2774016803130734E-2</v>
      </c>
      <c r="M186" s="3">
        <f t="shared" si="122"/>
        <v>8.2774016803130693E-2</v>
      </c>
      <c r="N186" s="3">
        <f t="shared" si="122"/>
        <v>8.2774016803130221E-2</v>
      </c>
      <c r="O186" s="3">
        <f t="shared" si="122"/>
        <v>8.2774016803125391E-2</v>
      </c>
      <c r="P186" s="3">
        <f t="shared" si="122"/>
        <v>8.2774016803077138E-2</v>
      </c>
      <c r="Q186" s="3">
        <f t="shared" si="122"/>
        <v>8.2774016802594649E-2</v>
      </c>
      <c r="R186" s="3">
        <f t="shared" si="122"/>
        <v>8.27740167977698E-2</v>
      </c>
      <c r="S186" s="3">
        <f t="shared" si="122"/>
        <v>8.2774016749521256E-2</v>
      </c>
      <c r="T186" s="3">
        <f t="shared" si="122"/>
        <v>8.2774016267035858E-2</v>
      </c>
      <c r="U186" s="3">
        <f t="shared" si="122"/>
        <v>8.2774011442182022E-2</v>
      </c>
      <c r="V186" s="3">
        <f t="shared" si="122"/>
        <v>8.2773963193659122E-2</v>
      </c>
      <c r="W186" s="3">
        <f t="shared" si="122"/>
        <v>8.2773480709976824E-2</v>
      </c>
      <c r="X186" s="3">
        <f t="shared" si="122"/>
        <v>8.2768656027831192E-2</v>
      </c>
      <c r="Y186" s="3">
        <f t="shared" si="122"/>
        <v>8.2720424670770343E-2</v>
      </c>
      <c r="Z186" s="3">
        <f t="shared" si="122"/>
        <v>8.223965420967283E-2</v>
      </c>
      <c r="AA186" s="3">
        <f t="shared" si="122"/>
        <v>7.7582983762157998E-2</v>
      </c>
      <c r="AB186" s="3">
        <f t="shared" si="122"/>
        <v>4.3313023719157899E-2</v>
      </c>
      <c r="AC186" s="3">
        <f t="shared" si="122"/>
        <v>1.2739100234257375E-4</v>
      </c>
      <c r="AD186" s="3">
        <f t="shared" si="122"/>
        <v>6.170797142882363E-30</v>
      </c>
      <c r="AE186" s="3">
        <f t="shared" si="122"/>
        <v>4.389008479408861E-283</v>
      </c>
      <c r="AF186" s="3">
        <f t="shared" si="122"/>
        <v>0</v>
      </c>
      <c r="AG186" s="3"/>
      <c r="AH186" s="3"/>
    </row>
    <row r="187" spans="2:34" x14ac:dyDescent="0.25">
      <c r="B187" s="3">
        <f t="shared" ref="B187:AF187" si="123">$C34*EXP(-B$168/$A34/EXP(-$C$126))</f>
        <v>9.2826583311544017E-2</v>
      </c>
      <c r="C187" s="3">
        <f t="shared" si="123"/>
        <v>9.2826583311544017E-2</v>
      </c>
      <c r="D187" s="3">
        <f t="shared" si="123"/>
        <v>9.2826583311544017E-2</v>
      </c>
      <c r="E187" s="3">
        <f t="shared" si="123"/>
        <v>9.2826583311544017E-2</v>
      </c>
      <c r="F187" s="3">
        <f t="shared" si="123"/>
        <v>9.2826583311544017E-2</v>
      </c>
      <c r="G187" s="3">
        <f t="shared" si="123"/>
        <v>9.2826583311544017E-2</v>
      </c>
      <c r="H187" s="3">
        <f t="shared" si="123"/>
        <v>9.2826583311544017E-2</v>
      </c>
      <c r="I187" s="3">
        <f t="shared" si="123"/>
        <v>9.2826583311544017E-2</v>
      </c>
      <c r="J187" s="3">
        <f t="shared" si="123"/>
        <v>9.2826583311544017E-2</v>
      </c>
      <c r="K187" s="3">
        <f t="shared" si="123"/>
        <v>9.2826583311544017E-2</v>
      </c>
      <c r="L187" s="3">
        <f t="shared" si="123"/>
        <v>9.2826583311544017E-2</v>
      </c>
      <c r="M187" s="3">
        <f t="shared" si="123"/>
        <v>9.2826583311544003E-2</v>
      </c>
      <c r="N187" s="3">
        <f t="shared" si="123"/>
        <v>9.2826583311543961E-2</v>
      </c>
      <c r="O187" s="3">
        <f t="shared" si="123"/>
        <v>9.2826583311543476E-2</v>
      </c>
      <c r="P187" s="3">
        <f t="shared" si="123"/>
        <v>9.2826583311538591E-2</v>
      </c>
      <c r="Q187" s="3">
        <f t="shared" si="123"/>
        <v>9.2826583311489783E-2</v>
      </c>
      <c r="R187" s="3">
        <f t="shared" si="123"/>
        <v>9.2826583311001687E-2</v>
      </c>
      <c r="S187" s="3">
        <f t="shared" si="123"/>
        <v>9.2826583306120689E-2</v>
      </c>
      <c r="T187" s="3">
        <f t="shared" si="123"/>
        <v>9.2826583257310649E-2</v>
      </c>
      <c r="U187" s="3">
        <f t="shared" si="123"/>
        <v>9.2826582769210311E-2</v>
      </c>
      <c r="V187" s="3">
        <f t="shared" si="123"/>
        <v>9.2826577888207168E-2</v>
      </c>
      <c r="W187" s="3">
        <f t="shared" si="123"/>
        <v>9.2826529078189696E-2</v>
      </c>
      <c r="X187" s="3">
        <f t="shared" si="123"/>
        <v>9.2826040979426594E-2</v>
      </c>
      <c r="Y187" s="3">
        <f t="shared" si="123"/>
        <v>9.2821160132951511E-2</v>
      </c>
      <c r="Z187" s="3">
        <f t="shared" si="123"/>
        <v>9.2772365781048333E-2</v>
      </c>
      <c r="AA187" s="3">
        <f t="shared" si="123"/>
        <v>9.2285830804932675E-2</v>
      </c>
      <c r="AB187" s="3">
        <f t="shared" si="123"/>
        <v>8.7558633085866033E-2</v>
      </c>
      <c r="AC187" s="3">
        <f t="shared" si="123"/>
        <v>5.1753346762491055E-2</v>
      </c>
      <c r="AD187" s="3">
        <f t="shared" si="123"/>
        <v>2.6936000275765143E-4</v>
      </c>
      <c r="AE187" s="3">
        <f t="shared" si="123"/>
        <v>3.9289797285374345E-27</v>
      </c>
      <c r="AF187" s="3">
        <f t="shared" si="123"/>
        <v>1.7129575111619423E-255</v>
      </c>
      <c r="AG187" s="3"/>
      <c r="AH187" s="3"/>
    </row>
    <row r="188" spans="2:34" x14ac:dyDescent="0.25">
      <c r="B188" s="3">
        <f t="shared" ref="B188:AF188" si="124">$C35*EXP(-B$168/$A35/EXP(-$C$126))</f>
        <v>0.10795546608785625</v>
      </c>
      <c r="C188" s="3">
        <f t="shared" si="124"/>
        <v>0.10795546608785625</v>
      </c>
      <c r="D188" s="3">
        <f t="shared" si="124"/>
        <v>0.10795546608785625</v>
      </c>
      <c r="E188" s="3">
        <f t="shared" si="124"/>
        <v>0.10795546608785625</v>
      </c>
      <c r="F188" s="3">
        <f t="shared" si="124"/>
        <v>0.10795546608785625</v>
      </c>
      <c r="G188" s="3">
        <f t="shared" si="124"/>
        <v>0.10795546608785625</v>
      </c>
      <c r="H188" s="3">
        <f t="shared" si="124"/>
        <v>0.10795546608785625</v>
      </c>
      <c r="I188" s="3">
        <f t="shared" si="124"/>
        <v>0.10795546608785625</v>
      </c>
      <c r="J188" s="3">
        <f t="shared" si="124"/>
        <v>0.10795546608785625</v>
      </c>
      <c r="K188" s="3">
        <f t="shared" si="124"/>
        <v>0.10795546608785625</v>
      </c>
      <c r="L188" s="3">
        <f t="shared" si="124"/>
        <v>0.10795546608785625</v>
      </c>
      <c r="M188" s="3">
        <f t="shared" si="124"/>
        <v>0.10795546608785625</v>
      </c>
      <c r="N188" s="3">
        <f t="shared" si="124"/>
        <v>0.10795546608785625</v>
      </c>
      <c r="O188" s="3">
        <f t="shared" si="124"/>
        <v>0.10795546608785619</v>
      </c>
      <c r="P188" s="3">
        <f t="shared" si="124"/>
        <v>0.10795546608785568</v>
      </c>
      <c r="Q188" s="3">
        <f t="shared" si="124"/>
        <v>0.10795546608785056</v>
      </c>
      <c r="R188" s="3">
        <f t="shared" si="124"/>
        <v>0.10795546608779935</v>
      </c>
      <c r="S188" s="3">
        <f t="shared" si="124"/>
        <v>0.10795546608728729</v>
      </c>
      <c r="T188" s="3">
        <f t="shared" si="124"/>
        <v>0.10795546608216661</v>
      </c>
      <c r="U188" s="3">
        <f t="shared" si="124"/>
        <v>0.10795546603095976</v>
      </c>
      <c r="V188" s="3">
        <f t="shared" si="124"/>
        <v>0.10795546551889137</v>
      </c>
      <c r="W188" s="3">
        <f t="shared" si="124"/>
        <v>0.10795546039820766</v>
      </c>
      <c r="X188" s="3">
        <f t="shared" si="124"/>
        <v>0.10795540919138384</v>
      </c>
      <c r="Y188" s="3">
        <f t="shared" si="124"/>
        <v>0.10795489712448157</v>
      </c>
      <c r="Z188" s="3">
        <f t="shared" si="124"/>
        <v>0.10794977658904624</v>
      </c>
      <c r="AA188" s="3">
        <f t="shared" si="124"/>
        <v>0.10789858459108914</v>
      </c>
      <c r="AB188" s="3">
        <f t="shared" si="124"/>
        <v>0.10738799791002833</v>
      </c>
      <c r="AC188" s="3">
        <f t="shared" si="124"/>
        <v>0.10241315036122628</v>
      </c>
      <c r="AD188" s="3">
        <f t="shared" si="124"/>
        <v>6.3731703514576674E-2</v>
      </c>
      <c r="AE188" s="3">
        <f t="shared" si="124"/>
        <v>5.5507739312233716E-4</v>
      </c>
      <c r="AF188" s="3">
        <f t="shared" si="124"/>
        <v>1.3942275782320173E-24</v>
      </c>
      <c r="AG188" s="3"/>
      <c r="AH188" s="3"/>
    </row>
    <row r="189" spans="2:34" x14ac:dyDescent="0.25">
      <c r="B189" s="3">
        <f t="shared" ref="B189:AF189" si="125">$C36*EXP(-B$168/$A36/EXP(-$C$126))</f>
        <v>0.11222824358997255</v>
      </c>
      <c r="C189" s="3">
        <f t="shared" si="125"/>
        <v>0.11222824358997255</v>
      </c>
      <c r="D189" s="3">
        <f t="shared" si="125"/>
        <v>0.11222824358997255</v>
      </c>
      <c r="E189" s="3">
        <f t="shared" si="125"/>
        <v>0.11222824358997255</v>
      </c>
      <c r="F189" s="3">
        <f t="shared" si="125"/>
        <v>0.11222824358997255</v>
      </c>
      <c r="G189" s="3">
        <f t="shared" si="125"/>
        <v>0.11222824358997255</v>
      </c>
      <c r="H189" s="3">
        <f t="shared" si="125"/>
        <v>0.11222824358997255</v>
      </c>
      <c r="I189" s="3">
        <f t="shared" si="125"/>
        <v>0.11222824358997255</v>
      </c>
      <c r="J189" s="3">
        <f t="shared" si="125"/>
        <v>0.11222824358997255</v>
      </c>
      <c r="K189" s="3">
        <f t="shared" si="125"/>
        <v>0.11222824358997255</v>
      </c>
      <c r="L189" s="3">
        <f t="shared" si="125"/>
        <v>0.11222824358997255</v>
      </c>
      <c r="M189" s="3">
        <f t="shared" si="125"/>
        <v>0.11222824358997255</v>
      </c>
      <c r="N189" s="3">
        <f t="shared" si="125"/>
        <v>0.11222824358997255</v>
      </c>
      <c r="O189" s="3">
        <f t="shared" si="125"/>
        <v>0.11222824358997255</v>
      </c>
      <c r="P189" s="3">
        <f t="shared" si="125"/>
        <v>0.11222824358997249</v>
      </c>
      <c r="Q189" s="3">
        <f t="shared" si="125"/>
        <v>0.11222824358997201</v>
      </c>
      <c r="R189" s="3">
        <f t="shared" si="125"/>
        <v>0.11222824358996722</v>
      </c>
      <c r="S189" s="3">
        <f t="shared" si="125"/>
        <v>0.1122282435899192</v>
      </c>
      <c r="T189" s="3">
        <f t="shared" si="125"/>
        <v>0.11222824358943898</v>
      </c>
      <c r="U189" s="3">
        <f t="shared" si="125"/>
        <v>0.11222824358463687</v>
      </c>
      <c r="V189" s="3">
        <f t="shared" si="125"/>
        <v>0.11222824353661577</v>
      </c>
      <c r="W189" s="3">
        <f t="shared" si="125"/>
        <v>0.11222824305640479</v>
      </c>
      <c r="X189" s="3">
        <f t="shared" si="125"/>
        <v>0.11222823825429513</v>
      </c>
      <c r="Y189" s="3">
        <f t="shared" si="125"/>
        <v>0.11222819023320979</v>
      </c>
      <c r="Z189" s="3">
        <f t="shared" si="125"/>
        <v>0.1122277100234865</v>
      </c>
      <c r="AA189" s="3">
        <f t="shared" si="125"/>
        <v>0.11222290803926356</v>
      </c>
      <c r="AB189" s="3">
        <f t="shared" si="125"/>
        <v>0.11217489949624995</v>
      </c>
      <c r="AC189" s="3">
        <f t="shared" si="125"/>
        <v>0.11169594220085495</v>
      </c>
      <c r="AD189" s="3">
        <f t="shared" si="125"/>
        <v>0.10701741693281454</v>
      </c>
      <c r="AE189" s="3">
        <f t="shared" si="125"/>
        <v>6.9762999882439128E-2</v>
      </c>
      <c r="AF189" s="3">
        <f t="shared" si="125"/>
        <v>9.6678962109647223E-4</v>
      </c>
      <c r="AG189" s="3"/>
      <c r="AH189" s="3"/>
    </row>
    <row r="190" spans="2:34" x14ac:dyDescent="0.25">
      <c r="B190" s="3">
        <f t="shared" ref="B190:AF190" si="126">$C37*EXP(-B$168/$A37/EXP(-$C$126))</f>
        <v>8.9690702482137605E-2</v>
      </c>
      <c r="C190" s="3">
        <f t="shared" si="126"/>
        <v>8.9690702482137605E-2</v>
      </c>
      <c r="D190" s="3">
        <f t="shared" si="126"/>
        <v>8.9690702482137605E-2</v>
      </c>
      <c r="E190" s="3">
        <f t="shared" si="126"/>
        <v>8.9690702482137605E-2</v>
      </c>
      <c r="F190" s="3">
        <f t="shared" si="126"/>
        <v>8.9690702482137605E-2</v>
      </c>
      <c r="G190" s="3">
        <f t="shared" si="126"/>
        <v>8.9690702482137605E-2</v>
      </c>
      <c r="H190" s="3">
        <f t="shared" si="126"/>
        <v>8.9690702482137605E-2</v>
      </c>
      <c r="I190" s="3">
        <f t="shared" si="126"/>
        <v>8.9690702482137605E-2</v>
      </c>
      <c r="J190" s="3">
        <f t="shared" si="126"/>
        <v>8.9690702482137605E-2</v>
      </c>
      <c r="K190" s="3">
        <f t="shared" si="126"/>
        <v>8.9690702482137605E-2</v>
      </c>
      <c r="L190" s="3">
        <f t="shared" si="126"/>
        <v>8.9690702482137605E-2</v>
      </c>
      <c r="M190" s="3">
        <f t="shared" si="126"/>
        <v>8.9690702482137605E-2</v>
      </c>
      <c r="N190" s="3">
        <f t="shared" si="126"/>
        <v>8.9690702482137605E-2</v>
      </c>
      <c r="O190" s="3">
        <f t="shared" si="126"/>
        <v>8.9690702482137605E-2</v>
      </c>
      <c r="P190" s="3">
        <f t="shared" si="126"/>
        <v>8.9690702482137605E-2</v>
      </c>
      <c r="Q190" s="3">
        <f t="shared" si="126"/>
        <v>8.9690702482137563E-2</v>
      </c>
      <c r="R190" s="3">
        <f t="shared" si="126"/>
        <v>8.9690702482137216E-2</v>
      </c>
      <c r="S190" s="3">
        <f t="shared" si="126"/>
        <v>8.9690702482133761E-2</v>
      </c>
      <c r="T190" s="3">
        <f t="shared" si="126"/>
        <v>8.9690702482099136E-2</v>
      </c>
      <c r="U190" s="3">
        <f t="shared" si="126"/>
        <v>8.969070248175294E-2</v>
      </c>
      <c r="V190" s="3">
        <f t="shared" si="126"/>
        <v>8.9690702478290973E-2</v>
      </c>
      <c r="W190" s="3">
        <f t="shared" si="126"/>
        <v>8.9690702443671208E-2</v>
      </c>
      <c r="X190" s="3">
        <f t="shared" si="126"/>
        <v>8.9690702097473707E-2</v>
      </c>
      <c r="Y190" s="3">
        <f t="shared" si="126"/>
        <v>8.9690698635498722E-2</v>
      </c>
      <c r="Z190" s="3">
        <f t="shared" si="126"/>
        <v>8.9690664015756261E-2</v>
      </c>
      <c r="AA190" s="3">
        <f t="shared" si="126"/>
        <v>8.9690317819066487E-2</v>
      </c>
      <c r="AB190" s="3">
        <f t="shared" si="126"/>
        <v>8.9686855925663514E-2</v>
      </c>
      <c r="AC190" s="3">
        <f t="shared" si="126"/>
        <v>8.9652244340057988E-2</v>
      </c>
      <c r="AD190" s="3">
        <f t="shared" si="126"/>
        <v>8.9306862278032986E-2</v>
      </c>
      <c r="AE190" s="3">
        <f t="shared" si="126"/>
        <v>8.5925383814277778E-2</v>
      </c>
      <c r="AF190" s="3">
        <f t="shared" si="126"/>
        <v>5.8410103725737322E-2</v>
      </c>
      <c r="AG190" s="3"/>
      <c r="AH190" s="3"/>
    </row>
    <row r="191" spans="2:34" x14ac:dyDescent="0.25">
      <c r="B191" s="3">
        <f t="shared" ref="B191:AF191" si="127">$C38*EXP(-B$168/$A38/EXP(-$C$126))</f>
        <v>3.260199419264094E-2</v>
      </c>
      <c r="C191" s="3">
        <f t="shared" si="127"/>
        <v>3.260199419264094E-2</v>
      </c>
      <c r="D191" s="3">
        <f t="shared" si="127"/>
        <v>3.260199419264094E-2</v>
      </c>
      <c r="E191" s="3">
        <f t="shared" si="127"/>
        <v>3.260199419264094E-2</v>
      </c>
      <c r="F191" s="3">
        <f t="shared" si="127"/>
        <v>3.260199419264094E-2</v>
      </c>
      <c r="G191" s="3">
        <f t="shared" si="127"/>
        <v>3.260199419264094E-2</v>
      </c>
      <c r="H191" s="3">
        <f t="shared" si="127"/>
        <v>3.260199419264094E-2</v>
      </c>
      <c r="I191" s="3">
        <f t="shared" si="127"/>
        <v>3.260199419264094E-2</v>
      </c>
      <c r="J191" s="3">
        <f t="shared" si="127"/>
        <v>3.260199419264094E-2</v>
      </c>
      <c r="K191" s="3">
        <f t="shared" si="127"/>
        <v>3.260199419264094E-2</v>
      </c>
      <c r="L191" s="3">
        <f t="shared" si="127"/>
        <v>3.260199419264094E-2</v>
      </c>
      <c r="M191" s="3">
        <f t="shared" si="127"/>
        <v>3.260199419264094E-2</v>
      </c>
      <c r="N191" s="3">
        <f t="shared" si="127"/>
        <v>3.260199419264094E-2</v>
      </c>
      <c r="O191" s="3">
        <f t="shared" si="127"/>
        <v>3.260199419264094E-2</v>
      </c>
      <c r="P191" s="3">
        <f t="shared" si="127"/>
        <v>3.260199419264094E-2</v>
      </c>
      <c r="Q191" s="3">
        <f t="shared" si="127"/>
        <v>3.260199419264094E-2</v>
      </c>
      <c r="R191" s="3">
        <f t="shared" si="127"/>
        <v>3.2601994192640926E-2</v>
      </c>
      <c r="S191" s="3">
        <f t="shared" si="127"/>
        <v>3.2601994192640815E-2</v>
      </c>
      <c r="T191" s="3">
        <f t="shared" si="127"/>
        <v>3.2601994192639677E-2</v>
      </c>
      <c r="U191" s="3">
        <f t="shared" si="127"/>
        <v>3.2601994192628325E-2</v>
      </c>
      <c r="V191" s="3">
        <f t="shared" si="127"/>
        <v>3.2601994192514812E-2</v>
      </c>
      <c r="W191" s="3">
        <f t="shared" si="127"/>
        <v>3.2601994191379623E-2</v>
      </c>
      <c r="X191" s="3">
        <f t="shared" si="127"/>
        <v>3.2601994180027752E-2</v>
      </c>
      <c r="Y191" s="3">
        <f t="shared" si="127"/>
        <v>3.2601994066509092E-2</v>
      </c>
      <c r="Z191" s="3">
        <f t="shared" si="127"/>
        <v>3.2601992931322488E-2</v>
      </c>
      <c r="AA191" s="3">
        <f t="shared" si="127"/>
        <v>3.2601981579458629E-2</v>
      </c>
      <c r="AB191" s="3">
        <f t="shared" si="127"/>
        <v>3.2601868061037431E-2</v>
      </c>
      <c r="AC191" s="3">
        <f t="shared" si="127"/>
        <v>3.2600732898564778E-2</v>
      </c>
      <c r="AD191" s="3">
        <f t="shared" si="127"/>
        <v>3.2589383447494624E-2</v>
      </c>
      <c r="AE191" s="3">
        <f t="shared" si="127"/>
        <v>3.2476106022654661E-2</v>
      </c>
      <c r="AF191" s="3">
        <f t="shared" si="127"/>
        <v>3.1364763269383894E-2</v>
      </c>
      <c r="AG191" s="3"/>
      <c r="AH191" s="3"/>
    </row>
    <row r="192" spans="2:34" x14ac:dyDescent="0.25">
      <c r="B192" s="3">
        <f t="shared" ref="B192:AF192" si="128">$C39*EXP(-B$168/$A39/EXP(-$C$126))</f>
        <v>3.3353536546241076E-2</v>
      </c>
      <c r="C192" s="3">
        <f t="shared" si="128"/>
        <v>3.3353536546241076E-2</v>
      </c>
      <c r="D192" s="3">
        <f t="shared" si="128"/>
        <v>3.3353536546241076E-2</v>
      </c>
      <c r="E192" s="3">
        <f t="shared" si="128"/>
        <v>3.3353536546241076E-2</v>
      </c>
      <c r="F192" s="3">
        <f t="shared" si="128"/>
        <v>3.3353536546241076E-2</v>
      </c>
      <c r="G192" s="3">
        <f t="shared" si="128"/>
        <v>3.3353536546241076E-2</v>
      </c>
      <c r="H192" s="3">
        <f t="shared" si="128"/>
        <v>3.3353536546241076E-2</v>
      </c>
      <c r="I192" s="3">
        <f t="shared" si="128"/>
        <v>3.3353536546241076E-2</v>
      </c>
      <c r="J192" s="3">
        <f t="shared" si="128"/>
        <v>3.3353536546241076E-2</v>
      </c>
      <c r="K192" s="3">
        <f t="shared" si="128"/>
        <v>3.3353536546241076E-2</v>
      </c>
      <c r="L192" s="3">
        <f t="shared" si="128"/>
        <v>3.3353536546241076E-2</v>
      </c>
      <c r="M192" s="3">
        <f t="shared" si="128"/>
        <v>3.3353536546241076E-2</v>
      </c>
      <c r="N192" s="3">
        <f t="shared" si="128"/>
        <v>3.3353536546241076E-2</v>
      </c>
      <c r="O192" s="3">
        <f t="shared" si="128"/>
        <v>3.3353536546241076E-2</v>
      </c>
      <c r="P192" s="3">
        <f t="shared" si="128"/>
        <v>3.3353536546241076E-2</v>
      </c>
      <c r="Q192" s="3">
        <f t="shared" si="128"/>
        <v>3.3353536546241076E-2</v>
      </c>
      <c r="R192" s="3">
        <f t="shared" si="128"/>
        <v>3.3353536546241069E-2</v>
      </c>
      <c r="S192" s="3">
        <f t="shared" si="128"/>
        <v>3.3353536546241042E-2</v>
      </c>
      <c r="T192" s="3">
        <f t="shared" si="128"/>
        <v>3.3353536546240722E-2</v>
      </c>
      <c r="U192" s="3">
        <f t="shared" si="128"/>
        <v>3.335353654623751E-2</v>
      </c>
      <c r="V192" s="3">
        <f t="shared" si="128"/>
        <v>3.335353654620539E-2</v>
      </c>
      <c r="W192" s="3">
        <f t="shared" si="128"/>
        <v>3.3353536545884188E-2</v>
      </c>
      <c r="X192" s="3">
        <f t="shared" si="128"/>
        <v>3.3353536542672167E-2</v>
      </c>
      <c r="Y192" s="3">
        <f t="shared" si="128"/>
        <v>3.3353536510552E-2</v>
      </c>
      <c r="Z192" s="3">
        <f t="shared" si="128"/>
        <v>3.3353536189350282E-2</v>
      </c>
      <c r="AA192" s="3">
        <f t="shared" si="128"/>
        <v>3.3353532977333351E-2</v>
      </c>
      <c r="AB192" s="3">
        <f t="shared" si="128"/>
        <v>3.3353500857180973E-2</v>
      </c>
      <c r="AC192" s="3">
        <f t="shared" si="128"/>
        <v>3.3353179657358532E-2</v>
      </c>
      <c r="AD192" s="3">
        <f t="shared" si="128"/>
        <v>3.3349967829255651E-2</v>
      </c>
      <c r="AE192" s="3">
        <f t="shared" si="128"/>
        <v>3.331786655432082E-2</v>
      </c>
      <c r="AF192" s="3">
        <f t="shared" si="128"/>
        <v>3.2998548370376385E-2</v>
      </c>
      <c r="AG192" s="3"/>
      <c r="AH192" s="3"/>
    </row>
    <row r="193" spans="1:34" x14ac:dyDescent="0.25">
      <c r="B193" s="3">
        <f t="shared" ref="B193:AF193" si="129">$C40*EXP(-B$168/$A40/EXP(-$C$126))</f>
        <v>1.7436587013509221E-2</v>
      </c>
      <c r="C193" s="3">
        <f t="shared" si="129"/>
        <v>1.7436587013509221E-2</v>
      </c>
      <c r="D193" s="3">
        <f t="shared" si="129"/>
        <v>1.7436587013509221E-2</v>
      </c>
      <c r="E193" s="3">
        <f t="shared" si="129"/>
        <v>1.7436587013509221E-2</v>
      </c>
      <c r="F193" s="3">
        <f t="shared" si="129"/>
        <v>1.7436587013509221E-2</v>
      </c>
      <c r="G193" s="3">
        <f t="shared" si="129"/>
        <v>1.7436587013509221E-2</v>
      </c>
      <c r="H193" s="3">
        <f t="shared" si="129"/>
        <v>1.7436587013509221E-2</v>
      </c>
      <c r="I193" s="3">
        <f t="shared" si="129"/>
        <v>1.7436587013509221E-2</v>
      </c>
      <c r="J193" s="3">
        <f t="shared" si="129"/>
        <v>1.7436587013509221E-2</v>
      </c>
      <c r="K193" s="3">
        <f t="shared" si="129"/>
        <v>1.7436587013509221E-2</v>
      </c>
      <c r="L193" s="3">
        <f t="shared" si="129"/>
        <v>1.7436587013509221E-2</v>
      </c>
      <c r="M193" s="3">
        <f t="shared" si="129"/>
        <v>1.7436587013509221E-2</v>
      </c>
      <c r="N193" s="3">
        <f t="shared" si="129"/>
        <v>1.7436587013509221E-2</v>
      </c>
      <c r="O193" s="3">
        <f t="shared" si="129"/>
        <v>1.7436587013509221E-2</v>
      </c>
      <c r="P193" s="3">
        <f t="shared" si="129"/>
        <v>1.7436587013509221E-2</v>
      </c>
      <c r="Q193" s="3">
        <f t="shared" si="129"/>
        <v>1.7436587013509221E-2</v>
      </c>
      <c r="R193" s="3">
        <f t="shared" si="129"/>
        <v>1.7436587013509221E-2</v>
      </c>
      <c r="S193" s="3">
        <f t="shared" si="129"/>
        <v>1.7436587013509218E-2</v>
      </c>
      <c r="T193" s="3">
        <f t="shared" si="129"/>
        <v>1.7436587013509201E-2</v>
      </c>
      <c r="U193" s="3">
        <f t="shared" si="129"/>
        <v>1.7436587013509034E-2</v>
      </c>
      <c r="V193" s="3">
        <f t="shared" si="129"/>
        <v>1.7436587013507355E-2</v>
      </c>
      <c r="W193" s="3">
        <f t="shared" si="129"/>
        <v>1.7436587013490563E-2</v>
      </c>
      <c r="X193" s="3">
        <f t="shared" si="129"/>
        <v>1.7436587013322645E-2</v>
      </c>
      <c r="Y193" s="3">
        <f t="shared" si="129"/>
        <v>1.7436587011643464E-2</v>
      </c>
      <c r="Z193" s="3">
        <f t="shared" si="129"/>
        <v>1.7436586994851656E-2</v>
      </c>
      <c r="AA193" s="3">
        <f t="shared" si="129"/>
        <v>1.7436586826933585E-2</v>
      </c>
      <c r="AB193" s="3">
        <f t="shared" si="129"/>
        <v>1.7436585147752946E-2</v>
      </c>
      <c r="AC193" s="3">
        <f t="shared" si="129"/>
        <v>1.7436568355955442E-2</v>
      </c>
      <c r="AD193" s="3">
        <f t="shared" si="129"/>
        <v>1.7436400438869799E-2</v>
      </c>
      <c r="AE193" s="3">
        <f t="shared" si="129"/>
        <v>1.7434721356949633E-2</v>
      </c>
      <c r="AF193" s="3">
        <f t="shared" si="129"/>
        <v>1.7417939428206644E-2</v>
      </c>
      <c r="AG193" s="3"/>
      <c r="AH193" s="3"/>
    </row>
    <row r="194" spans="1:34" x14ac:dyDescent="0.25">
      <c r="B194" s="3">
        <f t="shared" ref="B194:AF194" si="130">$C41*EXP(-B$168/$A41/EXP(-$C$126))</f>
        <v>4.7217849635186409E-4</v>
      </c>
      <c r="C194" s="3">
        <f t="shared" si="130"/>
        <v>4.7217849635186409E-4</v>
      </c>
      <c r="D194" s="3">
        <f t="shared" si="130"/>
        <v>4.7217849635186409E-4</v>
      </c>
      <c r="E194" s="3">
        <f t="shared" si="130"/>
        <v>4.7217849635186409E-4</v>
      </c>
      <c r="F194" s="3">
        <f t="shared" si="130"/>
        <v>4.7217849635186409E-4</v>
      </c>
      <c r="G194" s="3">
        <f t="shared" si="130"/>
        <v>4.7217849635186409E-4</v>
      </c>
      <c r="H194" s="3">
        <f t="shared" si="130"/>
        <v>4.7217849635186409E-4</v>
      </c>
      <c r="I194" s="3">
        <f t="shared" si="130"/>
        <v>4.7217849635186409E-4</v>
      </c>
      <c r="J194" s="3">
        <f t="shared" si="130"/>
        <v>4.7217849635186409E-4</v>
      </c>
      <c r="K194" s="3">
        <f t="shared" si="130"/>
        <v>4.7217849635186409E-4</v>
      </c>
      <c r="L194" s="3">
        <f t="shared" si="130"/>
        <v>4.7217849635186409E-4</v>
      </c>
      <c r="M194" s="3">
        <f t="shared" si="130"/>
        <v>4.7217849635186409E-4</v>
      </c>
      <c r="N194" s="3">
        <f t="shared" si="130"/>
        <v>4.7217849635186409E-4</v>
      </c>
      <c r="O194" s="3">
        <f t="shared" si="130"/>
        <v>4.7217849635186409E-4</v>
      </c>
      <c r="P194" s="3">
        <f t="shared" si="130"/>
        <v>4.7217849635186409E-4</v>
      </c>
      <c r="Q194" s="3">
        <f t="shared" si="130"/>
        <v>4.7217849635186409E-4</v>
      </c>
      <c r="R194" s="3">
        <f t="shared" si="130"/>
        <v>4.7217849635186409E-4</v>
      </c>
      <c r="S194" s="3">
        <f t="shared" si="130"/>
        <v>4.7217849635186409E-4</v>
      </c>
      <c r="T194" s="3">
        <f t="shared" si="130"/>
        <v>4.7217849635186403E-4</v>
      </c>
      <c r="U194" s="3">
        <f t="shared" si="130"/>
        <v>4.7217849635186355E-4</v>
      </c>
      <c r="V194" s="3">
        <f t="shared" si="130"/>
        <v>4.7217849635185905E-4</v>
      </c>
      <c r="W194" s="3">
        <f t="shared" si="130"/>
        <v>4.7217849635181356E-4</v>
      </c>
      <c r="X194" s="3">
        <f t="shared" si="130"/>
        <v>4.7217849635135885E-4</v>
      </c>
      <c r="Y194" s="3">
        <f t="shared" si="130"/>
        <v>4.7217849634681165E-4</v>
      </c>
      <c r="Z194" s="3">
        <f t="shared" si="130"/>
        <v>4.7217849630133983E-4</v>
      </c>
      <c r="AA194" s="3">
        <f t="shared" si="130"/>
        <v>4.7217849584662181E-4</v>
      </c>
      <c r="AB194" s="3">
        <f t="shared" si="130"/>
        <v>4.7217849129944163E-4</v>
      </c>
      <c r="AC194" s="3">
        <f t="shared" si="130"/>
        <v>4.7217844582764213E-4</v>
      </c>
      <c r="AD194" s="3">
        <f t="shared" si="130"/>
        <v>4.7217799110988741E-4</v>
      </c>
      <c r="AE194" s="3">
        <f t="shared" si="130"/>
        <v>4.72173443956425E-4</v>
      </c>
      <c r="AF194" s="3">
        <f t="shared" si="130"/>
        <v>4.7212797483017332E-4</v>
      </c>
      <c r="AG194" s="3"/>
      <c r="AH194" s="3"/>
    </row>
    <row r="195" spans="1:34" x14ac:dyDescent="0.25">
      <c r="B195" s="3">
        <f t="shared" ref="B195:AF195" si="131">$C42*EXP(-B$168/$A42/EXP(-$C$126))</f>
        <v>3.9532606595692786E-3</v>
      </c>
      <c r="C195" s="3">
        <f t="shared" si="131"/>
        <v>3.9532606595692786E-3</v>
      </c>
      <c r="D195" s="3">
        <f t="shared" si="131"/>
        <v>3.9532606595692786E-3</v>
      </c>
      <c r="E195" s="3">
        <f t="shared" si="131"/>
        <v>3.9532606595692786E-3</v>
      </c>
      <c r="F195" s="3">
        <f t="shared" si="131"/>
        <v>3.9532606595692786E-3</v>
      </c>
      <c r="G195" s="3">
        <f t="shared" si="131"/>
        <v>3.9532606595692786E-3</v>
      </c>
      <c r="H195" s="3">
        <f t="shared" si="131"/>
        <v>3.9532606595692786E-3</v>
      </c>
      <c r="I195" s="3">
        <f t="shared" si="131"/>
        <v>3.9532606595692786E-3</v>
      </c>
      <c r="J195" s="3">
        <f t="shared" si="131"/>
        <v>3.9532606595692786E-3</v>
      </c>
      <c r="K195" s="3">
        <f t="shared" si="131"/>
        <v>3.9532606595692786E-3</v>
      </c>
      <c r="L195" s="3">
        <f t="shared" si="131"/>
        <v>3.9532606595692786E-3</v>
      </c>
      <c r="M195" s="3">
        <f t="shared" si="131"/>
        <v>3.9532606595692786E-3</v>
      </c>
      <c r="N195" s="3">
        <f t="shared" si="131"/>
        <v>3.9532606595692786E-3</v>
      </c>
      <c r="O195" s="3">
        <f t="shared" si="131"/>
        <v>3.9532606595692786E-3</v>
      </c>
      <c r="P195" s="3">
        <f t="shared" si="131"/>
        <v>3.9532606595692786E-3</v>
      </c>
      <c r="Q195" s="3">
        <f t="shared" si="131"/>
        <v>3.9532606595692786E-3</v>
      </c>
      <c r="R195" s="3">
        <f t="shared" si="131"/>
        <v>3.9532606595692786E-3</v>
      </c>
      <c r="S195" s="3">
        <f t="shared" si="131"/>
        <v>3.9532606595692786E-3</v>
      </c>
      <c r="T195" s="3">
        <f t="shared" si="131"/>
        <v>3.9532606595692786E-3</v>
      </c>
      <c r="U195" s="3">
        <f t="shared" si="131"/>
        <v>3.9532606595692778E-3</v>
      </c>
      <c r="V195" s="3">
        <f t="shared" si="131"/>
        <v>3.9532606595692743E-3</v>
      </c>
      <c r="W195" s="3">
        <f t="shared" si="131"/>
        <v>3.9532606595692361E-3</v>
      </c>
      <c r="X195" s="3">
        <f t="shared" si="131"/>
        <v>3.9532606595688554E-3</v>
      </c>
      <c r="Y195" s="3">
        <f t="shared" si="131"/>
        <v>3.9532606595650485E-3</v>
      </c>
      <c r="Z195" s="3">
        <f t="shared" si="131"/>
        <v>3.9532606595269783E-3</v>
      </c>
      <c r="AA195" s="3">
        <f t="shared" si="131"/>
        <v>3.9532606591462707E-3</v>
      </c>
      <c r="AB195" s="3">
        <f t="shared" si="131"/>
        <v>3.9532606553391953E-3</v>
      </c>
      <c r="AC195" s="3">
        <f t="shared" si="131"/>
        <v>3.9532606172684474E-3</v>
      </c>
      <c r="AD195" s="3">
        <f t="shared" si="131"/>
        <v>3.9532602365609871E-3</v>
      </c>
      <c r="AE195" s="3">
        <f t="shared" si="131"/>
        <v>3.9532564294883976E-3</v>
      </c>
      <c r="AF195" s="3">
        <f t="shared" si="131"/>
        <v>3.9532183589641471E-3</v>
      </c>
      <c r="AG195" s="3"/>
      <c r="AH195" s="3"/>
    </row>
    <row r="196" spans="1:34" x14ac:dyDescent="0.25">
      <c r="B196" s="3">
        <f t="shared" ref="B196:AF196" si="132">$C43*EXP(-B$168/$A43/EXP(-$C$126))</f>
        <v>4.2057154474780992E-7</v>
      </c>
      <c r="C196" s="3">
        <f t="shared" si="132"/>
        <v>4.2057154474780992E-7</v>
      </c>
      <c r="D196" s="3">
        <f t="shared" si="132"/>
        <v>4.2057154474780992E-7</v>
      </c>
      <c r="E196" s="3">
        <f t="shared" si="132"/>
        <v>4.2057154474780992E-7</v>
      </c>
      <c r="F196" s="3">
        <f t="shared" si="132"/>
        <v>4.2057154474780992E-7</v>
      </c>
      <c r="G196" s="3">
        <f t="shared" si="132"/>
        <v>4.2057154474780992E-7</v>
      </c>
      <c r="H196" s="3">
        <f t="shared" si="132"/>
        <v>4.2057154474780992E-7</v>
      </c>
      <c r="I196" s="3">
        <f t="shared" si="132"/>
        <v>4.2057154474780992E-7</v>
      </c>
      <c r="J196" s="3">
        <f t="shared" si="132"/>
        <v>4.2057154474780992E-7</v>
      </c>
      <c r="K196" s="3">
        <f t="shared" si="132"/>
        <v>4.2057154474780992E-7</v>
      </c>
      <c r="L196" s="3">
        <f t="shared" si="132"/>
        <v>4.2057154474780992E-7</v>
      </c>
      <c r="M196" s="3">
        <f t="shared" si="132"/>
        <v>4.2057154474780992E-7</v>
      </c>
      <c r="N196" s="3">
        <f t="shared" si="132"/>
        <v>4.2057154474780992E-7</v>
      </c>
      <c r="O196" s="3">
        <f t="shared" si="132"/>
        <v>4.2057154474780992E-7</v>
      </c>
      <c r="P196" s="3">
        <f t="shared" si="132"/>
        <v>4.2057154474780992E-7</v>
      </c>
      <c r="Q196" s="3">
        <f t="shared" si="132"/>
        <v>4.2057154474780992E-7</v>
      </c>
      <c r="R196" s="3">
        <f t="shared" si="132"/>
        <v>4.2057154474780992E-7</v>
      </c>
      <c r="S196" s="3">
        <f t="shared" si="132"/>
        <v>4.2057154474780992E-7</v>
      </c>
      <c r="T196" s="3">
        <f t="shared" si="132"/>
        <v>4.2057154474780992E-7</v>
      </c>
      <c r="U196" s="3">
        <f t="shared" si="132"/>
        <v>4.2057154474780992E-7</v>
      </c>
      <c r="V196" s="3">
        <f t="shared" si="132"/>
        <v>4.2057154474780987E-7</v>
      </c>
      <c r="W196" s="3">
        <f t="shared" si="132"/>
        <v>4.2057154474780945E-7</v>
      </c>
      <c r="X196" s="3">
        <f t="shared" si="132"/>
        <v>4.2057154474780542E-7</v>
      </c>
      <c r="Y196" s="3">
        <f t="shared" si="132"/>
        <v>4.2057154474776492E-7</v>
      </c>
      <c r="Z196" s="3">
        <f t="shared" si="132"/>
        <v>4.2057154474735988E-7</v>
      </c>
      <c r="AA196" s="3">
        <f t="shared" si="132"/>
        <v>4.2057154474330969E-7</v>
      </c>
      <c r="AB196" s="3">
        <f t="shared" si="132"/>
        <v>4.2057154470280775E-7</v>
      </c>
      <c r="AC196" s="3">
        <f t="shared" si="132"/>
        <v>4.2057154429778836E-7</v>
      </c>
      <c r="AD196" s="3">
        <f t="shared" si="132"/>
        <v>4.2057154024759412E-7</v>
      </c>
      <c r="AE196" s="3">
        <f t="shared" si="132"/>
        <v>4.2057149974565448E-7</v>
      </c>
      <c r="AF196" s="3">
        <f t="shared" si="132"/>
        <v>4.2057109472647211E-7</v>
      </c>
      <c r="AG196" s="3"/>
      <c r="AH196" s="3"/>
    </row>
    <row r="197" spans="1:34" x14ac:dyDescent="0.25">
      <c r="B197" s="3">
        <f t="shared" ref="B197:AF197" si="133">$C44*EXP(-B$168/$A44/EXP(-$C$126))</f>
        <v>1.8675724725031384E-5</v>
      </c>
      <c r="C197" s="3">
        <f t="shared" si="133"/>
        <v>1.8675724725031384E-5</v>
      </c>
      <c r="D197" s="3">
        <f t="shared" si="133"/>
        <v>1.8675724725031384E-5</v>
      </c>
      <c r="E197" s="3">
        <f t="shared" si="133"/>
        <v>1.8675724725031384E-5</v>
      </c>
      <c r="F197" s="3">
        <f t="shared" si="133"/>
        <v>1.8675724725031384E-5</v>
      </c>
      <c r="G197" s="3">
        <f t="shared" si="133"/>
        <v>1.8675724725031384E-5</v>
      </c>
      <c r="H197" s="3">
        <f t="shared" si="133"/>
        <v>1.8675724725031384E-5</v>
      </c>
      <c r="I197" s="3">
        <f t="shared" si="133"/>
        <v>1.8675724725031384E-5</v>
      </c>
      <c r="J197" s="3">
        <f t="shared" si="133"/>
        <v>1.8675724725031384E-5</v>
      </c>
      <c r="K197" s="3">
        <f t="shared" si="133"/>
        <v>1.8675724725031384E-5</v>
      </c>
      <c r="L197" s="3">
        <f t="shared" si="133"/>
        <v>1.8675724725031384E-5</v>
      </c>
      <c r="M197" s="3">
        <f t="shared" si="133"/>
        <v>1.8675724725031384E-5</v>
      </c>
      <c r="N197" s="3">
        <f t="shared" si="133"/>
        <v>1.8675724725031384E-5</v>
      </c>
      <c r="O197" s="3">
        <f t="shared" si="133"/>
        <v>1.8675724725031384E-5</v>
      </c>
      <c r="P197" s="3">
        <f t="shared" si="133"/>
        <v>1.8675724725031384E-5</v>
      </c>
      <c r="Q197" s="3">
        <f t="shared" si="133"/>
        <v>1.8675724725031384E-5</v>
      </c>
      <c r="R197" s="3">
        <f t="shared" si="133"/>
        <v>1.8675724725031384E-5</v>
      </c>
      <c r="S197" s="3">
        <f t="shared" si="133"/>
        <v>1.8675724725031384E-5</v>
      </c>
      <c r="T197" s="3">
        <f t="shared" si="133"/>
        <v>1.8675724725031384E-5</v>
      </c>
      <c r="U197" s="3">
        <f t="shared" si="133"/>
        <v>1.8675724725031384E-5</v>
      </c>
      <c r="V197" s="3">
        <f t="shared" si="133"/>
        <v>1.8675724725031384E-5</v>
      </c>
      <c r="W197" s="3">
        <f t="shared" si="133"/>
        <v>1.867572472503138E-5</v>
      </c>
      <c r="X197" s="3">
        <f t="shared" si="133"/>
        <v>1.8675724725031363E-5</v>
      </c>
      <c r="Y197" s="3">
        <f t="shared" si="133"/>
        <v>1.8675724725031184E-5</v>
      </c>
      <c r="Z197" s="3">
        <f t="shared" si="133"/>
        <v>1.8675724725029385E-5</v>
      </c>
      <c r="AA197" s="3">
        <f t="shared" si="133"/>
        <v>1.8675724725011401E-5</v>
      </c>
      <c r="AB197" s="3">
        <f t="shared" si="133"/>
        <v>1.8675724724831548E-5</v>
      </c>
      <c r="AC197" s="3">
        <f t="shared" si="133"/>
        <v>1.8675724723033037E-5</v>
      </c>
      <c r="AD197" s="3">
        <f t="shared" si="133"/>
        <v>1.8675724705047911E-5</v>
      </c>
      <c r="AE197" s="3">
        <f t="shared" si="133"/>
        <v>1.8675724525196677E-5</v>
      </c>
      <c r="AF197" s="3">
        <f t="shared" si="133"/>
        <v>1.8675722726684427E-5</v>
      </c>
      <c r="AG197" s="3"/>
      <c r="AH197" s="3"/>
    </row>
    <row r="198" spans="1:34" x14ac:dyDescent="0.25">
      <c r="B198" s="3">
        <f t="shared" ref="B198:AF198" si="134">$C45*EXP(-B$168/$A45/EXP(-$C$126))</f>
        <v>6.5581020384023116E-8</v>
      </c>
      <c r="C198" s="3">
        <f t="shared" si="134"/>
        <v>6.5581020384023116E-8</v>
      </c>
      <c r="D198" s="3">
        <f t="shared" si="134"/>
        <v>6.5581020384023116E-8</v>
      </c>
      <c r="E198" s="3">
        <f t="shared" si="134"/>
        <v>6.5581020384023116E-8</v>
      </c>
      <c r="F198" s="3">
        <f t="shared" si="134"/>
        <v>6.5581020384023116E-8</v>
      </c>
      <c r="G198" s="3">
        <f t="shared" si="134"/>
        <v>6.5581020384023116E-8</v>
      </c>
      <c r="H198" s="3">
        <f t="shared" si="134"/>
        <v>6.5581020384023116E-8</v>
      </c>
      <c r="I198" s="3">
        <f t="shared" si="134"/>
        <v>6.5581020384023116E-8</v>
      </c>
      <c r="J198" s="3">
        <f t="shared" si="134"/>
        <v>6.5581020384023116E-8</v>
      </c>
      <c r="K198" s="3">
        <f t="shared" si="134"/>
        <v>6.5581020384023116E-8</v>
      </c>
      <c r="L198" s="3">
        <f t="shared" si="134"/>
        <v>6.5581020384023116E-8</v>
      </c>
      <c r="M198" s="3">
        <f t="shared" si="134"/>
        <v>6.5581020384023116E-8</v>
      </c>
      <c r="N198" s="3">
        <f t="shared" si="134"/>
        <v>6.5581020384023116E-8</v>
      </c>
      <c r="O198" s="3">
        <f t="shared" si="134"/>
        <v>6.5581020384023116E-8</v>
      </c>
      <c r="P198" s="3">
        <f t="shared" si="134"/>
        <v>6.5581020384023116E-8</v>
      </c>
      <c r="Q198" s="3">
        <f t="shared" si="134"/>
        <v>6.5581020384023116E-8</v>
      </c>
      <c r="R198" s="3">
        <f t="shared" si="134"/>
        <v>6.5581020384023116E-8</v>
      </c>
      <c r="S198" s="3">
        <f t="shared" si="134"/>
        <v>6.5581020384023116E-8</v>
      </c>
      <c r="T198" s="3">
        <f t="shared" si="134"/>
        <v>6.5581020384023116E-8</v>
      </c>
      <c r="U198" s="3">
        <f t="shared" si="134"/>
        <v>6.5581020384023116E-8</v>
      </c>
      <c r="V198" s="3">
        <f t="shared" si="134"/>
        <v>6.5581020384023116E-8</v>
      </c>
      <c r="W198" s="3">
        <f t="shared" si="134"/>
        <v>6.5581020384023116E-8</v>
      </c>
      <c r="X198" s="3">
        <f t="shared" si="134"/>
        <v>6.5581020384023102E-8</v>
      </c>
      <c r="Y198" s="3">
        <f t="shared" si="134"/>
        <v>6.5581020384023036E-8</v>
      </c>
      <c r="Z198" s="3">
        <f t="shared" si="134"/>
        <v>6.5581020384022414E-8</v>
      </c>
      <c r="AA198" s="3">
        <f t="shared" si="134"/>
        <v>6.5581020384016101E-8</v>
      </c>
      <c r="AB198" s="3">
        <f t="shared" si="134"/>
        <v>6.5581020383952944E-8</v>
      </c>
      <c r="AC198" s="3">
        <f t="shared" si="134"/>
        <v>6.5581020383321389E-8</v>
      </c>
      <c r="AD198" s="3">
        <f t="shared" si="134"/>
        <v>6.5581020377005792E-8</v>
      </c>
      <c r="AE198" s="3">
        <f t="shared" si="134"/>
        <v>6.5581020313849864E-8</v>
      </c>
      <c r="AF198" s="3">
        <f t="shared" si="134"/>
        <v>6.5581019682290571E-8</v>
      </c>
      <c r="AG198" s="3"/>
      <c r="AH198" s="3"/>
    </row>
    <row r="199" spans="1:34" x14ac:dyDescent="0.25">
      <c r="B199" s="3">
        <f t="shared" ref="B199:AF199" si="135">$C46*EXP(-B$168/$A46/EXP(-$C$126))</f>
        <v>7.3021852336235098E-8</v>
      </c>
      <c r="C199" s="3">
        <f t="shared" si="135"/>
        <v>7.3021852336235098E-8</v>
      </c>
      <c r="D199" s="3">
        <f t="shared" si="135"/>
        <v>7.3021852336235098E-8</v>
      </c>
      <c r="E199" s="3">
        <f t="shared" si="135"/>
        <v>7.3021852336235098E-8</v>
      </c>
      <c r="F199" s="3">
        <f t="shared" si="135"/>
        <v>7.3021852336235098E-8</v>
      </c>
      <c r="G199" s="3">
        <f t="shared" si="135"/>
        <v>7.3021852336235098E-8</v>
      </c>
      <c r="H199" s="3">
        <f t="shared" si="135"/>
        <v>7.3021852336235098E-8</v>
      </c>
      <c r="I199" s="3">
        <f t="shared" si="135"/>
        <v>7.3021852336235098E-8</v>
      </c>
      <c r="J199" s="3">
        <f t="shared" si="135"/>
        <v>7.3021852336235098E-8</v>
      </c>
      <c r="K199" s="3">
        <f t="shared" si="135"/>
        <v>7.3021852336235098E-8</v>
      </c>
      <c r="L199" s="3">
        <f t="shared" si="135"/>
        <v>7.3021852336235098E-8</v>
      </c>
      <c r="M199" s="3">
        <f t="shared" si="135"/>
        <v>7.3021852336235098E-8</v>
      </c>
      <c r="N199" s="3">
        <f t="shared" si="135"/>
        <v>7.3021852336235098E-8</v>
      </c>
      <c r="O199" s="3">
        <f t="shared" si="135"/>
        <v>7.3021852336235098E-8</v>
      </c>
      <c r="P199" s="3">
        <f t="shared" si="135"/>
        <v>7.3021852336235098E-8</v>
      </c>
      <c r="Q199" s="3">
        <f t="shared" si="135"/>
        <v>7.3021852336235098E-8</v>
      </c>
      <c r="R199" s="3">
        <f t="shared" si="135"/>
        <v>7.3021852336235098E-8</v>
      </c>
      <c r="S199" s="3">
        <f t="shared" si="135"/>
        <v>7.3021852336235098E-8</v>
      </c>
      <c r="T199" s="3">
        <f t="shared" si="135"/>
        <v>7.3021852336235098E-8</v>
      </c>
      <c r="U199" s="3">
        <f t="shared" si="135"/>
        <v>7.3021852336235098E-8</v>
      </c>
      <c r="V199" s="3">
        <f t="shared" si="135"/>
        <v>7.3021852336235098E-8</v>
      </c>
      <c r="W199" s="3">
        <f t="shared" si="135"/>
        <v>7.3021852336235098E-8</v>
      </c>
      <c r="X199" s="3">
        <f t="shared" si="135"/>
        <v>7.3021852336235098E-8</v>
      </c>
      <c r="Y199" s="3">
        <f t="shared" si="135"/>
        <v>7.3021852336235085E-8</v>
      </c>
      <c r="Z199" s="3">
        <f t="shared" si="135"/>
        <v>7.3021852336235019E-8</v>
      </c>
      <c r="AA199" s="3">
        <f t="shared" si="135"/>
        <v>7.3021852336234317E-8</v>
      </c>
      <c r="AB199" s="3">
        <f t="shared" si="135"/>
        <v>7.3021852336227289E-8</v>
      </c>
      <c r="AC199" s="3">
        <f t="shared" si="135"/>
        <v>7.3021852336156959E-8</v>
      </c>
      <c r="AD199" s="3">
        <f t="shared" si="135"/>
        <v>7.302185233545375E-8</v>
      </c>
      <c r="AE199" s="3">
        <f t="shared" si="135"/>
        <v>7.302185232842159E-8</v>
      </c>
      <c r="AF199" s="3">
        <f t="shared" si="135"/>
        <v>7.3021852258099975E-8</v>
      </c>
      <c r="AG199" s="3"/>
      <c r="AH199" s="3"/>
    </row>
    <row r="200" spans="1:34" x14ac:dyDescent="0.25">
      <c r="B200" s="3">
        <f t="shared" ref="B200:AF200" si="136">$C47*EXP(-B$168/$A47/EXP(-$C$126))</f>
        <v>1.1629614521313135E-6</v>
      </c>
      <c r="C200" s="3">
        <f t="shared" si="136"/>
        <v>1.1629614521313135E-6</v>
      </c>
      <c r="D200" s="3">
        <f t="shared" si="136"/>
        <v>1.1629614521313135E-6</v>
      </c>
      <c r="E200" s="3">
        <f t="shared" si="136"/>
        <v>1.1629614521313135E-6</v>
      </c>
      <c r="F200" s="3">
        <f t="shared" si="136"/>
        <v>1.1629614521313135E-6</v>
      </c>
      <c r="G200" s="3">
        <f t="shared" si="136"/>
        <v>1.1629614521313135E-6</v>
      </c>
      <c r="H200" s="3">
        <f t="shared" si="136"/>
        <v>1.1629614521313135E-6</v>
      </c>
      <c r="I200" s="3">
        <f t="shared" si="136"/>
        <v>1.1629614521313135E-6</v>
      </c>
      <c r="J200" s="3">
        <f t="shared" si="136"/>
        <v>1.1629614521313135E-6</v>
      </c>
      <c r="K200" s="3">
        <f t="shared" si="136"/>
        <v>1.1629614521313135E-6</v>
      </c>
      <c r="L200" s="3">
        <f t="shared" si="136"/>
        <v>1.1629614521313135E-6</v>
      </c>
      <c r="M200" s="3">
        <f t="shared" si="136"/>
        <v>1.1629614521313135E-6</v>
      </c>
      <c r="N200" s="3">
        <f t="shared" si="136"/>
        <v>1.1629614521313135E-6</v>
      </c>
      <c r="O200" s="3">
        <f t="shared" si="136"/>
        <v>1.1629614521313135E-6</v>
      </c>
      <c r="P200" s="3">
        <f t="shared" si="136"/>
        <v>1.1629614521313135E-6</v>
      </c>
      <c r="Q200" s="3">
        <f t="shared" si="136"/>
        <v>1.1629614521313135E-6</v>
      </c>
      <c r="R200" s="3">
        <f t="shared" si="136"/>
        <v>1.1629614521313135E-6</v>
      </c>
      <c r="S200" s="3">
        <f t="shared" si="136"/>
        <v>1.1629614521313135E-6</v>
      </c>
      <c r="T200" s="3">
        <f t="shared" si="136"/>
        <v>1.1629614521313135E-6</v>
      </c>
      <c r="U200" s="3">
        <f t="shared" si="136"/>
        <v>1.1629614521313135E-6</v>
      </c>
      <c r="V200" s="3">
        <f t="shared" si="136"/>
        <v>1.1629614521313135E-6</v>
      </c>
      <c r="W200" s="3">
        <f t="shared" si="136"/>
        <v>1.1629614521313135E-6</v>
      </c>
      <c r="X200" s="3">
        <f t="shared" si="136"/>
        <v>1.1629614521313135E-6</v>
      </c>
      <c r="Y200" s="3">
        <f t="shared" si="136"/>
        <v>1.1629614521313135E-6</v>
      </c>
      <c r="Z200" s="3">
        <f t="shared" si="136"/>
        <v>1.1629614521313132E-6</v>
      </c>
      <c r="AA200" s="3">
        <f t="shared" si="136"/>
        <v>1.1629614521313122E-6</v>
      </c>
      <c r="AB200" s="3">
        <f t="shared" si="136"/>
        <v>1.162961452131301E-6</v>
      </c>
      <c r="AC200" s="3">
        <f t="shared" si="136"/>
        <v>1.1629614521311889E-6</v>
      </c>
      <c r="AD200" s="3">
        <f t="shared" si="136"/>
        <v>1.162961452130069E-6</v>
      </c>
      <c r="AE200" s="3">
        <f t="shared" si="136"/>
        <v>1.1629614521188695E-6</v>
      </c>
      <c r="AF200" s="3">
        <f t="shared" si="136"/>
        <v>1.1629614520068737E-6</v>
      </c>
      <c r="AG200" s="3"/>
      <c r="AH200" s="3"/>
    </row>
    <row r="201" spans="1:34" x14ac:dyDescent="0.25">
      <c r="B201" s="3">
        <f t="shared" ref="B201:AF201" si="137">$C48*EXP(-B$168/$A48/EXP(-$C$126))</f>
        <v>4.9365030271996854E-7</v>
      </c>
      <c r="C201" s="3">
        <f t="shared" si="137"/>
        <v>4.9365030271996854E-7</v>
      </c>
      <c r="D201" s="3">
        <f t="shared" si="137"/>
        <v>4.9365030271996854E-7</v>
      </c>
      <c r="E201" s="3">
        <f t="shared" si="137"/>
        <v>4.9365030271996854E-7</v>
      </c>
      <c r="F201" s="3">
        <f t="shared" si="137"/>
        <v>4.9365030271996854E-7</v>
      </c>
      <c r="G201" s="3">
        <f t="shared" si="137"/>
        <v>4.9365030271996854E-7</v>
      </c>
      <c r="H201" s="3">
        <f t="shared" si="137"/>
        <v>4.9365030271996854E-7</v>
      </c>
      <c r="I201" s="3">
        <f t="shared" si="137"/>
        <v>4.9365030271996854E-7</v>
      </c>
      <c r="J201" s="3">
        <f t="shared" si="137"/>
        <v>4.9365030271996854E-7</v>
      </c>
      <c r="K201" s="3">
        <f t="shared" si="137"/>
        <v>4.9365030271996854E-7</v>
      </c>
      <c r="L201" s="3">
        <f t="shared" si="137"/>
        <v>4.9365030271996854E-7</v>
      </c>
      <c r="M201" s="3">
        <f t="shared" si="137"/>
        <v>4.9365030271996854E-7</v>
      </c>
      <c r="N201" s="3">
        <f t="shared" si="137"/>
        <v>4.9365030271996854E-7</v>
      </c>
      <c r="O201" s="3">
        <f t="shared" si="137"/>
        <v>4.9365030271996854E-7</v>
      </c>
      <c r="P201" s="3">
        <f t="shared" si="137"/>
        <v>4.9365030271996854E-7</v>
      </c>
      <c r="Q201" s="3">
        <f t="shared" si="137"/>
        <v>4.9365030271996854E-7</v>
      </c>
      <c r="R201" s="3">
        <f t="shared" si="137"/>
        <v>4.9365030271996854E-7</v>
      </c>
      <c r="S201" s="3">
        <f t="shared" si="137"/>
        <v>4.9365030271996854E-7</v>
      </c>
      <c r="T201" s="3">
        <f t="shared" si="137"/>
        <v>4.9365030271996854E-7</v>
      </c>
      <c r="U201" s="3">
        <f t="shared" si="137"/>
        <v>4.9365030271996854E-7</v>
      </c>
      <c r="V201" s="3">
        <f t="shared" si="137"/>
        <v>4.9365030271996854E-7</v>
      </c>
      <c r="W201" s="3">
        <f t="shared" si="137"/>
        <v>4.9365030271996854E-7</v>
      </c>
      <c r="X201" s="3">
        <f t="shared" si="137"/>
        <v>4.9365030271996854E-7</v>
      </c>
      <c r="Y201" s="3">
        <f t="shared" si="137"/>
        <v>4.9365030271996854E-7</v>
      </c>
      <c r="Z201" s="3">
        <f t="shared" si="137"/>
        <v>4.9365030271996854E-7</v>
      </c>
      <c r="AA201" s="3">
        <f t="shared" si="137"/>
        <v>4.9365030271996844E-7</v>
      </c>
      <c r="AB201" s="3">
        <f t="shared" si="137"/>
        <v>4.9365030271996801E-7</v>
      </c>
      <c r="AC201" s="3">
        <f t="shared" si="137"/>
        <v>4.9365030271996325E-7</v>
      </c>
      <c r="AD201" s="3">
        <f t="shared" si="137"/>
        <v>4.9365030271991571E-7</v>
      </c>
      <c r="AE201" s="3">
        <f t="shared" si="137"/>
        <v>4.9365030271944031E-7</v>
      </c>
      <c r="AF201" s="3">
        <f t="shared" si="137"/>
        <v>4.9365030271468634E-7</v>
      </c>
      <c r="AG201" s="3"/>
      <c r="AH201" s="3"/>
    </row>
    <row r="202" spans="1:34" x14ac:dyDescent="0.25">
      <c r="A202" s="79">
        <f>AVERAGE(B202:AF202)</f>
        <v>1.9779886416468877E-2</v>
      </c>
      <c r="B202" s="80">
        <f>IF($A$64&lt;=B168,IF($B$64&gt;=B168,ABS((B170-B169)/B169),0),0)</f>
        <v>9.9986781949583815E-4</v>
      </c>
      <c r="C202" s="80">
        <f t="shared" ref="C202:AF202" si="138">IF($A$64&lt;=C168,IF($B$64&gt;=C168,ABS((C170-C169)/C169),0),0)</f>
        <v>1.0063105689991131E-3</v>
      </c>
      <c r="D202" s="80">
        <f t="shared" si="138"/>
        <v>1.0047026782080267E-3</v>
      </c>
      <c r="E202" s="80">
        <f t="shared" si="138"/>
        <v>1.0251826690850392E-3</v>
      </c>
      <c r="F202" s="80">
        <f t="shared" si="138"/>
        <v>1.230010118569386E-3</v>
      </c>
      <c r="G202" s="80">
        <f t="shared" si="138"/>
        <v>2.4847383787618368E-3</v>
      </c>
      <c r="H202" s="80">
        <f t="shared" si="138"/>
        <v>3.2594180292703778E-3</v>
      </c>
      <c r="I202" s="80">
        <f t="shared" si="138"/>
        <v>3.2594656909369639E-3</v>
      </c>
      <c r="J202" s="80">
        <f t="shared" si="138"/>
        <v>3.2594297970280927E-3</v>
      </c>
      <c r="K202" s="80">
        <f t="shared" si="138"/>
        <v>3.2594427835657253E-3</v>
      </c>
      <c r="L202" s="80">
        <f t="shared" si="138"/>
        <v>3.2595219310117773E-3</v>
      </c>
      <c r="M202" s="80">
        <f t="shared" si="138"/>
        <v>3.2604350465256487E-3</v>
      </c>
      <c r="N202" s="80">
        <f t="shared" si="138"/>
        <v>3.2691964234136794E-3</v>
      </c>
      <c r="O202" s="80">
        <f t="shared" si="138"/>
        <v>3.3561711558973244E-3</v>
      </c>
      <c r="P202" s="80">
        <f t="shared" si="138"/>
        <v>4.1546509073213797E-3</v>
      </c>
      <c r="Q202" s="80">
        <f t="shared" si="138"/>
        <v>8.0984168312710665E-3</v>
      </c>
      <c r="R202" s="80">
        <f t="shared" si="138"/>
        <v>1.2310267264138471E-2</v>
      </c>
      <c r="S202" s="80">
        <f t="shared" si="138"/>
        <v>1.2971474813235755E-2</v>
      </c>
      <c r="T202" s="80">
        <f t="shared" si="138"/>
        <v>1.3172453243937754E-2</v>
      </c>
      <c r="U202" s="80">
        <f t="shared" si="138"/>
        <v>6.5123219729141249E-3</v>
      </c>
      <c r="V202" s="80">
        <f t="shared" si="138"/>
        <v>9.1707499756249859E-3</v>
      </c>
      <c r="W202" s="80">
        <f t="shared" si="138"/>
        <v>2.0913081597267985E-2</v>
      </c>
      <c r="X202" s="80">
        <f t="shared" si="138"/>
        <v>3.4369008530103669E-2</v>
      </c>
      <c r="Y202" s="80">
        <f t="shared" si="138"/>
        <v>4.3651328908001455E-2</v>
      </c>
      <c r="Z202" s="80">
        <f t="shared" si="138"/>
        <v>4.765827411342502E-2</v>
      </c>
      <c r="AA202" s="80">
        <f t="shared" si="138"/>
        <v>4.635172933768554E-2</v>
      </c>
      <c r="AB202" s="80">
        <f t="shared" si="138"/>
        <v>2.6463414573951592E-2</v>
      </c>
      <c r="AC202" s="80">
        <f t="shared" si="138"/>
        <v>6.4080283817206131E-3</v>
      </c>
      <c r="AD202" s="80">
        <f t="shared" si="138"/>
        <v>4.6228644445433634E-2</v>
      </c>
      <c r="AE202" s="80">
        <f t="shared" si="138"/>
        <v>9.9585614669468858E-2</v>
      </c>
      <c r="AF202" s="80">
        <f t="shared" si="138"/>
        <v>0.1412231262542645</v>
      </c>
    </row>
    <row r="203" spans="1:34" x14ac:dyDescent="0.25">
      <c r="B203" s="21">
        <f>(B170-B169)^2</f>
        <v>35.23085644382622</v>
      </c>
      <c r="C203" s="21">
        <f t="shared" ref="C203:AF203" si="139">(C170-C169)^2</f>
        <v>35.6867911686684</v>
      </c>
      <c r="D203" s="21">
        <f t="shared" si="139"/>
        <v>35.572571680434983</v>
      </c>
      <c r="E203" s="21">
        <f t="shared" si="139"/>
        <v>37.037499520089426</v>
      </c>
      <c r="F203" s="21">
        <f t="shared" si="139"/>
        <v>53.315834622514359</v>
      </c>
      <c r="G203" s="21">
        <f t="shared" si="139"/>
        <v>217.57054099706261</v>
      </c>
      <c r="H203" s="21">
        <f t="shared" si="139"/>
        <v>374.38534580347454</v>
      </c>
      <c r="I203" s="21">
        <f t="shared" si="139"/>
        <v>374.39629243276943</v>
      </c>
      <c r="J203" s="21">
        <f t="shared" si="139"/>
        <v>374.3880186797229</v>
      </c>
      <c r="K203" s="21">
        <f t="shared" si="139"/>
        <v>374.39100203207738</v>
      </c>
      <c r="L203" s="21">
        <f t="shared" si="139"/>
        <v>374.40914645586321</v>
      </c>
      <c r="M203" s="21">
        <f t="shared" si="139"/>
        <v>374.61865845802095</v>
      </c>
      <c r="N203" s="21">
        <f t="shared" si="139"/>
        <v>376.63151296627672</v>
      </c>
      <c r="O203" s="21">
        <f t="shared" si="139"/>
        <v>396.90468050252008</v>
      </c>
      <c r="P203" s="21">
        <f t="shared" si="139"/>
        <v>607.72074989529585</v>
      </c>
      <c r="Q203" s="21">
        <f t="shared" si="139"/>
        <v>2291.3069136846389</v>
      </c>
      <c r="R203" s="21">
        <f t="shared" si="139"/>
        <v>5077.8823313721696</v>
      </c>
      <c r="S203" s="21">
        <f t="shared" si="139"/>
        <v>5362.3171509565918</v>
      </c>
      <c r="T203" s="21">
        <f t="shared" si="139"/>
        <v>5205.0085620405698</v>
      </c>
      <c r="U203" s="21">
        <f t="shared" si="139"/>
        <v>1165.8012367968495</v>
      </c>
      <c r="V203" s="21">
        <f t="shared" si="139"/>
        <v>2075.0312813061587</v>
      </c>
      <c r="W203" s="21">
        <f t="shared" si="139"/>
        <v>9510.3080883036982</v>
      </c>
      <c r="X203" s="21">
        <f t="shared" si="139"/>
        <v>22313.415118832279</v>
      </c>
      <c r="Y203" s="21">
        <f t="shared" si="139"/>
        <v>31295.973238162307</v>
      </c>
      <c r="Z203" s="21">
        <f t="shared" si="139"/>
        <v>32307.603185151664</v>
      </c>
      <c r="AA203" s="21">
        <f t="shared" si="139"/>
        <v>26128.157035186017</v>
      </c>
      <c r="AB203" s="21">
        <f t="shared" si="139"/>
        <v>7043.1168557434803</v>
      </c>
      <c r="AC203" s="21">
        <f t="shared" si="139"/>
        <v>315.46340794501407</v>
      </c>
      <c r="AD203" s="21">
        <f t="shared" si="139"/>
        <v>11253.044911749019</v>
      </c>
      <c r="AE203" s="21">
        <f t="shared" si="139"/>
        <v>30170.184132560989</v>
      </c>
      <c r="AF203" s="21">
        <f t="shared" si="139"/>
        <v>26368.026559463506</v>
      </c>
      <c r="AG203" s="3"/>
      <c r="AH203" s="3"/>
    </row>
    <row r="204" spans="1:34" x14ac:dyDescent="0.25">
      <c r="A204" s="71">
        <f>SUM(B204:AF204)</f>
        <v>221924.89951091356</v>
      </c>
      <c r="B204" s="60">
        <f>IF($A$64&lt;=B168,IF($B$64&gt;=B168,ABS(B203),0),0)</f>
        <v>35.23085644382622</v>
      </c>
      <c r="C204" s="60">
        <f t="shared" ref="C204" si="140">IF($A$64&lt;=C168,IF($B$64&gt;=C168,ABS(C203),0),0)</f>
        <v>35.6867911686684</v>
      </c>
      <c r="D204" s="60">
        <f t="shared" ref="D204" si="141">IF($A$64&lt;=D168,IF($B$64&gt;=D168,ABS(D203),0),0)</f>
        <v>35.572571680434983</v>
      </c>
      <c r="E204" s="60">
        <f t="shared" ref="E204" si="142">IF($A$64&lt;=E168,IF($B$64&gt;=E168,ABS(E203),0),0)</f>
        <v>37.037499520089426</v>
      </c>
      <c r="F204" s="60">
        <f t="shared" ref="F204" si="143">IF($A$64&lt;=F168,IF($B$64&gt;=F168,ABS(F203),0),0)</f>
        <v>53.315834622514359</v>
      </c>
      <c r="G204" s="60">
        <f t="shared" ref="G204" si="144">IF($A$64&lt;=G168,IF($B$64&gt;=G168,ABS(G203),0),0)</f>
        <v>217.57054099706261</v>
      </c>
      <c r="H204" s="60">
        <f t="shared" ref="H204" si="145">IF($A$64&lt;=H168,IF($B$64&gt;=H168,ABS(H203),0),0)</f>
        <v>374.38534580347454</v>
      </c>
      <c r="I204" s="60">
        <f t="shared" ref="I204" si="146">IF($A$64&lt;=I168,IF($B$64&gt;=I168,ABS(I203),0),0)</f>
        <v>374.39629243276943</v>
      </c>
      <c r="J204" s="60">
        <f t="shared" ref="J204" si="147">IF($A$64&lt;=J168,IF($B$64&gt;=J168,ABS(J203),0),0)</f>
        <v>374.3880186797229</v>
      </c>
      <c r="K204" s="60">
        <f t="shared" ref="K204" si="148">IF($A$64&lt;=K168,IF($B$64&gt;=K168,ABS(K203),0),0)</f>
        <v>374.39100203207738</v>
      </c>
      <c r="L204" s="60">
        <f t="shared" ref="L204" si="149">IF($A$64&lt;=L168,IF($B$64&gt;=L168,ABS(L203),0),0)</f>
        <v>374.40914645586321</v>
      </c>
      <c r="M204" s="60">
        <f t="shared" ref="M204" si="150">IF($A$64&lt;=M168,IF($B$64&gt;=M168,ABS(M203),0),0)</f>
        <v>374.61865845802095</v>
      </c>
      <c r="N204" s="60">
        <f t="shared" ref="N204" si="151">IF($A$64&lt;=N168,IF($B$64&gt;=N168,ABS(N203),0),0)</f>
        <v>376.63151296627672</v>
      </c>
      <c r="O204" s="60">
        <f t="shared" ref="O204" si="152">IF($A$64&lt;=O168,IF($B$64&gt;=O168,ABS(O203),0),0)</f>
        <v>396.90468050252008</v>
      </c>
      <c r="P204" s="60">
        <f t="shared" ref="P204" si="153">IF($A$64&lt;=P168,IF($B$64&gt;=P168,ABS(P203),0),0)</f>
        <v>607.72074989529585</v>
      </c>
      <c r="Q204" s="60">
        <f t="shared" ref="Q204" si="154">IF($A$64&lt;=Q168,IF($B$64&gt;=Q168,ABS(Q203),0),0)</f>
        <v>2291.3069136846389</v>
      </c>
      <c r="R204" s="60">
        <f t="shared" ref="R204" si="155">IF($A$64&lt;=R168,IF($B$64&gt;=R168,ABS(R203),0),0)</f>
        <v>5077.8823313721696</v>
      </c>
      <c r="S204" s="60">
        <f t="shared" ref="S204" si="156">IF($A$64&lt;=S168,IF($B$64&gt;=S168,ABS(S203),0),0)</f>
        <v>5362.3171509565918</v>
      </c>
      <c r="T204" s="60">
        <f t="shared" ref="T204" si="157">IF($A$64&lt;=T168,IF($B$64&gt;=T168,ABS(T203),0),0)</f>
        <v>5205.0085620405698</v>
      </c>
      <c r="U204" s="60">
        <f t="shared" ref="U204" si="158">IF($A$64&lt;=U168,IF($B$64&gt;=U168,ABS(U203),0),0)</f>
        <v>1165.8012367968495</v>
      </c>
      <c r="V204" s="60">
        <f t="shared" ref="V204" si="159">IF($A$64&lt;=V168,IF($B$64&gt;=V168,ABS(V203),0),0)</f>
        <v>2075.0312813061587</v>
      </c>
      <c r="W204" s="60">
        <f t="shared" ref="W204" si="160">IF($A$64&lt;=W168,IF($B$64&gt;=W168,ABS(W203),0),0)</f>
        <v>9510.3080883036982</v>
      </c>
      <c r="X204" s="60">
        <f t="shared" ref="X204" si="161">IF($A$64&lt;=X168,IF($B$64&gt;=X168,ABS(X203),0),0)</f>
        <v>22313.415118832279</v>
      </c>
      <c r="Y204" s="60">
        <f t="shared" ref="Y204" si="162">IF($A$64&lt;=Y168,IF($B$64&gt;=Y168,ABS(Y203),0),0)</f>
        <v>31295.973238162307</v>
      </c>
      <c r="Z204" s="60">
        <f t="shared" ref="Z204" si="163">IF($A$64&lt;=Z168,IF($B$64&gt;=Z168,ABS(Z203),0),0)</f>
        <v>32307.603185151664</v>
      </c>
      <c r="AA204" s="60">
        <f t="shared" ref="AA204" si="164">IF($A$64&lt;=AA168,IF($B$64&gt;=AA168,ABS(AA203),0),0)</f>
        <v>26128.157035186017</v>
      </c>
      <c r="AB204" s="60">
        <f t="shared" ref="AB204" si="165">IF($A$64&lt;=AB168,IF($B$64&gt;=AB168,ABS(AB203),0),0)</f>
        <v>7043.1168557434803</v>
      </c>
      <c r="AC204" s="60">
        <f t="shared" ref="AC204" si="166">IF($A$64&lt;=AC168,IF($B$64&gt;=AC168,ABS(AC203),0),0)</f>
        <v>315.46340794501407</v>
      </c>
      <c r="AD204" s="60">
        <f t="shared" ref="AD204" si="167">IF($A$64&lt;=AD168,IF($B$64&gt;=AD168,ABS(AD203),0),0)</f>
        <v>11253.044911749019</v>
      </c>
      <c r="AE204" s="60">
        <f t="shared" ref="AE204" si="168">IF($A$64&lt;=AE168,IF($B$64&gt;=AE168,ABS(AE203),0),0)</f>
        <v>30170.184132560989</v>
      </c>
      <c r="AF204" s="60">
        <f t="shared" ref="AF204" si="169">IF($A$64&lt;=AF168,IF($B$64&gt;=AF168,ABS(AF203),0),0)</f>
        <v>26368.026559463506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0" t="s">
        <v>22</v>
      </c>
      <c r="B209" s="27">
        <f>($C$17+SUM(B210:B240))*$B$51</f>
        <v>5930.3972266024175</v>
      </c>
      <c r="C209" s="27">
        <f t="shared" ref="C209:AF209" si="170">($C$17+SUM(C210:C240))*$B$51</f>
        <v>5930.3015475239981</v>
      </c>
      <c r="D209" s="27">
        <f t="shared" si="170"/>
        <v>5929.3815416605794</v>
      </c>
      <c r="E209" s="27">
        <f t="shared" si="170"/>
        <v>5923.0462254029708</v>
      </c>
      <c r="F209" s="27">
        <f t="shared" si="170"/>
        <v>5917.0033935258634</v>
      </c>
      <c r="G209" s="27">
        <f t="shared" si="170"/>
        <v>5916.9987248502484</v>
      </c>
      <c r="H209" s="27">
        <f t="shared" si="170"/>
        <v>5916.9987191131395</v>
      </c>
      <c r="I209" s="27">
        <f t="shared" si="170"/>
        <v>5916.9986617420782</v>
      </c>
      <c r="J209" s="27">
        <f t="shared" si="170"/>
        <v>5916.9980880341082</v>
      </c>
      <c r="K209" s="27">
        <f t="shared" si="170"/>
        <v>5916.9923512194518</v>
      </c>
      <c r="L209" s="27">
        <f t="shared" si="170"/>
        <v>5916.9350095641848</v>
      </c>
      <c r="M209" s="27">
        <f t="shared" si="170"/>
        <v>5916.3642296455582</v>
      </c>
      <c r="N209" s="27">
        <f t="shared" si="170"/>
        <v>5910.9080500462233</v>
      </c>
      <c r="O209" s="27">
        <f t="shared" si="170"/>
        <v>5872.9053639000867</v>
      </c>
      <c r="P209" s="27">
        <f t="shared" si="170"/>
        <v>5740.4638359518276</v>
      </c>
      <c r="Q209" s="27">
        <f t="shared" si="170"/>
        <v>5592.9153848436108</v>
      </c>
      <c r="R209" s="27">
        <f t="shared" si="170"/>
        <v>5430.893305740633</v>
      </c>
      <c r="S209" s="27">
        <f t="shared" si="170"/>
        <v>5238.19641738475</v>
      </c>
      <c r="T209" s="27">
        <f t="shared" si="170"/>
        <v>5041.0964119364553</v>
      </c>
      <c r="U209" s="27">
        <f t="shared" si="170"/>
        <v>4800.7317064814206</v>
      </c>
      <c r="V209" s="27">
        <f t="shared" si="170"/>
        <v>4529.8989693676622</v>
      </c>
      <c r="W209" s="27">
        <f t="shared" si="170"/>
        <v>4266.7420388093224</v>
      </c>
      <c r="X209" s="27">
        <f t="shared" si="170"/>
        <v>3986.7996109843589</v>
      </c>
      <c r="Y209" s="27">
        <f t="shared" si="170"/>
        <v>3690.3000085683179</v>
      </c>
      <c r="Z209" s="27">
        <f t="shared" si="170"/>
        <v>3311.5819793050036</v>
      </c>
      <c r="AA209" s="27">
        <f t="shared" si="170"/>
        <v>2815.7565948160459</v>
      </c>
      <c r="AB209" s="27">
        <f t="shared" si="170"/>
        <v>2257.056676589149</v>
      </c>
      <c r="AC209" s="27">
        <f t="shared" si="170"/>
        <v>1639.2478083700271</v>
      </c>
      <c r="AD209" s="27">
        <f t="shared" si="170"/>
        <v>1043.6422964595599</v>
      </c>
      <c r="AE209" s="27">
        <f t="shared" si="170"/>
        <v>602.40053879362881</v>
      </c>
      <c r="AF209" s="27">
        <f t="shared" si="170"/>
        <v>345.8415086183802</v>
      </c>
      <c r="AG209" s="27"/>
      <c r="AH209" s="27"/>
    </row>
    <row r="210" spans="1:34" x14ac:dyDescent="0.25">
      <c r="B210" s="3">
        <f t="shared" ref="B210:AF210" si="171">$C18*EXP(-B$207/$A18/EXP(-$D$126))</f>
        <v>2.2592882885371906E-3</v>
      </c>
      <c r="C210" s="3">
        <f t="shared" si="171"/>
        <v>2.2431546464715276E-3</v>
      </c>
      <c r="D210" s="3">
        <f t="shared" si="171"/>
        <v>2.0880209898396836E-3</v>
      </c>
      <c r="E210" s="3">
        <f t="shared" si="171"/>
        <v>1.0197443453492953E-3</v>
      </c>
      <c r="F210" s="3">
        <f t="shared" si="171"/>
        <v>7.8714685099482025E-7</v>
      </c>
      <c r="G210" s="3">
        <f t="shared" si="171"/>
        <v>5.9115358623525316E-38</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4.2263320671382986E-3</v>
      </c>
      <c r="C214" s="3">
        <f t="shared" si="175"/>
        <v>4.2263320671326035E-3</v>
      </c>
      <c r="D214" s="3">
        <f t="shared" si="175"/>
        <v>4.2263320670756499E-3</v>
      </c>
      <c r="E214" s="3">
        <f t="shared" si="175"/>
        <v>4.2263320665061133E-3</v>
      </c>
      <c r="F214" s="3">
        <f t="shared" si="175"/>
        <v>4.2263320608107516E-3</v>
      </c>
      <c r="G214" s="3">
        <f t="shared" si="175"/>
        <v>4.2263320038571292E-3</v>
      </c>
      <c r="H214" s="3">
        <f t="shared" si="175"/>
        <v>4.2263314343209471E-3</v>
      </c>
      <c r="I214" s="3">
        <f t="shared" si="175"/>
        <v>4.2263257389633475E-3</v>
      </c>
      <c r="J214" s="3">
        <f t="shared" si="175"/>
        <v>4.2262687858094826E-3</v>
      </c>
      <c r="K214" s="3">
        <f t="shared" si="175"/>
        <v>4.2256992964810596E-3</v>
      </c>
      <c r="L214" s="3">
        <f t="shared" si="175"/>
        <v>4.2200086221159949E-3</v>
      </c>
      <c r="M214" s="3">
        <f t="shared" si="175"/>
        <v>4.1635216743551584E-3</v>
      </c>
      <c r="N214" s="3">
        <f t="shared" si="175"/>
        <v>3.6386119819542167E-3</v>
      </c>
      <c r="O214" s="3">
        <f t="shared" si="175"/>
        <v>9.4555087326441008E-4</v>
      </c>
      <c r="P214" s="3">
        <f t="shared" si="175"/>
        <v>1.3279338683147604E-9</v>
      </c>
      <c r="Q214" s="3">
        <f t="shared" si="175"/>
        <v>3.963619187128253E-68</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3.0334384971501375E-2</v>
      </c>
      <c r="C215" s="3">
        <f t="shared" si="176"/>
        <v>3.0334384971497687E-2</v>
      </c>
      <c r="D215" s="3">
        <f t="shared" si="176"/>
        <v>3.033438497146081E-2</v>
      </c>
      <c r="E215" s="3">
        <f t="shared" si="176"/>
        <v>3.0334384971092056E-2</v>
      </c>
      <c r="F215" s="3">
        <f t="shared" si="176"/>
        <v>3.0334384967404489E-2</v>
      </c>
      <c r="G215" s="3">
        <f t="shared" si="176"/>
        <v>3.0334384930528854E-2</v>
      </c>
      <c r="H215" s="3">
        <f t="shared" si="176"/>
        <v>3.0334384561772496E-2</v>
      </c>
      <c r="I215" s="3">
        <f t="shared" si="176"/>
        <v>3.0334380874209133E-2</v>
      </c>
      <c r="J215" s="3">
        <f t="shared" si="176"/>
        <v>3.0334343998600199E-2</v>
      </c>
      <c r="K215" s="3">
        <f t="shared" si="176"/>
        <v>3.033397524497633E-2</v>
      </c>
      <c r="L215" s="3">
        <f t="shared" si="176"/>
        <v>3.0330287955276192E-2</v>
      </c>
      <c r="M215" s="3">
        <f t="shared" si="176"/>
        <v>3.0293439701044474E-2</v>
      </c>
      <c r="N215" s="3">
        <f t="shared" si="176"/>
        <v>2.9927410387668111E-2</v>
      </c>
      <c r="O215" s="3">
        <f t="shared" si="176"/>
        <v>2.6501755564310059E-2</v>
      </c>
      <c r="P215" s="3">
        <f t="shared" si="176"/>
        <v>7.8583197029418791E-3</v>
      </c>
      <c r="Q215" s="3">
        <f t="shared" si="176"/>
        <v>4.1293356669941392E-8</v>
      </c>
      <c r="R215" s="3">
        <f t="shared" si="176"/>
        <v>6.6280401028096835E-61</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2.3501586958650841E-2</v>
      </c>
      <c r="C216" s="3">
        <f t="shared" si="177"/>
        <v>2.350158695865058E-2</v>
      </c>
      <c r="D216" s="3">
        <f t="shared" si="177"/>
        <v>2.3501586958648006E-2</v>
      </c>
      <c r="E216" s="3">
        <f t="shared" si="177"/>
        <v>2.3501586958622232E-2</v>
      </c>
      <c r="F216" s="3">
        <f t="shared" si="177"/>
        <v>2.3501586958364514E-2</v>
      </c>
      <c r="G216" s="3">
        <f t="shared" si="177"/>
        <v>2.3501586955787312E-2</v>
      </c>
      <c r="H216" s="3">
        <f t="shared" si="177"/>
        <v>2.3501586930015313E-2</v>
      </c>
      <c r="I216" s="3">
        <f t="shared" si="177"/>
        <v>2.3501586672295325E-2</v>
      </c>
      <c r="J216" s="3">
        <f t="shared" si="177"/>
        <v>2.3501584095095576E-2</v>
      </c>
      <c r="K216" s="3">
        <f t="shared" si="177"/>
        <v>2.3501558323113635E-2</v>
      </c>
      <c r="L216" s="3">
        <f t="shared" si="177"/>
        <v>2.3501300604848601E-2</v>
      </c>
      <c r="M216" s="3">
        <f t="shared" si="177"/>
        <v>2.3498723577630897E-2</v>
      </c>
      <c r="N216" s="3">
        <f t="shared" si="177"/>
        <v>2.3472968842410107E-2</v>
      </c>
      <c r="O216" s="3">
        <f t="shared" si="177"/>
        <v>2.3216968900243867E-2</v>
      </c>
      <c r="P216" s="3">
        <f t="shared" si="177"/>
        <v>2.0805611897361822E-2</v>
      </c>
      <c r="Q216" s="3">
        <f t="shared" si="177"/>
        <v>6.9491266479816422E-3</v>
      </c>
      <c r="R216" s="3">
        <f t="shared" si="177"/>
        <v>1.2006807960248552E-7</v>
      </c>
      <c r="S216" s="3">
        <f t="shared" si="177"/>
        <v>2.8470883319432955E-55</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3.016124573258994E-2</v>
      </c>
      <c r="C217" s="3">
        <f t="shared" si="178"/>
        <v>3.0161245732589909E-2</v>
      </c>
      <c r="D217" s="3">
        <f t="shared" si="178"/>
        <v>3.016124573258961E-2</v>
      </c>
      <c r="E217" s="3">
        <f t="shared" si="178"/>
        <v>3.0161245732586627E-2</v>
      </c>
      <c r="F217" s="3">
        <f t="shared" si="178"/>
        <v>3.0161245732556793E-2</v>
      </c>
      <c r="G217" s="3">
        <f t="shared" si="178"/>
        <v>3.0161245732258427E-2</v>
      </c>
      <c r="H217" s="3">
        <f t="shared" si="178"/>
        <v>3.0161245729274786E-2</v>
      </c>
      <c r="I217" s="3">
        <f t="shared" si="178"/>
        <v>3.0161245699438361E-2</v>
      </c>
      <c r="J217" s="3">
        <f t="shared" si="178"/>
        <v>3.0161245401074111E-2</v>
      </c>
      <c r="K217" s="3">
        <f t="shared" si="178"/>
        <v>3.0161242417431781E-2</v>
      </c>
      <c r="L217" s="3">
        <f t="shared" si="178"/>
        <v>3.0161212581024732E-2</v>
      </c>
      <c r="M217" s="3">
        <f t="shared" si="178"/>
        <v>3.0160914218577525E-2</v>
      </c>
      <c r="N217" s="3">
        <f t="shared" si="178"/>
        <v>3.0157930756431917E-2</v>
      </c>
      <c r="O217" s="3">
        <f t="shared" si="178"/>
        <v>3.0128112361682294E-2</v>
      </c>
      <c r="P217" s="3">
        <f t="shared" si="178"/>
        <v>2.9831545161290291E-2</v>
      </c>
      <c r="Q217" s="3">
        <f t="shared" si="178"/>
        <v>2.7021783665130743E-2</v>
      </c>
      <c r="R217" s="3">
        <f t="shared" si="178"/>
        <v>1.0048393927295392E-2</v>
      </c>
      <c r="S217" s="3">
        <f t="shared" si="178"/>
        <v>5.080694116015691E-7</v>
      </c>
      <c r="T217" s="3">
        <f t="shared" si="178"/>
        <v>5.5486459547346175E-50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3.6781885068377713E-2</v>
      </c>
      <c r="C218" s="3">
        <f t="shared" si="179"/>
        <v>3.6781885068377707E-2</v>
      </c>
      <c r="D218" s="3">
        <f t="shared" si="179"/>
        <v>3.6781885068377679E-2</v>
      </c>
      <c r="E218" s="3">
        <f t="shared" si="179"/>
        <v>3.6781885068377353E-2</v>
      </c>
      <c r="F218" s="3">
        <f t="shared" si="179"/>
        <v>3.6781885068374064E-2</v>
      </c>
      <c r="G218" s="3">
        <f t="shared" si="179"/>
        <v>3.6781885068341243E-2</v>
      </c>
      <c r="H218" s="3">
        <f t="shared" si="179"/>
        <v>3.6781885068013012E-2</v>
      </c>
      <c r="I218" s="3">
        <f t="shared" si="179"/>
        <v>3.6781885064730714E-2</v>
      </c>
      <c r="J218" s="3">
        <f t="shared" si="179"/>
        <v>3.6781885031907727E-2</v>
      </c>
      <c r="K218" s="3">
        <f t="shared" si="179"/>
        <v>3.6781884703677874E-2</v>
      </c>
      <c r="L218" s="3">
        <f t="shared" si="179"/>
        <v>3.6781881421379468E-2</v>
      </c>
      <c r="M218" s="3">
        <f t="shared" si="179"/>
        <v>3.6781848598411555E-2</v>
      </c>
      <c r="N218" s="3">
        <f t="shared" si="179"/>
        <v>3.6781520370343379E-2</v>
      </c>
      <c r="O218" s="3">
        <f t="shared" si="179"/>
        <v>3.6778238250751688E-2</v>
      </c>
      <c r="P218" s="3">
        <f t="shared" si="179"/>
        <v>3.6745433158530703E-2</v>
      </c>
      <c r="Q218" s="3">
        <f t="shared" si="179"/>
        <v>3.6418987301521377E-2</v>
      </c>
      <c r="R218" s="3">
        <f t="shared" si="179"/>
        <v>3.3309859839192692E-2</v>
      </c>
      <c r="S218" s="3">
        <f t="shared" si="179"/>
        <v>1.3646529096556708E-2</v>
      </c>
      <c r="T218" s="3">
        <f t="shared" si="179"/>
        <v>1.8176748909963576E-6</v>
      </c>
      <c r="U218" s="3">
        <f t="shared" si="179"/>
        <v>3.1948923743187195E-45</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3.0958488235130539E-2</v>
      </c>
      <c r="C219" s="3">
        <f t="shared" si="180"/>
        <v>3.0958488235130539E-2</v>
      </c>
      <c r="D219" s="3">
        <f t="shared" si="180"/>
        <v>3.0958488235130536E-2</v>
      </c>
      <c r="E219" s="3">
        <f t="shared" si="180"/>
        <v>3.0958488235130512E-2</v>
      </c>
      <c r="F219" s="3">
        <f t="shared" si="180"/>
        <v>3.0958488235130262E-2</v>
      </c>
      <c r="G219" s="3">
        <f t="shared" si="180"/>
        <v>3.0958488235127771E-2</v>
      </c>
      <c r="H219" s="3">
        <f t="shared" si="180"/>
        <v>3.095848823510285E-2</v>
      </c>
      <c r="I219" s="3">
        <f t="shared" si="180"/>
        <v>3.0958488234853639E-2</v>
      </c>
      <c r="J219" s="3">
        <f t="shared" si="180"/>
        <v>3.0958488232361508E-2</v>
      </c>
      <c r="K219" s="3">
        <f t="shared" si="180"/>
        <v>3.0958488207440224E-2</v>
      </c>
      <c r="L219" s="3">
        <f t="shared" si="180"/>
        <v>3.0958487958227369E-2</v>
      </c>
      <c r="M219" s="3">
        <f t="shared" si="180"/>
        <v>3.0958485466098959E-2</v>
      </c>
      <c r="N219" s="3">
        <f t="shared" si="180"/>
        <v>3.0958460544825862E-2</v>
      </c>
      <c r="O219" s="3">
        <f t="shared" si="180"/>
        <v>3.0958211333198277E-2</v>
      </c>
      <c r="P219" s="3">
        <f t="shared" si="180"/>
        <v>3.0955719327256444E-2</v>
      </c>
      <c r="Q219" s="3">
        <f t="shared" si="180"/>
        <v>3.0930810297954719E-2</v>
      </c>
      <c r="R219" s="3">
        <f t="shared" si="180"/>
        <v>3.0682819738378914E-2</v>
      </c>
      <c r="S219" s="3">
        <f t="shared" si="180"/>
        <v>2.8309681307853347E-2</v>
      </c>
      <c r="T219" s="3">
        <f t="shared" si="180"/>
        <v>1.2657038417525125E-2</v>
      </c>
      <c r="U219" s="3">
        <f t="shared" si="180"/>
        <v>4.0392736596585765E-6</v>
      </c>
      <c r="V219" s="3">
        <f t="shared" si="180"/>
        <v>4.4260372982946076E-41</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5.2155951905646973E-2</v>
      </c>
      <c r="C220" s="3">
        <f t="shared" si="181"/>
        <v>5.2155951905646973E-2</v>
      </c>
      <c r="D220" s="3">
        <f t="shared" si="181"/>
        <v>5.2155951905646973E-2</v>
      </c>
      <c r="E220" s="3">
        <f t="shared" si="181"/>
        <v>5.2155951905646966E-2</v>
      </c>
      <c r="F220" s="3">
        <f t="shared" si="181"/>
        <v>5.2155951905646931E-2</v>
      </c>
      <c r="G220" s="3">
        <f t="shared" si="181"/>
        <v>5.215595190564655E-2</v>
      </c>
      <c r="H220" s="3">
        <f t="shared" si="181"/>
        <v>5.2155951905642761E-2</v>
      </c>
      <c r="I220" s="3">
        <f t="shared" si="181"/>
        <v>5.2155951905604896E-2</v>
      </c>
      <c r="J220" s="3">
        <f t="shared" si="181"/>
        <v>5.215595190522615E-2</v>
      </c>
      <c r="K220" s="3">
        <f t="shared" si="181"/>
        <v>5.2155951901438749E-2</v>
      </c>
      <c r="L220" s="3">
        <f t="shared" si="181"/>
        <v>5.2155951863564753E-2</v>
      </c>
      <c r="M220" s="3">
        <f t="shared" si="181"/>
        <v>5.2155951484824763E-2</v>
      </c>
      <c r="N220" s="3">
        <f t="shared" si="181"/>
        <v>5.2155947697425063E-2</v>
      </c>
      <c r="O220" s="3">
        <f t="shared" si="181"/>
        <v>5.2155909823443161E-2</v>
      </c>
      <c r="P220" s="3">
        <f t="shared" si="181"/>
        <v>5.2155531085136785E-2</v>
      </c>
      <c r="Q220" s="3">
        <f t="shared" si="181"/>
        <v>5.215174385333441E-2</v>
      </c>
      <c r="R220" s="3">
        <f t="shared" si="181"/>
        <v>5.2113886657389225E-2</v>
      </c>
      <c r="S220" s="3">
        <f t="shared" si="181"/>
        <v>5.173682285063258E-2</v>
      </c>
      <c r="T220" s="3">
        <f t="shared" si="181"/>
        <v>4.8113025421532514E-2</v>
      </c>
      <c r="U220" s="3">
        <f t="shared" si="181"/>
        <v>2.3275112192356083E-2</v>
      </c>
      <c r="V220" s="3">
        <f t="shared" si="181"/>
        <v>1.6337400105816245E-5</v>
      </c>
      <c r="W220" s="3">
        <f t="shared" si="181"/>
        <v>4.7434526051465937E-37</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4.3160709564069449E-2</v>
      </c>
      <c r="C221" s="3">
        <f t="shared" si="182"/>
        <v>4.3160709564069449E-2</v>
      </c>
      <c r="D221" s="3">
        <f t="shared" si="182"/>
        <v>4.3160709564069449E-2</v>
      </c>
      <c r="E221" s="3">
        <f t="shared" si="182"/>
        <v>4.3160709564069449E-2</v>
      </c>
      <c r="F221" s="3">
        <f t="shared" si="182"/>
        <v>4.3160709564069442E-2</v>
      </c>
      <c r="G221" s="3">
        <f t="shared" si="182"/>
        <v>4.3160709564069415E-2</v>
      </c>
      <c r="H221" s="3">
        <f t="shared" si="182"/>
        <v>4.316070956406913E-2</v>
      </c>
      <c r="I221" s="3">
        <f t="shared" si="182"/>
        <v>4.3160709564066306E-2</v>
      </c>
      <c r="J221" s="3">
        <f t="shared" si="182"/>
        <v>4.3160709564038037E-2</v>
      </c>
      <c r="K221" s="3">
        <f t="shared" si="182"/>
        <v>4.3160709563755305E-2</v>
      </c>
      <c r="L221" s="3">
        <f t="shared" si="182"/>
        <v>4.3160709560928004E-2</v>
      </c>
      <c r="M221" s="3">
        <f t="shared" si="182"/>
        <v>4.3160709532654967E-2</v>
      </c>
      <c r="N221" s="3">
        <f t="shared" si="182"/>
        <v>4.31607092499246E-2</v>
      </c>
      <c r="O221" s="3">
        <f t="shared" si="182"/>
        <v>4.3160706422621091E-2</v>
      </c>
      <c r="P221" s="3">
        <f t="shared" si="182"/>
        <v>4.3160678149596114E-2</v>
      </c>
      <c r="Q221" s="3">
        <f t="shared" si="182"/>
        <v>4.3160395420364983E-2</v>
      </c>
      <c r="R221" s="3">
        <f t="shared" si="182"/>
        <v>4.315756822991456E-2</v>
      </c>
      <c r="S221" s="3">
        <f t="shared" si="182"/>
        <v>4.3129306509027458E-2</v>
      </c>
      <c r="T221" s="3">
        <f t="shared" si="182"/>
        <v>4.2847705197948061E-2</v>
      </c>
      <c r="U221" s="3">
        <f t="shared" si="182"/>
        <v>4.0130862146343753E-2</v>
      </c>
      <c r="V221" s="3">
        <f t="shared" si="182"/>
        <v>2.0844319262723135E-2</v>
      </c>
      <c r="W221" s="3">
        <f t="shared" si="182"/>
        <v>2.9790650146893117E-5</v>
      </c>
      <c r="X221" s="3">
        <f t="shared" si="182"/>
        <v>1.0592601397580388E-33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4.9762672836986856E-2</v>
      </c>
      <c r="C222" s="3">
        <f t="shared" si="183"/>
        <v>4.9762672836986856E-2</v>
      </c>
      <c r="D222" s="3">
        <f t="shared" si="183"/>
        <v>4.9762672836986856E-2</v>
      </c>
      <c r="E222" s="3">
        <f t="shared" si="183"/>
        <v>4.9762672836986856E-2</v>
      </c>
      <c r="F222" s="3">
        <f t="shared" si="183"/>
        <v>4.9762672836986856E-2</v>
      </c>
      <c r="G222" s="3">
        <f t="shared" si="183"/>
        <v>4.9762672836986849E-2</v>
      </c>
      <c r="H222" s="3">
        <f t="shared" si="183"/>
        <v>4.9762672836986821E-2</v>
      </c>
      <c r="I222" s="3">
        <f t="shared" si="183"/>
        <v>4.976267283698653E-2</v>
      </c>
      <c r="J222" s="3">
        <f t="shared" si="183"/>
        <v>4.9762672836983587E-2</v>
      </c>
      <c r="K222" s="3">
        <f t="shared" si="183"/>
        <v>4.976267283695418E-2</v>
      </c>
      <c r="L222" s="3">
        <f t="shared" si="183"/>
        <v>4.9762672836660124E-2</v>
      </c>
      <c r="M222" s="3">
        <f t="shared" si="183"/>
        <v>4.9762672833719539E-2</v>
      </c>
      <c r="N222" s="3">
        <f t="shared" si="183"/>
        <v>4.9762672804313658E-2</v>
      </c>
      <c r="O222" s="3">
        <f t="shared" si="183"/>
        <v>4.9762672510254874E-2</v>
      </c>
      <c r="P222" s="3">
        <f t="shared" si="183"/>
        <v>4.976266956966708E-2</v>
      </c>
      <c r="Q222" s="3">
        <f t="shared" si="183"/>
        <v>4.9762640163798777E-2</v>
      </c>
      <c r="R222" s="3">
        <f t="shared" si="183"/>
        <v>4.9762346106071442E-2</v>
      </c>
      <c r="S222" s="3">
        <f t="shared" si="183"/>
        <v>4.975940562436703E-2</v>
      </c>
      <c r="T222" s="3">
        <f t="shared" si="183"/>
        <v>4.9730010362127715E-2</v>
      </c>
      <c r="U222" s="3">
        <f t="shared" si="183"/>
        <v>4.9437011134438477E-2</v>
      </c>
      <c r="V222" s="3">
        <f t="shared" si="183"/>
        <v>4.6600306352249765E-2</v>
      </c>
      <c r="W222" s="3">
        <f t="shared" si="183"/>
        <v>2.5808004555654615E-2</v>
      </c>
      <c r="X222" s="3">
        <f t="shared" si="183"/>
        <v>7.0050457513144633E-5</v>
      </c>
      <c r="Y222" s="3">
        <f t="shared" si="183"/>
        <v>1.5204651487851498E-30</v>
      </c>
      <c r="Z222" s="3">
        <f t="shared" si="183"/>
        <v>3.5288354572120957E-287</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4.7420297810237655E-2</v>
      </c>
      <c r="C223" s="3">
        <f t="shared" si="184"/>
        <v>4.7420297810237655E-2</v>
      </c>
      <c r="D223" s="3">
        <f t="shared" si="184"/>
        <v>4.7420297810237655E-2</v>
      </c>
      <c r="E223" s="3">
        <f t="shared" si="184"/>
        <v>4.7420297810237655E-2</v>
      </c>
      <c r="F223" s="3">
        <f t="shared" si="184"/>
        <v>4.7420297810237655E-2</v>
      </c>
      <c r="G223" s="3">
        <f t="shared" si="184"/>
        <v>4.7420297810237655E-2</v>
      </c>
      <c r="H223" s="3">
        <f t="shared" si="184"/>
        <v>4.7420297810237648E-2</v>
      </c>
      <c r="I223" s="3">
        <f t="shared" si="184"/>
        <v>4.7420297810237627E-2</v>
      </c>
      <c r="J223" s="3">
        <f t="shared" si="184"/>
        <v>4.7420297810237377E-2</v>
      </c>
      <c r="K223" s="3">
        <f t="shared" si="184"/>
        <v>4.7420297810234852E-2</v>
      </c>
      <c r="L223" s="3">
        <f t="shared" si="184"/>
        <v>4.7420297810209566E-2</v>
      </c>
      <c r="M223" s="3">
        <f t="shared" si="184"/>
        <v>4.7420297809956789E-2</v>
      </c>
      <c r="N223" s="3">
        <f t="shared" si="184"/>
        <v>4.7420297807428992E-2</v>
      </c>
      <c r="O223" s="3">
        <f t="shared" si="184"/>
        <v>4.7420297782151073E-2</v>
      </c>
      <c r="P223" s="3">
        <f t="shared" si="184"/>
        <v>4.742029752937188E-2</v>
      </c>
      <c r="Q223" s="3">
        <f t="shared" si="184"/>
        <v>4.7420295001579973E-2</v>
      </c>
      <c r="R223" s="3">
        <f t="shared" si="184"/>
        <v>4.7420269723668279E-2</v>
      </c>
      <c r="S223" s="3">
        <f t="shared" si="184"/>
        <v>4.7420016945292472E-2</v>
      </c>
      <c r="T223" s="3">
        <f t="shared" si="184"/>
        <v>4.7417489235643498E-2</v>
      </c>
      <c r="U223" s="3">
        <f t="shared" si="184"/>
        <v>4.7392219548602732E-2</v>
      </c>
      <c r="V223" s="3">
        <f t="shared" si="184"/>
        <v>4.71402621637848E-2</v>
      </c>
      <c r="W223" s="3">
        <f t="shared" si="184"/>
        <v>4.469319893055889E-2</v>
      </c>
      <c r="X223" s="3">
        <f t="shared" si="184"/>
        <v>2.6226232765331935E-2</v>
      </c>
      <c r="Y223" s="3">
        <f t="shared" si="184"/>
        <v>1.2696400681413598E-4</v>
      </c>
      <c r="Z223" s="3">
        <f t="shared" si="184"/>
        <v>8.9769271975161946E-28</v>
      </c>
      <c r="AA223" s="3">
        <f t="shared" si="184"/>
        <v>2.8028414845745017E-259</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5.5060707858971492E-2</v>
      </c>
      <c r="C224" s="3">
        <f t="shared" si="185"/>
        <v>5.5060707858971492E-2</v>
      </c>
      <c r="D224" s="3">
        <f t="shared" si="185"/>
        <v>5.5060707858971492E-2</v>
      </c>
      <c r="E224" s="3">
        <f t="shared" si="185"/>
        <v>5.5060707858971492E-2</v>
      </c>
      <c r="F224" s="3">
        <f t="shared" si="185"/>
        <v>5.5060707858971492E-2</v>
      </c>
      <c r="G224" s="3">
        <f t="shared" si="185"/>
        <v>5.5060707858971492E-2</v>
      </c>
      <c r="H224" s="3">
        <f t="shared" si="185"/>
        <v>5.5060707858971492E-2</v>
      </c>
      <c r="I224" s="3">
        <f t="shared" si="185"/>
        <v>5.5060707858971492E-2</v>
      </c>
      <c r="J224" s="3">
        <f t="shared" si="185"/>
        <v>5.5060707858971464E-2</v>
      </c>
      <c r="K224" s="3">
        <f t="shared" si="185"/>
        <v>5.50607078589712E-2</v>
      </c>
      <c r="L224" s="3">
        <f t="shared" si="185"/>
        <v>5.5060707858968549E-2</v>
      </c>
      <c r="M224" s="3">
        <f t="shared" si="185"/>
        <v>5.5060707858942071E-2</v>
      </c>
      <c r="N224" s="3">
        <f t="shared" si="185"/>
        <v>5.5060707858677303E-2</v>
      </c>
      <c r="O224" s="3">
        <f t="shared" si="185"/>
        <v>5.506070785602963E-2</v>
      </c>
      <c r="P224" s="3">
        <f t="shared" si="185"/>
        <v>5.506070782955283E-2</v>
      </c>
      <c r="Q224" s="3">
        <f t="shared" si="185"/>
        <v>5.5060707564784865E-2</v>
      </c>
      <c r="R224" s="3">
        <f t="shared" si="185"/>
        <v>5.506070491710529E-2</v>
      </c>
      <c r="S224" s="3">
        <f t="shared" si="185"/>
        <v>5.5060678440316542E-2</v>
      </c>
      <c r="T224" s="3">
        <f t="shared" si="185"/>
        <v>5.5060413673129298E-2</v>
      </c>
      <c r="U224" s="3">
        <f t="shared" si="185"/>
        <v>5.505776607128024E-2</v>
      </c>
      <c r="V224" s="3">
        <f t="shared" si="185"/>
        <v>5.5031297053883939E-2</v>
      </c>
      <c r="W224" s="3">
        <f t="shared" si="185"/>
        <v>5.4767305745307866E-2</v>
      </c>
      <c r="X224" s="3">
        <f t="shared" si="185"/>
        <v>5.2196051606720452E-2</v>
      </c>
      <c r="Y224" s="3">
        <f t="shared" si="185"/>
        <v>3.2270106978558748E-2</v>
      </c>
      <c r="Z224" s="3">
        <f t="shared" si="185"/>
        <v>2.6328610397733027E-4</v>
      </c>
      <c r="AA224" s="3">
        <f t="shared" si="185"/>
        <v>3.4411473279453363E-25</v>
      </c>
      <c r="AB224" s="3">
        <f t="shared" si="185"/>
        <v>5.0056047490011157E-234</v>
      </c>
      <c r="AC224" s="3">
        <f t="shared" si="185"/>
        <v>0</v>
      </c>
      <c r="AD224" s="3">
        <f t="shared" si="185"/>
        <v>0</v>
      </c>
      <c r="AE224" s="3">
        <f t="shared" si="185"/>
        <v>0</v>
      </c>
      <c r="AF224" s="3">
        <f t="shared" si="185"/>
        <v>0</v>
      </c>
      <c r="AG224" s="3"/>
      <c r="AH224" s="3"/>
    </row>
    <row r="225" spans="2:34" x14ac:dyDescent="0.25">
      <c r="B225" s="3">
        <f t="shared" ref="B225:AF225" si="186">$C33*EXP(-B$207/$A33/EXP(-$D$126))</f>
        <v>8.2774016803130748E-2</v>
      </c>
      <c r="C225" s="3">
        <f t="shared" si="186"/>
        <v>8.2774016803130748E-2</v>
      </c>
      <c r="D225" s="3">
        <f t="shared" si="186"/>
        <v>8.2774016803130748E-2</v>
      </c>
      <c r="E225" s="3">
        <f t="shared" si="186"/>
        <v>8.2774016803130748E-2</v>
      </c>
      <c r="F225" s="3">
        <f t="shared" si="186"/>
        <v>8.2774016803130748E-2</v>
      </c>
      <c r="G225" s="3">
        <f t="shared" si="186"/>
        <v>8.2774016803130748E-2</v>
      </c>
      <c r="H225" s="3">
        <f t="shared" si="186"/>
        <v>8.2774016803130748E-2</v>
      </c>
      <c r="I225" s="3">
        <f t="shared" si="186"/>
        <v>8.2774016803130748E-2</v>
      </c>
      <c r="J225" s="3">
        <f t="shared" si="186"/>
        <v>8.2774016803130748E-2</v>
      </c>
      <c r="K225" s="3">
        <f t="shared" si="186"/>
        <v>8.2774016803130707E-2</v>
      </c>
      <c r="L225" s="3">
        <f t="shared" si="186"/>
        <v>8.277401680313036E-2</v>
      </c>
      <c r="M225" s="3">
        <f t="shared" si="186"/>
        <v>8.2774016803126765E-2</v>
      </c>
      <c r="N225" s="3">
        <f t="shared" si="186"/>
        <v>8.277401680309085E-2</v>
      </c>
      <c r="O225" s="3">
        <f t="shared" si="186"/>
        <v>8.277401680273179E-2</v>
      </c>
      <c r="P225" s="3">
        <f t="shared" si="186"/>
        <v>8.2774016799141217E-2</v>
      </c>
      <c r="Q225" s="3">
        <f t="shared" si="186"/>
        <v>8.2774016763235453E-2</v>
      </c>
      <c r="R225" s="3">
        <f t="shared" si="186"/>
        <v>8.2774016404177725E-2</v>
      </c>
      <c r="S225" s="3">
        <f t="shared" si="186"/>
        <v>8.2774012813600625E-2</v>
      </c>
      <c r="T225" s="3">
        <f t="shared" si="186"/>
        <v>8.2773976907838082E-2</v>
      </c>
      <c r="U225" s="3">
        <f t="shared" si="186"/>
        <v>8.2773617851069431E-2</v>
      </c>
      <c r="V225" s="3">
        <f t="shared" si="186"/>
        <v>8.2770027369045124E-2</v>
      </c>
      <c r="W225" s="3">
        <f t="shared" si="186"/>
        <v>8.2734131113651826E-2</v>
      </c>
      <c r="X225" s="3">
        <f t="shared" si="186"/>
        <v>8.2376023671643844E-2</v>
      </c>
      <c r="Y225" s="3">
        <f t="shared" si="186"/>
        <v>7.8879103778106391E-2</v>
      </c>
      <c r="Z225" s="3">
        <f t="shared" si="186"/>
        <v>5.1117946298928449E-2</v>
      </c>
      <c r="AA225" s="3">
        <f t="shared" si="186"/>
        <v>6.6786348015913043E-4</v>
      </c>
      <c r="AB225" s="3">
        <f t="shared" si="186"/>
        <v>9.679004330747648E-23</v>
      </c>
      <c r="AC225" s="3">
        <f t="shared" si="186"/>
        <v>3.9560389963536444E-211</v>
      </c>
      <c r="AD225" s="3">
        <f t="shared" si="186"/>
        <v>0</v>
      </c>
      <c r="AE225" s="3">
        <f t="shared" si="186"/>
        <v>0</v>
      </c>
      <c r="AF225" s="3">
        <f t="shared" si="186"/>
        <v>0</v>
      </c>
      <c r="AG225" s="3"/>
      <c r="AH225" s="3"/>
    </row>
    <row r="226" spans="2:34" x14ac:dyDescent="0.25">
      <c r="B226" s="3">
        <f t="shared" ref="B226:AF226" si="187">$C34*EXP(-B$207/$A34/EXP(-$D$126))</f>
        <v>9.2826583311544017E-2</v>
      </c>
      <c r="C226" s="3">
        <f t="shared" si="187"/>
        <v>9.2826583311544017E-2</v>
      </c>
      <c r="D226" s="3">
        <f t="shared" si="187"/>
        <v>9.2826583311544017E-2</v>
      </c>
      <c r="E226" s="3">
        <f t="shared" si="187"/>
        <v>9.2826583311544017E-2</v>
      </c>
      <c r="F226" s="3">
        <f t="shared" si="187"/>
        <v>9.2826583311544017E-2</v>
      </c>
      <c r="G226" s="3">
        <f t="shared" si="187"/>
        <v>9.2826583311544017E-2</v>
      </c>
      <c r="H226" s="3">
        <f t="shared" si="187"/>
        <v>9.2826583311544017E-2</v>
      </c>
      <c r="I226" s="3">
        <f t="shared" si="187"/>
        <v>9.2826583311544017E-2</v>
      </c>
      <c r="J226" s="3">
        <f t="shared" si="187"/>
        <v>9.2826583311544017E-2</v>
      </c>
      <c r="K226" s="3">
        <f t="shared" si="187"/>
        <v>9.2826583311544017E-2</v>
      </c>
      <c r="L226" s="3">
        <f t="shared" si="187"/>
        <v>9.2826583311543975E-2</v>
      </c>
      <c r="M226" s="3">
        <f t="shared" si="187"/>
        <v>9.2826583311543615E-2</v>
      </c>
      <c r="N226" s="3">
        <f t="shared" si="187"/>
        <v>9.2826583311539979E-2</v>
      </c>
      <c r="O226" s="3">
        <f t="shared" si="187"/>
        <v>9.282658331150366E-2</v>
      </c>
      <c r="P226" s="3">
        <f t="shared" si="187"/>
        <v>9.2826583311140423E-2</v>
      </c>
      <c r="Q226" s="3">
        <f t="shared" si="187"/>
        <v>9.2826583307508065E-2</v>
      </c>
      <c r="R226" s="3">
        <f t="shared" si="187"/>
        <v>9.2826583271184426E-2</v>
      </c>
      <c r="S226" s="3">
        <f t="shared" si="187"/>
        <v>9.282658290794818E-2</v>
      </c>
      <c r="T226" s="3">
        <f t="shared" si="187"/>
        <v>9.2826579275585658E-2</v>
      </c>
      <c r="U226" s="3">
        <f t="shared" si="187"/>
        <v>9.2826542951968377E-2</v>
      </c>
      <c r="V226" s="3">
        <f t="shared" si="187"/>
        <v>9.2826179716577306E-2</v>
      </c>
      <c r="W226" s="3">
        <f t="shared" si="187"/>
        <v>9.2822547440840411E-2</v>
      </c>
      <c r="X226" s="3">
        <f t="shared" si="187"/>
        <v>9.2786232499728921E-2</v>
      </c>
      <c r="Y226" s="3">
        <f t="shared" si="187"/>
        <v>9.2423863583870211E-2</v>
      </c>
      <c r="Z226" s="3">
        <f t="shared" si="187"/>
        <v>8.8877105654248972E-2</v>
      </c>
      <c r="AA226" s="3">
        <f t="shared" si="187"/>
        <v>6.0096300849700135E-2</v>
      </c>
      <c r="AB226" s="3">
        <f t="shared" si="187"/>
        <v>1.2006767851363153E-3</v>
      </c>
      <c r="AC226" s="3">
        <f t="shared" si="187"/>
        <v>1.2167737920824905E-20</v>
      </c>
      <c r="AD226" s="3">
        <f t="shared" si="187"/>
        <v>1.3901036357358919E-190</v>
      </c>
      <c r="AE226" s="3">
        <f t="shared" si="187"/>
        <v>0</v>
      </c>
      <c r="AF226" s="3">
        <f t="shared" si="187"/>
        <v>0</v>
      </c>
      <c r="AG226" s="3"/>
      <c r="AH226" s="3"/>
    </row>
    <row r="227" spans="2:34" x14ac:dyDescent="0.25">
      <c r="B227" s="3">
        <f t="shared" ref="B227:AF227" si="188">$C35*EXP(-B$207/$A35/EXP(-$D$126))</f>
        <v>0.10795546608785625</v>
      </c>
      <c r="C227" s="3">
        <f t="shared" si="188"/>
        <v>0.10795546608785625</v>
      </c>
      <c r="D227" s="3">
        <f t="shared" si="188"/>
        <v>0.10795546608785625</v>
      </c>
      <c r="E227" s="3">
        <f t="shared" si="188"/>
        <v>0.10795546608785625</v>
      </c>
      <c r="F227" s="3">
        <f t="shared" si="188"/>
        <v>0.10795546608785625</v>
      </c>
      <c r="G227" s="3">
        <f t="shared" si="188"/>
        <v>0.10795546608785625</v>
      </c>
      <c r="H227" s="3">
        <f t="shared" si="188"/>
        <v>0.10795546608785625</v>
      </c>
      <c r="I227" s="3">
        <f t="shared" si="188"/>
        <v>0.10795546608785625</v>
      </c>
      <c r="J227" s="3">
        <f t="shared" si="188"/>
        <v>0.10795546608785625</v>
      </c>
      <c r="K227" s="3">
        <f t="shared" si="188"/>
        <v>0.10795546608785625</v>
      </c>
      <c r="L227" s="3">
        <f t="shared" si="188"/>
        <v>0.10795546608785625</v>
      </c>
      <c r="M227" s="3">
        <f t="shared" si="188"/>
        <v>0.10795546608785621</v>
      </c>
      <c r="N227" s="3">
        <f t="shared" si="188"/>
        <v>0.10795546608785583</v>
      </c>
      <c r="O227" s="3">
        <f t="shared" si="188"/>
        <v>0.10795546608785202</v>
      </c>
      <c r="P227" s="3">
        <f t="shared" si="188"/>
        <v>0.10795546608781391</v>
      </c>
      <c r="Q227" s="3">
        <f t="shared" si="188"/>
        <v>0.10795546608743284</v>
      </c>
      <c r="R227" s="3">
        <f t="shared" si="188"/>
        <v>0.10795546608362211</v>
      </c>
      <c r="S227" s="3">
        <f t="shared" si="188"/>
        <v>0.10795546604551481</v>
      </c>
      <c r="T227" s="3">
        <f t="shared" si="188"/>
        <v>0.10795546566444192</v>
      </c>
      <c r="U227" s="3">
        <f t="shared" si="188"/>
        <v>0.10795546185371308</v>
      </c>
      <c r="V227" s="3">
        <f t="shared" si="188"/>
        <v>0.10795542374643198</v>
      </c>
      <c r="W227" s="3">
        <f t="shared" si="188"/>
        <v>0.10795504267436093</v>
      </c>
      <c r="X227" s="3">
        <f t="shared" si="188"/>
        <v>0.1079512320276327</v>
      </c>
      <c r="Y227" s="3">
        <f t="shared" si="188"/>
        <v>0.1079131329576147</v>
      </c>
      <c r="Z227" s="3">
        <f t="shared" si="188"/>
        <v>0.10753288101865918</v>
      </c>
      <c r="AA227" s="3">
        <f t="shared" si="188"/>
        <v>0.10380328192313308</v>
      </c>
      <c r="AB227" s="3">
        <f t="shared" si="188"/>
        <v>7.2930487427619997E-2</v>
      </c>
      <c r="AC227" s="3">
        <f t="shared" si="188"/>
        <v>2.1374178435440059E-3</v>
      </c>
      <c r="AD227" s="3">
        <f t="shared" si="188"/>
        <v>9.99292379192591E-19</v>
      </c>
      <c r="AE227" s="3">
        <f t="shared" si="188"/>
        <v>4.9856756686644597E-172</v>
      </c>
      <c r="AF227" s="3">
        <f t="shared" si="188"/>
        <v>0</v>
      </c>
      <c r="AG227" s="3"/>
      <c r="AH227" s="3"/>
    </row>
    <row r="228" spans="2:34" x14ac:dyDescent="0.25">
      <c r="B228" s="3">
        <f t="shared" ref="B228:AF228" si="189">$C36*EXP(-B$207/$A36/EXP(-$D$126))</f>
        <v>0.11222824358997255</v>
      </c>
      <c r="C228" s="3">
        <f t="shared" si="189"/>
        <v>0.11222824358997255</v>
      </c>
      <c r="D228" s="3">
        <f t="shared" si="189"/>
        <v>0.11222824358997255</v>
      </c>
      <c r="E228" s="3">
        <f t="shared" si="189"/>
        <v>0.11222824358997255</v>
      </c>
      <c r="F228" s="3">
        <f t="shared" si="189"/>
        <v>0.11222824358997255</v>
      </c>
      <c r="G228" s="3">
        <f t="shared" si="189"/>
        <v>0.11222824358997255</v>
      </c>
      <c r="H228" s="3">
        <f t="shared" si="189"/>
        <v>0.11222824358997255</v>
      </c>
      <c r="I228" s="3">
        <f t="shared" si="189"/>
        <v>0.11222824358997255</v>
      </c>
      <c r="J228" s="3">
        <f t="shared" si="189"/>
        <v>0.11222824358997255</v>
      </c>
      <c r="K228" s="3">
        <f t="shared" si="189"/>
        <v>0.11222824358997255</v>
      </c>
      <c r="L228" s="3">
        <f t="shared" si="189"/>
        <v>0.11222824358997255</v>
      </c>
      <c r="M228" s="3">
        <f t="shared" si="189"/>
        <v>0.11222824358997255</v>
      </c>
      <c r="N228" s="3">
        <f t="shared" si="189"/>
        <v>0.11222824358997251</v>
      </c>
      <c r="O228" s="3">
        <f t="shared" si="189"/>
        <v>0.11222824358997215</v>
      </c>
      <c r="P228" s="3">
        <f t="shared" si="189"/>
        <v>0.11222824358996858</v>
      </c>
      <c r="Q228" s="3">
        <f t="shared" si="189"/>
        <v>0.11222824358993284</v>
      </c>
      <c r="R228" s="3">
        <f t="shared" si="189"/>
        <v>0.11222824358957548</v>
      </c>
      <c r="S228" s="3">
        <f t="shared" si="189"/>
        <v>0.11222824358600182</v>
      </c>
      <c r="T228" s="3">
        <f t="shared" si="189"/>
        <v>0.11222824355026531</v>
      </c>
      <c r="U228" s="3">
        <f t="shared" si="189"/>
        <v>0.11222824319290017</v>
      </c>
      <c r="V228" s="3">
        <f t="shared" si="189"/>
        <v>0.11222823961924892</v>
      </c>
      <c r="W228" s="3">
        <f t="shared" si="189"/>
        <v>0.11222820388274257</v>
      </c>
      <c r="X228" s="3">
        <f t="shared" si="189"/>
        <v>0.11222784651830504</v>
      </c>
      <c r="Y228" s="3">
        <f t="shared" si="189"/>
        <v>0.11222427293651599</v>
      </c>
      <c r="Z228" s="3">
        <f t="shared" si="189"/>
        <v>0.11218854337651697</v>
      </c>
      <c r="AA228" s="3">
        <f t="shared" si="189"/>
        <v>0.11183187282900835</v>
      </c>
      <c r="AB228" s="3">
        <f t="shared" si="189"/>
        <v>0.10832694240799394</v>
      </c>
      <c r="AC228" s="3">
        <f t="shared" si="189"/>
        <v>7.8785329552336816E-2</v>
      </c>
      <c r="AD228" s="3">
        <f t="shared" si="189"/>
        <v>3.262376384330197E-3</v>
      </c>
      <c r="AE228" s="3">
        <f t="shared" si="189"/>
        <v>4.8352746958017883E-17</v>
      </c>
      <c r="AF228" s="3">
        <f t="shared" si="189"/>
        <v>2.473386706601251E-155</v>
      </c>
      <c r="AG228" s="3"/>
      <c r="AH228" s="3"/>
    </row>
    <row r="229" spans="2:34" x14ac:dyDescent="0.25">
      <c r="B229" s="3">
        <f t="shared" ref="B229:AF229" si="190">$C37*EXP(-B$207/$A37/EXP(-$D$126))</f>
        <v>8.9690702482137605E-2</v>
      </c>
      <c r="C229" s="3">
        <f t="shared" si="190"/>
        <v>8.9690702482137605E-2</v>
      </c>
      <c r="D229" s="3">
        <f t="shared" si="190"/>
        <v>8.9690702482137605E-2</v>
      </c>
      <c r="E229" s="3">
        <f t="shared" si="190"/>
        <v>8.9690702482137605E-2</v>
      </c>
      <c r="F229" s="3">
        <f t="shared" si="190"/>
        <v>8.9690702482137605E-2</v>
      </c>
      <c r="G229" s="3">
        <f t="shared" si="190"/>
        <v>8.9690702482137605E-2</v>
      </c>
      <c r="H229" s="3">
        <f t="shared" si="190"/>
        <v>8.9690702482137605E-2</v>
      </c>
      <c r="I229" s="3">
        <f t="shared" si="190"/>
        <v>8.9690702482137605E-2</v>
      </c>
      <c r="J229" s="3">
        <f t="shared" si="190"/>
        <v>8.9690702482137605E-2</v>
      </c>
      <c r="K229" s="3">
        <f t="shared" si="190"/>
        <v>8.9690702482137605E-2</v>
      </c>
      <c r="L229" s="3">
        <f t="shared" si="190"/>
        <v>8.9690702482137605E-2</v>
      </c>
      <c r="M229" s="3">
        <f t="shared" si="190"/>
        <v>8.9690702482137605E-2</v>
      </c>
      <c r="N229" s="3">
        <f t="shared" si="190"/>
        <v>8.9690702482137605E-2</v>
      </c>
      <c r="O229" s="3">
        <f t="shared" si="190"/>
        <v>8.9690702482137577E-2</v>
      </c>
      <c r="P229" s="3">
        <f t="shared" si="190"/>
        <v>8.9690702482137313E-2</v>
      </c>
      <c r="Q229" s="3">
        <f t="shared" si="190"/>
        <v>8.9690702482134746E-2</v>
      </c>
      <c r="R229" s="3">
        <f t="shared" si="190"/>
        <v>8.9690702482108975E-2</v>
      </c>
      <c r="S229" s="3">
        <f t="shared" si="190"/>
        <v>8.9690702481851348E-2</v>
      </c>
      <c r="T229" s="3">
        <f t="shared" si="190"/>
        <v>8.9690702479274992E-2</v>
      </c>
      <c r="U229" s="3">
        <f t="shared" si="190"/>
        <v>8.9690702453511545E-2</v>
      </c>
      <c r="V229" s="3">
        <f t="shared" si="190"/>
        <v>8.9690702195877048E-2</v>
      </c>
      <c r="W229" s="3">
        <f t="shared" si="190"/>
        <v>8.9690699619532036E-2</v>
      </c>
      <c r="X229" s="3">
        <f t="shared" si="190"/>
        <v>8.9690673856086048E-2</v>
      </c>
      <c r="Y229" s="3">
        <f t="shared" si="190"/>
        <v>8.9690416222033234E-2</v>
      </c>
      <c r="Z229" s="3">
        <f t="shared" si="190"/>
        <v>8.9687839922207357E-2</v>
      </c>
      <c r="AA229" s="3">
        <f t="shared" si="190"/>
        <v>8.9662080993738805E-2</v>
      </c>
      <c r="AB229" s="3">
        <f t="shared" si="190"/>
        <v>8.9404898255873416E-2</v>
      </c>
      <c r="AC229" s="3">
        <f t="shared" si="190"/>
        <v>8.6873296774342579E-2</v>
      </c>
      <c r="AD229" s="3">
        <f t="shared" si="190"/>
        <v>6.5183278431586791E-2</v>
      </c>
      <c r="AE229" s="3">
        <f t="shared" si="190"/>
        <v>3.686677665222282E-3</v>
      </c>
      <c r="AF229" s="3">
        <f t="shared" si="190"/>
        <v>1.2348802620439301E-15</v>
      </c>
      <c r="AG229" s="3"/>
      <c r="AH229" s="3"/>
    </row>
    <row r="230" spans="2:34" x14ac:dyDescent="0.25">
      <c r="B230" s="3">
        <f t="shared" ref="B230:AF230" si="191">$C38*EXP(-B$207/$A38/EXP(-$D$126))</f>
        <v>3.260199419264094E-2</v>
      </c>
      <c r="C230" s="3">
        <f t="shared" si="191"/>
        <v>3.260199419264094E-2</v>
      </c>
      <c r="D230" s="3">
        <f t="shared" si="191"/>
        <v>3.260199419264094E-2</v>
      </c>
      <c r="E230" s="3">
        <f t="shared" si="191"/>
        <v>3.260199419264094E-2</v>
      </c>
      <c r="F230" s="3">
        <f t="shared" si="191"/>
        <v>3.260199419264094E-2</v>
      </c>
      <c r="G230" s="3">
        <f t="shared" si="191"/>
        <v>3.260199419264094E-2</v>
      </c>
      <c r="H230" s="3">
        <f t="shared" si="191"/>
        <v>3.260199419264094E-2</v>
      </c>
      <c r="I230" s="3">
        <f t="shared" si="191"/>
        <v>3.260199419264094E-2</v>
      </c>
      <c r="J230" s="3">
        <f t="shared" si="191"/>
        <v>3.260199419264094E-2</v>
      </c>
      <c r="K230" s="3">
        <f t="shared" si="191"/>
        <v>3.260199419264094E-2</v>
      </c>
      <c r="L230" s="3">
        <f t="shared" si="191"/>
        <v>3.260199419264094E-2</v>
      </c>
      <c r="M230" s="3">
        <f t="shared" si="191"/>
        <v>3.260199419264094E-2</v>
      </c>
      <c r="N230" s="3">
        <f t="shared" si="191"/>
        <v>3.260199419264094E-2</v>
      </c>
      <c r="O230" s="3">
        <f t="shared" si="191"/>
        <v>3.260199419264094E-2</v>
      </c>
      <c r="P230" s="3">
        <f t="shared" si="191"/>
        <v>3.2601994192640926E-2</v>
      </c>
      <c r="Q230" s="3">
        <f t="shared" si="191"/>
        <v>3.2601994192640843E-2</v>
      </c>
      <c r="R230" s="3">
        <f t="shared" si="191"/>
        <v>3.2601994192640003E-2</v>
      </c>
      <c r="S230" s="3">
        <f t="shared" si="191"/>
        <v>3.2601994192631552E-2</v>
      </c>
      <c r="T230" s="3">
        <f t="shared" si="191"/>
        <v>3.2601994192547078E-2</v>
      </c>
      <c r="U230" s="3">
        <f t="shared" si="191"/>
        <v>3.2601994191702288E-2</v>
      </c>
      <c r="V230" s="3">
        <f t="shared" si="191"/>
        <v>3.2601994183254414E-2</v>
      </c>
      <c r="W230" s="3">
        <f t="shared" si="191"/>
        <v>3.2601994098775691E-2</v>
      </c>
      <c r="X230" s="3">
        <f t="shared" si="191"/>
        <v>3.2601993253988437E-2</v>
      </c>
      <c r="Y230" s="3">
        <f t="shared" si="191"/>
        <v>3.2601984806117111E-2</v>
      </c>
      <c r="Z230" s="3">
        <f t="shared" si="191"/>
        <v>3.2601900327524282E-2</v>
      </c>
      <c r="AA230" s="3">
        <f t="shared" si="191"/>
        <v>3.2601055553635468E-2</v>
      </c>
      <c r="AB230" s="3">
        <f t="shared" si="191"/>
        <v>3.2592609018582352E-2</v>
      </c>
      <c r="AC230" s="3">
        <f t="shared" si="191"/>
        <v>3.2508263936217072E-2</v>
      </c>
      <c r="AD230" s="3">
        <f t="shared" si="191"/>
        <v>3.1676725417010741E-2</v>
      </c>
      <c r="AE230" s="3">
        <f t="shared" si="191"/>
        <v>2.4445859351950639E-2</v>
      </c>
      <c r="AF230" s="3">
        <f t="shared" si="191"/>
        <v>1.8317052740719577E-3</v>
      </c>
      <c r="AG230" s="3"/>
      <c r="AH230" s="3"/>
    </row>
    <row r="231" spans="2:34" x14ac:dyDescent="0.25">
      <c r="B231" s="3">
        <f t="shared" ref="B231:AF231" si="192">$C39*EXP(-B$207/$A39/EXP(-$D$126))</f>
        <v>3.3353536546241076E-2</v>
      </c>
      <c r="C231" s="3">
        <f t="shared" si="192"/>
        <v>3.3353536546241076E-2</v>
      </c>
      <c r="D231" s="3">
        <f t="shared" si="192"/>
        <v>3.3353536546241076E-2</v>
      </c>
      <c r="E231" s="3">
        <f t="shared" si="192"/>
        <v>3.3353536546241076E-2</v>
      </c>
      <c r="F231" s="3">
        <f t="shared" si="192"/>
        <v>3.3353536546241076E-2</v>
      </c>
      <c r="G231" s="3">
        <f t="shared" si="192"/>
        <v>3.3353536546241076E-2</v>
      </c>
      <c r="H231" s="3">
        <f t="shared" si="192"/>
        <v>3.3353536546241076E-2</v>
      </c>
      <c r="I231" s="3">
        <f t="shared" si="192"/>
        <v>3.3353536546241076E-2</v>
      </c>
      <c r="J231" s="3">
        <f t="shared" si="192"/>
        <v>3.3353536546241076E-2</v>
      </c>
      <c r="K231" s="3">
        <f t="shared" si="192"/>
        <v>3.3353536546241076E-2</v>
      </c>
      <c r="L231" s="3">
        <f t="shared" si="192"/>
        <v>3.3353536546241076E-2</v>
      </c>
      <c r="M231" s="3">
        <f t="shared" si="192"/>
        <v>3.3353536546241076E-2</v>
      </c>
      <c r="N231" s="3">
        <f t="shared" si="192"/>
        <v>3.3353536546241076E-2</v>
      </c>
      <c r="O231" s="3">
        <f t="shared" si="192"/>
        <v>3.3353536546241076E-2</v>
      </c>
      <c r="P231" s="3">
        <f t="shared" si="192"/>
        <v>3.3353536546241069E-2</v>
      </c>
      <c r="Q231" s="3">
        <f t="shared" si="192"/>
        <v>3.3353536546241049E-2</v>
      </c>
      <c r="R231" s="3">
        <f t="shared" si="192"/>
        <v>3.3353536546240813E-2</v>
      </c>
      <c r="S231" s="3">
        <f t="shared" si="192"/>
        <v>3.3353536546238419E-2</v>
      </c>
      <c r="T231" s="3">
        <f t="shared" si="192"/>
        <v>3.3353536546214521E-2</v>
      </c>
      <c r="U231" s="3">
        <f t="shared" si="192"/>
        <v>3.3353536545975483E-2</v>
      </c>
      <c r="V231" s="3">
        <f t="shared" si="192"/>
        <v>3.3353536543585152E-2</v>
      </c>
      <c r="W231" s="3">
        <f t="shared" si="192"/>
        <v>3.3353536519681849E-2</v>
      </c>
      <c r="X231" s="3">
        <f t="shared" si="192"/>
        <v>3.3353536280648806E-2</v>
      </c>
      <c r="Y231" s="3">
        <f t="shared" si="192"/>
        <v>3.3353533890318456E-2</v>
      </c>
      <c r="Z231" s="3">
        <f t="shared" si="192"/>
        <v>3.3353509987024375E-2</v>
      </c>
      <c r="AA231" s="3">
        <f t="shared" si="192"/>
        <v>3.3353270955025771E-2</v>
      </c>
      <c r="AB231" s="3">
        <f t="shared" si="192"/>
        <v>3.3350880729255523E-2</v>
      </c>
      <c r="AC231" s="3">
        <f t="shared" si="192"/>
        <v>3.3326987890638565E-2</v>
      </c>
      <c r="AD231" s="3">
        <f t="shared" si="192"/>
        <v>3.3088998920181689E-2</v>
      </c>
      <c r="AE231" s="3">
        <f t="shared" si="192"/>
        <v>3.0800606809165427E-2</v>
      </c>
      <c r="AF231" s="3">
        <f t="shared" si="192"/>
        <v>1.5042351001167367E-2</v>
      </c>
      <c r="AG231" s="3"/>
      <c r="AH231" s="3"/>
    </row>
    <row r="232" spans="2:34" x14ac:dyDescent="0.25">
      <c r="B232" s="3">
        <f t="shared" ref="B232:AF232" si="193">$C40*EXP(-B$207/$A40/EXP(-$D$126))</f>
        <v>1.7436587013509221E-2</v>
      </c>
      <c r="C232" s="3">
        <f t="shared" si="193"/>
        <v>1.7436587013509221E-2</v>
      </c>
      <c r="D232" s="3">
        <f t="shared" si="193"/>
        <v>1.7436587013509221E-2</v>
      </c>
      <c r="E232" s="3">
        <f t="shared" si="193"/>
        <v>1.7436587013509221E-2</v>
      </c>
      <c r="F232" s="3">
        <f t="shared" si="193"/>
        <v>1.7436587013509221E-2</v>
      </c>
      <c r="G232" s="3">
        <f t="shared" si="193"/>
        <v>1.7436587013509221E-2</v>
      </c>
      <c r="H232" s="3">
        <f t="shared" si="193"/>
        <v>1.7436587013509221E-2</v>
      </c>
      <c r="I232" s="3">
        <f t="shared" si="193"/>
        <v>1.7436587013509221E-2</v>
      </c>
      <c r="J232" s="3">
        <f t="shared" si="193"/>
        <v>1.7436587013509221E-2</v>
      </c>
      <c r="K232" s="3">
        <f t="shared" si="193"/>
        <v>1.7436587013509221E-2</v>
      </c>
      <c r="L232" s="3">
        <f t="shared" si="193"/>
        <v>1.7436587013509221E-2</v>
      </c>
      <c r="M232" s="3">
        <f t="shared" si="193"/>
        <v>1.7436587013509221E-2</v>
      </c>
      <c r="N232" s="3">
        <f t="shared" si="193"/>
        <v>1.7436587013509221E-2</v>
      </c>
      <c r="O232" s="3">
        <f t="shared" si="193"/>
        <v>1.7436587013509221E-2</v>
      </c>
      <c r="P232" s="3">
        <f t="shared" si="193"/>
        <v>1.7436587013509221E-2</v>
      </c>
      <c r="Q232" s="3">
        <f t="shared" si="193"/>
        <v>1.7436587013509218E-2</v>
      </c>
      <c r="R232" s="3">
        <f t="shared" si="193"/>
        <v>1.7436587013509208E-2</v>
      </c>
      <c r="S232" s="3">
        <f t="shared" si="193"/>
        <v>1.7436587013509083E-2</v>
      </c>
      <c r="T232" s="3">
        <f t="shared" si="193"/>
        <v>1.7436587013507834E-2</v>
      </c>
      <c r="U232" s="3">
        <f t="shared" si="193"/>
        <v>1.7436587013495337E-2</v>
      </c>
      <c r="V232" s="3">
        <f t="shared" si="193"/>
        <v>1.7436587013370374E-2</v>
      </c>
      <c r="W232" s="3">
        <f t="shared" si="193"/>
        <v>1.7436587012120756E-2</v>
      </c>
      <c r="X232" s="3">
        <f t="shared" si="193"/>
        <v>1.7436586999624571E-2</v>
      </c>
      <c r="Y232" s="3">
        <f t="shared" si="193"/>
        <v>1.7436586874662693E-2</v>
      </c>
      <c r="Z232" s="3">
        <f t="shared" si="193"/>
        <v>1.743658562504399E-2</v>
      </c>
      <c r="AA232" s="3">
        <f t="shared" si="193"/>
        <v>1.7436573128861866E-2</v>
      </c>
      <c r="AB232" s="3">
        <f t="shared" si="193"/>
        <v>1.7436448167533192E-2</v>
      </c>
      <c r="AC232" s="3">
        <f t="shared" si="193"/>
        <v>1.7435198603500693E-2</v>
      </c>
      <c r="AD232" s="3">
        <f t="shared" si="193"/>
        <v>1.7422707887292336E-2</v>
      </c>
      <c r="AE232" s="3">
        <f t="shared" si="193"/>
        <v>1.7298291833664145E-2</v>
      </c>
      <c r="AF232" s="3">
        <f t="shared" si="193"/>
        <v>1.6101964478409222E-2</v>
      </c>
      <c r="AG232" s="3"/>
      <c r="AH232" s="3"/>
    </row>
    <row r="233" spans="2:34" x14ac:dyDescent="0.25">
      <c r="B233" s="3">
        <f t="shared" ref="B233:AF233" si="194">$C41*EXP(-B$207/$A41/EXP(-$D$126))</f>
        <v>4.7217849635186409E-4</v>
      </c>
      <c r="C233" s="3">
        <f t="shared" si="194"/>
        <v>4.7217849635186409E-4</v>
      </c>
      <c r="D233" s="3">
        <f t="shared" si="194"/>
        <v>4.7217849635186409E-4</v>
      </c>
      <c r="E233" s="3">
        <f t="shared" si="194"/>
        <v>4.7217849635186409E-4</v>
      </c>
      <c r="F233" s="3">
        <f t="shared" si="194"/>
        <v>4.7217849635186409E-4</v>
      </c>
      <c r="G233" s="3">
        <f t="shared" si="194"/>
        <v>4.7217849635186409E-4</v>
      </c>
      <c r="H233" s="3">
        <f t="shared" si="194"/>
        <v>4.7217849635186409E-4</v>
      </c>
      <c r="I233" s="3">
        <f t="shared" si="194"/>
        <v>4.7217849635186409E-4</v>
      </c>
      <c r="J233" s="3">
        <f t="shared" si="194"/>
        <v>4.7217849635186409E-4</v>
      </c>
      <c r="K233" s="3">
        <f t="shared" si="194"/>
        <v>4.7217849635186409E-4</v>
      </c>
      <c r="L233" s="3">
        <f t="shared" si="194"/>
        <v>4.7217849635186409E-4</v>
      </c>
      <c r="M233" s="3">
        <f t="shared" si="194"/>
        <v>4.7217849635186409E-4</v>
      </c>
      <c r="N233" s="3">
        <f t="shared" si="194"/>
        <v>4.7217849635186409E-4</v>
      </c>
      <c r="O233" s="3">
        <f t="shared" si="194"/>
        <v>4.7217849635186409E-4</v>
      </c>
      <c r="P233" s="3">
        <f t="shared" si="194"/>
        <v>4.7217849635186409E-4</v>
      </c>
      <c r="Q233" s="3">
        <f t="shared" si="194"/>
        <v>4.7217849635186409E-4</v>
      </c>
      <c r="R233" s="3">
        <f t="shared" si="194"/>
        <v>4.7217849635186403E-4</v>
      </c>
      <c r="S233" s="3">
        <f t="shared" si="194"/>
        <v>4.7217849635186371E-4</v>
      </c>
      <c r="T233" s="3">
        <f t="shared" si="194"/>
        <v>4.7217849635186029E-4</v>
      </c>
      <c r="U233" s="3">
        <f t="shared" si="194"/>
        <v>4.7217849635182652E-4</v>
      </c>
      <c r="V233" s="3">
        <f t="shared" si="194"/>
        <v>4.7217849635148814E-4</v>
      </c>
      <c r="W233" s="3">
        <f t="shared" si="194"/>
        <v>4.7217849634810413E-4</v>
      </c>
      <c r="X233" s="3">
        <f t="shared" si="194"/>
        <v>4.7217849631426477E-4</v>
      </c>
      <c r="Y233" s="3">
        <f t="shared" si="194"/>
        <v>4.7217849597587112E-4</v>
      </c>
      <c r="Z233" s="3">
        <f t="shared" si="194"/>
        <v>4.7217849259193417E-4</v>
      </c>
      <c r="AA233" s="3">
        <f t="shared" si="194"/>
        <v>4.7217845875256639E-4</v>
      </c>
      <c r="AB233" s="3">
        <f t="shared" si="194"/>
        <v>4.7217812035902181E-4</v>
      </c>
      <c r="AC233" s="3">
        <f t="shared" si="194"/>
        <v>4.7217473643691434E-4</v>
      </c>
      <c r="AD233" s="3">
        <f t="shared" si="194"/>
        <v>4.7214089854963142E-4</v>
      </c>
      <c r="AE233" s="3">
        <f t="shared" si="194"/>
        <v>4.7180265302067259E-4</v>
      </c>
      <c r="AF233" s="3">
        <f t="shared" si="194"/>
        <v>4.6843349682750956E-4</v>
      </c>
      <c r="AG233" s="3"/>
      <c r="AH233" s="3"/>
    </row>
    <row r="234" spans="2:34" x14ac:dyDescent="0.25">
      <c r="B234" s="3">
        <f t="shared" ref="B234:AF234" si="195">$C42*EXP(-B$207/$A42/EXP(-$D$126))</f>
        <v>3.9532606595692786E-3</v>
      </c>
      <c r="C234" s="3">
        <f t="shared" si="195"/>
        <v>3.9532606595692786E-3</v>
      </c>
      <c r="D234" s="3">
        <f t="shared" si="195"/>
        <v>3.9532606595692786E-3</v>
      </c>
      <c r="E234" s="3">
        <f t="shared" si="195"/>
        <v>3.9532606595692786E-3</v>
      </c>
      <c r="F234" s="3">
        <f t="shared" si="195"/>
        <v>3.9532606595692786E-3</v>
      </c>
      <c r="G234" s="3">
        <f t="shared" si="195"/>
        <v>3.9532606595692786E-3</v>
      </c>
      <c r="H234" s="3">
        <f t="shared" si="195"/>
        <v>3.9532606595692786E-3</v>
      </c>
      <c r="I234" s="3">
        <f t="shared" si="195"/>
        <v>3.9532606595692786E-3</v>
      </c>
      <c r="J234" s="3">
        <f t="shared" si="195"/>
        <v>3.9532606595692786E-3</v>
      </c>
      <c r="K234" s="3">
        <f t="shared" si="195"/>
        <v>3.9532606595692786E-3</v>
      </c>
      <c r="L234" s="3">
        <f t="shared" si="195"/>
        <v>3.9532606595692786E-3</v>
      </c>
      <c r="M234" s="3">
        <f t="shared" si="195"/>
        <v>3.9532606595692786E-3</v>
      </c>
      <c r="N234" s="3">
        <f t="shared" si="195"/>
        <v>3.9532606595692786E-3</v>
      </c>
      <c r="O234" s="3">
        <f t="shared" si="195"/>
        <v>3.9532606595692786E-3</v>
      </c>
      <c r="P234" s="3">
        <f t="shared" si="195"/>
        <v>3.9532606595692786E-3</v>
      </c>
      <c r="Q234" s="3">
        <f t="shared" si="195"/>
        <v>3.9532606595692786E-3</v>
      </c>
      <c r="R234" s="3">
        <f t="shared" si="195"/>
        <v>3.9532606595692786E-3</v>
      </c>
      <c r="S234" s="3">
        <f t="shared" si="195"/>
        <v>3.9532606595692778E-3</v>
      </c>
      <c r="T234" s="3">
        <f t="shared" si="195"/>
        <v>3.9532606595692752E-3</v>
      </c>
      <c r="U234" s="3">
        <f t="shared" si="195"/>
        <v>3.9532606595692474E-3</v>
      </c>
      <c r="V234" s="3">
        <f t="shared" si="195"/>
        <v>3.9532606595689638E-3</v>
      </c>
      <c r="W234" s="3">
        <f t="shared" si="195"/>
        <v>3.953260659566131E-3</v>
      </c>
      <c r="X234" s="3">
        <f t="shared" si="195"/>
        <v>3.9532606595377986E-3</v>
      </c>
      <c r="Y234" s="3">
        <f t="shared" si="195"/>
        <v>3.9532606592544827E-3</v>
      </c>
      <c r="Z234" s="3">
        <f t="shared" si="195"/>
        <v>3.9532606564213202E-3</v>
      </c>
      <c r="AA234" s="3">
        <f t="shared" si="195"/>
        <v>3.9532606280896941E-3</v>
      </c>
      <c r="AB234" s="3">
        <f t="shared" si="195"/>
        <v>3.9532603447734434E-3</v>
      </c>
      <c r="AC234" s="3">
        <f t="shared" si="195"/>
        <v>3.9532575116120478E-3</v>
      </c>
      <c r="AD234" s="3">
        <f t="shared" si="195"/>
        <v>3.9532291801097751E-3</v>
      </c>
      <c r="AE234" s="3">
        <f t="shared" si="195"/>
        <v>3.9529458762540687E-3</v>
      </c>
      <c r="AF234" s="3">
        <f t="shared" si="195"/>
        <v>3.9501139541033578E-3</v>
      </c>
      <c r="AG234" s="3"/>
      <c r="AH234" s="3"/>
    </row>
    <row r="235" spans="2:34" x14ac:dyDescent="0.25">
      <c r="B235" s="3">
        <f t="shared" ref="B235:AF235" si="196">$C43*EXP(-B$207/$A43/EXP(-$D$126))</f>
        <v>4.2057154474780992E-7</v>
      </c>
      <c r="C235" s="3">
        <f t="shared" si="196"/>
        <v>4.2057154474780992E-7</v>
      </c>
      <c r="D235" s="3">
        <f t="shared" si="196"/>
        <v>4.2057154474780992E-7</v>
      </c>
      <c r="E235" s="3">
        <f t="shared" si="196"/>
        <v>4.2057154474780992E-7</v>
      </c>
      <c r="F235" s="3">
        <f t="shared" si="196"/>
        <v>4.2057154474780992E-7</v>
      </c>
      <c r="G235" s="3">
        <f t="shared" si="196"/>
        <v>4.2057154474780992E-7</v>
      </c>
      <c r="H235" s="3">
        <f t="shared" si="196"/>
        <v>4.2057154474780992E-7</v>
      </c>
      <c r="I235" s="3">
        <f t="shared" si="196"/>
        <v>4.2057154474780992E-7</v>
      </c>
      <c r="J235" s="3">
        <f t="shared" si="196"/>
        <v>4.2057154474780992E-7</v>
      </c>
      <c r="K235" s="3">
        <f t="shared" si="196"/>
        <v>4.2057154474780992E-7</v>
      </c>
      <c r="L235" s="3">
        <f t="shared" si="196"/>
        <v>4.2057154474780992E-7</v>
      </c>
      <c r="M235" s="3">
        <f t="shared" si="196"/>
        <v>4.2057154474780992E-7</v>
      </c>
      <c r="N235" s="3">
        <f t="shared" si="196"/>
        <v>4.2057154474780992E-7</v>
      </c>
      <c r="O235" s="3">
        <f t="shared" si="196"/>
        <v>4.2057154474780992E-7</v>
      </c>
      <c r="P235" s="3">
        <f t="shared" si="196"/>
        <v>4.2057154474780992E-7</v>
      </c>
      <c r="Q235" s="3">
        <f t="shared" si="196"/>
        <v>4.2057154474780992E-7</v>
      </c>
      <c r="R235" s="3">
        <f t="shared" si="196"/>
        <v>4.2057154474780992E-7</v>
      </c>
      <c r="S235" s="3">
        <f t="shared" si="196"/>
        <v>4.2057154474780992E-7</v>
      </c>
      <c r="T235" s="3">
        <f t="shared" si="196"/>
        <v>4.2057154474780987E-7</v>
      </c>
      <c r="U235" s="3">
        <f t="shared" si="196"/>
        <v>4.205715447478096E-7</v>
      </c>
      <c r="V235" s="3">
        <f t="shared" si="196"/>
        <v>4.2057154474780653E-7</v>
      </c>
      <c r="W235" s="3">
        <f t="shared" si="196"/>
        <v>4.2057154474777646E-7</v>
      </c>
      <c r="X235" s="3">
        <f t="shared" si="196"/>
        <v>4.2057154474747503E-7</v>
      </c>
      <c r="Y235" s="3">
        <f t="shared" si="196"/>
        <v>4.2057154474446091E-7</v>
      </c>
      <c r="Z235" s="3">
        <f t="shared" si="196"/>
        <v>4.2057154471432004E-7</v>
      </c>
      <c r="AA235" s="3">
        <f t="shared" si="196"/>
        <v>4.2057154441291125E-7</v>
      </c>
      <c r="AB235" s="3">
        <f t="shared" si="196"/>
        <v>4.2057154139882318E-7</v>
      </c>
      <c r="AC235" s="3">
        <f t="shared" si="196"/>
        <v>4.2057151125794365E-7</v>
      </c>
      <c r="AD235" s="3">
        <f t="shared" si="196"/>
        <v>4.2057120984926684E-7</v>
      </c>
      <c r="AE235" s="3">
        <f t="shared" si="196"/>
        <v>4.2056819577437984E-7</v>
      </c>
      <c r="AF235" s="3">
        <f t="shared" si="196"/>
        <v>4.2053805621352411E-7</v>
      </c>
      <c r="AG235" s="3"/>
      <c r="AH235" s="3"/>
    </row>
    <row r="236" spans="2:34" x14ac:dyDescent="0.25">
      <c r="B236" s="3">
        <f t="shared" ref="B236:AF236" si="197">$C44*EXP(-B$207/$A44/EXP(-$D$126))</f>
        <v>1.8675724725031384E-5</v>
      </c>
      <c r="C236" s="3">
        <f t="shared" si="197"/>
        <v>1.8675724725031384E-5</v>
      </c>
      <c r="D236" s="3">
        <f t="shared" si="197"/>
        <v>1.8675724725031384E-5</v>
      </c>
      <c r="E236" s="3">
        <f t="shared" si="197"/>
        <v>1.8675724725031384E-5</v>
      </c>
      <c r="F236" s="3">
        <f t="shared" si="197"/>
        <v>1.8675724725031384E-5</v>
      </c>
      <c r="G236" s="3">
        <f t="shared" si="197"/>
        <v>1.8675724725031384E-5</v>
      </c>
      <c r="H236" s="3">
        <f t="shared" si="197"/>
        <v>1.8675724725031384E-5</v>
      </c>
      <c r="I236" s="3">
        <f t="shared" si="197"/>
        <v>1.8675724725031384E-5</v>
      </c>
      <c r="J236" s="3">
        <f t="shared" si="197"/>
        <v>1.8675724725031384E-5</v>
      </c>
      <c r="K236" s="3">
        <f t="shared" si="197"/>
        <v>1.8675724725031384E-5</v>
      </c>
      <c r="L236" s="3">
        <f t="shared" si="197"/>
        <v>1.8675724725031384E-5</v>
      </c>
      <c r="M236" s="3">
        <f t="shared" si="197"/>
        <v>1.8675724725031384E-5</v>
      </c>
      <c r="N236" s="3">
        <f t="shared" si="197"/>
        <v>1.8675724725031384E-5</v>
      </c>
      <c r="O236" s="3">
        <f t="shared" si="197"/>
        <v>1.8675724725031384E-5</v>
      </c>
      <c r="P236" s="3">
        <f t="shared" si="197"/>
        <v>1.8675724725031384E-5</v>
      </c>
      <c r="Q236" s="3">
        <f t="shared" si="197"/>
        <v>1.8675724725031384E-5</v>
      </c>
      <c r="R236" s="3">
        <f t="shared" si="197"/>
        <v>1.8675724725031384E-5</v>
      </c>
      <c r="S236" s="3">
        <f t="shared" si="197"/>
        <v>1.8675724725031384E-5</v>
      </c>
      <c r="T236" s="3">
        <f t="shared" si="197"/>
        <v>1.8675724725031384E-5</v>
      </c>
      <c r="U236" s="3">
        <f t="shared" si="197"/>
        <v>1.867572472503138E-5</v>
      </c>
      <c r="V236" s="3">
        <f t="shared" si="197"/>
        <v>1.867572472503137E-5</v>
      </c>
      <c r="W236" s="3">
        <f t="shared" si="197"/>
        <v>1.8675724725031235E-5</v>
      </c>
      <c r="X236" s="3">
        <f t="shared" si="197"/>
        <v>1.8675724725029896E-5</v>
      </c>
      <c r="Y236" s="3">
        <f t="shared" si="197"/>
        <v>1.8675724725016513E-5</v>
      </c>
      <c r="Z236" s="3">
        <f t="shared" si="197"/>
        <v>1.8675724724882669E-5</v>
      </c>
      <c r="AA236" s="3">
        <f t="shared" si="197"/>
        <v>1.8675724723544248E-5</v>
      </c>
      <c r="AB236" s="3">
        <f t="shared" si="197"/>
        <v>1.8675724710160013E-5</v>
      </c>
      <c r="AC236" s="3">
        <f t="shared" si="197"/>
        <v>1.8675724576317674E-5</v>
      </c>
      <c r="AD236" s="3">
        <f t="shared" si="197"/>
        <v>1.8675723237894341E-5</v>
      </c>
      <c r="AE236" s="3">
        <f t="shared" si="197"/>
        <v>1.8675709853666265E-5</v>
      </c>
      <c r="AF236" s="3">
        <f t="shared" si="197"/>
        <v>1.8675576011913073E-5</v>
      </c>
      <c r="AG236" s="3"/>
      <c r="AH236" s="3"/>
    </row>
    <row r="237" spans="2:34" x14ac:dyDescent="0.25">
      <c r="B237" s="3">
        <f t="shared" ref="B237:AF237" si="198">$C45*EXP(-B$207/$A45/EXP(-$D$126))</f>
        <v>6.5581020384023116E-8</v>
      </c>
      <c r="C237" s="3">
        <f t="shared" si="198"/>
        <v>6.5581020384023116E-8</v>
      </c>
      <c r="D237" s="3">
        <f t="shared" si="198"/>
        <v>6.5581020384023116E-8</v>
      </c>
      <c r="E237" s="3">
        <f t="shared" si="198"/>
        <v>6.5581020384023116E-8</v>
      </c>
      <c r="F237" s="3">
        <f t="shared" si="198"/>
        <v>6.5581020384023116E-8</v>
      </c>
      <c r="G237" s="3">
        <f t="shared" si="198"/>
        <v>6.5581020384023116E-8</v>
      </c>
      <c r="H237" s="3">
        <f t="shared" si="198"/>
        <v>6.5581020384023116E-8</v>
      </c>
      <c r="I237" s="3">
        <f t="shared" si="198"/>
        <v>6.5581020384023116E-8</v>
      </c>
      <c r="J237" s="3">
        <f t="shared" si="198"/>
        <v>6.5581020384023116E-8</v>
      </c>
      <c r="K237" s="3">
        <f t="shared" si="198"/>
        <v>6.5581020384023116E-8</v>
      </c>
      <c r="L237" s="3">
        <f t="shared" si="198"/>
        <v>6.5581020384023116E-8</v>
      </c>
      <c r="M237" s="3">
        <f t="shared" si="198"/>
        <v>6.5581020384023116E-8</v>
      </c>
      <c r="N237" s="3">
        <f t="shared" si="198"/>
        <v>6.5581020384023116E-8</v>
      </c>
      <c r="O237" s="3">
        <f t="shared" si="198"/>
        <v>6.5581020384023116E-8</v>
      </c>
      <c r="P237" s="3">
        <f t="shared" si="198"/>
        <v>6.5581020384023116E-8</v>
      </c>
      <c r="Q237" s="3">
        <f t="shared" si="198"/>
        <v>6.5581020384023116E-8</v>
      </c>
      <c r="R237" s="3">
        <f t="shared" si="198"/>
        <v>6.5581020384023116E-8</v>
      </c>
      <c r="S237" s="3">
        <f t="shared" si="198"/>
        <v>6.5581020384023116E-8</v>
      </c>
      <c r="T237" s="3">
        <f t="shared" si="198"/>
        <v>6.5581020384023116E-8</v>
      </c>
      <c r="U237" s="3">
        <f t="shared" si="198"/>
        <v>6.5581020384023116E-8</v>
      </c>
      <c r="V237" s="3">
        <f t="shared" si="198"/>
        <v>6.5581020384023102E-8</v>
      </c>
      <c r="W237" s="3">
        <f t="shared" si="198"/>
        <v>6.5581020384023063E-8</v>
      </c>
      <c r="X237" s="3">
        <f t="shared" si="198"/>
        <v>6.5581020384022586E-8</v>
      </c>
      <c r="Y237" s="3">
        <f t="shared" si="198"/>
        <v>6.5581020384017901E-8</v>
      </c>
      <c r="Z237" s="3">
        <f t="shared" si="198"/>
        <v>6.5581020383970891E-8</v>
      </c>
      <c r="AA237" s="3">
        <f t="shared" si="198"/>
        <v>6.5581020383500893E-8</v>
      </c>
      <c r="AB237" s="3">
        <f t="shared" si="198"/>
        <v>6.5581020378800933E-8</v>
      </c>
      <c r="AC237" s="3">
        <f t="shared" si="198"/>
        <v>6.5581020331801337E-8</v>
      </c>
      <c r="AD237" s="3">
        <f t="shared" si="198"/>
        <v>6.5581019861805268E-8</v>
      </c>
      <c r="AE237" s="3">
        <f t="shared" si="198"/>
        <v>6.5581015161844794E-8</v>
      </c>
      <c r="AF237" s="3">
        <f t="shared" si="198"/>
        <v>6.5580968162258584E-8</v>
      </c>
      <c r="AG237" s="3"/>
      <c r="AH237" s="3"/>
    </row>
    <row r="238" spans="2:34" x14ac:dyDescent="0.25">
      <c r="B238" s="3">
        <f t="shared" ref="B238:AF238" si="199">$C46*EXP(-B$207/$A46/EXP(-$D$126))</f>
        <v>7.3021852336235098E-8</v>
      </c>
      <c r="C238" s="3">
        <f t="shared" si="199"/>
        <v>7.3021852336235098E-8</v>
      </c>
      <c r="D238" s="3">
        <f t="shared" si="199"/>
        <v>7.3021852336235098E-8</v>
      </c>
      <c r="E238" s="3">
        <f t="shared" si="199"/>
        <v>7.3021852336235098E-8</v>
      </c>
      <c r="F238" s="3">
        <f t="shared" si="199"/>
        <v>7.3021852336235098E-8</v>
      </c>
      <c r="G238" s="3">
        <f t="shared" si="199"/>
        <v>7.3021852336235098E-8</v>
      </c>
      <c r="H238" s="3">
        <f t="shared" si="199"/>
        <v>7.3021852336235098E-8</v>
      </c>
      <c r="I238" s="3">
        <f t="shared" si="199"/>
        <v>7.3021852336235098E-8</v>
      </c>
      <c r="J238" s="3">
        <f t="shared" si="199"/>
        <v>7.3021852336235098E-8</v>
      </c>
      <c r="K238" s="3">
        <f t="shared" si="199"/>
        <v>7.3021852336235098E-8</v>
      </c>
      <c r="L238" s="3">
        <f t="shared" si="199"/>
        <v>7.3021852336235098E-8</v>
      </c>
      <c r="M238" s="3">
        <f t="shared" si="199"/>
        <v>7.3021852336235098E-8</v>
      </c>
      <c r="N238" s="3">
        <f t="shared" si="199"/>
        <v>7.3021852336235098E-8</v>
      </c>
      <c r="O238" s="3">
        <f t="shared" si="199"/>
        <v>7.3021852336235098E-8</v>
      </c>
      <c r="P238" s="3">
        <f t="shared" si="199"/>
        <v>7.3021852336235098E-8</v>
      </c>
      <c r="Q238" s="3">
        <f t="shared" si="199"/>
        <v>7.3021852336235098E-8</v>
      </c>
      <c r="R238" s="3">
        <f t="shared" si="199"/>
        <v>7.3021852336235098E-8</v>
      </c>
      <c r="S238" s="3">
        <f t="shared" si="199"/>
        <v>7.3021852336235098E-8</v>
      </c>
      <c r="T238" s="3">
        <f t="shared" si="199"/>
        <v>7.3021852336235098E-8</v>
      </c>
      <c r="U238" s="3">
        <f t="shared" si="199"/>
        <v>7.3021852336235098E-8</v>
      </c>
      <c r="V238" s="3">
        <f t="shared" si="199"/>
        <v>7.3021852336235098E-8</v>
      </c>
      <c r="W238" s="3">
        <f t="shared" si="199"/>
        <v>7.3021852336235085E-8</v>
      </c>
      <c r="X238" s="3">
        <f t="shared" si="199"/>
        <v>7.3021852336235045E-8</v>
      </c>
      <c r="Y238" s="3">
        <f t="shared" si="199"/>
        <v>7.3021852336234516E-8</v>
      </c>
      <c r="Z238" s="3">
        <f t="shared" si="199"/>
        <v>7.3021852336229288E-8</v>
      </c>
      <c r="AA238" s="3">
        <f t="shared" si="199"/>
        <v>7.3021852336176957E-8</v>
      </c>
      <c r="AB238" s="3">
        <f t="shared" si="199"/>
        <v>7.3021852335653623E-8</v>
      </c>
      <c r="AC238" s="3">
        <f t="shared" si="199"/>
        <v>7.3021852330420415E-8</v>
      </c>
      <c r="AD238" s="3">
        <f t="shared" si="199"/>
        <v>7.3021852278088218E-8</v>
      </c>
      <c r="AE238" s="3">
        <f t="shared" si="199"/>
        <v>7.3021851754766329E-8</v>
      </c>
      <c r="AF238" s="3">
        <f t="shared" si="199"/>
        <v>7.3021846521547674E-8</v>
      </c>
      <c r="AG238" s="3"/>
      <c r="AH238" s="3"/>
    </row>
    <row r="239" spans="2:34" x14ac:dyDescent="0.25">
      <c r="B239" s="3">
        <f t="shared" ref="B239:AF239" si="200">$C47*EXP(-B$207/$A47/EXP(-$D$126))</f>
        <v>1.1629614521313135E-6</v>
      </c>
      <c r="C239" s="3">
        <f t="shared" si="200"/>
        <v>1.1629614521313135E-6</v>
      </c>
      <c r="D239" s="3">
        <f t="shared" si="200"/>
        <v>1.1629614521313135E-6</v>
      </c>
      <c r="E239" s="3">
        <f t="shared" si="200"/>
        <v>1.1629614521313135E-6</v>
      </c>
      <c r="F239" s="3">
        <f t="shared" si="200"/>
        <v>1.1629614521313135E-6</v>
      </c>
      <c r="G239" s="3">
        <f t="shared" si="200"/>
        <v>1.1629614521313135E-6</v>
      </c>
      <c r="H239" s="3">
        <f t="shared" si="200"/>
        <v>1.1629614521313135E-6</v>
      </c>
      <c r="I239" s="3">
        <f t="shared" si="200"/>
        <v>1.1629614521313135E-6</v>
      </c>
      <c r="J239" s="3">
        <f t="shared" si="200"/>
        <v>1.1629614521313135E-6</v>
      </c>
      <c r="K239" s="3">
        <f t="shared" si="200"/>
        <v>1.1629614521313135E-6</v>
      </c>
      <c r="L239" s="3">
        <f t="shared" si="200"/>
        <v>1.1629614521313135E-6</v>
      </c>
      <c r="M239" s="3">
        <f t="shared" si="200"/>
        <v>1.1629614521313135E-6</v>
      </c>
      <c r="N239" s="3">
        <f t="shared" si="200"/>
        <v>1.1629614521313135E-6</v>
      </c>
      <c r="O239" s="3">
        <f t="shared" si="200"/>
        <v>1.1629614521313135E-6</v>
      </c>
      <c r="P239" s="3">
        <f t="shared" si="200"/>
        <v>1.1629614521313135E-6</v>
      </c>
      <c r="Q239" s="3">
        <f t="shared" si="200"/>
        <v>1.1629614521313135E-6</v>
      </c>
      <c r="R239" s="3">
        <f t="shared" si="200"/>
        <v>1.1629614521313135E-6</v>
      </c>
      <c r="S239" s="3">
        <f t="shared" si="200"/>
        <v>1.1629614521313135E-6</v>
      </c>
      <c r="T239" s="3">
        <f t="shared" si="200"/>
        <v>1.1629614521313135E-6</v>
      </c>
      <c r="U239" s="3">
        <f t="shared" si="200"/>
        <v>1.1629614521313135E-6</v>
      </c>
      <c r="V239" s="3">
        <f t="shared" si="200"/>
        <v>1.1629614521313135E-6</v>
      </c>
      <c r="W239" s="3">
        <f t="shared" si="200"/>
        <v>1.1629614521313135E-6</v>
      </c>
      <c r="X239" s="3">
        <f t="shared" si="200"/>
        <v>1.1629614521313132E-6</v>
      </c>
      <c r="Y239" s="3">
        <f t="shared" si="200"/>
        <v>1.1629614521313126E-6</v>
      </c>
      <c r="Z239" s="3">
        <f t="shared" si="200"/>
        <v>1.1629614521313041E-6</v>
      </c>
      <c r="AA239" s="3">
        <f t="shared" si="200"/>
        <v>1.1629614521312209E-6</v>
      </c>
      <c r="AB239" s="3">
        <f t="shared" si="200"/>
        <v>1.1629614521303874E-6</v>
      </c>
      <c r="AC239" s="3">
        <f t="shared" si="200"/>
        <v>1.1629614521220528E-6</v>
      </c>
      <c r="AD239" s="3">
        <f t="shared" si="200"/>
        <v>1.1629614520387076E-6</v>
      </c>
      <c r="AE239" s="3">
        <f t="shared" si="200"/>
        <v>1.162961451205254E-6</v>
      </c>
      <c r="AF239" s="3">
        <f t="shared" si="200"/>
        <v>1.162961442870719E-6</v>
      </c>
      <c r="AG239" s="3"/>
      <c r="AH239" s="3"/>
    </row>
    <row r="240" spans="2:34" x14ac:dyDescent="0.25">
      <c r="B240" s="3">
        <f t="shared" ref="B240:AF240" si="201">$C48*EXP(-B$207/$A48/EXP(-$D$126))</f>
        <v>4.9365030271996854E-7</v>
      </c>
      <c r="C240" s="3">
        <f t="shared" si="201"/>
        <v>4.9365030271996854E-7</v>
      </c>
      <c r="D240" s="3">
        <f t="shared" si="201"/>
        <v>4.9365030271996854E-7</v>
      </c>
      <c r="E240" s="3">
        <f t="shared" si="201"/>
        <v>4.9365030271996854E-7</v>
      </c>
      <c r="F240" s="3">
        <f t="shared" si="201"/>
        <v>4.9365030271996854E-7</v>
      </c>
      <c r="G240" s="3">
        <f t="shared" si="201"/>
        <v>4.9365030271996854E-7</v>
      </c>
      <c r="H240" s="3">
        <f t="shared" si="201"/>
        <v>4.9365030271996854E-7</v>
      </c>
      <c r="I240" s="3">
        <f t="shared" si="201"/>
        <v>4.9365030271996854E-7</v>
      </c>
      <c r="J240" s="3">
        <f t="shared" si="201"/>
        <v>4.9365030271996854E-7</v>
      </c>
      <c r="K240" s="3">
        <f t="shared" si="201"/>
        <v>4.9365030271996854E-7</v>
      </c>
      <c r="L240" s="3">
        <f t="shared" si="201"/>
        <v>4.9365030271996854E-7</v>
      </c>
      <c r="M240" s="3">
        <f t="shared" si="201"/>
        <v>4.9365030271996854E-7</v>
      </c>
      <c r="N240" s="3">
        <f t="shared" si="201"/>
        <v>4.9365030271996854E-7</v>
      </c>
      <c r="O240" s="3">
        <f t="shared" si="201"/>
        <v>4.9365030271996854E-7</v>
      </c>
      <c r="P240" s="3">
        <f t="shared" si="201"/>
        <v>4.9365030271996854E-7</v>
      </c>
      <c r="Q240" s="3">
        <f t="shared" si="201"/>
        <v>4.9365030271996854E-7</v>
      </c>
      <c r="R240" s="3">
        <f t="shared" si="201"/>
        <v>4.9365030271996854E-7</v>
      </c>
      <c r="S240" s="3">
        <f t="shared" si="201"/>
        <v>4.9365030271996854E-7</v>
      </c>
      <c r="T240" s="3">
        <f t="shared" si="201"/>
        <v>4.9365030271996854E-7</v>
      </c>
      <c r="U240" s="3">
        <f t="shared" si="201"/>
        <v>4.9365030271996854E-7</v>
      </c>
      <c r="V240" s="3">
        <f t="shared" si="201"/>
        <v>4.9365030271996854E-7</v>
      </c>
      <c r="W240" s="3">
        <f t="shared" si="201"/>
        <v>4.9365030271996854E-7</v>
      </c>
      <c r="X240" s="3">
        <f t="shared" si="201"/>
        <v>4.9365030271996854E-7</v>
      </c>
      <c r="Y240" s="3">
        <f t="shared" si="201"/>
        <v>4.9365030271996844E-7</v>
      </c>
      <c r="Z240" s="3">
        <f t="shared" si="201"/>
        <v>4.9365030271996812E-7</v>
      </c>
      <c r="AA240" s="3">
        <f t="shared" si="201"/>
        <v>4.9365030271996462E-7</v>
      </c>
      <c r="AB240" s="3">
        <f t="shared" si="201"/>
        <v>4.9365030271992926E-7</v>
      </c>
      <c r="AC240" s="3">
        <f t="shared" si="201"/>
        <v>4.9365030271957552E-7</v>
      </c>
      <c r="AD240" s="3">
        <f t="shared" si="201"/>
        <v>4.9365030271603767E-7</v>
      </c>
      <c r="AE240" s="3">
        <f t="shared" si="201"/>
        <v>4.9365030268065944E-7</v>
      </c>
      <c r="AF240" s="3">
        <f t="shared" si="201"/>
        <v>4.936503023268777E-7</v>
      </c>
      <c r="AG240" s="3"/>
      <c r="AH240" s="3"/>
    </row>
    <row r="241" spans="1:34" x14ac:dyDescent="0.25">
      <c r="A241" s="79">
        <f>AVERAGE(B241:AF241)</f>
        <v>2.3524265598449209E-2</v>
      </c>
      <c r="B241" s="80">
        <f>IF($A$64&lt;=B207,IF($B$64&gt;=B207,ABS((B209-B208)/B208),0),0)</f>
        <v>1.5428252576903127E-6</v>
      </c>
      <c r="C241" s="80">
        <f t="shared" ref="C241:AF241" si="202">IF($A$64&lt;=C207,IF($B$64&gt;=C207,ABS((C209-C208)/C208),0),0)</f>
        <v>2.3874483781572862E-5</v>
      </c>
      <c r="D241" s="80">
        <f t="shared" si="202"/>
        <v>1.7522257930147438E-4</v>
      </c>
      <c r="E241" s="80">
        <f t="shared" si="202"/>
        <v>1.2423529276132574E-3</v>
      </c>
      <c r="F241" s="80">
        <f t="shared" si="202"/>
        <v>2.2609608482527387E-3</v>
      </c>
      <c r="G241" s="80">
        <f t="shared" si="202"/>
        <v>2.2616128456387813E-3</v>
      </c>
      <c r="H241" s="80">
        <f t="shared" si="202"/>
        <v>2.2616002884752241E-3</v>
      </c>
      <c r="I241" s="80">
        <f t="shared" si="202"/>
        <v>2.2615693888148854E-3</v>
      </c>
      <c r="J241" s="80">
        <f t="shared" si="202"/>
        <v>2.2616187928367797E-3</v>
      </c>
      <c r="K241" s="80">
        <f t="shared" si="202"/>
        <v>2.2622074607458868E-3</v>
      </c>
      <c r="L241" s="80">
        <f t="shared" si="202"/>
        <v>2.2679274201057691E-3</v>
      </c>
      <c r="M241" s="80">
        <f t="shared" si="202"/>
        <v>2.3248421243546474E-3</v>
      </c>
      <c r="N241" s="80">
        <f t="shared" si="202"/>
        <v>2.8547965211140965E-3</v>
      </c>
      <c r="O241" s="80">
        <f t="shared" si="202"/>
        <v>5.6616514615667104E-3</v>
      </c>
      <c r="P241" s="80">
        <f t="shared" si="202"/>
        <v>8.1094000409057607E-3</v>
      </c>
      <c r="Q241" s="80">
        <f t="shared" si="202"/>
        <v>9.3624560406921336E-3</v>
      </c>
      <c r="R241" s="80">
        <f t="shared" si="202"/>
        <v>1.0546315158912148E-2</v>
      </c>
      <c r="S241" s="80">
        <f t="shared" si="202"/>
        <v>1.0852698579950958E-2</v>
      </c>
      <c r="T241" s="80">
        <f t="shared" si="202"/>
        <v>4.2583011814609651E-3</v>
      </c>
      <c r="U241" s="80">
        <f t="shared" si="202"/>
        <v>8.0835402454311946E-3</v>
      </c>
      <c r="V241" s="80">
        <f t="shared" si="202"/>
        <v>2.2795120076546084E-2</v>
      </c>
      <c r="W241" s="80">
        <f t="shared" si="202"/>
        <v>3.7703457161962196E-2</v>
      </c>
      <c r="X241" s="80">
        <f t="shared" si="202"/>
        <v>4.5244496148734901E-2</v>
      </c>
      <c r="Y241" s="80">
        <f t="shared" si="202"/>
        <v>4.9042194971145689E-2</v>
      </c>
      <c r="Z241" s="80">
        <f t="shared" si="202"/>
        <v>3.6410559862656691E-2</v>
      </c>
      <c r="AA241" s="80">
        <f t="shared" si="202"/>
        <v>8.7199088045503692E-3</v>
      </c>
      <c r="AB241" s="80">
        <f t="shared" si="202"/>
        <v>2.3840476340069958E-2</v>
      </c>
      <c r="AC241" s="80">
        <f t="shared" si="202"/>
        <v>6.9359255720069679E-2</v>
      </c>
      <c r="AD241" s="80">
        <f t="shared" si="202"/>
        <v>0.10423839976569753</v>
      </c>
      <c r="AE241" s="80">
        <f t="shared" si="202"/>
        <v>0.13057726416165552</v>
      </c>
      <c r="AF241" s="80">
        <f t="shared" si="202"/>
        <v>0.12198660932362418</v>
      </c>
    </row>
    <row r="242" spans="1:34" x14ac:dyDescent="0.25">
      <c r="B242" s="21">
        <f>(B209-B208)^2</f>
        <v>8.3714827819212341E-5</v>
      </c>
      <c r="C242" s="21">
        <f t="shared" ref="C242:AF242" si="203">(C209-C208)^2</f>
        <v>2.0046671403760066E-2</v>
      </c>
      <c r="D242" s="21">
        <f t="shared" si="203"/>
        <v>1.0798194397425596</v>
      </c>
      <c r="E242" s="21">
        <f t="shared" si="203"/>
        <v>54.282517925594313</v>
      </c>
      <c r="F242" s="21">
        <f t="shared" si="203"/>
        <v>179.78596676294853</v>
      </c>
      <c r="G242" s="21">
        <f t="shared" si="203"/>
        <v>179.88962335625331</v>
      </c>
      <c r="H242" s="21">
        <f t="shared" si="203"/>
        <v>179.887620880974</v>
      </c>
      <c r="I242" s="21">
        <f t="shared" si="203"/>
        <v>179.88269076828985</v>
      </c>
      <c r="J242" s="21">
        <f t="shared" si="203"/>
        <v>179.89053286583382</v>
      </c>
      <c r="K242" s="21">
        <f t="shared" si="203"/>
        <v>179.98405443492285</v>
      </c>
      <c r="L242" s="21">
        <f t="shared" si="203"/>
        <v>180.8939473508959</v>
      </c>
      <c r="M242" s="21">
        <f t="shared" si="203"/>
        <v>190.07212086810759</v>
      </c>
      <c r="N242" s="21">
        <f t="shared" si="203"/>
        <v>286.37949287419406</v>
      </c>
      <c r="O242" s="21">
        <f t="shared" si="203"/>
        <v>1118.2113275045854</v>
      </c>
      <c r="P242" s="21">
        <f t="shared" si="203"/>
        <v>2202.6417732947561</v>
      </c>
      <c r="Q242" s="21">
        <f t="shared" si="203"/>
        <v>2794.0007262176669</v>
      </c>
      <c r="R242" s="21">
        <f t="shared" si="203"/>
        <v>3350.8353768702436</v>
      </c>
      <c r="S242" s="21">
        <f t="shared" si="203"/>
        <v>3303.0648453530148</v>
      </c>
      <c r="T242" s="21">
        <f t="shared" si="203"/>
        <v>464.76066873108908</v>
      </c>
      <c r="U242" s="21">
        <f t="shared" si="203"/>
        <v>1481.9209360354248</v>
      </c>
      <c r="V242" s="21">
        <f t="shared" si="203"/>
        <v>10192.565382477833</v>
      </c>
      <c r="W242" s="21">
        <f t="shared" si="203"/>
        <v>24033.03364519247</v>
      </c>
      <c r="X242" s="21">
        <f t="shared" si="203"/>
        <v>29781.361479520332</v>
      </c>
      <c r="Y242" s="21">
        <f t="shared" si="203"/>
        <v>29763.03628356033</v>
      </c>
      <c r="Z242" s="21">
        <f t="shared" si="203"/>
        <v>13535.118935399951</v>
      </c>
      <c r="AA242" s="21">
        <f t="shared" si="203"/>
        <v>592.47894440778396</v>
      </c>
      <c r="AB242" s="21">
        <f t="shared" si="203"/>
        <v>3038.5976313704018</v>
      </c>
      <c r="AC242" s="21">
        <f t="shared" si="203"/>
        <v>14925.673834712805</v>
      </c>
      <c r="AD242" s="21">
        <f t="shared" si="203"/>
        <v>14749.385698543454</v>
      </c>
      <c r="AE242" s="21">
        <f t="shared" si="203"/>
        <v>8185.474264149655</v>
      </c>
      <c r="AF242" s="21">
        <f t="shared" si="203"/>
        <v>2308.7466337859023</v>
      </c>
      <c r="AG242" s="3"/>
      <c r="AH242" s="3"/>
    </row>
    <row r="243" spans="1:34" x14ac:dyDescent="0.25">
      <c r="A243" s="71">
        <f>SUM(B243:AF243)</f>
        <v>167612.95690504168</v>
      </c>
      <c r="B243" s="60">
        <f>IF($A$64&lt;=B207,IF($B$64&gt;=B207,ABS(B242),0),0)</f>
        <v>8.3714827819212341E-5</v>
      </c>
      <c r="C243" s="60">
        <f t="shared" ref="C243" si="204">IF($A$64&lt;=C207,IF($B$64&gt;=C207,ABS(C242),0),0)</f>
        <v>2.0046671403760066E-2</v>
      </c>
      <c r="D243" s="60">
        <f t="shared" ref="D243" si="205">IF($A$64&lt;=D207,IF($B$64&gt;=D207,ABS(D242),0),0)</f>
        <v>1.0798194397425596</v>
      </c>
      <c r="E243" s="60">
        <f t="shared" ref="E243" si="206">IF($A$64&lt;=E207,IF($B$64&gt;=E207,ABS(E242),0),0)</f>
        <v>54.282517925594313</v>
      </c>
      <c r="F243" s="60">
        <f t="shared" ref="F243" si="207">IF($A$64&lt;=F207,IF($B$64&gt;=F207,ABS(F242),0),0)</f>
        <v>179.78596676294853</v>
      </c>
      <c r="G243" s="60">
        <f t="shared" ref="G243" si="208">IF($A$64&lt;=G207,IF($B$64&gt;=G207,ABS(G242),0),0)</f>
        <v>179.88962335625331</v>
      </c>
      <c r="H243" s="60">
        <f t="shared" ref="H243" si="209">IF($A$64&lt;=H207,IF($B$64&gt;=H207,ABS(H242),0),0)</f>
        <v>179.887620880974</v>
      </c>
      <c r="I243" s="60">
        <f t="shared" ref="I243" si="210">IF($A$64&lt;=I207,IF($B$64&gt;=I207,ABS(I242),0),0)</f>
        <v>179.88269076828985</v>
      </c>
      <c r="J243" s="60">
        <f t="shared" ref="J243" si="211">IF($A$64&lt;=J207,IF($B$64&gt;=J207,ABS(J242),0),0)</f>
        <v>179.89053286583382</v>
      </c>
      <c r="K243" s="60">
        <f t="shared" ref="K243" si="212">IF($A$64&lt;=K207,IF($B$64&gt;=K207,ABS(K242),0),0)</f>
        <v>179.98405443492285</v>
      </c>
      <c r="L243" s="60">
        <f t="shared" ref="L243" si="213">IF($A$64&lt;=L207,IF($B$64&gt;=L207,ABS(L242),0),0)</f>
        <v>180.8939473508959</v>
      </c>
      <c r="M243" s="60">
        <f t="shared" ref="M243" si="214">IF($A$64&lt;=M207,IF($B$64&gt;=M207,ABS(M242),0),0)</f>
        <v>190.07212086810759</v>
      </c>
      <c r="N243" s="60">
        <f t="shared" ref="N243" si="215">IF($A$64&lt;=N207,IF($B$64&gt;=N207,ABS(N242),0),0)</f>
        <v>286.37949287419406</v>
      </c>
      <c r="O243" s="60">
        <f t="shared" ref="O243" si="216">IF($A$64&lt;=O207,IF($B$64&gt;=O207,ABS(O242),0),0)</f>
        <v>1118.2113275045854</v>
      </c>
      <c r="P243" s="60">
        <f t="shared" ref="P243" si="217">IF($A$64&lt;=P207,IF($B$64&gt;=P207,ABS(P242),0),0)</f>
        <v>2202.6417732947561</v>
      </c>
      <c r="Q243" s="60">
        <f t="shared" ref="Q243" si="218">IF($A$64&lt;=Q207,IF($B$64&gt;=Q207,ABS(Q242),0),0)</f>
        <v>2794.0007262176669</v>
      </c>
      <c r="R243" s="60">
        <f t="shared" ref="R243" si="219">IF($A$64&lt;=R207,IF($B$64&gt;=R207,ABS(R242),0),0)</f>
        <v>3350.8353768702436</v>
      </c>
      <c r="S243" s="60">
        <f t="shared" ref="S243" si="220">IF($A$64&lt;=S207,IF($B$64&gt;=S207,ABS(S242),0),0)</f>
        <v>3303.0648453530148</v>
      </c>
      <c r="T243" s="60">
        <f t="shared" ref="T243" si="221">IF($A$64&lt;=T207,IF($B$64&gt;=T207,ABS(T242),0),0)</f>
        <v>464.76066873108908</v>
      </c>
      <c r="U243" s="60">
        <f t="shared" ref="U243" si="222">IF($A$64&lt;=U207,IF($B$64&gt;=U207,ABS(U242),0),0)</f>
        <v>1481.9209360354248</v>
      </c>
      <c r="V243" s="60">
        <f t="shared" ref="V243" si="223">IF($A$64&lt;=V207,IF($B$64&gt;=V207,ABS(V242),0),0)</f>
        <v>10192.565382477833</v>
      </c>
      <c r="W243" s="60">
        <f t="shared" ref="W243" si="224">IF($A$64&lt;=W207,IF($B$64&gt;=W207,ABS(W242),0),0)</f>
        <v>24033.03364519247</v>
      </c>
      <c r="X243" s="60">
        <f t="shared" ref="X243" si="225">IF($A$64&lt;=X207,IF($B$64&gt;=X207,ABS(X242),0),0)</f>
        <v>29781.361479520332</v>
      </c>
      <c r="Y243" s="60">
        <f t="shared" ref="Y243" si="226">IF($A$64&lt;=Y207,IF($B$64&gt;=Y207,ABS(Y242),0),0)</f>
        <v>29763.03628356033</v>
      </c>
      <c r="Z243" s="60">
        <f t="shared" ref="Z243" si="227">IF($A$64&lt;=Z207,IF($B$64&gt;=Z207,ABS(Z242),0),0)</f>
        <v>13535.118935399951</v>
      </c>
      <c r="AA243" s="60">
        <f t="shared" ref="AA243" si="228">IF($A$64&lt;=AA207,IF($B$64&gt;=AA207,ABS(AA242),0),0)</f>
        <v>592.47894440778396</v>
      </c>
      <c r="AB243" s="60">
        <f t="shared" ref="AB243" si="229">IF($A$64&lt;=AB207,IF($B$64&gt;=AB207,ABS(AB242),0),0)</f>
        <v>3038.5976313704018</v>
      </c>
      <c r="AC243" s="60">
        <f t="shared" ref="AC243" si="230">IF($A$64&lt;=AC207,IF($B$64&gt;=AC207,ABS(AC242),0),0)</f>
        <v>14925.673834712805</v>
      </c>
      <c r="AD243" s="60">
        <f t="shared" ref="AD243" si="231">IF($A$64&lt;=AD207,IF($B$64&gt;=AD207,ABS(AD242),0),0)</f>
        <v>14749.385698543454</v>
      </c>
      <c r="AE243" s="60">
        <f t="shared" ref="AE243" si="232">IF($A$64&lt;=AE207,IF($B$64&gt;=AE207,ABS(AE242),0),0)</f>
        <v>8185.474264149655</v>
      </c>
      <c r="AF243" s="60">
        <f t="shared" ref="AF243" si="233">IF($A$64&lt;=AF207,IF($B$64&gt;=AF207,ABS(AF242),0),0)</f>
        <v>2308.7466337859023</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0" t="s">
        <v>22</v>
      </c>
      <c r="B248" s="27">
        <f>($C$17+SUM(B249:B279))*$B$51</f>
        <v>5924.0661474837161</v>
      </c>
      <c r="C248" s="27">
        <f t="shared" ref="C248:AF248" si="234">($C$17+SUM(C249:C279))*$B$51</f>
        <v>5917.0209069846442</v>
      </c>
      <c r="D248" s="27">
        <f t="shared" si="234"/>
        <v>5916.998724975012</v>
      </c>
      <c r="E248" s="27">
        <f t="shared" si="234"/>
        <v>5916.9987203607707</v>
      </c>
      <c r="F248" s="27">
        <f t="shared" si="234"/>
        <v>5916.9986742183783</v>
      </c>
      <c r="G248" s="27">
        <f t="shared" si="234"/>
        <v>5916.9982127961584</v>
      </c>
      <c r="H248" s="27">
        <f t="shared" si="234"/>
        <v>5916.9935987454146</v>
      </c>
      <c r="I248" s="27">
        <f t="shared" si="234"/>
        <v>5916.947475376066</v>
      </c>
      <c r="J248" s="27">
        <f t="shared" si="234"/>
        <v>5916.4879489848618</v>
      </c>
      <c r="K248" s="27">
        <f t="shared" si="234"/>
        <v>5912.0570992748753</v>
      </c>
      <c r="L248" s="27">
        <f t="shared" si="234"/>
        <v>5879.3968751088523</v>
      </c>
      <c r="M248" s="27">
        <f t="shared" si="234"/>
        <v>5757.9708235497219</v>
      </c>
      <c r="N248" s="27">
        <f t="shared" si="234"/>
        <v>5607.9589438364965</v>
      </c>
      <c r="O248" s="27">
        <f t="shared" si="234"/>
        <v>5449.4457961990256</v>
      </c>
      <c r="P248" s="27">
        <f t="shared" si="234"/>
        <v>5259.0423531224469</v>
      </c>
      <c r="Q248" s="27">
        <f t="shared" si="234"/>
        <v>5060.4665694991745</v>
      </c>
      <c r="R248" s="27">
        <f t="shared" si="234"/>
        <v>4828.2866638130326</v>
      </c>
      <c r="S248" s="27">
        <f t="shared" si="234"/>
        <v>4553.1355349954947</v>
      </c>
      <c r="T248" s="27">
        <f t="shared" si="234"/>
        <v>4291.7691042273491</v>
      </c>
      <c r="U248" s="27">
        <f t="shared" si="234"/>
        <v>4010.769556046831</v>
      </c>
      <c r="V248" s="27">
        <f t="shared" si="234"/>
        <v>3717.9977471710208</v>
      </c>
      <c r="W248" s="27">
        <f t="shared" si="234"/>
        <v>3349.4963897664798</v>
      </c>
      <c r="X248" s="27">
        <f t="shared" si="234"/>
        <v>2858.8624821616231</v>
      </c>
      <c r="Y248" s="27">
        <f t="shared" si="234"/>
        <v>2305.9296302303851</v>
      </c>
      <c r="Z248" s="27">
        <f t="shared" si="234"/>
        <v>1690.7544699211951</v>
      </c>
      <c r="AA248" s="27">
        <f t="shared" si="234"/>
        <v>1089.2648278232018</v>
      </c>
      <c r="AB248" s="27">
        <f t="shared" si="234"/>
        <v>632.80366144514858</v>
      </c>
      <c r="AC248" s="27">
        <f t="shared" si="234"/>
        <v>370.61547067415006</v>
      </c>
      <c r="AD248" s="27">
        <f t="shared" si="234"/>
        <v>204.82600567367123</v>
      </c>
      <c r="AE248" s="27">
        <f t="shared" si="234"/>
        <v>147.71334545446638</v>
      </c>
      <c r="AF248" s="27">
        <f t="shared" si="234"/>
        <v>136.43683728936904</v>
      </c>
      <c r="AG248" s="27"/>
      <c r="AH248" s="27"/>
    </row>
    <row r="249" spans="1:34" x14ac:dyDescent="0.25">
      <c r="B249" s="3">
        <f t="shared" ref="B249:AF249" si="235">$C18*EXP(-B$246/$A18/EXP(-$E$126))</f>
        <v>1.1917261207509506E-3</v>
      </c>
      <c r="C249" s="3">
        <f t="shared" si="235"/>
        <v>3.7403073418786796E-6</v>
      </c>
      <c r="D249" s="3">
        <f t="shared" si="235"/>
        <v>3.469090280406152E-31</v>
      </c>
      <c r="E249" s="3">
        <f t="shared" si="235"/>
        <v>1.6341756178020524E-281</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4.2263320666299691E-3</v>
      </c>
      <c r="C253" s="3">
        <f t="shared" si="239"/>
        <v>4.2263320620493034E-3</v>
      </c>
      <c r="D253" s="3">
        <f t="shared" si="239"/>
        <v>4.2263320162426532E-3</v>
      </c>
      <c r="E253" s="3">
        <f t="shared" si="239"/>
        <v>4.2263315581761753E-3</v>
      </c>
      <c r="F253" s="3">
        <f t="shared" si="239"/>
        <v>4.2263269775141242E-3</v>
      </c>
      <c r="G253" s="3">
        <f t="shared" si="239"/>
        <v>4.2262811711666695E-3</v>
      </c>
      <c r="H253" s="3">
        <f t="shared" si="239"/>
        <v>4.2258231349967907E-3</v>
      </c>
      <c r="I253" s="3">
        <f t="shared" si="239"/>
        <v>4.2212455026695191E-3</v>
      </c>
      <c r="J253" s="3">
        <f t="shared" si="239"/>
        <v>4.1757410251804048E-3</v>
      </c>
      <c r="K253" s="3">
        <f t="shared" si="239"/>
        <v>3.7468215601210077E-3</v>
      </c>
      <c r="L253" s="3">
        <f t="shared" si="239"/>
        <v>1.2675279741703478E-3</v>
      </c>
      <c r="M253" s="3">
        <f t="shared" si="239"/>
        <v>2.4883013560326634E-8</v>
      </c>
      <c r="N253" s="3">
        <f t="shared" si="239"/>
        <v>2.115228109662645E-55</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3.0334384971172246E-2</v>
      </c>
      <c r="C254" s="3">
        <f t="shared" si="240"/>
        <v>3.0334384968206417E-2</v>
      </c>
      <c r="D254" s="3">
        <f t="shared" si="240"/>
        <v>3.0334384938548082E-2</v>
      </c>
      <c r="E254" s="3">
        <f t="shared" si="240"/>
        <v>3.0334384641964775E-2</v>
      </c>
      <c r="F254" s="3">
        <f t="shared" si="240"/>
        <v>3.0334381676131856E-2</v>
      </c>
      <c r="G254" s="3">
        <f t="shared" si="240"/>
        <v>3.0334352017818592E-2</v>
      </c>
      <c r="H254" s="3">
        <f t="shared" si="240"/>
        <v>3.0334055436280826E-2</v>
      </c>
      <c r="I254" s="3">
        <f t="shared" si="240"/>
        <v>3.0331089780382136E-2</v>
      </c>
      <c r="J254" s="3">
        <f t="shared" si="240"/>
        <v>3.0301449163525736E-2</v>
      </c>
      <c r="K254" s="3">
        <f t="shared" si="240"/>
        <v>3.0006631455932707E-2</v>
      </c>
      <c r="L254" s="3">
        <f t="shared" si="240"/>
        <v>2.7211701361692014E-2</v>
      </c>
      <c r="M254" s="3">
        <f t="shared" si="240"/>
        <v>1.0236234213704129E-2</v>
      </c>
      <c r="N254" s="3">
        <f t="shared" si="240"/>
        <v>5.8074488978880176E-7</v>
      </c>
      <c r="O254" s="3">
        <f t="shared" si="240"/>
        <v>2.0064910318277285E-49</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2.3501586958627838E-2</v>
      </c>
      <c r="C255" s="3">
        <f t="shared" si="241"/>
        <v>2.350158695842056E-2</v>
      </c>
      <c r="D255" s="3">
        <f t="shared" si="241"/>
        <v>2.350158695634777E-2</v>
      </c>
      <c r="E255" s="3">
        <f t="shared" si="241"/>
        <v>2.3501586935619871E-2</v>
      </c>
      <c r="F255" s="3">
        <f t="shared" si="241"/>
        <v>2.3501586728340875E-2</v>
      </c>
      <c r="G255" s="3">
        <f t="shared" si="241"/>
        <v>2.350158465555104E-2</v>
      </c>
      <c r="H255" s="3">
        <f t="shared" si="241"/>
        <v>2.3501563927662741E-2</v>
      </c>
      <c r="I255" s="3">
        <f t="shared" si="241"/>
        <v>2.3501356649785254E-2</v>
      </c>
      <c r="J255" s="3">
        <f t="shared" si="241"/>
        <v>2.3499283971555339E-2</v>
      </c>
      <c r="K255" s="3">
        <f t="shared" si="241"/>
        <v>2.347856724047263E-2</v>
      </c>
      <c r="L255" s="3">
        <f t="shared" si="241"/>
        <v>2.3272401778982217E-2</v>
      </c>
      <c r="M255" s="3">
        <f t="shared" si="241"/>
        <v>2.1307738444985416E-2</v>
      </c>
      <c r="N255" s="3">
        <f t="shared" si="241"/>
        <v>8.8206150300618787E-3</v>
      </c>
      <c r="O255" s="3">
        <f t="shared" si="241"/>
        <v>1.3035088276358725E-6</v>
      </c>
      <c r="P255" s="3">
        <f t="shared" si="241"/>
        <v>6.475377071988055E-45</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3.0161245732587279E-2</v>
      </c>
      <c r="C256" s="3">
        <f t="shared" si="242"/>
        <v>3.0161245732563277E-2</v>
      </c>
      <c r="D256" s="3">
        <f t="shared" si="242"/>
        <v>3.0161245732323313E-2</v>
      </c>
      <c r="E256" s="3">
        <f t="shared" si="242"/>
        <v>3.0161245729923628E-2</v>
      </c>
      <c r="F256" s="3">
        <f t="shared" si="242"/>
        <v>3.0161245705926792E-2</v>
      </c>
      <c r="G256" s="3">
        <f t="shared" si="242"/>
        <v>3.0161245465958442E-2</v>
      </c>
      <c r="H256" s="3">
        <f t="shared" si="242"/>
        <v>3.0161243066275031E-2</v>
      </c>
      <c r="I256" s="3">
        <f t="shared" si="242"/>
        <v>3.0161219069451423E-2</v>
      </c>
      <c r="J256" s="3">
        <f t="shared" si="242"/>
        <v>3.0160979102265437E-2</v>
      </c>
      <c r="K256" s="3">
        <f t="shared" si="242"/>
        <v>3.0158579535409895E-2</v>
      </c>
      <c r="L256" s="3">
        <f t="shared" si="242"/>
        <v>3.0134594364195608E-2</v>
      </c>
      <c r="M256" s="3">
        <f t="shared" si="242"/>
        <v>2.9895789302539156E-2</v>
      </c>
      <c r="N256" s="3">
        <f t="shared" si="242"/>
        <v>2.7609387094492125E-2</v>
      </c>
      <c r="O256" s="3">
        <f t="shared" si="242"/>
        <v>1.2460176173868407E-2</v>
      </c>
      <c r="P256" s="3">
        <f t="shared" si="242"/>
        <v>4.3671524583882617E-6</v>
      </c>
      <c r="Q256" s="3">
        <f t="shared" si="242"/>
        <v>1.2216310435885711E-40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3.6781885068377422E-2</v>
      </c>
      <c r="C257" s="3">
        <f t="shared" si="243"/>
        <v>3.6781885068374778E-2</v>
      </c>
      <c r="D257" s="3">
        <f t="shared" si="243"/>
        <v>3.6781885068348383E-2</v>
      </c>
      <c r="E257" s="3">
        <f t="shared" si="243"/>
        <v>3.6781885068084393E-2</v>
      </c>
      <c r="F257" s="3">
        <f t="shared" si="243"/>
        <v>3.6781885065444504E-2</v>
      </c>
      <c r="G257" s="3">
        <f t="shared" si="243"/>
        <v>3.6781885039045642E-2</v>
      </c>
      <c r="H257" s="3">
        <f t="shared" si="243"/>
        <v>3.6781884775056985E-2</v>
      </c>
      <c r="I257" s="3">
        <f t="shared" si="243"/>
        <v>3.6781882135170509E-2</v>
      </c>
      <c r="J257" s="3">
        <f t="shared" si="243"/>
        <v>3.6781855736316232E-2</v>
      </c>
      <c r="K257" s="3">
        <f t="shared" si="243"/>
        <v>3.678159174881547E-2</v>
      </c>
      <c r="L257" s="3">
        <f t="shared" si="243"/>
        <v>3.6778951978012377E-2</v>
      </c>
      <c r="M257" s="3">
        <f t="shared" si="243"/>
        <v>3.6752564687663768E-2</v>
      </c>
      <c r="N257" s="3">
        <f t="shared" si="243"/>
        <v>3.6489730791252492E-2</v>
      </c>
      <c r="O257" s="3">
        <f t="shared" si="243"/>
        <v>3.3962585579170819E-2</v>
      </c>
      <c r="P257" s="3">
        <f t="shared" si="243"/>
        <v>1.6569202680331529E-2</v>
      </c>
      <c r="Q257" s="3">
        <f t="shared" si="243"/>
        <v>1.2656401891196162E-5</v>
      </c>
      <c r="R257" s="3">
        <f t="shared" si="243"/>
        <v>8.5584816193821266E-37</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3.0958488235130519E-2</v>
      </c>
      <c r="C258" s="3">
        <f t="shared" si="244"/>
        <v>3.0958488235130317E-2</v>
      </c>
      <c r="D258" s="3">
        <f t="shared" si="244"/>
        <v>3.0958488235128312E-2</v>
      </c>
      <c r="E258" s="3">
        <f t="shared" si="244"/>
        <v>3.0958488235108265E-2</v>
      </c>
      <c r="F258" s="3">
        <f t="shared" si="244"/>
        <v>3.0958488234907829E-2</v>
      </c>
      <c r="G258" s="3">
        <f t="shared" si="244"/>
        <v>3.0958488232903463E-2</v>
      </c>
      <c r="H258" s="3">
        <f t="shared" si="244"/>
        <v>3.0958488212859778E-2</v>
      </c>
      <c r="I258" s="3">
        <f t="shared" si="244"/>
        <v>3.0958488012422902E-2</v>
      </c>
      <c r="J258" s="3">
        <f t="shared" si="244"/>
        <v>3.0958486008054235E-2</v>
      </c>
      <c r="K258" s="3">
        <f t="shared" si="244"/>
        <v>3.0958465964374703E-2</v>
      </c>
      <c r="L258" s="3">
        <f t="shared" si="244"/>
        <v>3.0958265528293127E-2</v>
      </c>
      <c r="M258" s="3">
        <f t="shared" si="244"/>
        <v>3.0956261238849134E-2</v>
      </c>
      <c r="N258" s="3">
        <f t="shared" si="244"/>
        <v>3.0936225479879478E-2</v>
      </c>
      <c r="O258" s="3">
        <f t="shared" si="244"/>
        <v>3.0736579730847341E-2</v>
      </c>
      <c r="P258" s="3">
        <f t="shared" si="244"/>
        <v>2.8809630208323153E-2</v>
      </c>
      <c r="Q258" s="3">
        <f t="shared" si="244"/>
        <v>1.5078534461230189E-2</v>
      </c>
      <c r="R258" s="3">
        <f t="shared" si="244"/>
        <v>2.325806732653688E-5</v>
      </c>
      <c r="S258" s="3">
        <f t="shared" si="244"/>
        <v>1.773039978111879E-33</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5.2155951905646966E-2</v>
      </c>
      <c r="C259" s="3">
        <f t="shared" si="245"/>
        <v>5.2155951905646938E-2</v>
      </c>
      <c r="D259" s="3">
        <f t="shared" si="245"/>
        <v>5.215595190564664E-2</v>
      </c>
      <c r="E259" s="3">
        <f t="shared" si="245"/>
        <v>5.2155951905643587E-2</v>
      </c>
      <c r="F259" s="3">
        <f t="shared" si="245"/>
        <v>5.2155951905613125E-2</v>
      </c>
      <c r="G259" s="3">
        <f t="shared" si="245"/>
        <v>5.2155951905308515E-2</v>
      </c>
      <c r="H259" s="3">
        <f t="shared" si="245"/>
        <v>5.2155951902262382E-2</v>
      </c>
      <c r="I259" s="3">
        <f t="shared" si="245"/>
        <v>5.2155951871801089E-2</v>
      </c>
      <c r="J259" s="3">
        <f t="shared" si="245"/>
        <v>5.215595156718815E-2</v>
      </c>
      <c r="K259" s="3">
        <f t="shared" si="245"/>
        <v>5.2155948521058891E-2</v>
      </c>
      <c r="L259" s="3">
        <f t="shared" si="245"/>
        <v>5.2155918059776048E-2</v>
      </c>
      <c r="M259" s="3">
        <f t="shared" si="245"/>
        <v>5.2155613447926054E-2</v>
      </c>
      <c r="N259" s="3">
        <f t="shared" si="245"/>
        <v>5.2152567427272617E-2</v>
      </c>
      <c r="O259" s="3">
        <f t="shared" si="245"/>
        <v>5.2122117003269186E-2</v>
      </c>
      <c r="P259" s="3">
        <f t="shared" si="245"/>
        <v>5.1818588905662911E-2</v>
      </c>
      <c r="Q259" s="3">
        <f t="shared" si="245"/>
        <v>4.8878845318971659E-2</v>
      </c>
      <c r="R259" s="3">
        <f t="shared" si="245"/>
        <v>2.7256776503327584E-2</v>
      </c>
      <c r="S259" s="3">
        <f t="shared" si="245"/>
        <v>7.9251966173481895E-5</v>
      </c>
      <c r="T259" s="3">
        <f t="shared" si="245"/>
        <v>3.4226742644875479E-30</v>
      </c>
      <c r="U259" s="3">
        <f t="shared" si="245"/>
        <v>7.725397022314205E-284</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4.3160709564069449E-2</v>
      </c>
      <c r="C260" s="3">
        <f t="shared" si="246"/>
        <v>4.3160709564069442E-2</v>
      </c>
      <c r="D260" s="3">
        <f t="shared" si="246"/>
        <v>4.3160709564069429E-2</v>
      </c>
      <c r="E260" s="3">
        <f t="shared" si="246"/>
        <v>4.3160709564069193E-2</v>
      </c>
      <c r="F260" s="3">
        <f t="shared" si="246"/>
        <v>4.3160709564066924E-2</v>
      </c>
      <c r="G260" s="3">
        <f t="shared" si="246"/>
        <v>4.3160709564044185E-2</v>
      </c>
      <c r="H260" s="3">
        <f t="shared" si="246"/>
        <v>4.316070956381679E-2</v>
      </c>
      <c r="I260" s="3">
        <f t="shared" si="246"/>
        <v>4.3160709561542845E-2</v>
      </c>
      <c r="J260" s="3">
        <f t="shared" si="246"/>
        <v>4.316070953880341E-2</v>
      </c>
      <c r="K260" s="3">
        <f t="shared" si="246"/>
        <v>4.3160709311409085E-2</v>
      </c>
      <c r="L260" s="3">
        <f t="shared" si="246"/>
        <v>4.3160707037465836E-2</v>
      </c>
      <c r="M260" s="3">
        <f t="shared" si="246"/>
        <v>4.3160684298039979E-2</v>
      </c>
      <c r="N260" s="3">
        <f t="shared" si="246"/>
        <v>4.3160456904440321E-2</v>
      </c>
      <c r="O260" s="3">
        <f t="shared" si="246"/>
        <v>4.3158183034334434E-2</v>
      </c>
      <c r="P260" s="3">
        <f t="shared" si="246"/>
        <v>4.3135450921059047E-2</v>
      </c>
      <c r="Q260" s="3">
        <f t="shared" si="246"/>
        <v>4.2908787284268689E-2</v>
      </c>
      <c r="R260" s="3">
        <f t="shared" si="246"/>
        <v>4.0706636676335041E-2</v>
      </c>
      <c r="S260" s="3">
        <f t="shared" si="246"/>
        <v>2.4035603239643794E-2</v>
      </c>
      <c r="T260" s="3">
        <f t="shared" si="246"/>
        <v>1.2380924668642506E-4</v>
      </c>
      <c r="U260" s="3">
        <f t="shared" si="246"/>
        <v>1.6282970217134781E-27</v>
      </c>
      <c r="V260" s="3">
        <f t="shared" si="246"/>
        <v>2.5208041326254461E-256</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4.9762672836986856E-2</v>
      </c>
      <c r="C261" s="3">
        <f t="shared" si="247"/>
        <v>4.9762672836986856E-2</v>
      </c>
      <c r="D261" s="3">
        <f t="shared" si="247"/>
        <v>4.9762672836986856E-2</v>
      </c>
      <c r="E261" s="3">
        <f t="shared" si="247"/>
        <v>4.9762672836986828E-2</v>
      </c>
      <c r="F261" s="3">
        <f t="shared" si="247"/>
        <v>4.9762672836986592E-2</v>
      </c>
      <c r="G261" s="3">
        <f t="shared" si="247"/>
        <v>4.9762672836984226E-2</v>
      </c>
      <c r="H261" s="3">
        <f t="shared" si="247"/>
        <v>4.9762672836960578E-2</v>
      </c>
      <c r="I261" s="3">
        <f t="shared" si="247"/>
        <v>4.9762672836724073E-2</v>
      </c>
      <c r="J261" s="3">
        <f t="shared" si="247"/>
        <v>4.976267283435902E-2</v>
      </c>
      <c r="K261" s="3">
        <f t="shared" si="247"/>
        <v>4.976267281070846E-2</v>
      </c>
      <c r="L261" s="3">
        <f t="shared" si="247"/>
        <v>4.9762672574202908E-2</v>
      </c>
      <c r="M261" s="3">
        <f t="shared" si="247"/>
        <v>4.976267020914741E-2</v>
      </c>
      <c r="N261" s="3">
        <f t="shared" si="247"/>
        <v>4.9762646558598606E-2</v>
      </c>
      <c r="O261" s="3">
        <f t="shared" si="247"/>
        <v>4.9762410053728813E-2</v>
      </c>
      <c r="P261" s="3">
        <f t="shared" si="247"/>
        <v>4.976004506685143E-2</v>
      </c>
      <c r="Q261" s="3">
        <f t="shared" si="247"/>
        <v>4.9736401379050513E-2</v>
      </c>
      <c r="R261" s="3">
        <f t="shared" si="247"/>
        <v>4.9500581512789896E-2</v>
      </c>
      <c r="S261" s="3">
        <f t="shared" si="247"/>
        <v>4.7203012672675362E-2</v>
      </c>
      <c r="T261" s="3">
        <f t="shared" si="247"/>
        <v>2.9347011833709417E-2</v>
      </c>
      <c r="U261" s="3">
        <f t="shared" si="247"/>
        <v>2.5322441751159683E-4</v>
      </c>
      <c r="V261" s="3">
        <f t="shared" si="247"/>
        <v>5.7932532917936643E-25</v>
      </c>
      <c r="W261" s="3">
        <f t="shared" si="247"/>
        <v>2.275578803594432E-231</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4.7420297810237655E-2</v>
      </c>
      <c r="C262" s="3">
        <f t="shared" si="248"/>
        <v>4.7420297810237655E-2</v>
      </c>
      <c r="D262" s="3">
        <f t="shared" si="248"/>
        <v>4.7420297810237655E-2</v>
      </c>
      <c r="E262" s="3">
        <f t="shared" si="248"/>
        <v>4.7420297810237655E-2</v>
      </c>
      <c r="F262" s="3">
        <f t="shared" si="248"/>
        <v>4.7420297810237634E-2</v>
      </c>
      <c r="G262" s="3">
        <f t="shared" si="248"/>
        <v>4.7420297810237426E-2</v>
      </c>
      <c r="H262" s="3">
        <f t="shared" si="248"/>
        <v>4.74202978102354E-2</v>
      </c>
      <c r="I262" s="3">
        <f t="shared" si="248"/>
        <v>4.7420297810215062E-2</v>
      </c>
      <c r="J262" s="3">
        <f t="shared" si="248"/>
        <v>4.7420297810011759E-2</v>
      </c>
      <c r="K262" s="3">
        <f t="shared" si="248"/>
        <v>4.7420297807978712E-2</v>
      </c>
      <c r="L262" s="3">
        <f t="shared" si="248"/>
        <v>4.742029778764819E-2</v>
      </c>
      <c r="M262" s="3">
        <f t="shared" si="248"/>
        <v>4.742029758434297E-2</v>
      </c>
      <c r="N262" s="3">
        <f t="shared" si="248"/>
        <v>4.7420295551290882E-2</v>
      </c>
      <c r="O262" s="3">
        <f t="shared" si="248"/>
        <v>4.742027522077475E-2</v>
      </c>
      <c r="P262" s="3">
        <f t="shared" si="248"/>
        <v>4.7420071916092835E-2</v>
      </c>
      <c r="Q262" s="3">
        <f t="shared" si="248"/>
        <v>4.7418038917212552E-2</v>
      </c>
      <c r="R262" s="3">
        <f t="shared" si="248"/>
        <v>4.739771372153638E-2</v>
      </c>
      <c r="S262" s="3">
        <f t="shared" si="248"/>
        <v>4.719494031797529E-2</v>
      </c>
      <c r="T262" s="3">
        <f t="shared" si="248"/>
        <v>4.5214311099374863E-2</v>
      </c>
      <c r="U262" s="3">
        <f t="shared" si="248"/>
        <v>2.944968729064364E-2</v>
      </c>
      <c r="V262" s="3">
        <f t="shared" si="248"/>
        <v>4.0469550640331311E-4</v>
      </c>
      <c r="W262" s="3">
        <f t="shared" si="248"/>
        <v>9.7186362492323169E-23</v>
      </c>
      <c r="X262" s="3">
        <f t="shared" si="248"/>
        <v>6.1997586292522033E-209</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5.5060707858971492E-2</v>
      </c>
      <c r="C263" s="3">
        <f t="shared" si="249"/>
        <v>5.5060707858971492E-2</v>
      </c>
      <c r="D263" s="3">
        <f t="shared" si="249"/>
        <v>5.5060707858971492E-2</v>
      </c>
      <c r="E263" s="3">
        <f t="shared" si="249"/>
        <v>5.5060707858971492E-2</v>
      </c>
      <c r="F263" s="3">
        <f t="shared" si="249"/>
        <v>5.5060707858971492E-2</v>
      </c>
      <c r="G263" s="3">
        <f t="shared" si="249"/>
        <v>5.5060707858971464E-2</v>
      </c>
      <c r="H263" s="3">
        <f t="shared" si="249"/>
        <v>5.5060707858971256E-2</v>
      </c>
      <c r="I263" s="3">
        <f t="shared" si="249"/>
        <v>5.5060707858969125E-2</v>
      </c>
      <c r="J263" s="3">
        <f t="shared" si="249"/>
        <v>5.506070785894783E-2</v>
      </c>
      <c r="K263" s="3">
        <f t="shared" si="249"/>
        <v>5.5060707858734882E-2</v>
      </c>
      <c r="L263" s="3">
        <f t="shared" si="249"/>
        <v>5.5060707856605405E-2</v>
      </c>
      <c r="M263" s="3">
        <f t="shared" si="249"/>
        <v>5.5060707835310654E-2</v>
      </c>
      <c r="N263" s="3">
        <f t="shared" si="249"/>
        <v>5.506070762236312E-2</v>
      </c>
      <c r="O263" s="3">
        <f t="shared" si="249"/>
        <v>5.5060705492887795E-2</v>
      </c>
      <c r="P263" s="3">
        <f t="shared" si="249"/>
        <v>5.5060684198139087E-2</v>
      </c>
      <c r="Q263" s="3">
        <f t="shared" si="249"/>
        <v>5.5060471251104935E-2</v>
      </c>
      <c r="R263" s="3">
        <f t="shared" si="249"/>
        <v>5.5058341826059433E-2</v>
      </c>
      <c r="S263" s="3">
        <f t="shared" si="249"/>
        <v>5.5037052104549865E-2</v>
      </c>
      <c r="T263" s="3">
        <f t="shared" si="249"/>
        <v>5.4824607136591819E-2</v>
      </c>
      <c r="U263" s="3">
        <f t="shared" si="249"/>
        <v>5.2744741655942236E-2</v>
      </c>
      <c r="V263" s="3">
        <f t="shared" si="249"/>
        <v>3.5827423849362383E-2</v>
      </c>
      <c r="W263" s="3">
        <f t="shared" si="249"/>
        <v>7.49168834796651E-4</v>
      </c>
      <c r="X263" s="3">
        <f t="shared" si="249"/>
        <v>1.1973494311880058E-20</v>
      </c>
      <c r="Y263" s="3">
        <f t="shared" si="249"/>
        <v>1.3020660307420041E-188</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8.2774016803130748E-2</v>
      </c>
      <c r="C264" s="3">
        <f t="shared" si="250"/>
        <v>8.2774016803130748E-2</v>
      </c>
      <c r="D264" s="3">
        <f t="shared" si="250"/>
        <v>8.2774016803130748E-2</v>
      </c>
      <c r="E264" s="3">
        <f t="shared" si="250"/>
        <v>8.2774016803130748E-2</v>
      </c>
      <c r="F264" s="3">
        <f t="shared" si="250"/>
        <v>8.2774016803130748E-2</v>
      </c>
      <c r="G264" s="3">
        <f t="shared" si="250"/>
        <v>8.2774016803130748E-2</v>
      </c>
      <c r="H264" s="3">
        <f t="shared" si="250"/>
        <v>8.2774016803130721E-2</v>
      </c>
      <c r="I264" s="3">
        <f t="shared" si="250"/>
        <v>8.2774016803130429E-2</v>
      </c>
      <c r="J264" s="3">
        <f t="shared" si="250"/>
        <v>8.2774016803127543E-2</v>
      </c>
      <c r="K264" s="3">
        <f t="shared" si="250"/>
        <v>8.2774016803098663E-2</v>
      </c>
      <c r="L264" s="3">
        <f t="shared" si="250"/>
        <v>8.277401680280988E-2</v>
      </c>
      <c r="M264" s="3">
        <f t="shared" si="250"/>
        <v>8.2774016799922051E-2</v>
      </c>
      <c r="N264" s="3">
        <f t="shared" si="250"/>
        <v>8.2774016771043762E-2</v>
      </c>
      <c r="O264" s="3">
        <f t="shared" si="250"/>
        <v>8.2774016482260876E-2</v>
      </c>
      <c r="P264" s="3">
        <f t="shared" si="250"/>
        <v>8.2774013594432067E-2</v>
      </c>
      <c r="Q264" s="3">
        <f t="shared" si="250"/>
        <v>8.2773984716149537E-2</v>
      </c>
      <c r="R264" s="3">
        <f t="shared" si="250"/>
        <v>8.2773695933878344E-2</v>
      </c>
      <c r="S264" s="3">
        <f t="shared" si="250"/>
        <v>8.2770808166578655E-2</v>
      </c>
      <c r="T264" s="3">
        <f t="shared" si="250"/>
        <v>8.2741936034085889E-2</v>
      </c>
      <c r="U264" s="3">
        <f t="shared" si="250"/>
        <v>8.2453768045029144E-2</v>
      </c>
      <c r="V264" s="3">
        <f t="shared" si="250"/>
        <v>7.9626714079118227E-2</v>
      </c>
      <c r="W264" s="3">
        <f t="shared" si="250"/>
        <v>5.6174816798735296E-2</v>
      </c>
      <c r="X264" s="3">
        <f t="shared" si="250"/>
        <v>1.7154196066647492E-3</v>
      </c>
      <c r="Y264" s="3">
        <f t="shared" si="250"/>
        <v>1.2096435617591686E-18</v>
      </c>
      <c r="Z264" s="3">
        <f t="shared" si="250"/>
        <v>3.6772902052715584E-170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9.2826583311544017E-2</v>
      </c>
      <c r="C265" s="3">
        <f t="shared" si="251"/>
        <v>9.2826583311544017E-2</v>
      </c>
      <c r="D265" s="3">
        <f t="shared" si="251"/>
        <v>9.2826583311544017E-2</v>
      </c>
      <c r="E265" s="3">
        <f t="shared" si="251"/>
        <v>9.2826583311544017E-2</v>
      </c>
      <c r="F265" s="3">
        <f t="shared" si="251"/>
        <v>9.2826583311544017E-2</v>
      </c>
      <c r="G265" s="3">
        <f t="shared" si="251"/>
        <v>9.2826583311544017E-2</v>
      </c>
      <c r="H265" s="3">
        <f t="shared" si="251"/>
        <v>9.2826583311544017E-2</v>
      </c>
      <c r="I265" s="3">
        <f t="shared" si="251"/>
        <v>9.2826583311543989E-2</v>
      </c>
      <c r="J265" s="3">
        <f t="shared" si="251"/>
        <v>9.2826583311543698E-2</v>
      </c>
      <c r="K265" s="3">
        <f t="shared" si="251"/>
        <v>9.282658331154077E-2</v>
      </c>
      <c r="L265" s="3">
        <f t="shared" si="251"/>
        <v>9.2826583311511557E-2</v>
      </c>
      <c r="M265" s="3">
        <f t="shared" si="251"/>
        <v>9.2826583311219416E-2</v>
      </c>
      <c r="N265" s="3">
        <f t="shared" si="251"/>
        <v>9.2826583308297975E-2</v>
      </c>
      <c r="O265" s="3">
        <f t="shared" si="251"/>
        <v>9.2826583279083622E-2</v>
      </c>
      <c r="P265" s="3">
        <f t="shared" si="251"/>
        <v>9.2826582986940021E-2</v>
      </c>
      <c r="Q265" s="3">
        <f t="shared" si="251"/>
        <v>9.2826580065504052E-2</v>
      </c>
      <c r="R265" s="3">
        <f t="shared" si="251"/>
        <v>9.2826550851149506E-2</v>
      </c>
      <c r="S265" s="3">
        <f t="shared" si="251"/>
        <v>9.2826258708109621E-2</v>
      </c>
      <c r="T265" s="3">
        <f t="shared" si="251"/>
        <v>9.282333732827909E-2</v>
      </c>
      <c r="U265" s="3">
        <f t="shared" si="251"/>
        <v>9.2794128586204533E-2</v>
      </c>
      <c r="V265" s="3">
        <f t="shared" si="251"/>
        <v>9.2502546200258176E-2</v>
      </c>
      <c r="W265" s="3">
        <f t="shared" si="251"/>
        <v>8.9636642644251363E-2</v>
      </c>
      <c r="X265" s="3">
        <f t="shared" si="251"/>
        <v>6.5434159120029117E-2</v>
      </c>
      <c r="Y265" s="3">
        <f t="shared" si="251"/>
        <v>2.8118617720266884E-3</v>
      </c>
      <c r="Z265" s="3">
        <f t="shared" si="251"/>
        <v>6.0379343164673197E-17</v>
      </c>
      <c r="AA265" s="3">
        <f t="shared" si="251"/>
        <v>1.2584401109022556E-153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0.10795546608785625</v>
      </c>
      <c r="C266" s="3">
        <f t="shared" si="252"/>
        <v>0.10795546608785625</v>
      </c>
      <c r="D266" s="3">
        <f t="shared" si="252"/>
        <v>0.10795546608785625</v>
      </c>
      <c r="E266" s="3">
        <f t="shared" si="252"/>
        <v>0.10795546608785625</v>
      </c>
      <c r="F266" s="3">
        <f t="shared" si="252"/>
        <v>0.10795546608785625</v>
      </c>
      <c r="G266" s="3">
        <f t="shared" si="252"/>
        <v>0.10795546608785625</v>
      </c>
      <c r="H266" s="3">
        <f t="shared" si="252"/>
        <v>0.10795546608785625</v>
      </c>
      <c r="I266" s="3">
        <f t="shared" si="252"/>
        <v>0.10795546608785625</v>
      </c>
      <c r="J266" s="3">
        <f t="shared" si="252"/>
        <v>0.10795546608785621</v>
      </c>
      <c r="K266" s="3">
        <f t="shared" si="252"/>
        <v>0.10795546608785592</v>
      </c>
      <c r="L266" s="3">
        <f t="shared" si="252"/>
        <v>0.10795546608785285</v>
      </c>
      <c r="M266" s="3">
        <f t="shared" si="252"/>
        <v>0.10795546608782219</v>
      </c>
      <c r="N266" s="3">
        <f t="shared" si="252"/>
        <v>0.1079554660875157</v>
      </c>
      <c r="O266" s="3">
        <f t="shared" si="252"/>
        <v>0.10795546608445081</v>
      </c>
      <c r="P266" s="3">
        <f t="shared" si="252"/>
        <v>0.10795546605380189</v>
      </c>
      <c r="Q266" s="3">
        <f t="shared" si="252"/>
        <v>0.10795546574731264</v>
      </c>
      <c r="R266" s="3">
        <f t="shared" si="252"/>
        <v>0.10795546268242023</v>
      </c>
      <c r="S266" s="3">
        <f t="shared" si="252"/>
        <v>0.1079554320335009</v>
      </c>
      <c r="T266" s="3">
        <f t="shared" si="252"/>
        <v>0.1079551255447862</v>
      </c>
      <c r="U266" s="3">
        <f t="shared" si="252"/>
        <v>0.10795206070549591</v>
      </c>
      <c r="V266" s="3">
        <f t="shared" si="252"/>
        <v>0.1079214170977684</v>
      </c>
      <c r="W266" s="3">
        <f t="shared" si="252"/>
        <v>0.10761545903574417</v>
      </c>
      <c r="X266" s="3">
        <f t="shared" si="252"/>
        <v>0.10460318160337724</v>
      </c>
      <c r="Y266" s="3">
        <f t="shared" si="252"/>
        <v>7.8749392300210844E-2</v>
      </c>
      <c r="Z266" s="3">
        <f t="shared" si="252"/>
        <v>4.6054320586650108E-3</v>
      </c>
      <c r="AA266" s="3">
        <f t="shared" si="252"/>
        <v>2.1552719009273924E-15</v>
      </c>
      <c r="AB266" s="3">
        <f t="shared" si="252"/>
        <v>1.0859727756183815E-138</v>
      </c>
      <c r="AC266" s="3">
        <f t="shared" si="252"/>
        <v>0</v>
      </c>
      <c r="AD266" s="3">
        <f t="shared" si="252"/>
        <v>0</v>
      </c>
      <c r="AE266" s="3">
        <f t="shared" si="252"/>
        <v>0</v>
      </c>
      <c r="AF266" s="3">
        <f t="shared" si="252"/>
        <v>0</v>
      </c>
      <c r="AG266" s="3"/>
      <c r="AH266" s="3"/>
    </row>
    <row r="267" spans="2:34" x14ac:dyDescent="0.25">
      <c r="B267" s="3">
        <f t="shared" ref="B267:AF267" si="253">$C36*EXP(-B$246/$A36/EXP(-$E$126))</f>
        <v>0.11222824358997255</v>
      </c>
      <c r="C267" s="3">
        <f t="shared" si="253"/>
        <v>0.11222824358997255</v>
      </c>
      <c r="D267" s="3">
        <f t="shared" si="253"/>
        <v>0.11222824358997255</v>
      </c>
      <c r="E267" s="3">
        <f t="shared" si="253"/>
        <v>0.11222824358997255</v>
      </c>
      <c r="F267" s="3">
        <f t="shared" si="253"/>
        <v>0.11222824358997255</v>
      </c>
      <c r="G267" s="3">
        <f t="shared" si="253"/>
        <v>0.11222824358997255</v>
      </c>
      <c r="H267" s="3">
        <f t="shared" si="253"/>
        <v>0.11222824358997255</v>
      </c>
      <c r="I267" s="3">
        <f t="shared" si="253"/>
        <v>0.11222824358997255</v>
      </c>
      <c r="J267" s="3">
        <f t="shared" si="253"/>
        <v>0.11222824358997255</v>
      </c>
      <c r="K267" s="3">
        <f t="shared" si="253"/>
        <v>0.11222824358997251</v>
      </c>
      <c r="L267" s="3">
        <f t="shared" si="253"/>
        <v>0.11222824358997223</v>
      </c>
      <c r="M267" s="3">
        <f t="shared" si="253"/>
        <v>0.11222824358996936</v>
      </c>
      <c r="N267" s="3">
        <f t="shared" si="253"/>
        <v>0.11222824358994062</v>
      </c>
      <c r="O267" s="3">
        <f t="shared" si="253"/>
        <v>0.11222824358965319</v>
      </c>
      <c r="P267" s="3">
        <f t="shared" si="253"/>
        <v>0.11222824358677898</v>
      </c>
      <c r="Q267" s="3">
        <f t="shared" si="253"/>
        <v>0.11222824355803682</v>
      </c>
      <c r="R267" s="3">
        <f t="shared" si="253"/>
        <v>0.11222824327061524</v>
      </c>
      <c r="S267" s="3">
        <f t="shared" si="253"/>
        <v>0.11222824039639957</v>
      </c>
      <c r="T267" s="3">
        <f t="shared" si="253"/>
        <v>0.11222821165424678</v>
      </c>
      <c r="U267" s="3">
        <f t="shared" si="253"/>
        <v>0.11222792423312375</v>
      </c>
      <c r="V267" s="3">
        <f t="shared" si="253"/>
        <v>0.11222505006237864</v>
      </c>
      <c r="W267" s="3">
        <f t="shared" si="253"/>
        <v>0.11219631240304871</v>
      </c>
      <c r="X267" s="3">
        <f t="shared" si="253"/>
        <v>0.1119093402385517</v>
      </c>
      <c r="Y267" s="3">
        <f t="shared" si="253"/>
        <v>0.10907968085362107</v>
      </c>
      <c r="Z267" s="3">
        <f t="shared" si="253"/>
        <v>8.4434335738059835E-2</v>
      </c>
      <c r="AA267" s="3">
        <f t="shared" si="253"/>
        <v>6.5203576115227405E-3</v>
      </c>
      <c r="AB267" s="3">
        <f t="shared" si="253"/>
        <v>4.9180694726919818E-14</v>
      </c>
      <c r="AC267" s="3">
        <f t="shared" si="253"/>
        <v>2.9310761246775785E-125</v>
      </c>
      <c r="AD267" s="3">
        <f t="shared" si="253"/>
        <v>0</v>
      </c>
      <c r="AE267" s="3">
        <f t="shared" si="253"/>
        <v>0</v>
      </c>
      <c r="AF267" s="3">
        <f t="shared" si="253"/>
        <v>0</v>
      </c>
      <c r="AG267" s="3"/>
      <c r="AH267" s="3"/>
    </row>
    <row r="268" spans="2:34" x14ac:dyDescent="0.25">
      <c r="B268" s="3">
        <f t="shared" ref="B268:AF268" si="254">$C37*EXP(-B$246/$A37/EXP(-$E$126))</f>
        <v>8.9690702482137605E-2</v>
      </c>
      <c r="C268" s="3">
        <f t="shared" si="254"/>
        <v>8.9690702482137605E-2</v>
      </c>
      <c r="D268" s="3">
        <f t="shared" si="254"/>
        <v>8.9690702482137605E-2</v>
      </c>
      <c r="E268" s="3">
        <f t="shared" si="254"/>
        <v>8.9690702482137605E-2</v>
      </c>
      <c r="F268" s="3">
        <f t="shared" si="254"/>
        <v>8.9690702482137605E-2</v>
      </c>
      <c r="G268" s="3">
        <f t="shared" si="254"/>
        <v>8.9690702482137605E-2</v>
      </c>
      <c r="H268" s="3">
        <f t="shared" si="254"/>
        <v>8.9690702482137605E-2</v>
      </c>
      <c r="I268" s="3">
        <f t="shared" si="254"/>
        <v>8.9690702482137605E-2</v>
      </c>
      <c r="J268" s="3">
        <f t="shared" si="254"/>
        <v>8.9690702482137605E-2</v>
      </c>
      <c r="K268" s="3">
        <f t="shared" si="254"/>
        <v>8.9690702482137605E-2</v>
      </c>
      <c r="L268" s="3">
        <f t="shared" si="254"/>
        <v>8.9690702482137591E-2</v>
      </c>
      <c r="M268" s="3">
        <f t="shared" si="254"/>
        <v>8.9690702482137369E-2</v>
      </c>
      <c r="N268" s="3">
        <f t="shared" si="254"/>
        <v>8.9690702482135301E-2</v>
      </c>
      <c r="O268" s="3">
        <f t="shared" si="254"/>
        <v>8.9690702482114582E-2</v>
      </c>
      <c r="P268" s="3">
        <f t="shared" si="254"/>
        <v>8.9690702481907372E-2</v>
      </c>
      <c r="Q268" s="3">
        <f t="shared" si="254"/>
        <v>8.9690702479835266E-2</v>
      </c>
      <c r="R268" s="3">
        <f t="shared" si="254"/>
        <v>8.9690702459114244E-2</v>
      </c>
      <c r="S268" s="3">
        <f t="shared" si="254"/>
        <v>8.9690702251904009E-2</v>
      </c>
      <c r="T268" s="3">
        <f t="shared" si="254"/>
        <v>8.9690700179801644E-2</v>
      </c>
      <c r="U268" s="3">
        <f t="shared" si="254"/>
        <v>8.9690679458780662E-2</v>
      </c>
      <c r="V268" s="3">
        <f t="shared" si="254"/>
        <v>8.969047224883403E-2</v>
      </c>
      <c r="W268" s="3">
        <f t="shared" si="254"/>
        <v>8.9688400175696792E-2</v>
      </c>
      <c r="X268" s="3">
        <f t="shared" si="254"/>
        <v>8.9667682076994423E-2</v>
      </c>
      <c r="Y268" s="3">
        <f t="shared" si="254"/>
        <v>8.9460764132078138E-2</v>
      </c>
      <c r="Z268" s="3">
        <f t="shared" si="254"/>
        <v>8.741766542747767E-2</v>
      </c>
      <c r="AA268" s="3">
        <f t="shared" si="254"/>
        <v>6.938493898306515E-2</v>
      </c>
      <c r="AB268" s="3">
        <f t="shared" si="254"/>
        <v>6.8853382006745407E-3</v>
      </c>
      <c r="AC268" s="3">
        <f t="shared" si="254"/>
        <v>6.3756716447510753E-13</v>
      </c>
      <c r="AD268" s="3">
        <f t="shared" si="254"/>
        <v>2.9548306316895147E-113</v>
      </c>
      <c r="AE268" s="3">
        <f t="shared" si="254"/>
        <v>0</v>
      </c>
      <c r="AF268" s="3">
        <f t="shared" si="254"/>
        <v>0</v>
      </c>
      <c r="AG268" s="3"/>
      <c r="AH268" s="3"/>
    </row>
    <row r="269" spans="2:34" x14ac:dyDescent="0.25">
      <c r="B269" s="3">
        <f t="shared" ref="B269:AF269" si="255">$C38*EXP(-B$246/$A38/EXP(-$E$126))</f>
        <v>3.260199419264094E-2</v>
      </c>
      <c r="C269" s="3">
        <f t="shared" si="255"/>
        <v>3.260199419264094E-2</v>
      </c>
      <c r="D269" s="3">
        <f t="shared" si="255"/>
        <v>3.260199419264094E-2</v>
      </c>
      <c r="E269" s="3">
        <f t="shared" si="255"/>
        <v>3.260199419264094E-2</v>
      </c>
      <c r="F269" s="3">
        <f t="shared" si="255"/>
        <v>3.260199419264094E-2</v>
      </c>
      <c r="G269" s="3">
        <f t="shared" si="255"/>
        <v>3.260199419264094E-2</v>
      </c>
      <c r="H269" s="3">
        <f t="shared" si="255"/>
        <v>3.260199419264094E-2</v>
      </c>
      <c r="I269" s="3">
        <f t="shared" si="255"/>
        <v>3.260199419264094E-2</v>
      </c>
      <c r="J269" s="3">
        <f t="shared" si="255"/>
        <v>3.260199419264094E-2</v>
      </c>
      <c r="K269" s="3">
        <f t="shared" si="255"/>
        <v>3.260199419264094E-2</v>
      </c>
      <c r="L269" s="3">
        <f t="shared" si="255"/>
        <v>3.260199419264094E-2</v>
      </c>
      <c r="M269" s="3">
        <f t="shared" si="255"/>
        <v>3.2601994192640933E-2</v>
      </c>
      <c r="N269" s="3">
        <f t="shared" si="255"/>
        <v>3.2601994192640864E-2</v>
      </c>
      <c r="O269" s="3">
        <f t="shared" si="255"/>
        <v>3.2601994192640184E-2</v>
      </c>
      <c r="P269" s="3">
        <f t="shared" si="255"/>
        <v>3.2601994192633391E-2</v>
      </c>
      <c r="Q269" s="3">
        <f t="shared" si="255"/>
        <v>3.2601994192565445E-2</v>
      </c>
      <c r="R269" s="3">
        <f t="shared" si="255"/>
        <v>3.2601994191886002E-2</v>
      </c>
      <c r="S269" s="3">
        <f t="shared" si="255"/>
        <v>3.2601994185091548E-2</v>
      </c>
      <c r="T269" s="3">
        <f t="shared" si="255"/>
        <v>3.260199411714701E-2</v>
      </c>
      <c r="U269" s="3">
        <f t="shared" si="255"/>
        <v>3.2601993437701648E-2</v>
      </c>
      <c r="V269" s="3">
        <f t="shared" si="255"/>
        <v>3.2601986643248822E-2</v>
      </c>
      <c r="W269" s="3">
        <f t="shared" si="255"/>
        <v>3.2601918698798422E-2</v>
      </c>
      <c r="X269" s="3">
        <f t="shared" si="255"/>
        <v>3.2601239262082395E-2</v>
      </c>
      <c r="Y269" s="3">
        <f t="shared" si="255"/>
        <v>3.2594445673658407E-2</v>
      </c>
      <c r="Z269" s="3">
        <f t="shared" si="255"/>
        <v>3.2526587603030101E-2</v>
      </c>
      <c r="AA269" s="3">
        <f t="shared" si="255"/>
        <v>3.1855728588662459E-2</v>
      </c>
      <c r="AB269" s="3">
        <f t="shared" si="255"/>
        <v>2.5862942455474526E-2</v>
      </c>
      <c r="AC269" s="3">
        <f t="shared" si="255"/>
        <v>3.2179689082162343E-3</v>
      </c>
      <c r="AD269" s="3">
        <f t="shared" si="255"/>
        <v>2.8616791883678743E-12</v>
      </c>
      <c r="AE269" s="3">
        <f t="shared" si="255"/>
        <v>8.8513998427566166E-103</v>
      </c>
      <c r="AF269" s="3">
        <f t="shared" si="255"/>
        <v>0</v>
      </c>
      <c r="AG269" s="3"/>
      <c r="AH269" s="3"/>
    </row>
    <row r="270" spans="2:34" x14ac:dyDescent="0.25">
      <c r="B270" s="3">
        <f t="shared" ref="B270:AF270" si="256">$C39*EXP(-B$246/$A39/EXP(-$E$126))</f>
        <v>3.3353536546241076E-2</v>
      </c>
      <c r="C270" s="3">
        <f t="shared" si="256"/>
        <v>3.3353536546241076E-2</v>
      </c>
      <c r="D270" s="3">
        <f t="shared" si="256"/>
        <v>3.3353536546241076E-2</v>
      </c>
      <c r="E270" s="3">
        <f t="shared" si="256"/>
        <v>3.3353536546241076E-2</v>
      </c>
      <c r="F270" s="3">
        <f t="shared" si="256"/>
        <v>3.3353536546241076E-2</v>
      </c>
      <c r="G270" s="3">
        <f t="shared" si="256"/>
        <v>3.3353536546241076E-2</v>
      </c>
      <c r="H270" s="3">
        <f t="shared" si="256"/>
        <v>3.3353536546241076E-2</v>
      </c>
      <c r="I270" s="3">
        <f t="shared" si="256"/>
        <v>3.3353536546241076E-2</v>
      </c>
      <c r="J270" s="3">
        <f t="shared" si="256"/>
        <v>3.3353536546241076E-2</v>
      </c>
      <c r="K270" s="3">
        <f t="shared" si="256"/>
        <v>3.3353536546241076E-2</v>
      </c>
      <c r="L270" s="3">
        <f t="shared" si="256"/>
        <v>3.3353536546241076E-2</v>
      </c>
      <c r="M270" s="3">
        <f t="shared" si="256"/>
        <v>3.3353536546241069E-2</v>
      </c>
      <c r="N270" s="3">
        <f t="shared" si="256"/>
        <v>3.3353536546241055E-2</v>
      </c>
      <c r="O270" s="3">
        <f t="shared" si="256"/>
        <v>3.3353536546240861E-2</v>
      </c>
      <c r="P270" s="3">
        <f t="shared" si="256"/>
        <v>3.3353536546238939E-2</v>
      </c>
      <c r="Q270" s="3">
        <f t="shared" si="256"/>
        <v>3.3353536546219711E-2</v>
      </c>
      <c r="R270" s="3">
        <f t="shared" si="256"/>
        <v>3.3353536546027462E-2</v>
      </c>
      <c r="S270" s="3">
        <f t="shared" si="256"/>
        <v>3.3353536544104972E-2</v>
      </c>
      <c r="T270" s="3">
        <f t="shared" si="256"/>
        <v>3.3353536524880024E-2</v>
      </c>
      <c r="U270" s="3">
        <f t="shared" si="256"/>
        <v>3.3353536332630565E-2</v>
      </c>
      <c r="V270" s="3">
        <f t="shared" si="256"/>
        <v>3.3353534410136033E-2</v>
      </c>
      <c r="W270" s="3">
        <f t="shared" si="256"/>
        <v>3.3353515185196789E-2</v>
      </c>
      <c r="X270" s="3">
        <f t="shared" si="256"/>
        <v>3.3353322936413791E-2</v>
      </c>
      <c r="Y270" s="3">
        <f t="shared" si="256"/>
        <v>3.3351400509529214E-2</v>
      </c>
      <c r="Z270" s="3">
        <f t="shared" si="256"/>
        <v>3.3332182333921608E-2</v>
      </c>
      <c r="AA270" s="3">
        <f t="shared" si="256"/>
        <v>3.3140608604167468E-2</v>
      </c>
      <c r="AB270" s="3">
        <f t="shared" si="256"/>
        <v>3.1284396965602569E-2</v>
      </c>
      <c r="AC270" s="3">
        <f t="shared" si="256"/>
        <v>1.7579271400083134E-2</v>
      </c>
      <c r="AD270" s="3">
        <f t="shared" si="256"/>
        <v>5.5173648322129667E-5</v>
      </c>
      <c r="AE270" s="3">
        <f t="shared" si="256"/>
        <v>5.1172898276511662E-30</v>
      </c>
      <c r="AF270" s="3">
        <f t="shared" si="256"/>
        <v>2.4105888257811457E-280</v>
      </c>
      <c r="AG270" s="3"/>
      <c r="AH270" s="3"/>
    </row>
    <row r="271" spans="2:34" x14ac:dyDescent="0.25">
      <c r="B271" s="3">
        <f t="shared" ref="B271:AF271" si="257">$C40*EXP(-B$246/$A40/EXP(-$E$126))</f>
        <v>1.7436587013509221E-2</v>
      </c>
      <c r="C271" s="3">
        <f t="shared" si="257"/>
        <v>1.7436587013509221E-2</v>
      </c>
      <c r="D271" s="3">
        <f t="shared" si="257"/>
        <v>1.7436587013509221E-2</v>
      </c>
      <c r="E271" s="3">
        <f t="shared" si="257"/>
        <v>1.7436587013509221E-2</v>
      </c>
      <c r="F271" s="3">
        <f t="shared" si="257"/>
        <v>1.7436587013509221E-2</v>
      </c>
      <c r="G271" s="3">
        <f t="shared" si="257"/>
        <v>1.7436587013509221E-2</v>
      </c>
      <c r="H271" s="3">
        <f t="shared" si="257"/>
        <v>1.7436587013509221E-2</v>
      </c>
      <c r="I271" s="3">
        <f t="shared" si="257"/>
        <v>1.7436587013509221E-2</v>
      </c>
      <c r="J271" s="3">
        <f t="shared" si="257"/>
        <v>1.7436587013509221E-2</v>
      </c>
      <c r="K271" s="3">
        <f t="shared" si="257"/>
        <v>1.7436587013509221E-2</v>
      </c>
      <c r="L271" s="3">
        <f t="shared" si="257"/>
        <v>1.7436587013509221E-2</v>
      </c>
      <c r="M271" s="3">
        <f t="shared" si="257"/>
        <v>1.7436587013509221E-2</v>
      </c>
      <c r="N271" s="3">
        <f t="shared" si="257"/>
        <v>1.7436587013509218E-2</v>
      </c>
      <c r="O271" s="3">
        <f t="shared" si="257"/>
        <v>1.7436587013509211E-2</v>
      </c>
      <c r="P271" s="3">
        <f t="shared" si="257"/>
        <v>1.743658701350911E-2</v>
      </c>
      <c r="Q271" s="3">
        <f t="shared" si="257"/>
        <v>1.7436587013508104E-2</v>
      </c>
      <c r="R271" s="3">
        <f t="shared" si="257"/>
        <v>1.7436587013498053E-2</v>
      </c>
      <c r="S271" s="3">
        <f t="shared" si="257"/>
        <v>1.743658701339755E-2</v>
      </c>
      <c r="T271" s="3">
        <f t="shared" si="257"/>
        <v>1.7436587012392507E-2</v>
      </c>
      <c r="U271" s="3">
        <f t="shared" si="257"/>
        <v>1.7436587002342074E-2</v>
      </c>
      <c r="V271" s="3">
        <f t="shared" si="257"/>
        <v>1.7436586901837758E-2</v>
      </c>
      <c r="W271" s="3">
        <f t="shared" si="257"/>
        <v>1.7436585896794615E-2</v>
      </c>
      <c r="X271" s="3">
        <f t="shared" si="257"/>
        <v>1.7436575846366362E-2</v>
      </c>
      <c r="Y271" s="3">
        <f t="shared" si="257"/>
        <v>1.7436475342402464E-2</v>
      </c>
      <c r="Z271" s="3">
        <f t="shared" si="257"/>
        <v>1.7435470334624548E-2</v>
      </c>
      <c r="AA271" s="3">
        <f t="shared" si="257"/>
        <v>1.7425423442273016E-2</v>
      </c>
      <c r="AB271" s="3">
        <f t="shared" si="257"/>
        <v>1.732527238321727E-2</v>
      </c>
      <c r="AC271" s="3">
        <f t="shared" si="257"/>
        <v>1.6354880661594184E-2</v>
      </c>
      <c r="AD271" s="3">
        <f t="shared" si="257"/>
        <v>9.1901047727482605E-3</v>
      </c>
      <c r="AE271" s="3">
        <f t="shared" si="257"/>
        <v>2.8843721519239986E-5</v>
      </c>
      <c r="AF271" s="3">
        <f t="shared" si="257"/>
        <v>2.675220639031189E-30</v>
      </c>
      <c r="AG271" s="3"/>
      <c r="AH271" s="3"/>
    </row>
    <row r="272" spans="2:34" x14ac:dyDescent="0.25">
      <c r="B272" s="3">
        <f t="shared" ref="B272:AF272" si="258">$C41*EXP(-B$246/$A41/EXP(-$E$126))</f>
        <v>4.7217849635186409E-4</v>
      </c>
      <c r="C272" s="3">
        <f t="shared" si="258"/>
        <v>4.7217849635186409E-4</v>
      </c>
      <c r="D272" s="3">
        <f t="shared" si="258"/>
        <v>4.7217849635186409E-4</v>
      </c>
      <c r="E272" s="3">
        <f t="shared" si="258"/>
        <v>4.7217849635186409E-4</v>
      </c>
      <c r="F272" s="3">
        <f t="shared" si="258"/>
        <v>4.7217849635186409E-4</v>
      </c>
      <c r="G272" s="3">
        <f t="shared" si="258"/>
        <v>4.7217849635186409E-4</v>
      </c>
      <c r="H272" s="3">
        <f t="shared" si="258"/>
        <v>4.7217849635186409E-4</v>
      </c>
      <c r="I272" s="3">
        <f t="shared" si="258"/>
        <v>4.7217849635186409E-4</v>
      </c>
      <c r="J272" s="3">
        <f t="shared" si="258"/>
        <v>4.7217849635186409E-4</v>
      </c>
      <c r="K272" s="3">
        <f t="shared" si="258"/>
        <v>4.7217849635186409E-4</v>
      </c>
      <c r="L272" s="3">
        <f t="shared" si="258"/>
        <v>4.7217849635186409E-4</v>
      </c>
      <c r="M272" s="3">
        <f t="shared" si="258"/>
        <v>4.7217849635186409E-4</v>
      </c>
      <c r="N272" s="3">
        <f t="shared" si="258"/>
        <v>4.7217849635186409E-4</v>
      </c>
      <c r="O272" s="3">
        <f t="shared" si="258"/>
        <v>4.7217849635186403E-4</v>
      </c>
      <c r="P272" s="3">
        <f t="shared" si="258"/>
        <v>4.7217849635186376E-4</v>
      </c>
      <c r="Q272" s="3">
        <f t="shared" si="258"/>
        <v>4.7217849635186105E-4</v>
      </c>
      <c r="R272" s="3">
        <f t="shared" si="258"/>
        <v>4.7217849635183384E-4</v>
      </c>
      <c r="S272" s="3">
        <f t="shared" si="258"/>
        <v>4.7217849635156165E-4</v>
      </c>
      <c r="T272" s="3">
        <f t="shared" si="258"/>
        <v>4.7217849634884003E-4</v>
      </c>
      <c r="U272" s="3">
        <f t="shared" si="258"/>
        <v>4.7217849632162374E-4</v>
      </c>
      <c r="V272" s="3">
        <f t="shared" si="258"/>
        <v>4.7217849604946048E-4</v>
      </c>
      <c r="W272" s="3">
        <f t="shared" si="258"/>
        <v>4.7217849332782826E-4</v>
      </c>
      <c r="X272" s="3">
        <f t="shared" si="258"/>
        <v>4.7217846611150661E-4</v>
      </c>
      <c r="Y272" s="3">
        <f t="shared" si="258"/>
        <v>4.7217819394837658E-4</v>
      </c>
      <c r="Z272" s="3">
        <f t="shared" si="258"/>
        <v>4.721754723257038E-4</v>
      </c>
      <c r="AA272" s="3">
        <f t="shared" si="258"/>
        <v>4.7214825696176641E-4</v>
      </c>
      <c r="AB272" s="3">
        <f t="shared" si="258"/>
        <v>4.7187618958299094E-4</v>
      </c>
      <c r="AC272" s="3">
        <f t="shared" si="258"/>
        <v>4.6916412348677901E-4</v>
      </c>
      <c r="AD272" s="3">
        <f t="shared" si="258"/>
        <v>4.4288615385698328E-4</v>
      </c>
      <c r="AE272" s="3">
        <f t="shared" si="258"/>
        <v>2.4886578144853579E-4</v>
      </c>
      <c r="AF272" s="3">
        <f t="shared" si="258"/>
        <v>7.8108089877880612E-7</v>
      </c>
      <c r="AG272" s="3"/>
      <c r="AH272" s="3"/>
    </row>
    <row r="273" spans="1:34" x14ac:dyDescent="0.25">
      <c r="B273" s="3">
        <f t="shared" ref="B273:AF273" si="259">$C42*EXP(-B$246/$A42/EXP(-$E$126))</f>
        <v>3.9532606595692786E-3</v>
      </c>
      <c r="C273" s="3">
        <f t="shared" si="259"/>
        <v>3.9532606595692786E-3</v>
      </c>
      <c r="D273" s="3">
        <f t="shared" si="259"/>
        <v>3.9532606595692786E-3</v>
      </c>
      <c r="E273" s="3">
        <f t="shared" si="259"/>
        <v>3.9532606595692786E-3</v>
      </c>
      <c r="F273" s="3">
        <f t="shared" si="259"/>
        <v>3.9532606595692786E-3</v>
      </c>
      <c r="G273" s="3">
        <f t="shared" si="259"/>
        <v>3.9532606595692786E-3</v>
      </c>
      <c r="H273" s="3">
        <f t="shared" si="259"/>
        <v>3.9532606595692786E-3</v>
      </c>
      <c r="I273" s="3">
        <f t="shared" si="259"/>
        <v>3.9532606595692786E-3</v>
      </c>
      <c r="J273" s="3">
        <f t="shared" si="259"/>
        <v>3.9532606595692786E-3</v>
      </c>
      <c r="K273" s="3">
        <f t="shared" si="259"/>
        <v>3.9532606595692786E-3</v>
      </c>
      <c r="L273" s="3">
        <f t="shared" si="259"/>
        <v>3.9532606595692786E-3</v>
      </c>
      <c r="M273" s="3">
        <f t="shared" si="259"/>
        <v>3.9532606595692786E-3</v>
      </c>
      <c r="N273" s="3">
        <f t="shared" si="259"/>
        <v>3.9532606595692786E-3</v>
      </c>
      <c r="O273" s="3">
        <f t="shared" si="259"/>
        <v>3.9532606595692786E-3</v>
      </c>
      <c r="P273" s="3">
        <f t="shared" si="259"/>
        <v>3.9532606595692778E-3</v>
      </c>
      <c r="Q273" s="3">
        <f t="shared" si="259"/>
        <v>3.953260659569276E-3</v>
      </c>
      <c r="R273" s="3">
        <f t="shared" si="259"/>
        <v>3.9532606595692535E-3</v>
      </c>
      <c r="S273" s="3">
        <f t="shared" si="259"/>
        <v>3.9532606595690254E-3</v>
      </c>
      <c r="T273" s="3">
        <f t="shared" si="259"/>
        <v>3.9532606595667468E-3</v>
      </c>
      <c r="U273" s="3">
        <f t="shared" si="259"/>
        <v>3.9532606595439604E-3</v>
      </c>
      <c r="V273" s="3">
        <f t="shared" si="259"/>
        <v>3.9532606593160949E-3</v>
      </c>
      <c r="W273" s="3">
        <f t="shared" si="259"/>
        <v>3.9532606570374393E-3</v>
      </c>
      <c r="X273" s="3">
        <f t="shared" si="259"/>
        <v>3.9532606342508828E-3</v>
      </c>
      <c r="Y273" s="3">
        <f t="shared" si="259"/>
        <v>3.9532604063853317E-3</v>
      </c>
      <c r="Z273" s="3">
        <f t="shared" si="259"/>
        <v>3.9532581277305356E-3</v>
      </c>
      <c r="AA273" s="3">
        <f t="shared" si="259"/>
        <v>3.9532353412548163E-3</v>
      </c>
      <c r="AB273" s="3">
        <f t="shared" si="259"/>
        <v>3.9530074837212338E-3</v>
      </c>
      <c r="AC273" s="3">
        <f t="shared" si="259"/>
        <v>3.9507296305924377E-3</v>
      </c>
      <c r="AD273" s="3">
        <f t="shared" si="259"/>
        <v>3.9280231662211403E-3</v>
      </c>
      <c r="AE273" s="3">
        <f t="shared" si="259"/>
        <v>3.7080138596698011E-3</v>
      </c>
      <c r="AF273" s="3">
        <f t="shared" si="259"/>
        <v>2.0836003988210392E-3</v>
      </c>
      <c r="AG273" s="3"/>
      <c r="AH273" s="3"/>
    </row>
    <row r="274" spans="1:34" x14ac:dyDescent="0.25">
      <c r="B274" s="3">
        <f t="shared" ref="B274:AF274" si="260">$C43*EXP(-B$246/$A43/EXP(-$E$126))</f>
        <v>4.2057154474780992E-7</v>
      </c>
      <c r="C274" s="3">
        <f t="shared" si="260"/>
        <v>4.2057154474780992E-7</v>
      </c>
      <c r="D274" s="3">
        <f t="shared" si="260"/>
        <v>4.2057154474780992E-7</v>
      </c>
      <c r="E274" s="3">
        <f t="shared" si="260"/>
        <v>4.2057154474780992E-7</v>
      </c>
      <c r="F274" s="3">
        <f t="shared" si="260"/>
        <v>4.2057154474780992E-7</v>
      </c>
      <c r="G274" s="3">
        <f t="shared" si="260"/>
        <v>4.2057154474780992E-7</v>
      </c>
      <c r="H274" s="3">
        <f t="shared" si="260"/>
        <v>4.2057154474780992E-7</v>
      </c>
      <c r="I274" s="3">
        <f t="shared" si="260"/>
        <v>4.2057154474780992E-7</v>
      </c>
      <c r="J274" s="3">
        <f t="shared" si="260"/>
        <v>4.2057154474780992E-7</v>
      </c>
      <c r="K274" s="3">
        <f t="shared" si="260"/>
        <v>4.2057154474780992E-7</v>
      </c>
      <c r="L274" s="3">
        <f t="shared" si="260"/>
        <v>4.2057154474780992E-7</v>
      </c>
      <c r="M274" s="3">
        <f t="shared" si="260"/>
        <v>4.2057154474780992E-7</v>
      </c>
      <c r="N274" s="3">
        <f t="shared" si="260"/>
        <v>4.2057154474780992E-7</v>
      </c>
      <c r="O274" s="3">
        <f t="shared" si="260"/>
        <v>4.2057154474780992E-7</v>
      </c>
      <c r="P274" s="3">
        <f t="shared" si="260"/>
        <v>4.2057154474780992E-7</v>
      </c>
      <c r="Q274" s="3">
        <f t="shared" si="260"/>
        <v>4.2057154474780987E-7</v>
      </c>
      <c r="R274" s="3">
        <f t="shared" si="260"/>
        <v>4.2057154474780966E-7</v>
      </c>
      <c r="S274" s="3">
        <f t="shared" si="260"/>
        <v>4.2057154474780722E-7</v>
      </c>
      <c r="T274" s="3">
        <f t="shared" si="260"/>
        <v>4.2057154474778298E-7</v>
      </c>
      <c r="U274" s="3">
        <f t="shared" si="260"/>
        <v>4.2057154474754057E-7</v>
      </c>
      <c r="V274" s="3">
        <f t="shared" si="260"/>
        <v>4.2057154474511641E-7</v>
      </c>
      <c r="W274" s="3">
        <f t="shared" si="260"/>
        <v>4.205715447208747E-7</v>
      </c>
      <c r="X274" s="3">
        <f t="shared" si="260"/>
        <v>4.2057154447845768E-7</v>
      </c>
      <c r="Y274" s="3">
        <f t="shared" si="260"/>
        <v>4.2057154205428734E-7</v>
      </c>
      <c r="Z274" s="3">
        <f t="shared" si="260"/>
        <v>4.2057151781258535E-7</v>
      </c>
      <c r="AA274" s="3">
        <f t="shared" si="260"/>
        <v>4.205712753956415E-7</v>
      </c>
      <c r="AB274" s="3">
        <f t="shared" si="260"/>
        <v>4.205688512338879E-7</v>
      </c>
      <c r="AC274" s="3">
        <f t="shared" si="260"/>
        <v>4.2054461038484368E-7</v>
      </c>
      <c r="AD274" s="3">
        <f t="shared" si="260"/>
        <v>4.2030227872711011E-7</v>
      </c>
      <c r="AE274" s="3">
        <f t="shared" si="260"/>
        <v>4.1788662905997225E-7</v>
      </c>
      <c r="AF274" s="3">
        <f t="shared" si="260"/>
        <v>3.9448072140973582E-7</v>
      </c>
      <c r="AG274" s="3"/>
      <c r="AH274" s="3"/>
    </row>
    <row r="275" spans="1:34" x14ac:dyDescent="0.25">
      <c r="B275" s="3">
        <f t="shared" ref="B275:AF275" si="261">$C44*EXP(-B$246/$A44/EXP(-$E$126))</f>
        <v>1.8675724725031384E-5</v>
      </c>
      <c r="C275" s="3">
        <f t="shared" si="261"/>
        <v>1.8675724725031384E-5</v>
      </c>
      <c r="D275" s="3">
        <f t="shared" si="261"/>
        <v>1.8675724725031384E-5</v>
      </c>
      <c r="E275" s="3">
        <f t="shared" si="261"/>
        <v>1.8675724725031384E-5</v>
      </c>
      <c r="F275" s="3">
        <f t="shared" si="261"/>
        <v>1.8675724725031384E-5</v>
      </c>
      <c r="G275" s="3">
        <f t="shared" si="261"/>
        <v>1.8675724725031384E-5</v>
      </c>
      <c r="H275" s="3">
        <f t="shared" si="261"/>
        <v>1.8675724725031384E-5</v>
      </c>
      <c r="I275" s="3">
        <f t="shared" si="261"/>
        <v>1.8675724725031384E-5</v>
      </c>
      <c r="J275" s="3">
        <f t="shared" si="261"/>
        <v>1.8675724725031384E-5</v>
      </c>
      <c r="K275" s="3">
        <f t="shared" si="261"/>
        <v>1.8675724725031384E-5</v>
      </c>
      <c r="L275" s="3">
        <f t="shared" si="261"/>
        <v>1.8675724725031384E-5</v>
      </c>
      <c r="M275" s="3">
        <f t="shared" si="261"/>
        <v>1.8675724725031384E-5</v>
      </c>
      <c r="N275" s="3">
        <f t="shared" si="261"/>
        <v>1.8675724725031384E-5</v>
      </c>
      <c r="O275" s="3">
        <f t="shared" si="261"/>
        <v>1.8675724725031384E-5</v>
      </c>
      <c r="P275" s="3">
        <f t="shared" si="261"/>
        <v>1.8675724725031384E-5</v>
      </c>
      <c r="Q275" s="3">
        <f t="shared" si="261"/>
        <v>1.8675724725031384E-5</v>
      </c>
      <c r="R275" s="3">
        <f t="shared" si="261"/>
        <v>1.867572472503138E-5</v>
      </c>
      <c r="S275" s="3">
        <f t="shared" si="261"/>
        <v>1.867572472503137E-5</v>
      </c>
      <c r="T275" s="3">
        <f t="shared" si="261"/>
        <v>1.8675724725031265E-5</v>
      </c>
      <c r="U275" s="3">
        <f t="shared" si="261"/>
        <v>1.8675724725030188E-5</v>
      </c>
      <c r="V275" s="3">
        <f t="shared" si="261"/>
        <v>1.8675724725019424E-5</v>
      </c>
      <c r="W275" s="3">
        <f t="shared" si="261"/>
        <v>1.8675724724911776E-5</v>
      </c>
      <c r="X275" s="3">
        <f t="shared" si="261"/>
        <v>1.8675724723835309E-5</v>
      </c>
      <c r="Y275" s="3">
        <f t="shared" si="261"/>
        <v>1.8675724713070638E-5</v>
      </c>
      <c r="Z275" s="3">
        <f t="shared" si="261"/>
        <v>1.8675724605423945E-5</v>
      </c>
      <c r="AA275" s="3">
        <f t="shared" si="261"/>
        <v>1.8675723528957027E-5</v>
      </c>
      <c r="AB275" s="3">
        <f t="shared" si="261"/>
        <v>1.8675712764291256E-5</v>
      </c>
      <c r="AC275" s="3">
        <f t="shared" si="261"/>
        <v>1.8675605117974801E-5</v>
      </c>
      <c r="AD275" s="3">
        <f t="shared" si="261"/>
        <v>1.8674528688935544E-5</v>
      </c>
      <c r="AE275" s="3">
        <f t="shared" si="261"/>
        <v>1.8663767810344229E-5</v>
      </c>
      <c r="AF275" s="3">
        <f t="shared" si="261"/>
        <v>1.8556499478049822E-5</v>
      </c>
      <c r="AG275" s="3"/>
      <c r="AH275" s="3"/>
    </row>
    <row r="276" spans="1:34" x14ac:dyDescent="0.25">
      <c r="B276" s="3">
        <f t="shared" ref="B276:AF276" si="262">$C45*EXP(-B$246/$A45/EXP(-$E$126))</f>
        <v>6.5581020384023116E-8</v>
      </c>
      <c r="C276" s="3">
        <f t="shared" si="262"/>
        <v>6.5581020384023116E-8</v>
      </c>
      <c r="D276" s="3">
        <f t="shared" si="262"/>
        <v>6.5581020384023116E-8</v>
      </c>
      <c r="E276" s="3">
        <f t="shared" si="262"/>
        <v>6.5581020384023116E-8</v>
      </c>
      <c r="F276" s="3">
        <f t="shared" si="262"/>
        <v>6.5581020384023116E-8</v>
      </c>
      <c r="G276" s="3">
        <f t="shared" si="262"/>
        <v>6.5581020384023116E-8</v>
      </c>
      <c r="H276" s="3">
        <f t="shared" si="262"/>
        <v>6.5581020384023116E-8</v>
      </c>
      <c r="I276" s="3">
        <f t="shared" si="262"/>
        <v>6.5581020384023116E-8</v>
      </c>
      <c r="J276" s="3">
        <f t="shared" si="262"/>
        <v>6.5581020384023116E-8</v>
      </c>
      <c r="K276" s="3">
        <f t="shared" si="262"/>
        <v>6.5581020384023116E-8</v>
      </c>
      <c r="L276" s="3">
        <f t="shared" si="262"/>
        <v>6.5581020384023116E-8</v>
      </c>
      <c r="M276" s="3">
        <f t="shared" si="262"/>
        <v>6.5581020384023116E-8</v>
      </c>
      <c r="N276" s="3">
        <f t="shared" si="262"/>
        <v>6.5581020384023116E-8</v>
      </c>
      <c r="O276" s="3">
        <f t="shared" si="262"/>
        <v>6.5581020384023116E-8</v>
      </c>
      <c r="P276" s="3">
        <f t="shared" si="262"/>
        <v>6.5581020384023116E-8</v>
      </c>
      <c r="Q276" s="3">
        <f t="shared" si="262"/>
        <v>6.5581020384023116E-8</v>
      </c>
      <c r="R276" s="3">
        <f t="shared" si="262"/>
        <v>6.5581020384023116E-8</v>
      </c>
      <c r="S276" s="3">
        <f t="shared" si="262"/>
        <v>6.5581020384023102E-8</v>
      </c>
      <c r="T276" s="3">
        <f t="shared" si="262"/>
        <v>6.5581020384023076E-8</v>
      </c>
      <c r="U276" s="3">
        <f t="shared" si="262"/>
        <v>6.5581020384022692E-8</v>
      </c>
      <c r="V276" s="3">
        <f t="shared" si="262"/>
        <v>6.558102038401892E-8</v>
      </c>
      <c r="W276" s="3">
        <f t="shared" si="262"/>
        <v>6.5581020383981108E-8</v>
      </c>
      <c r="X276" s="3">
        <f t="shared" si="262"/>
        <v>6.5581020383603106E-8</v>
      </c>
      <c r="Y276" s="3">
        <f t="shared" si="262"/>
        <v>6.5581020379823023E-8</v>
      </c>
      <c r="Z276" s="3">
        <f t="shared" si="262"/>
        <v>6.5581020342022193E-8</v>
      </c>
      <c r="AA276" s="3">
        <f t="shared" si="262"/>
        <v>6.5581019964013822E-8</v>
      </c>
      <c r="AB276" s="3">
        <f t="shared" si="262"/>
        <v>6.5581016183930321E-8</v>
      </c>
      <c r="AC276" s="3">
        <f t="shared" si="262"/>
        <v>6.5580978383107294E-8</v>
      </c>
      <c r="AD276" s="3">
        <f t="shared" si="262"/>
        <v>6.5580600376075285E-8</v>
      </c>
      <c r="AE276" s="3">
        <f t="shared" si="262"/>
        <v>6.5576820425588503E-8</v>
      </c>
      <c r="AF276" s="3">
        <f t="shared" si="262"/>
        <v>6.5539032901482355E-8</v>
      </c>
      <c r="AG276" s="3"/>
      <c r="AH276" s="3"/>
    </row>
    <row r="277" spans="1:34" x14ac:dyDescent="0.25">
      <c r="B277" s="3">
        <f t="shared" ref="B277:AF277" si="263">$C46*EXP(-B$246/$A46/EXP(-$E$126))</f>
        <v>7.3021852336235098E-8</v>
      </c>
      <c r="C277" s="3">
        <f t="shared" si="263"/>
        <v>7.3021852336235098E-8</v>
      </c>
      <c r="D277" s="3">
        <f t="shared" si="263"/>
        <v>7.3021852336235098E-8</v>
      </c>
      <c r="E277" s="3">
        <f t="shared" si="263"/>
        <v>7.3021852336235098E-8</v>
      </c>
      <c r="F277" s="3">
        <f t="shared" si="263"/>
        <v>7.3021852336235098E-8</v>
      </c>
      <c r="G277" s="3">
        <f t="shared" si="263"/>
        <v>7.3021852336235098E-8</v>
      </c>
      <c r="H277" s="3">
        <f t="shared" si="263"/>
        <v>7.3021852336235098E-8</v>
      </c>
      <c r="I277" s="3">
        <f t="shared" si="263"/>
        <v>7.3021852336235098E-8</v>
      </c>
      <c r="J277" s="3">
        <f t="shared" si="263"/>
        <v>7.3021852336235098E-8</v>
      </c>
      <c r="K277" s="3">
        <f t="shared" si="263"/>
        <v>7.3021852336235098E-8</v>
      </c>
      <c r="L277" s="3">
        <f t="shared" si="263"/>
        <v>7.3021852336235098E-8</v>
      </c>
      <c r="M277" s="3">
        <f t="shared" si="263"/>
        <v>7.3021852336235098E-8</v>
      </c>
      <c r="N277" s="3">
        <f t="shared" si="263"/>
        <v>7.3021852336235098E-8</v>
      </c>
      <c r="O277" s="3">
        <f t="shared" si="263"/>
        <v>7.3021852336235098E-8</v>
      </c>
      <c r="P277" s="3">
        <f t="shared" si="263"/>
        <v>7.3021852336235098E-8</v>
      </c>
      <c r="Q277" s="3">
        <f t="shared" si="263"/>
        <v>7.3021852336235098E-8</v>
      </c>
      <c r="R277" s="3">
        <f t="shared" si="263"/>
        <v>7.3021852336235098E-8</v>
      </c>
      <c r="S277" s="3">
        <f t="shared" si="263"/>
        <v>7.3021852336235098E-8</v>
      </c>
      <c r="T277" s="3">
        <f t="shared" si="263"/>
        <v>7.3021852336235085E-8</v>
      </c>
      <c r="U277" s="3">
        <f t="shared" si="263"/>
        <v>7.3021852336235045E-8</v>
      </c>
      <c r="V277" s="3">
        <f t="shared" si="263"/>
        <v>7.3021852336234621E-8</v>
      </c>
      <c r="W277" s="3">
        <f t="shared" si="263"/>
        <v>7.3021852336230426E-8</v>
      </c>
      <c r="X277" s="3">
        <f t="shared" si="263"/>
        <v>7.3021852336188326E-8</v>
      </c>
      <c r="Y277" s="3">
        <f t="shared" si="263"/>
        <v>7.302185233576743E-8</v>
      </c>
      <c r="Z277" s="3">
        <f t="shared" si="263"/>
        <v>7.3021852331558457E-8</v>
      </c>
      <c r="AA277" s="3">
        <f t="shared" si="263"/>
        <v>7.3021852289468741E-8</v>
      </c>
      <c r="AB277" s="3">
        <f t="shared" si="263"/>
        <v>7.3021851868571492E-8</v>
      </c>
      <c r="AC277" s="3">
        <f t="shared" si="263"/>
        <v>7.3021847659599172E-8</v>
      </c>
      <c r="AD277" s="3">
        <f t="shared" si="263"/>
        <v>7.302180556988935E-8</v>
      </c>
      <c r="AE277" s="3">
        <f t="shared" si="263"/>
        <v>7.3021384674125444E-8</v>
      </c>
      <c r="AF277" s="3">
        <f t="shared" si="263"/>
        <v>7.3017175849915808E-8</v>
      </c>
      <c r="AG277" s="3"/>
      <c r="AH277" s="3"/>
    </row>
    <row r="278" spans="1:34" x14ac:dyDescent="0.25">
      <c r="B278" s="3">
        <f t="shared" ref="B278:AF278" si="264">$C47*EXP(-B$246/$A47/EXP(-$E$126))</f>
        <v>1.1629614521313135E-6</v>
      </c>
      <c r="C278" s="3">
        <f t="shared" si="264"/>
        <v>1.1629614521313135E-6</v>
      </c>
      <c r="D278" s="3">
        <f t="shared" si="264"/>
        <v>1.1629614521313135E-6</v>
      </c>
      <c r="E278" s="3">
        <f t="shared" si="264"/>
        <v>1.1629614521313135E-6</v>
      </c>
      <c r="F278" s="3">
        <f t="shared" si="264"/>
        <v>1.1629614521313135E-6</v>
      </c>
      <c r="G278" s="3">
        <f t="shared" si="264"/>
        <v>1.1629614521313135E-6</v>
      </c>
      <c r="H278" s="3">
        <f t="shared" si="264"/>
        <v>1.1629614521313135E-6</v>
      </c>
      <c r="I278" s="3">
        <f t="shared" si="264"/>
        <v>1.1629614521313135E-6</v>
      </c>
      <c r="J278" s="3">
        <f t="shared" si="264"/>
        <v>1.1629614521313135E-6</v>
      </c>
      <c r="K278" s="3">
        <f t="shared" si="264"/>
        <v>1.1629614521313135E-6</v>
      </c>
      <c r="L278" s="3">
        <f t="shared" si="264"/>
        <v>1.1629614521313135E-6</v>
      </c>
      <c r="M278" s="3">
        <f t="shared" si="264"/>
        <v>1.1629614521313135E-6</v>
      </c>
      <c r="N278" s="3">
        <f t="shared" si="264"/>
        <v>1.1629614521313135E-6</v>
      </c>
      <c r="O278" s="3">
        <f t="shared" si="264"/>
        <v>1.1629614521313135E-6</v>
      </c>
      <c r="P278" s="3">
        <f t="shared" si="264"/>
        <v>1.1629614521313135E-6</v>
      </c>
      <c r="Q278" s="3">
        <f t="shared" si="264"/>
        <v>1.1629614521313135E-6</v>
      </c>
      <c r="R278" s="3">
        <f t="shared" si="264"/>
        <v>1.1629614521313135E-6</v>
      </c>
      <c r="S278" s="3">
        <f t="shared" si="264"/>
        <v>1.1629614521313135E-6</v>
      </c>
      <c r="T278" s="3">
        <f t="shared" si="264"/>
        <v>1.1629614521313135E-6</v>
      </c>
      <c r="U278" s="3">
        <f t="shared" si="264"/>
        <v>1.1629614521313132E-6</v>
      </c>
      <c r="V278" s="3">
        <f t="shared" si="264"/>
        <v>1.1629614521313126E-6</v>
      </c>
      <c r="W278" s="3">
        <f t="shared" si="264"/>
        <v>1.162961452131306E-6</v>
      </c>
      <c r="X278" s="3">
        <f t="shared" si="264"/>
        <v>1.1629614521312389E-6</v>
      </c>
      <c r="Y278" s="3">
        <f t="shared" si="264"/>
        <v>1.1629614521305685E-6</v>
      </c>
      <c r="Z278" s="3">
        <f t="shared" si="264"/>
        <v>1.1629614521238653E-6</v>
      </c>
      <c r="AA278" s="3">
        <f t="shared" si="264"/>
        <v>1.1629614520568324E-6</v>
      </c>
      <c r="AB278" s="3">
        <f t="shared" si="264"/>
        <v>1.1629614513865026E-6</v>
      </c>
      <c r="AC278" s="3">
        <f t="shared" si="264"/>
        <v>1.1629614446832041E-6</v>
      </c>
      <c r="AD278" s="3">
        <f t="shared" si="264"/>
        <v>1.1629613776502216E-6</v>
      </c>
      <c r="AE278" s="3">
        <f t="shared" si="264"/>
        <v>1.1629607073206079E-6</v>
      </c>
      <c r="AF278" s="3">
        <f t="shared" si="264"/>
        <v>1.1629540040457234E-6</v>
      </c>
      <c r="AG278" s="3"/>
      <c r="AH278" s="3"/>
    </row>
    <row r="279" spans="1:34" x14ac:dyDescent="0.25">
      <c r="B279" s="3">
        <f t="shared" ref="B279:AF279" si="265">$C48*EXP(-B$246/$A48/EXP(-$E$126))</f>
        <v>4.9365030271996854E-7</v>
      </c>
      <c r="C279" s="3">
        <f t="shared" si="265"/>
        <v>4.9365030271996854E-7</v>
      </c>
      <c r="D279" s="3">
        <f t="shared" si="265"/>
        <v>4.9365030271996854E-7</v>
      </c>
      <c r="E279" s="3">
        <f t="shared" si="265"/>
        <v>4.9365030271996854E-7</v>
      </c>
      <c r="F279" s="3">
        <f t="shared" si="265"/>
        <v>4.9365030271996854E-7</v>
      </c>
      <c r="G279" s="3">
        <f t="shared" si="265"/>
        <v>4.9365030271996854E-7</v>
      </c>
      <c r="H279" s="3">
        <f t="shared" si="265"/>
        <v>4.9365030271996854E-7</v>
      </c>
      <c r="I279" s="3">
        <f t="shared" si="265"/>
        <v>4.9365030271996854E-7</v>
      </c>
      <c r="J279" s="3">
        <f t="shared" si="265"/>
        <v>4.9365030271996854E-7</v>
      </c>
      <c r="K279" s="3">
        <f t="shared" si="265"/>
        <v>4.9365030271996854E-7</v>
      </c>
      <c r="L279" s="3">
        <f t="shared" si="265"/>
        <v>4.9365030271996854E-7</v>
      </c>
      <c r="M279" s="3">
        <f t="shared" si="265"/>
        <v>4.9365030271996854E-7</v>
      </c>
      <c r="N279" s="3">
        <f t="shared" si="265"/>
        <v>4.9365030271996854E-7</v>
      </c>
      <c r="O279" s="3">
        <f t="shared" si="265"/>
        <v>4.9365030271996854E-7</v>
      </c>
      <c r="P279" s="3">
        <f t="shared" si="265"/>
        <v>4.9365030271996854E-7</v>
      </c>
      <c r="Q279" s="3">
        <f t="shared" si="265"/>
        <v>4.9365030271996854E-7</v>
      </c>
      <c r="R279" s="3">
        <f t="shared" si="265"/>
        <v>4.9365030271996854E-7</v>
      </c>
      <c r="S279" s="3">
        <f t="shared" si="265"/>
        <v>4.9365030271996854E-7</v>
      </c>
      <c r="T279" s="3">
        <f t="shared" si="265"/>
        <v>4.9365030271996854E-7</v>
      </c>
      <c r="U279" s="3">
        <f t="shared" si="265"/>
        <v>4.9365030271996854E-7</v>
      </c>
      <c r="V279" s="3">
        <f t="shared" si="265"/>
        <v>4.9365030271996844E-7</v>
      </c>
      <c r="W279" s="3">
        <f t="shared" si="265"/>
        <v>4.9365030271996822E-7</v>
      </c>
      <c r="X279" s="3">
        <f t="shared" si="265"/>
        <v>4.9365030271996537E-7</v>
      </c>
      <c r="Y279" s="3">
        <f t="shared" si="265"/>
        <v>4.9365030271993688E-7</v>
      </c>
      <c r="Z279" s="3">
        <f t="shared" si="265"/>
        <v>4.9365030271965239E-7</v>
      </c>
      <c r="AA279" s="3">
        <f t="shared" si="265"/>
        <v>4.9365030271680699E-7</v>
      </c>
      <c r="AB279" s="3">
        <f t="shared" si="265"/>
        <v>4.9365030268835304E-7</v>
      </c>
      <c r="AC279" s="3">
        <f t="shared" si="265"/>
        <v>4.9365030240381349E-7</v>
      </c>
      <c r="AD279" s="3">
        <f t="shared" si="265"/>
        <v>4.9365029955841796E-7</v>
      </c>
      <c r="AE279" s="3">
        <f t="shared" si="265"/>
        <v>4.9365027110446357E-7</v>
      </c>
      <c r="AF279" s="3">
        <f t="shared" si="265"/>
        <v>4.9364998656500949E-7</v>
      </c>
      <c r="AG279" s="3"/>
      <c r="AH279" s="3"/>
    </row>
    <row r="280" spans="1:34" x14ac:dyDescent="0.25">
      <c r="A280" s="79">
        <f>AVERAGE(B280:AF280)</f>
        <v>5.910503749130591E-3</v>
      </c>
      <c r="B280" s="80">
        <f>IF($D$61&lt;=B246,IF($E$61&gt;=B246,ABS((B248-B247)/B247),0),0)</f>
        <v>3.7363137610194271E-5</v>
      </c>
      <c r="C280" s="80">
        <f t="shared" ref="C280:AF280" si="266">IF($D$61&lt;=C246,IF($E$61&gt;=C246,ABS((C248-C247)/C247),0),0)</f>
        <v>1.2327637844810903E-3</v>
      </c>
      <c r="D280" s="80">
        <f t="shared" si="266"/>
        <v>1.2327278937387682E-3</v>
      </c>
      <c r="E280" s="80">
        <f t="shared" si="266"/>
        <v>1.2315858465667122E-3</v>
      </c>
      <c r="F280" s="80">
        <f t="shared" si="266"/>
        <v>1.2312453776028255E-3</v>
      </c>
      <c r="G280" s="80">
        <f t="shared" si="266"/>
        <v>1.2311744938247947E-3</v>
      </c>
      <c r="H280" s="80">
        <f t="shared" si="266"/>
        <v>1.2315442117825605E-3</v>
      </c>
      <c r="I280" s="80">
        <f t="shared" si="266"/>
        <v>1.2357930360968707E-3</v>
      </c>
      <c r="J280" s="80">
        <f t="shared" si="266"/>
        <v>1.2780163988271669E-3</v>
      </c>
      <c r="K280" s="80">
        <f t="shared" si="266"/>
        <v>1.6750046998205298E-3</v>
      </c>
      <c r="L280" s="80">
        <f t="shared" si="266"/>
        <v>3.9210847067672845E-3</v>
      </c>
      <c r="M280" s="80">
        <f t="shared" si="266"/>
        <v>5.3203518140687994E-3</v>
      </c>
      <c r="N280" s="80">
        <f t="shared" si="266"/>
        <v>7.0452270331736507E-3</v>
      </c>
      <c r="O280" s="80">
        <f t="shared" si="266"/>
        <v>7.9436232244753276E-3</v>
      </c>
      <c r="P280" s="80">
        <f t="shared" si="266"/>
        <v>9.6287109479904053E-3</v>
      </c>
      <c r="Q280" s="80">
        <f t="shared" si="266"/>
        <v>1.1032376366445719E-2</v>
      </c>
      <c r="R280" s="80">
        <f t="shared" si="266"/>
        <v>1.2419817845245745E-2</v>
      </c>
      <c r="S280" s="80">
        <f t="shared" si="266"/>
        <v>1.0003050641536976E-2</v>
      </c>
      <c r="T280" s="80">
        <f t="shared" si="266"/>
        <v>4.5352778166598846E-3</v>
      </c>
      <c r="U280" s="80">
        <f t="shared" si="266"/>
        <v>1.7665554349123945E-2</v>
      </c>
      <c r="V280" s="80">
        <f t="shared" si="266"/>
        <v>3.0345812807382591E-2</v>
      </c>
      <c r="W280" s="80">
        <f t="shared" si="266"/>
        <v>2.6651018610686385E-2</v>
      </c>
      <c r="X280" s="80">
        <f t="shared" si="266"/>
        <v>6.1759808061446105E-3</v>
      </c>
      <c r="Y280" s="80">
        <f t="shared" si="266"/>
        <v>1.8920510372995466E-2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4.8995808780586132E-2</v>
      </c>
      <c r="C281" s="21">
        <f t="shared" ref="C281:AF281" si="267">(C248-C247)^2</f>
        <v>53.338078717625919</v>
      </c>
      <c r="D281" s="21">
        <f t="shared" si="267"/>
        <v>53.334569266431878</v>
      </c>
      <c r="E281" s="21">
        <f t="shared" si="267"/>
        <v>53.235670766581137</v>
      </c>
      <c r="F281" s="21">
        <f t="shared" si="267"/>
        <v>53.206203982479387</v>
      </c>
      <c r="G281" s="21">
        <f t="shared" si="267"/>
        <v>53.200062062971163</v>
      </c>
      <c r="H281" s="21">
        <f t="shared" si="267"/>
        <v>53.231974884246625</v>
      </c>
      <c r="I281" s="21">
        <f t="shared" si="267"/>
        <v>53.599529229498714</v>
      </c>
      <c r="J281" s="21">
        <f t="shared" si="267"/>
        <v>57.320715447045892</v>
      </c>
      <c r="K281" s="21">
        <f t="shared" si="267"/>
        <v>98.393273604790494</v>
      </c>
      <c r="L281" s="21">
        <f t="shared" si="267"/>
        <v>535.66159350273927</v>
      </c>
      <c r="M281" s="21">
        <f t="shared" si="267"/>
        <v>948.53455883216691</v>
      </c>
      <c r="N281" s="21">
        <f t="shared" si="267"/>
        <v>1583.217935744811</v>
      </c>
      <c r="O281" s="21">
        <f t="shared" si="267"/>
        <v>1904.010074540334</v>
      </c>
      <c r="P281" s="21">
        <f t="shared" si="267"/>
        <v>2614.2887404029339</v>
      </c>
      <c r="Q281" s="21">
        <f t="shared" si="267"/>
        <v>3186.8022171434436</v>
      </c>
      <c r="R281" s="21">
        <f t="shared" si="267"/>
        <v>3686.9887632610821</v>
      </c>
      <c r="S281" s="21">
        <f t="shared" si="267"/>
        <v>2116.500517070453</v>
      </c>
      <c r="T281" s="21">
        <f t="shared" si="267"/>
        <v>375.44826624457806</v>
      </c>
      <c r="U281" s="21">
        <f t="shared" si="267"/>
        <v>4847.299007831155</v>
      </c>
      <c r="V281" s="21">
        <f t="shared" si="267"/>
        <v>11990.844541917368</v>
      </c>
      <c r="W281" s="21">
        <f t="shared" si="267"/>
        <v>7560.3337604838289</v>
      </c>
      <c r="X281" s="21">
        <f t="shared" si="267"/>
        <v>307.92894522053541</v>
      </c>
      <c r="Y281" s="21">
        <f t="shared" si="267"/>
        <v>1977.6498515703036</v>
      </c>
      <c r="Z281" s="21">
        <f t="shared" si="267"/>
        <v>10717.488700668575</v>
      </c>
      <c r="AA281" s="21">
        <f t="shared" si="267"/>
        <v>10709.723068699539</v>
      </c>
      <c r="AB281" s="21">
        <f t="shared" si="267"/>
        <v>6361.4042401360457</v>
      </c>
      <c r="AC281" s="21">
        <f t="shared" si="267"/>
        <v>1237.4942356729252</v>
      </c>
      <c r="AD281" s="21">
        <f t="shared" si="267"/>
        <v>525.80783393222737</v>
      </c>
      <c r="AE281" s="21">
        <f t="shared" si="267"/>
        <v>91.422192802321064</v>
      </c>
      <c r="AF281" s="21">
        <f t="shared" si="267"/>
        <v>0.7947094253903445</v>
      </c>
      <c r="AG281" s="3"/>
      <c r="AH281" s="3"/>
    </row>
    <row r="282" spans="1:34" s="3" customFormat="1" x14ac:dyDescent="0.25">
      <c r="A282" s="71">
        <f>SUM(B282:AF282)</f>
        <v>44164.417847536184</v>
      </c>
      <c r="B282" s="21">
        <f>IF($D$61&lt;=B246,IF($E$61&gt;=B246,ABS(B281),0),0)</f>
        <v>4.8995808780586132E-2</v>
      </c>
      <c r="C282" s="21">
        <f t="shared" ref="C282:AF282" si="268">IF($D$61&lt;=C246,IF($E$61&gt;=C246,ABS(C281),0),0)</f>
        <v>53.338078717625919</v>
      </c>
      <c r="D282" s="21">
        <f t="shared" si="268"/>
        <v>53.334569266431878</v>
      </c>
      <c r="E282" s="21">
        <f t="shared" si="268"/>
        <v>53.235670766581137</v>
      </c>
      <c r="F282" s="21">
        <f t="shared" si="268"/>
        <v>53.206203982479387</v>
      </c>
      <c r="G282" s="21">
        <f t="shared" si="268"/>
        <v>53.200062062971163</v>
      </c>
      <c r="H282" s="21">
        <f t="shared" si="268"/>
        <v>53.231974884246625</v>
      </c>
      <c r="I282" s="21">
        <f t="shared" si="268"/>
        <v>53.599529229498714</v>
      </c>
      <c r="J282" s="21">
        <f t="shared" si="268"/>
        <v>57.320715447045892</v>
      </c>
      <c r="K282" s="21">
        <f t="shared" si="268"/>
        <v>98.393273604790494</v>
      </c>
      <c r="L282" s="21">
        <f t="shared" si="268"/>
        <v>535.66159350273927</v>
      </c>
      <c r="M282" s="21">
        <f t="shared" si="268"/>
        <v>948.53455883216691</v>
      </c>
      <c r="N282" s="21">
        <f t="shared" si="268"/>
        <v>1583.217935744811</v>
      </c>
      <c r="O282" s="21">
        <f t="shared" si="268"/>
        <v>1904.010074540334</v>
      </c>
      <c r="P282" s="21">
        <f t="shared" si="268"/>
        <v>2614.2887404029339</v>
      </c>
      <c r="Q282" s="21">
        <f t="shared" si="268"/>
        <v>3186.8022171434436</v>
      </c>
      <c r="R282" s="21">
        <f t="shared" si="268"/>
        <v>3686.9887632610821</v>
      </c>
      <c r="S282" s="21">
        <f t="shared" si="268"/>
        <v>2116.500517070453</v>
      </c>
      <c r="T282" s="21">
        <f t="shared" si="268"/>
        <v>375.44826624457806</v>
      </c>
      <c r="U282" s="21">
        <f t="shared" si="268"/>
        <v>4847.299007831155</v>
      </c>
      <c r="V282" s="21">
        <f t="shared" si="268"/>
        <v>11990.844541917368</v>
      </c>
      <c r="W282" s="21">
        <f t="shared" si="268"/>
        <v>7560.3337604838289</v>
      </c>
      <c r="X282" s="21">
        <f t="shared" si="268"/>
        <v>307.92894522053541</v>
      </c>
      <c r="Y282" s="21">
        <f t="shared" si="268"/>
        <v>1977.6498515703036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0" t="s">
        <v>22</v>
      </c>
      <c r="B287" s="27">
        <f>($C$17+SUM(B288:B318))*$B$51</f>
        <v>5916.9979250571696</v>
      </c>
      <c r="C287" s="27">
        <f t="shared" ref="C287:AF287" si="269">($C$17+SUM(C288:C318))*$B$51</f>
        <v>5916.9907216044503</v>
      </c>
      <c r="D287" s="27">
        <f t="shared" si="269"/>
        <v>5916.9187288406856</v>
      </c>
      <c r="E287" s="27">
        <f t="shared" si="269"/>
        <v>5916.2029528313333</v>
      </c>
      <c r="F287" s="27">
        <f t="shared" si="269"/>
        <v>5909.4367566133751</v>
      </c>
      <c r="G287" s="27">
        <f t="shared" si="269"/>
        <v>5865.3024685288619</v>
      </c>
      <c r="H287" s="27">
        <f t="shared" si="269"/>
        <v>5722.5138507339771</v>
      </c>
      <c r="I287" s="27">
        <f t="shared" si="269"/>
        <v>5576.8479091625641</v>
      </c>
      <c r="J287" s="27">
        <f t="shared" si="269"/>
        <v>5410.8642044277703</v>
      </c>
      <c r="K287" s="27">
        <f t="shared" si="269"/>
        <v>5215.590693819945</v>
      </c>
      <c r="L287" s="27">
        <f t="shared" si="269"/>
        <v>5019.3902362276176</v>
      </c>
      <c r="M287" s="27">
        <f t="shared" si="269"/>
        <v>4770.0537307700488</v>
      </c>
      <c r="N287" s="27">
        <f t="shared" si="269"/>
        <v>4503.7496512659673</v>
      </c>
      <c r="O287" s="27">
        <f t="shared" si="269"/>
        <v>4238.4469319044629</v>
      </c>
      <c r="P287" s="27">
        <f t="shared" si="269"/>
        <v>3959.7363068447976</v>
      </c>
      <c r="Q287" s="27">
        <f t="shared" si="269"/>
        <v>3658.8685754996113</v>
      </c>
      <c r="R287" s="27">
        <f t="shared" si="269"/>
        <v>3268.7419331430747</v>
      </c>
      <c r="S287" s="27">
        <f t="shared" si="269"/>
        <v>2768.6690204458428</v>
      </c>
      <c r="T287" s="27">
        <f t="shared" si="269"/>
        <v>2204.7761399053284</v>
      </c>
      <c r="U287" s="27">
        <f t="shared" si="269"/>
        <v>1586.4417342019967</v>
      </c>
      <c r="V287" s="27">
        <f t="shared" si="269"/>
        <v>1000.0359608836336</v>
      </c>
      <c r="W287" s="27">
        <f t="shared" si="269"/>
        <v>576.02577492831654</v>
      </c>
      <c r="X287" s="27">
        <f t="shared" si="269"/>
        <v>321.81471065141716</v>
      </c>
      <c r="Y287" s="27">
        <f t="shared" si="269"/>
        <v>187.87583258014021</v>
      </c>
      <c r="Z287" s="27">
        <f t="shared" si="269"/>
        <v>146.32495477284954</v>
      </c>
      <c r="AA287" s="27">
        <f t="shared" si="269"/>
        <v>132.70099519162076</v>
      </c>
      <c r="AB287" s="27">
        <f t="shared" si="269"/>
        <v>124.06541257516591</v>
      </c>
      <c r="AC287" s="27">
        <f t="shared" si="269"/>
        <v>124.00391892483646</v>
      </c>
      <c r="AD287" s="27">
        <f t="shared" si="269"/>
        <v>123.96286463278761</v>
      </c>
      <c r="AE287" s="27">
        <f t="shared" si="269"/>
        <v>123.96187017643605</v>
      </c>
      <c r="AF287" s="27">
        <f t="shared" si="269"/>
        <v>123.95775832712515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4.2262526068108982E-3</v>
      </c>
      <c r="C292" s="3">
        <f t="shared" si="274"/>
        <v>4.2255375310831312E-3</v>
      </c>
      <c r="D292" s="3">
        <f t="shared" si="274"/>
        <v>4.2183934248657502E-3</v>
      </c>
      <c r="E292" s="3">
        <f t="shared" si="274"/>
        <v>4.1476133233551088E-3</v>
      </c>
      <c r="F292" s="3">
        <f t="shared" si="274"/>
        <v>3.5019509254903959E-3</v>
      </c>
      <c r="G292" s="3">
        <f t="shared" si="274"/>
        <v>6.4480441889709628E-4</v>
      </c>
      <c r="H292" s="3">
        <f t="shared" si="274"/>
        <v>2.8880685519448567E-11</v>
      </c>
      <c r="I292" s="3">
        <f t="shared" si="274"/>
        <v>9.3843116555541289E-85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3.0334333523058799E-2</v>
      </c>
      <c r="C293" s="3">
        <f t="shared" si="275"/>
        <v>3.0333870490998574E-2</v>
      </c>
      <c r="D293" s="3">
        <f t="shared" si="275"/>
        <v>3.0329240559110571E-2</v>
      </c>
      <c r="E293" s="3">
        <f t="shared" si="275"/>
        <v>3.0282980089711281E-2</v>
      </c>
      <c r="F293" s="3">
        <f t="shared" si="275"/>
        <v>2.9824238491564719E-2</v>
      </c>
      <c r="G293" s="3">
        <f t="shared" si="275"/>
        <v>2.5602176599638964E-2</v>
      </c>
      <c r="H293" s="3">
        <f t="shared" si="275"/>
        <v>5.5635518887209873E-3</v>
      </c>
      <c r="I293" s="3">
        <f t="shared" si="275"/>
        <v>1.306485764835664E-9</v>
      </c>
      <c r="J293" s="3">
        <f t="shared" si="275"/>
        <v>6.6623903521368211E-76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2.3501583362969852E-2</v>
      </c>
      <c r="C294" s="3">
        <f t="shared" si="276"/>
        <v>2.3501551001865465E-2</v>
      </c>
      <c r="D294" s="3">
        <f t="shared" si="276"/>
        <v>2.3501227393272397E-2</v>
      </c>
      <c r="E294" s="3">
        <f t="shared" si="276"/>
        <v>2.3497991552410693E-2</v>
      </c>
      <c r="F294" s="3">
        <f t="shared" si="276"/>
        <v>2.3465657638208876E-2</v>
      </c>
      <c r="G294" s="3">
        <f t="shared" si="276"/>
        <v>2.3144755504097596E-2</v>
      </c>
      <c r="H294" s="3">
        <f t="shared" si="276"/>
        <v>2.0167463065683167E-2</v>
      </c>
      <c r="I294" s="3">
        <f t="shared" si="276"/>
        <v>5.089065015735075E-3</v>
      </c>
      <c r="J294" s="3">
        <f t="shared" si="276"/>
        <v>5.3272771254201843E-9</v>
      </c>
      <c r="K294" s="3">
        <f t="shared" si="276"/>
        <v>8.4174043645550768E-69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3.016124531631539E-2</v>
      </c>
      <c r="C295" s="3">
        <f t="shared" si="277"/>
        <v>3.0161241569844663E-2</v>
      </c>
      <c r="D295" s="3">
        <f t="shared" si="277"/>
        <v>3.0161204105162993E-2</v>
      </c>
      <c r="E295" s="3">
        <f t="shared" si="277"/>
        <v>3.0160829460905824E-2</v>
      </c>
      <c r="F295" s="3">
        <f t="shared" si="277"/>
        <v>3.01570832742728E-2</v>
      </c>
      <c r="G295" s="3">
        <f t="shared" si="277"/>
        <v>3.0119646990055468E-2</v>
      </c>
      <c r="H295" s="3">
        <f t="shared" si="277"/>
        <v>2.9747830640736075E-2</v>
      </c>
      <c r="I295" s="3">
        <f t="shared" si="277"/>
        <v>2.6272991679208348E-2</v>
      </c>
      <c r="J295" s="3">
        <f t="shared" si="277"/>
        <v>7.5866807280327775E-3</v>
      </c>
      <c r="K295" s="3">
        <f t="shared" si="277"/>
        <v>3.0582614087086964E-8</v>
      </c>
      <c r="L295" s="3">
        <f t="shared" si="277"/>
        <v>3.4649946660538554E-62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3.6781885022583442E-2</v>
      </c>
      <c r="C296" s="3">
        <f t="shared" si="278"/>
        <v>3.6781884610434988E-2</v>
      </c>
      <c r="D296" s="3">
        <f t="shared" si="278"/>
        <v>3.6781880488950723E-2</v>
      </c>
      <c r="E296" s="3">
        <f t="shared" si="278"/>
        <v>3.6781839274133518E-2</v>
      </c>
      <c r="F296" s="3">
        <f t="shared" si="278"/>
        <v>3.6781427128501423E-2</v>
      </c>
      <c r="G296" s="3">
        <f t="shared" si="278"/>
        <v>3.6777305926170123E-2</v>
      </c>
      <c r="H296" s="3">
        <f t="shared" si="278"/>
        <v>3.673611929129697E-2</v>
      </c>
      <c r="I296" s="3">
        <f t="shared" si="278"/>
        <v>3.6326781292163469E-2</v>
      </c>
      <c r="J296" s="3">
        <f t="shared" si="278"/>
        <v>3.2476060739770905E-2</v>
      </c>
      <c r="K296" s="3">
        <f t="shared" si="278"/>
        <v>1.0590771612631708E-2</v>
      </c>
      <c r="L296" s="3">
        <f t="shared" si="278"/>
        <v>1.4406887988777087E-7</v>
      </c>
      <c r="M296" s="3">
        <f t="shared" si="278"/>
        <v>3.1260502073453399E-56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3.095848823165355E-2</v>
      </c>
      <c r="C297" s="3">
        <f t="shared" si="279"/>
        <v>3.0958488200360634E-2</v>
      </c>
      <c r="D297" s="3">
        <f t="shared" si="279"/>
        <v>3.0958487887431479E-2</v>
      </c>
      <c r="E297" s="3">
        <f t="shared" si="279"/>
        <v>3.0958484758140115E-2</v>
      </c>
      <c r="F297" s="3">
        <f t="shared" si="279"/>
        <v>3.0958453465243875E-2</v>
      </c>
      <c r="G297" s="3">
        <f t="shared" si="279"/>
        <v>3.0958140538021137E-2</v>
      </c>
      <c r="H297" s="3">
        <f t="shared" si="279"/>
        <v>3.0955011439756836E-2</v>
      </c>
      <c r="I297" s="3">
        <f t="shared" si="279"/>
        <v>3.092373784691204E-2</v>
      </c>
      <c r="J297" s="3">
        <f t="shared" si="279"/>
        <v>3.0612734412103659E-2</v>
      </c>
      <c r="K297" s="3">
        <f t="shared" si="279"/>
        <v>2.7669641439000785E-2</v>
      </c>
      <c r="L297" s="3">
        <f t="shared" si="279"/>
        <v>1.0069724936043795E-2</v>
      </c>
      <c r="M297" s="3">
        <f t="shared" si="279"/>
        <v>4.1035371546424038E-7</v>
      </c>
      <c r="N297" s="3">
        <f t="shared" si="279"/>
        <v>5.1828184311047647E-51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5.2155951905118556E-2</v>
      </c>
      <c r="C298" s="3">
        <f t="shared" si="280"/>
        <v>5.2155951900362839E-2</v>
      </c>
      <c r="D298" s="3">
        <f t="shared" si="280"/>
        <v>5.2155951852805582E-2</v>
      </c>
      <c r="E298" s="3">
        <f t="shared" si="280"/>
        <v>5.2155951377233063E-2</v>
      </c>
      <c r="F298" s="3">
        <f t="shared" si="280"/>
        <v>5.2155946621508145E-2</v>
      </c>
      <c r="G298" s="3">
        <f t="shared" si="280"/>
        <v>5.2155899064282793E-2</v>
      </c>
      <c r="H298" s="3">
        <f t="shared" si="280"/>
        <v>5.2155423494414321E-2</v>
      </c>
      <c r="I298" s="3">
        <f t="shared" si="280"/>
        <v>5.2150668034222782E-2</v>
      </c>
      <c r="J298" s="3">
        <f t="shared" si="280"/>
        <v>5.2103137273584968E-2</v>
      </c>
      <c r="K298" s="3">
        <f t="shared" si="280"/>
        <v>5.1630205771065724E-2</v>
      </c>
      <c r="L298" s="3">
        <f t="shared" si="280"/>
        <v>4.7130676505133522E-2</v>
      </c>
      <c r="M298" s="3">
        <f t="shared" si="280"/>
        <v>1.8936593225484868E-2</v>
      </c>
      <c r="N298" s="3">
        <f t="shared" si="280"/>
        <v>2.0762689863968899E-6</v>
      </c>
      <c r="O298" s="3">
        <f t="shared" si="280"/>
        <v>5.2131627465118641E-46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4.3160709564030002E-2</v>
      </c>
      <c r="C299" s="3">
        <f t="shared" si="281"/>
        <v>4.3160709563674987E-2</v>
      </c>
      <c r="D299" s="3">
        <f t="shared" si="281"/>
        <v>4.3160709560124827E-2</v>
      </c>
      <c r="E299" s="3">
        <f t="shared" si="281"/>
        <v>4.3160709524623218E-2</v>
      </c>
      <c r="F299" s="3">
        <f t="shared" si="281"/>
        <v>4.3160709169607125E-2</v>
      </c>
      <c r="G299" s="3">
        <f t="shared" si="281"/>
        <v>4.316070561944637E-2</v>
      </c>
      <c r="H299" s="3">
        <f t="shared" si="281"/>
        <v>4.3160670117854835E-2</v>
      </c>
      <c r="I299" s="3">
        <f t="shared" si="281"/>
        <v>4.3160315103545656E-2</v>
      </c>
      <c r="J299" s="3">
        <f t="shared" si="281"/>
        <v>4.3156765121057539E-2</v>
      </c>
      <c r="K299" s="3">
        <f t="shared" si="281"/>
        <v>4.3121281351658186E-2</v>
      </c>
      <c r="L299" s="3">
        <f t="shared" si="281"/>
        <v>4.2768044330236794E-2</v>
      </c>
      <c r="M299" s="3">
        <f t="shared" si="281"/>
        <v>3.939097519485369E-2</v>
      </c>
      <c r="N299" s="3">
        <f t="shared" si="281"/>
        <v>1.730494183371737E-2</v>
      </c>
      <c r="O299" s="3">
        <f t="shared" si="281"/>
        <v>4.6334475963214319E-6</v>
      </c>
      <c r="P299" s="3">
        <f t="shared" si="281"/>
        <v>8.7749645917278519E-42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4.9762672836982748E-2</v>
      </c>
      <c r="C300" s="3">
        <f t="shared" si="282"/>
        <v>4.9762672836945826E-2</v>
      </c>
      <c r="D300" s="3">
        <f t="shared" si="282"/>
        <v>4.9762672836576587E-2</v>
      </c>
      <c r="E300" s="3">
        <f t="shared" si="282"/>
        <v>4.9762672832884179E-2</v>
      </c>
      <c r="F300" s="3">
        <f t="shared" si="282"/>
        <v>4.9762672795960097E-2</v>
      </c>
      <c r="G300" s="3">
        <f t="shared" si="282"/>
        <v>4.9762672426719237E-2</v>
      </c>
      <c r="H300" s="3">
        <f t="shared" si="282"/>
        <v>4.9762668734310789E-2</v>
      </c>
      <c r="I300" s="3">
        <f t="shared" si="282"/>
        <v>4.9762631810241417E-2</v>
      </c>
      <c r="J300" s="3">
        <f t="shared" si="282"/>
        <v>4.9762262571054601E-2</v>
      </c>
      <c r="K300" s="3">
        <f t="shared" si="282"/>
        <v>4.9758570329869772E-2</v>
      </c>
      <c r="L300" s="3">
        <f t="shared" si="282"/>
        <v>4.9721662982219875E-2</v>
      </c>
      <c r="M300" s="3">
        <f t="shared" si="282"/>
        <v>4.93540917980166E-2</v>
      </c>
      <c r="N300" s="3">
        <f t="shared" si="282"/>
        <v>4.5824565355505519E-2</v>
      </c>
      <c r="O300" s="3">
        <f t="shared" si="282"/>
        <v>2.1819774242926464E-2</v>
      </c>
      <c r="P300" s="3">
        <f t="shared" si="282"/>
        <v>1.3072818685599666E-5</v>
      </c>
      <c r="Q300" s="3">
        <f t="shared" si="282"/>
        <v>7.7903879680523825E-38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4.7420297810237301E-2</v>
      </c>
      <c r="C301" s="3">
        <f t="shared" si="283"/>
        <v>4.742029781023413E-2</v>
      </c>
      <c r="D301" s="3">
        <f t="shared" si="283"/>
        <v>4.7420297810202384E-2</v>
      </c>
      <c r="E301" s="3">
        <f t="shared" si="283"/>
        <v>4.7420297809884986E-2</v>
      </c>
      <c r="F301" s="3">
        <f t="shared" si="283"/>
        <v>4.7420297806710907E-2</v>
      </c>
      <c r="G301" s="3">
        <f t="shared" si="283"/>
        <v>4.7420297774970172E-2</v>
      </c>
      <c r="H301" s="3">
        <f t="shared" si="283"/>
        <v>4.742029745756287E-2</v>
      </c>
      <c r="I301" s="3">
        <f t="shared" si="283"/>
        <v>4.74202942834899E-2</v>
      </c>
      <c r="J301" s="3">
        <f t="shared" si="283"/>
        <v>4.7420262542771908E-2</v>
      </c>
      <c r="K301" s="3">
        <f t="shared" si="283"/>
        <v>4.7419945136760462E-2</v>
      </c>
      <c r="L301" s="3">
        <f t="shared" si="283"/>
        <v>4.7416771193493822E-2</v>
      </c>
      <c r="M301" s="3">
        <f t="shared" si="283"/>
        <v>4.7385043442707817E-2</v>
      </c>
      <c r="N301" s="3">
        <f t="shared" si="283"/>
        <v>4.7068931234945127E-2</v>
      </c>
      <c r="O301" s="3">
        <f t="shared" si="283"/>
        <v>4.4021504138485226E-2</v>
      </c>
      <c r="P301" s="3">
        <f t="shared" si="283"/>
        <v>2.2540849614375757E-2</v>
      </c>
      <c r="Q301" s="3">
        <f t="shared" si="283"/>
        <v>2.7927002332351423E-5</v>
      </c>
      <c r="R301" s="3">
        <f t="shared" si="283"/>
        <v>2.3799329338275154E-34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5.5060707858971457E-2</v>
      </c>
      <c r="C302" s="3">
        <f t="shared" si="284"/>
        <v>5.5060707858971124E-2</v>
      </c>
      <c r="D302" s="3">
        <f t="shared" si="284"/>
        <v>5.50607078589678E-2</v>
      </c>
      <c r="E302" s="3">
        <f t="shared" si="284"/>
        <v>5.5060707858934549E-2</v>
      </c>
      <c r="F302" s="3">
        <f t="shared" si="284"/>
        <v>5.5060707858602093E-2</v>
      </c>
      <c r="G302" s="3">
        <f t="shared" si="284"/>
        <v>5.5060707855277474E-2</v>
      </c>
      <c r="H302" s="3">
        <f t="shared" si="284"/>
        <v>5.5060707822031353E-2</v>
      </c>
      <c r="I302" s="3">
        <f t="shared" si="284"/>
        <v>5.5060707489570107E-2</v>
      </c>
      <c r="J302" s="3">
        <f t="shared" si="284"/>
        <v>5.5060704164957772E-2</v>
      </c>
      <c r="K302" s="3">
        <f t="shared" si="284"/>
        <v>5.5060670918845429E-2</v>
      </c>
      <c r="L302" s="3">
        <f t="shared" si="284"/>
        <v>5.5060338458826054E-2</v>
      </c>
      <c r="M302" s="3">
        <f t="shared" si="284"/>
        <v>5.5057013969038247E-2</v>
      </c>
      <c r="N302" s="3">
        <f t="shared" si="284"/>
        <v>5.5023780109281238E-2</v>
      </c>
      <c r="O302" s="3">
        <f t="shared" si="284"/>
        <v>5.4692542861782698E-2</v>
      </c>
      <c r="P302" s="3">
        <f t="shared" si="284"/>
        <v>5.1487884112085922E-2</v>
      </c>
      <c r="Q302" s="3">
        <f t="shared" si="284"/>
        <v>2.8149736624371834E-2</v>
      </c>
      <c r="R302" s="3">
        <f t="shared" si="284"/>
        <v>6.7168746733015867E-5</v>
      </c>
      <c r="S302" s="3">
        <f t="shared" si="284"/>
        <v>4.0187994822340594E-31</v>
      </c>
      <c r="T302" s="3">
        <f t="shared" si="284"/>
        <v>2.3625840245739497E-293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8.2774016803130734E-2</v>
      </c>
      <c r="C303" s="3">
        <f t="shared" si="285"/>
        <v>8.2774016803130707E-2</v>
      </c>
      <c r="D303" s="3">
        <f t="shared" si="285"/>
        <v>8.2774016803130249E-2</v>
      </c>
      <c r="E303" s="3">
        <f t="shared" si="285"/>
        <v>8.2774016803125738E-2</v>
      </c>
      <c r="F303" s="3">
        <f t="shared" si="285"/>
        <v>8.2774016803080649E-2</v>
      </c>
      <c r="G303" s="3">
        <f t="shared" si="285"/>
        <v>8.2774016802629802E-2</v>
      </c>
      <c r="H303" s="3">
        <f t="shared" si="285"/>
        <v>8.2774016798121214E-2</v>
      </c>
      <c r="I303" s="3">
        <f t="shared" si="285"/>
        <v>8.2774016753035404E-2</v>
      </c>
      <c r="J303" s="3">
        <f t="shared" si="285"/>
        <v>8.2774016302177331E-2</v>
      </c>
      <c r="K303" s="3">
        <f t="shared" si="285"/>
        <v>8.2774011793596655E-2</v>
      </c>
      <c r="L303" s="3">
        <f t="shared" si="285"/>
        <v>8.277396670780339E-2</v>
      </c>
      <c r="M303" s="3">
        <f t="shared" si="285"/>
        <v>8.2773515851221488E-2</v>
      </c>
      <c r="N303" s="3">
        <f t="shared" si="285"/>
        <v>8.276900742046607E-2</v>
      </c>
      <c r="O303" s="3">
        <f t="shared" si="285"/>
        <v>8.2723936616560814E-2</v>
      </c>
      <c r="P303" s="3">
        <f t="shared" si="285"/>
        <v>8.2274576224902571E-2</v>
      </c>
      <c r="Q303" s="3">
        <f t="shared" si="285"/>
        <v>7.7913060201531867E-2</v>
      </c>
      <c r="R303" s="3">
        <f t="shared" si="285"/>
        <v>4.5191457413331151E-2</v>
      </c>
      <c r="S303" s="3">
        <f t="shared" si="285"/>
        <v>1.9476781701795854E-4</v>
      </c>
      <c r="T303" s="3">
        <f t="shared" si="285"/>
        <v>4.3065122684426738E-28</v>
      </c>
      <c r="U303" s="3">
        <f t="shared" si="285"/>
        <v>1.2028476109754922E-264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9.2826583311544017E-2</v>
      </c>
      <c r="C304" s="3">
        <f t="shared" si="286"/>
        <v>9.2826583311544017E-2</v>
      </c>
      <c r="D304" s="3">
        <f t="shared" si="286"/>
        <v>9.2826583311543961E-2</v>
      </c>
      <c r="E304" s="3">
        <f t="shared" si="286"/>
        <v>9.2826583311543517E-2</v>
      </c>
      <c r="F304" s="3">
        <f t="shared" si="286"/>
        <v>9.2826583311538952E-2</v>
      </c>
      <c r="G304" s="3">
        <f t="shared" si="286"/>
        <v>9.2826583311493349E-2</v>
      </c>
      <c r="H304" s="3">
        <f t="shared" si="286"/>
        <v>9.2826583311037242E-2</v>
      </c>
      <c r="I304" s="3">
        <f t="shared" si="286"/>
        <v>9.2826583306476182E-2</v>
      </c>
      <c r="J304" s="3">
        <f t="shared" si="286"/>
        <v>9.2826583260865694E-2</v>
      </c>
      <c r="K304" s="3">
        <f t="shared" si="286"/>
        <v>9.2826582804760735E-2</v>
      </c>
      <c r="L304" s="3">
        <f t="shared" si="286"/>
        <v>9.2826578243711377E-2</v>
      </c>
      <c r="M304" s="3">
        <f t="shared" si="286"/>
        <v>9.2826532633230083E-2</v>
      </c>
      <c r="N304" s="3">
        <f t="shared" si="286"/>
        <v>9.2826076529649776E-2</v>
      </c>
      <c r="O304" s="3">
        <f t="shared" si="286"/>
        <v>9.2821515617103542E-2</v>
      </c>
      <c r="P304" s="3">
        <f t="shared" si="286"/>
        <v>9.2775918815087344E-2</v>
      </c>
      <c r="Q304" s="3">
        <f t="shared" si="286"/>
        <v>9.2321180902074612E-2</v>
      </c>
      <c r="R304" s="3">
        <f t="shared" si="286"/>
        <v>8.7894605238618806E-2</v>
      </c>
      <c r="S304" s="3">
        <f t="shared" si="286"/>
        <v>5.3773822480327201E-2</v>
      </c>
      <c r="T304" s="3">
        <f t="shared" si="286"/>
        <v>3.9505521688657798E-4</v>
      </c>
      <c r="U304" s="3">
        <f t="shared" si="286"/>
        <v>1.8093672371125191E-25</v>
      </c>
      <c r="V304" s="3">
        <f t="shared" si="286"/>
        <v>7.3487915892657665E-239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0.10795546608785625</v>
      </c>
      <c r="C305" s="3">
        <f t="shared" si="287"/>
        <v>0.10795546608785625</v>
      </c>
      <c r="D305" s="3">
        <f t="shared" si="287"/>
        <v>0.10795546608785625</v>
      </c>
      <c r="E305" s="3">
        <f t="shared" si="287"/>
        <v>0.10795546608785621</v>
      </c>
      <c r="F305" s="3">
        <f t="shared" si="287"/>
        <v>0.10795546608785572</v>
      </c>
      <c r="G305" s="3">
        <f t="shared" si="287"/>
        <v>0.10795546608785093</v>
      </c>
      <c r="H305" s="3">
        <f t="shared" si="287"/>
        <v>0.10795546608780308</v>
      </c>
      <c r="I305" s="3">
        <f t="shared" si="287"/>
        <v>0.10795546608732459</v>
      </c>
      <c r="J305" s="3">
        <f t="shared" si="287"/>
        <v>0.10795546608253956</v>
      </c>
      <c r="K305" s="3">
        <f t="shared" si="287"/>
        <v>0.10795546603468938</v>
      </c>
      <c r="L305" s="3">
        <f t="shared" si="287"/>
        <v>0.1079554655561875</v>
      </c>
      <c r="M305" s="3">
        <f t="shared" si="287"/>
        <v>0.10795546077116884</v>
      </c>
      <c r="N305" s="3">
        <f t="shared" si="287"/>
        <v>0.10795541292099389</v>
      </c>
      <c r="O305" s="3">
        <f t="shared" si="287"/>
        <v>0.10795493442041097</v>
      </c>
      <c r="P305" s="3">
        <f t="shared" si="287"/>
        <v>0.10795014953122976</v>
      </c>
      <c r="Q305" s="3">
        <f t="shared" si="287"/>
        <v>0.10790231230230862</v>
      </c>
      <c r="R305" s="3">
        <f t="shared" si="287"/>
        <v>0.10742510439175222</v>
      </c>
      <c r="S305" s="3">
        <f t="shared" si="287"/>
        <v>0.10276757601286864</v>
      </c>
      <c r="T305" s="3">
        <f t="shared" si="287"/>
        <v>6.5971961692997586E-2</v>
      </c>
      <c r="U305" s="3">
        <f t="shared" si="287"/>
        <v>7.8413754802612097E-4</v>
      </c>
      <c r="V305" s="3">
        <f t="shared" si="287"/>
        <v>4.4128663282299232E-23</v>
      </c>
      <c r="W305" s="3">
        <f t="shared" si="287"/>
        <v>1.4060669228090453E-215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0.11222824358997255</v>
      </c>
      <c r="C306" s="3">
        <f t="shared" si="288"/>
        <v>0.11222824358997255</v>
      </c>
      <c r="D306" s="3">
        <f t="shared" si="288"/>
        <v>0.11222824358997255</v>
      </c>
      <c r="E306" s="3">
        <f t="shared" si="288"/>
        <v>0.11222824358997255</v>
      </c>
      <c r="F306" s="3">
        <f t="shared" si="288"/>
        <v>0.11222824358997249</v>
      </c>
      <c r="G306" s="3">
        <f t="shared" si="288"/>
        <v>0.11222824358997205</v>
      </c>
      <c r="H306" s="3">
        <f t="shared" si="288"/>
        <v>0.11222824358996757</v>
      </c>
      <c r="I306" s="3">
        <f t="shared" si="288"/>
        <v>0.11222824358992269</v>
      </c>
      <c r="J306" s="3">
        <f t="shared" si="288"/>
        <v>0.11222824358947396</v>
      </c>
      <c r="K306" s="3">
        <f t="shared" si="288"/>
        <v>0.11222824358498663</v>
      </c>
      <c r="L306" s="3">
        <f t="shared" si="288"/>
        <v>0.11222824354011335</v>
      </c>
      <c r="M306" s="3">
        <f t="shared" si="288"/>
        <v>0.1122282430913806</v>
      </c>
      <c r="N306" s="3">
        <f t="shared" si="288"/>
        <v>0.1122282386040532</v>
      </c>
      <c r="O306" s="3">
        <f t="shared" si="288"/>
        <v>0.11222819373078907</v>
      </c>
      <c r="P306" s="3">
        <f t="shared" si="288"/>
        <v>0.11222774499913463</v>
      </c>
      <c r="Q306" s="3">
        <f t="shared" si="288"/>
        <v>0.11222325778127004</v>
      </c>
      <c r="R306" s="3">
        <f t="shared" si="288"/>
        <v>0.11217839546915941</v>
      </c>
      <c r="S306" s="3">
        <f t="shared" si="288"/>
        <v>0.11173075754347861</v>
      </c>
      <c r="T306" s="3">
        <f t="shared" si="288"/>
        <v>0.1073514557822334</v>
      </c>
      <c r="U306" s="3">
        <f t="shared" si="288"/>
        <v>7.1971389489919421E-2</v>
      </c>
      <c r="V306" s="3">
        <f t="shared" si="288"/>
        <v>1.3203205356810148E-3</v>
      </c>
      <c r="W306" s="3">
        <f t="shared" si="288"/>
        <v>5.6999925304815472E-21</v>
      </c>
      <c r="X306" s="3">
        <f t="shared" si="288"/>
        <v>1.2818091591571031E-194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8.9690702482137605E-2</v>
      </c>
      <c r="C307" s="3">
        <f t="shared" si="289"/>
        <v>8.9690702482137605E-2</v>
      </c>
      <c r="D307" s="3">
        <f t="shared" si="289"/>
        <v>8.9690702482137605E-2</v>
      </c>
      <c r="E307" s="3">
        <f t="shared" si="289"/>
        <v>8.9690702482137605E-2</v>
      </c>
      <c r="F307" s="3">
        <f t="shared" si="289"/>
        <v>8.9690702482137605E-2</v>
      </c>
      <c r="G307" s="3">
        <f t="shared" si="289"/>
        <v>8.9690702482137563E-2</v>
      </c>
      <c r="H307" s="3">
        <f t="shared" si="289"/>
        <v>8.9690702482137244E-2</v>
      </c>
      <c r="I307" s="3">
        <f t="shared" si="289"/>
        <v>8.969070248213401E-2</v>
      </c>
      <c r="J307" s="3">
        <f t="shared" si="289"/>
        <v>8.9690702482101661E-2</v>
      </c>
      <c r="K307" s="3">
        <f t="shared" si="289"/>
        <v>8.9690702481778156E-2</v>
      </c>
      <c r="L307" s="3">
        <f t="shared" si="289"/>
        <v>8.9690702478543119E-2</v>
      </c>
      <c r="M307" s="3">
        <f t="shared" si="289"/>
        <v>8.9690702446192719E-2</v>
      </c>
      <c r="N307" s="3">
        <f t="shared" si="289"/>
        <v>8.9690702122688745E-2</v>
      </c>
      <c r="O307" s="3">
        <f t="shared" si="289"/>
        <v>8.9690698887649092E-2</v>
      </c>
      <c r="P307" s="3">
        <f t="shared" si="289"/>
        <v>8.9690666537258962E-2</v>
      </c>
      <c r="Q307" s="3">
        <f t="shared" si="289"/>
        <v>8.9690343033999406E-2</v>
      </c>
      <c r="R307" s="3">
        <f t="shared" si="289"/>
        <v>8.9687108065579099E-2</v>
      </c>
      <c r="S307" s="3">
        <f t="shared" si="289"/>
        <v>8.9654764798051997E-2</v>
      </c>
      <c r="T307" s="3">
        <f t="shared" si="289"/>
        <v>8.933197293486031E-2</v>
      </c>
      <c r="U307" s="3">
        <f t="shared" si="289"/>
        <v>8.6167288505059864E-2</v>
      </c>
      <c r="V307" s="3">
        <f t="shared" si="289"/>
        <v>6.0075506190659309E-2</v>
      </c>
      <c r="W307" s="3">
        <f t="shared" si="289"/>
        <v>1.6302250352844458E-3</v>
      </c>
      <c r="X307" s="3">
        <f t="shared" si="289"/>
        <v>3.529789062370569E-19</v>
      </c>
      <c r="Y307" s="3">
        <f t="shared" si="289"/>
        <v>7.9939366182068954E-176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3.260199419264094E-2</v>
      </c>
      <c r="C308" s="3">
        <f t="shared" si="290"/>
        <v>3.260199419264094E-2</v>
      </c>
      <c r="D308" s="3">
        <f t="shared" si="290"/>
        <v>3.260199419264094E-2</v>
      </c>
      <c r="E308" s="3">
        <f t="shared" si="290"/>
        <v>3.260199419264094E-2</v>
      </c>
      <c r="F308" s="3">
        <f t="shared" si="290"/>
        <v>3.260199419264094E-2</v>
      </c>
      <c r="G308" s="3">
        <f t="shared" si="290"/>
        <v>3.260199419264094E-2</v>
      </c>
      <c r="H308" s="3">
        <f t="shared" si="290"/>
        <v>3.2601994192640926E-2</v>
      </c>
      <c r="I308" s="3">
        <f t="shared" si="290"/>
        <v>3.2601994192640822E-2</v>
      </c>
      <c r="J308" s="3">
        <f t="shared" si="290"/>
        <v>3.2601994192639761E-2</v>
      </c>
      <c r="K308" s="3">
        <f t="shared" si="290"/>
        <v>3.2601994192629158E-2</v>
      </c>
      <c r="L308" s="3">
        <f t="shared" si="290"/>
        <v>3.2601994192523076E-2</v>
      </c>
      <c r="M308" s="3">
        <f t="shared" si="290"/>
        <v>3.26019941914623E-2</v>
      </c>
      <c r="N308" s="3">
        <f t="shared" si="290"/>
        <v>3.2601994180854563E-2</v>
      </c>
      <c r="O308" s="3">
        <f t="shared" si="290"/>
        <v>3.2601994074777138E-2</v>
      </c>
      <c r="P308" s="3">
        <f t="shared" si="290"/>
        <v>3.2601993014002961E-2</v>
      </c>
      <c r="Q308" s="3">
        <f t="shared" si="290"/>
        <v>3.2601982406263046E-2</v>
      </c>
      <c r="R308" s="3">
        <f t="shared" si="290"/>
        <v>3.2601876329053738E-2</v>
      </c>
      <c r="S308" s="3">
        <f t="shared" si="290"/>
        <v>3.2600815575943368E-2</v>
      </c>
      <c r="T308" s="3">
        <f t="shared" si="290"/>
        <v>3.259020994288394E-2</v>
      </c>
      <c r="U308" s="3">
        <f t="shared" si="290"/>
        <v>3.2484343188412132E-2</v>
      </c>
      <c r="V308" s="3">
        <f t="shared" si="290"/>
        <v>3.1444407003130836E-2</v>
      </c>
      <c r="W308" s="3">
        <f t="shared" si="290"/>
        <v>2.2711017824091392E-2</v>
      </c>
      <c r="X308" s="3">
        <f t="shared" si="290"/>
        <v>8.7734113028160496E-4</v>
      </c>
      <c r="Y308" s="3">
        <f t="shared" si="290"/>
        <v>6.493628016665494E-18</v>
      </c>
      <c r="Z308" s="3">
        <f t="shared" si="290"/>
        <v>3.2038824661727515E-159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3.3353536546241076E-2</v>
      </c>
      <c r="C309" s="3">
        <f t="shared" si="291"/>
        <v>3.3353536546241076E-2</v>
      </c>
      <c r="D309" s="3">
        <f t="shared" si="291"/>
        <v>3.3353536546241076E-2</v>
      </c>
      <c r="E309" s="3">
        <f t="shared" si="291"/>
        <v>3.3353536546241076E-2</v>
      </c>
      <c r="F309" s="3">
        <f t="shared" si="291"/>
        <v>3.3353536546241076E-2</v>
      </c>
      <c r="G309" s="3">
        <f t="shared" si="291"/>
        <v>3.3353536546241076E-2</v>
      </c>
      <c r="H309" s="3">
        <f t="shared" si="291"/>
        <v>3.3353536546241069E-2</v>
      </c>
      <c r="I309" s="3">
        <f t="shared" si="291"/>
        <v>3.3353536546241042E-2</v>
      </c>
      <c r="J309" s="3">
        <f t="shared" si="291"/>
        <v>3.3353536546240743E-2</v>
      </c>
      <c r="K309" s="3">
        <f t="shared" si="291"/>
        <v>3.3353536546237739E-2</v>
      </c>
      <c r="L309" s="3">
        <f t="shared" si="291"/>
        <v>3.3353536546207728E-2</v>
      </c>
      <c r="M309" s="3">
        <f t="shared" si="291"/>
        <v>3.3353536545907579E-2</v>
      </c>
      <c r="N309" s="3">
        <f t="shared" si="291"/>
        <v>3.3353536542906112E-2</v>
      </c>
      <c r="O309" s="3">
        <f t="shared" si="291"/>
        <v>3.3353536512891448E-2</v>
      </c>
      <c r="P309" s="3">
        <f t="shared" si="291"/>
        <v>3.3353536212744769E-2</v>
      </c>
      <c r="Q309" s="3">
        <f t="shared" si="291"/>
        <v>3.3353533211278201E-2</v>
      </c>
      <c r="R309" s="3">
        <f t="shared" si="291"/>
        <v>3.3353503196627304E-2</v>
      </c>
      <c r="S309" s="3">
        <f t="shared" si="291"/>
        <v>3.3353203051603914E-2</v>
      </c>
      <c r="T309" s="3">
        <f t="shared" si="291"/>
        <v>3.3350201749919699E-2</v>
      </c>
      <c r="U309" s="3">
        <f t="shared" si="291"/>
        <v>3.332020358310344E-2</v>
      </c>
      <c r="V309" s="3">
        <f t="shared" si="291"/>
        <v>3.3021701984929666E-2</v>
      </c>
      <c r="W309" s="3">
        <f t="shared" si="291"/>
        <v>3.017988133164394E-2</v>
      </c>
      <c r="X309" s="3">
        <f t="shared" si="291"/>
        <v>1.2271517444411772E-2</v>
      </c>
      <c r="Y309" s="3">
        <f t="shared" si="291"/>
        <v>1.5160226228166843E-6</v>
      </c>
      <c r="Z309" s="3">
        <f t="shared" si="291"/>
        <v>1.2553933165114554E-45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1.7436587013509221E-2</v>
      </c>
      <c r="C310" s="3">
        <f t="shared" si="292"/>
        <v>1.7436587013509221E-2</v>
      </c>
      <c r="D310" s="3">
        <f t="shared" si="292"/>
        <v>1.7436587013509221E-2</v>
      </c>
      <c r="E310" s="3">
        <f t="shared" si="292"/>
        <v>1.7436587013509221E-2</v>
      </c>
      <c r="F310" s="3">
        <f t="shared" si="292"/>
        <v>1.7436587013509221E-2</v>
      </c>
      <c r="G310" s="3">
        <f t="shared" si="292"/>
        <v>1.7436587013509221E-2</v>
      </c>
      <c r="H310" s="3">
        <f t="shared" si="292"/>
        <v>1.7436587013509221E-2</v>
      </c>
      <c r="I310" s="3">
        <f t="shared" si="292"/>
        <v>1.7436587013509218E-2</v>
      </c>
      <c r="J310" s="3">
        <f t="shared" si="292"/>
        <v>1.7436587013509204E-2</v>
      </c>
      <c r="K310" s="3">
        <f t="shared" si="292"/>
        <v>1.7436587013509048E-2</v>
      </c>
      <c r="L310" s="3">
        <f t="shared" si="292"/>
        <v>1.7436587013507476E-2</v>
      </c>
      <c r="M310" s="3">
        <f t="shared" si="292"/>
        <v>1.7436587013491787E-2</v>
      </c>
      <c r="N310" s="3">
        <f t="shared" si="292"/>
        <v>1.7436587013334878E-2</v>
      </c>
      <c r="O310" s="3">
        <f t="shared" si="292"/>
        <v>1.7436587011765769E-2</v>
      </c>
      <c r="P310" s="3">
        <f t="shared" si="292"/>
        <v>1.7436586996074678E-2</v>
      </c>
      <c r="Q310" s="3">
        <f t="shared" si="292"/>
        <v>1.743658683916377E-2</v>
      </c>
      <c r="R310" s="3">
        <f t="shared" si="292"/>
        <v>1.7436585270054813E-2</v>
      </c>
      <c r="S310" s="3">
        <f t="shared" si="292"/>
        <v>1.7436569578972959E-2</v>
      </c>
      <c r="T310" s="3">
        <f t="shared" si="292"/>
        <v>1.7436412668931055E-2</v>
      </c>
      <c r="U310" s="3">
        <f t="shared" si="292"/>
        <v>1.7434843646170966E-2</v>
      </c>
      <c r="V310" s="3">
        <f t="shared" si="292"/>
        <v>1.7419161181877793E-2</v>
      </c>
      <c r="W310" s="3">
        <f t="shared" si="292"/>
        <v>1.726311029105209E-2</v>
      </c>
      <c r="X310" s="3">
        <f t="shared" si="292"/>
        <v>1.5777461144698263E-2</v>
      </c>
      <c r="Y310" s="3">
        <f t="shared" si="292"/>
        <v>6.4153131530934118E-3</v>
      </c>
      <c r="Z310" s="3">
        <f t="shared" si="292"/>
        <v>7.9254745116888397E-7</v>
      </c>
      <c r="AA310" s="3">
        <f t="shared" si="292"/>
        <v>6.5629546567519484E-46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4.7217849635186409E-4</v>
      </c>
      <c r="C311" s="3">
        <f t="shared" si="293"/>
        <v>4.7217849635186409E-4</v>
      </c>
      <c r="D311" s="3">
        <f t="shared" si="293"/>
        <v>4.7217849635186409E-4</v>
      </c>
      <c r="E311" s="3">
        <f t="shared" si="293"/>
        <v>4.7217849635186409E-4</v>
      </c>
      <c r="F311" s="3">
        <f t="shared" si="293"/>
        <v>4.7217849635186409E-4</v>
      </c>
      <c r="G311" s="3">
        <f t="shared" si="293"/>
        <v>4.7217849635186409E-4</v>
      </c>
      <c r="H311" s="3">
        <f t="shared" si="293"/>
        <v>4.7217849635186409E-4</v>
      </c>
      <c r="I311" s="3">
        <f t="shared" si="293"/>
        <v>4.7217849635186409E-4</v>
      </c>
      <c r="J311" s="3">
        <f t="shared" si="293"/>
        <v>4.7217849635186403E-4</v>
      </c>
      <c r="K311" s="3">
        <f t="shared" si="293"/>
        <v>4.721784963518636E-4</v>
      </c>
      <c r="L311" s="3">
        <f t="shared" si="293"/>
        <v>4.7217849635185937E-4</v>
      </c>
      <c r="M311" s="3">
        <f t="shared" si="293"/>
        <v>4.7217849635181687E-4</v>
      </c>
      <c r="N311" s="3">
        <f t="shared" si="293"/>
        <v>4.7217849635139197E-4</v>
      </c>
      <c r="O311" s="3">
        <f t="shared" si="293"/>
        <v>4.7217849634714288E-4</v>
      </c>
      <c r="P311" s="3">
        <f t="shared" si="293"/>
        <v>4.721784963046518E-4</v>
      </c>
      <c r="Q311" s="3">
        <f t="shared" si="293"/>
        <v>4.7217849587974093E-4</v>
      </c>
      <c r="R311" s="3">
        <f t="shared" si="293"/>
        <v>4.7217849163063211E-4</v>
      </c>
      <c r="S311" s="3">
        <f t="shared" si="293"/>
        <v>4.7217844913954659E-4</v>
      </c>
      <c r="T311" s="3">
        <f t="shared" si="293"/>
        <v>4.7217802422890162E-4</v>
      </c>
      <c r="U311" s="3">
        <f t="shared" si="293"/>
        <v>4.7217377514348189E-4</v>
      </c>
      <c r="V311" s="3">
        <f t="shared" si="293"/>
        <v>4.7213128639227002E-4</v>
      </c>
      <c r="W311" s="3">
        <f t="shared" si="293"/>
        <v>4.7170660910861897E-4</v>
      </c>
      <c r="X311" s="3">
        <f t="shared" si="293"/>
        <v>4.6748078928921503E-4</v>
      </c>
      <c r="Y311" s="3">
        <f t="shared" si="293"/>
        <v>4.2724977507248264E-4</v>
      </c>
      <c r="Z311" s="3">
        <f t="shared" si="293"/>
        <v>1.7372510548693343E-4</v>
      </c>
      <c r="AA311" s="3">
        <f t="shared" si="293"/>
        <v>2.1461990439441577E-8</v>
      </c>
      <c r="AB311" s="3">
        <f t="shared" si="293"/>
        <v>1.7772320116601356E-47</v>
      </c>
      <c r="AC311" s="3">
        <f t="shared" si="293"/>
        <v>0</v>
      </c>
      <c r="AD311" s="3">
        <f t="shared" si="293"/>
        <v>0</v>
      </c>
      <c r="AE311" s="3">
        <f t="shared" si="293"/>
        <v>0</v>
      </c>
      <c r="AF311" s="3">
        <f t="shared" si="293"/>
        <v>0</v>
      </c>
      <c r="AG311" s="3"/>
      <c r="AH311" s="3"/>
    </row>
    <row r="312" spans="1:34" x14ac:dyDescent="0.25">
      <c r="B312" s="3">
        <f t="shared" ref="B312:AF312" si="294">$C42*EXP(-B$285/$A42/EXP(-$F$126))</f>
        <v>3.9532606595692786E-3</v>
      </c>
      <c r="C312" s="3">
        <f t="shared" si="294"/>
        <v>3.9532606595692786E-3</v>
      </c>
      <c r="D312" s="3">
        <f t="shared" si="294"/>
        <v>3.9532606595692786E-3</v>
      </c>
      <c r="E312" s="3">
        <f t="shared" si="294"/>
        <v>3.9532606595692786E-3</v>
      </c>
      <c r="F312" s="3">
        <f t="shared" si="294"/>
        <v>3.9532606595692786E-3</v>
      </c>
      <c r="G312" s="3">
        <f t="shared" si="294"/>
        <v>3.9532606595692786E-3</v>
      </c>
      <c r="H312" s="3">
        <f t="shared" si="294"/>
        <v>3.9532606595692786E-3</v>
      </c>
      <c r="I312" s="3">
        <f t="shared" si="294"/>
        <v>3.9532606595692786E-3</v>
      </c>
      <c r="J312" s="3">
        <f t="shared" si="294"/>
        <v>3.9532606595692786E-3</v>
      </c>
      <c r="K312" s="3">
        <f t="shared" si="294"/>
        <v>3.9532606595692778E-3</v>
      </c>
      <c r="L312" s="3">
        <f t="shared" si="294"/>
        <v>3.9532606595692743E-3</v>
      </c>
      <c r="M312" s="3">
        <f t="shared" si="294"/>
        <v>3.9532606595692387E-3</v>
      </c>
      <c r="N312" s="3">
        <f t="shared" si="294"/>
        <v>3.9532606595688831E-3</v>
      </c>
      <c r="O312" s="3">
        <f t="shared" si="294"/>
        <v>3.9532606595653261E-3</v>
      </c>
      <c r="P312" s="3">
        <f t="shared" si="294"/>
        <v>3.9532606595297512E-3</v>
      </c>
      <c r="Q312" s="3">
        <f t="shared" si="294"/>
        <v>3.9532606591739993E-3</v>
      </c>
      <c r="R312" s="3">
        <f t="shared" si="294"/>
        <v>3.9532606556164814E-3</v>
      </c>
      <c r="S312" s="3">
        <f t="shared" si="294"/>
        <v>3.9532606200413014E-3</v>
      </c>
      <c r="T312" s="3">
        <f t="shared" si="294"/>
        <v>3.9532602642895296E-3</v>
      </c>
      <c r="U312" s="3">
        <f t="shared" si="294"/>
        <v>3.9532567067735698E-3</v>
      </c>
      <c r="V312" s="3">
        <f t="shared" si="294"/>
        <v>3.953221131790044E-3</v>
      </c>
      <c r="W312" s="3">
        <f t="shared" si="294"/>
        <v>3.9528653995617915E-3</v>
      </c>
      <c r="X312" s="3">
        <f t="shared" si="294"/>
        <v>3.9493098373931598E-3</v>
      </c>
      <c r="Y312" s="3">
        <f t="shared" si="294"/>
        <v>3.913929642455123E-3</v>
      </c>
      <c r="Z312" s="3">
        <f t="shared" si="294"/>
        <v>3.5771000599426187E-3</v>
      </c>
      <c r="AA312" s="3">
        <f t="shared" si="294"/>
        <v>1.4544936510391886E-3</v>
      </c>
      <c r="AB312" s="3">
        <f t="shared" si="294"/>
        <v>1.7968806952417964E-7</v>
      </c>
      <c r="AC312" s="3">
        <f t="shared" si="294"/>
        <v>1.4879672515597918E-46</v>
      </c>
      <c r="AD312" s="3">
        <f t="shared" si="294"/>
        <v>0</v>
      </c>
      <c r="AE312" s="3">
        <f t="shared" si="294"/>
        <v>0</v>
      </c>
      <c r="AF312" s="3">
        <f t="shared" si="294"/>
        <v>0</v>
      </c>
      <c r="AG312" s="3"/>
      <c r="AH312" s="3"/>
    </row>
    <row r="313" spans="1:34" x14ac:dyDescent="0.25">
      <c r="B313" s="3">
        <f t="shared" ref="B313:AF313" si="295">$C43*EXP(-B$285/$A43/EXP(-$F$126))</f>
        <v>4.2057154474780992E-7</v>
      </c>
      <c r="C313" s="3">
        <f t="shared" si="295"/>
        <v>4.2057154474780992E-7</v>
      </c>
      <c r="D313" s="3">
        <f t="shared" si="295"/>
        <v>4.2057154474780992E-7</v>
      </c>
      <c r="E313" s="3">
        <f t="shared" si="295"/>
        <v>4.2057154474780992E-7</v>
      </c>
      <c r="F313" s="3">
        <f t="shared" si="295"/>
        <v>4.2057154474780992E-7</v>
      </c>
      <c r="G313" s="3">
        <f t="shared" si="295"/>
        <v>4.2057154474780992E-7</v>
      </c>
      <c r="H313" s="3">
        <f t="shared" si="295"/>
        <v>4.2057154474780992E-7</v>
      </c>
      <c r="I313" s="3">
        <f t="shared" si="295"/>
        <v>4.2057154474780992E-7</v>
      </c>
      <c r="J313" s="3">
        <f t="shared" si="295"/>
        <v>4.2057154474780992E-7</v>
      </c>
      <c r="K313" s="3">
        <f t="shared" si="295"/>
        <v>4.2057154474780992E-7</v>
      </c>
      <c r="L313" s="3">
        <f t="shared" si="295"/>
        <v>4.2057154474780987E-7</v>
      </c>
      <c r="M313" s="3">
        <f t="shared" si="295"/>
        <v>4.205715447478095E-7</v>
      </c>
      <c r="N313" s="3">
        <f t="shared" si="295"/>
        <v>4.2057154474780574E-7</v>
      </c>
      <c r="O313" s="3">
        <f t="shared" si="295"/>
        <v>4.2057154474776784E-7</v>
      </c>
      <c r="P313" s="3">
        <f t="shared" si="295"/>
        <v>4.2057154474738942E-7</v>
      </c>
      <c r="Q313" s="3">
        <f t="shared" si="295"/>
        <v>4.2057154474360472E-7</v>
      </c>
      <c r="R313" s="3">
        <f t="shared" si="295"/>
        <v>4.205715447057577E-7</v>
      </c>
      <c r="S313" s="3">
        <f t="shared" si="295"/>
        <v>4.2057154432728766E-7</v>
      </c>
      <c r="T313" s="3">
        <f t="shared" si="295"/>
        <v>4.2057154054258701E-7</v>
      </c>
      <c r="U313" s="3">
        <f t="shared" si="295"/>
        <v>4.2057150269558299E-7</v>
      </c>
      <c r="V313" s="3">
        <f t="shared" si="295"/>
        <v>4.2057112422572942E-7</v>
      </c>
      <c r="W313" s="3">
        <f t="shared" si="295"/>
        <v>4.2056733954592607E-7</v>
      </c>
      <c r="X313" s="3">
        <f t="shared" si="295"/>
        <v>4.2052949462103083E-7</v>
      </c>
      <c r="Y313" s="3">
        <f t="shared" si="295"/>
        <v>4.2015123262353545E-7</v>
      </c>
      <c r="Z313" s="3">
        <f t="shared" si="295"/>
        <v>4.1638727559668209E-7</v>
      </c>
      <c r="AA313" s="3">
        <f t="shared" si="295"/>
        <v>3.8055332736178927E-7</v>
      </c>
      <c r="AB313" s="3">
        <f t="shared" si="295"/>
        <v>1.5473774545139211E-7</v>
      </c>
      <c r="AC313" s="3">
        <f t="shared" si="295"/>
        <v>1.9116292974410114E-11</v>
      </c>
      <c r="AD313" s="3">
        <f t="shared" si="295"/>
        <v>1.5829886754566734E-50</v>
      </c>
      <c r="AE313" s="3">
        <f t="shared" si="295"/>
        <v>0</v>
      </c>
      <c r="AF313" s="3">
        <f t="shared" si="295"/>
        <v>0</v>
      </c>
      <c r="AG313" s="3"/>
      <c r="AH313" s="3"/>
    </row>
    <row r="314" spans="1:34" x14ac:dyDescent="0.25">
      <c r="B314" s="3">
        <f t="shared" ref="B314:AF314" si="296">$C44*EXP(-B$285/$A44/EXP(-$F$126))</f>
        <v>1.8675724725031384E-5</v>
      </c>
      <c r="C314" s="3">
        <f t="shared" si="296"/>
        <v>1.8675724725031384E-5</v>
      </c>
      <c r="D314" s="3">
        <f t="shared" si="296"/>
        <v>1.8675724725031384E-5</v>
      </c>
      <c r="E314" s="3">
        <f t="shared" si="296"/>
        <v>1.8675724725031384E-5</v>
      </c>
      <c r="F314" s="3">
        <f t="shared" si="296"/>
        <v>1.8675724725031384E-5</v>
      </c>
      <c r="G314" s="3">
        <f t="shared" si="296"/>
        <v>1.8675724725031384E-5</v>
      </c>
      <c r="H314" s="3">
        <f t="shared" si="296"/>
        <v>1.8675724725031384E-5</v>
      </c>
      <c r="I314" s="3">
        <f t="shared" si="296"/>
        <v>1.8675724725031384E-5</v>
      </c>
      <c r="J314" s="3">
        <f t="shared" si="296"/>
        <v>1.8675724725031384E-5</v>
      </c>
      <c r="K314" s="3">
        <f t="shared" si="296"/>
        <v>1.8675724725031384E-5</v>
      </c>
      <c r="L314" s="3">
        <f t="shared" si="296"/>
        <v>1.8675724725031384E-5</v>
      </c>
      <c r="M314" s="3">
        <f t="shared" si="296"/>
        <v>1.867572472503138E-5</v>
      </c>
      <c r="N314" s="3">
        <f t="shared" si="296"/>
        <v>1.8675724725031363E-5</v>
      </c>
      <c r="O314" s="3">
        <f t="shared" si="296"/>
        <v>1.8675724725031197E-5</v>
      </c>
      <c r="P314" s="3">
        <f t="shared" si="296"/>
        <v>1.8675724725029517E-5</v>
      </c>
      <c r="Q314" s="3">
        <f t="shared" si="296"/>
        <v>1.8675724725012712E-5</v>
      </c>
      <c r="R314" s="3">
        <f t="shared" si="296"/>
        <v>1.867572472484465E-5</v>
      </c>
      <c r="S314" s="3">
        <f t="shared" si="296"/>
        <v>1.8675724723164032E-5</v>
      </c>
      <c r="T314" s="3">
        <f t="shared" si="296"/>
        <v>1.8675724706357848E-5</v>
      </c>
      <c r="U314" s="3">
        <f t="shared" si="296"/>
        <v>1.8675724538296008E-5</v>
      </c>
      <c r="V314" s="3">
        <f t="shared" si="296"/>
        <v>1.867572285767772E-5</v>
      </c>
      <c r="W314" s="3">
        <f t="shared" si="296"/>
        <v>1.8675706051503148E-5</v>
      </c>
      <c r="X314" s="3">
        <f t="shared" si="296"/>
        <v>1.8675537990589225E-5</v>
      </c>
      <c r="Y314" s="3">
        <f t="shared" si="296"/>
        <v>1.8673857464627807E-5</v>
      </c>
      <c r="Z314" s="3">
        <f t="shared" si="296"/>
        <v>1.8657060520023767E-5</v>
      </c>
      <c r="AA314" s="3">
        <f t="shared" si="296"/>
        <v>1.8489919813078147E-5</v>
      </c>
      <c r="AB314" s="3">
        <f t="shared" si="296"/>
        <v>1.6898692443078174E-5</v>
      </c>
      <c r="AC314" s="3">
        <f t="shared" si="296"/>
        <v>6.8712198309922031E-6</v>
      </c>
      <c r="AD314" s="3">
        <f t="shared" si="296"/>
        <v>8.4887013829528414E-10</v>
      </c>
      <c r="AE314" s="3">
        <f t="shared" si="296"/>
        <v>7.0293535344618263E-49</v>
      </c>
      <c r="AF314" s="3">
        <f t="shared" si="296"/>
        <v>0</v>
      </c>
      <c r="AG314" s="3"/>
      <c r="AH314" s="3"/>
    </row>
    <row r="315" spans="1:34" x14ac:dyDescent="0.25">
      <c r="B315" s="3">
        <f t="shared" ref="B315:AF315" si="297">$C45*EXP(-B$285/$A45/EXP(-$F$126))</f>
        <v>6.5581020384023116E-8</v>
      </c>
      <c r="C315" s="3">
        <f t="shared" si="297"/>
        <v>6.5581020384023116E-8</v>
      </c>
      <c r="D315" s="3">
        <f t="shared" si="297"/>
        <v>6.5581020384023116E-8</v>
      </c>
      <c r="E315" s="3">
        <f t="shared" si="297"/>
        <v>6.5581020384023116E-8</v>
      </c>
      <c r="F315" s="3">
        <f t="shared" si="297"/>
        <v>6.5581020384023116E-8</v>
      </c>
      <c r="G315" s="3">
        <f t="shared" si="297"/>
        <v>6.5581020384023116E-8</v>
      </c>
      <c r="H315" s="3">
        <f t="shared" si="297"/>
        <v>6.5581020384023116E-8</v>
      </c>
      <c r="I315" s="3">
        <f t="shared" si="297"/>
        <v>6.5581020384023116E-8</v>
      </c>
      <c r="J315" s="3">
        <f t="shared" si="297"/>
        <v>6.5581020384023116E-8</v>
      </c>
      <c r="K315" s="3">
        <f t="shared" si="297"/>
        <v>6.5581020384023116E-8</v>
      </c>
      <c r="L315" s="3">
        <f t="shared" si="297"/>
        <v>6.5581020384023116E-8</v>
      </c>
      <c r="M315" s="3">
        <f t="shared" si="297"/>
        <v>6.5581020384023116E-8</v>
      </c>
      <c r="N315" s="3">
        <f t="shared" si="297"/>
        <v>6.5581020384023102E-8</v>
      </c>
      <c r="O315" s="3">
        <f t="shared" si="297"/>
        <v>6.5581020384023049E-8</v>
      </c>
      <c r="P315" s="3">
        <f t="shared" si="297"/>
        <v>6.5581020384022454E-8</v>
      </c>
      <c r="Q315" s="3">
        <f t="shared" si="297"/>
        <v>6.5581020384016551E-8</v>
      </c>
      <c r="R315" s="3">
        <f t="shared" si="297"/>
        <v>6.5581020383957537E-8</v>
      </c>
      <c r="S315" s="3">
        <f t="shared" si="297"/>
        <v>6.558102038336738E-8</v>
      </c>
      <c r="T315" s="3">
        <f t="shared" si="297"/>
        <v>6.5581020377465784E-8</v>
      </c>
      <c r="U315" s="3">
        <f t="shared" si="297"/>
        <v>6.5581020318449782E-8</v>
      </c>
      <c r="V315" s="3">
        <f t="shared" si="297"/>
        <v>6.5581019728289714E-8</v>
      </c>
      <c r="W315" s="3">
        <f t="shared" si="297"/>
        <v>6.5581013826689444E-8</v>
      </c>
      <c r="X315" s="3">
        <f t="shared" si="297"/>
        <v>6.5580954810715842E-8</v>
      </c>
      <c r="Y315" s="3">
        <f t="shared" si="297"/>
        <v>6.5580364653900838E-8</v>
      </c>
      <c r="Z315" s="3">
        <f t="shared" si="297"/>
        <v>6.5574463377835008E-8</v>
      </c>
      <c r="AA315" s="3">
        <f t="shared" si="297"/>
        <v>6.5515479815875017E-8</v>
      </c>
      <c r="AB315" s="3">
        <f t="shared" si="297"/>
        <v>6.4928554367433954E-8</v>
      </c>
      <c r="AC315" s="3">
        <f t="shared" si="297"/>
        <v>5.9340856105437419E-8</v>
      </c>
      <c r="AD315" s="3">
        <f t="shared" si="297"/>
        <v>2.4128734730996966E-8</v>
      </c>
      <c r="AE315" s="3">
        <f t="shared" si="297"/>
        <v>2.9808626258190899E-12</v>
      </c>
      <c r="AF315" s="3">
        <f t="shared" si="297"/>
        <v>2.4684031501715724E-51</v>
      </c>
      <c r="AG315" s="3"/>
      <c r="AH315" s="3"/>
    </row>
    <row r="316" spans="1:34" x14ac:dyDescent="0.25">
      <c r="B316" s="3">
        <f t="shared" ref="B316:AF316" si="298">$C46*EXP(-B$285/$A46/EXP(-$F$126))</f>
        <v>7.3021852336235098E-8</v>
      </c>
      <c r="C316" s="3">
        <f t="shared" si="298"/>
        <v>7.3021852336235098E-8</v>
      </c>
      <c r="D316" s="3">
        <f t="shared" si="298"/>
        <v>7.3021852336235098E-8</v>
      </c>
      <c r="E316" s="3">
        <f t="shared" si="298"/>
        <v>7.3021852336235098E-8</v>
      </c>
      <c r="F316" s="3">
        <f t="shared" si="298"/>
        <v>7.3021852336235098E-8</v>
      </c>
      <c r="G316" s="3">
        <f t="shared" si="298"/>
        <v>7.3021852336235098E-8</v>
      </c>
      <c r="H316" s="3">
        <f t="shared" si="298"/>
        <v>7.3021852336235098E-8</v>
      </c>
      <c r="I316" s="3">
        <f t="shared" si="298"/>
        <v>7.3021852336235098E-8</v>
      </c>
      <c r="J316" s="3">
        <f t="shared" si="298"/>
        <v>7.3021852336235098E-8</v>
      </c>
      <c r="K316" s="3">
        <f t="shared" si="298"/>
        <v>7.3021852336235098E-8</v>
      </c>
      <c r="L316" s="3">
        <f t="shared" si="298"/>
        <v>7.3021852336235098E-8</v>
      </c>
      <c r="M316" s="3">
        <f t="shared" si="298"/>
        <v>7.3021852336235098E-8</v>
      </c>
      <c r="N316" s="3">
        <f t="shared" si="298"/>
        <v>7.3021852336235098E-8</v>
      </c>
      <c r="O316" s="3">
        <f t="shared" si="298"/>
        <v>7.3021852336235085E-8</v>
      </c>
      <c r="P316" s="3">
        <f t="shared" si="298"/>
        <v>7.3021852336235019E-8</v>
      </c>
      <c r="Q316" s="3">
        <f t="shared" si="298"/>
        <v>7.302185233623437E-8</v>
      </c>
      <c r="R316" s="3">
        <f t="shared" si="298"/>
        <v>7.3021852336227792E-8</v>
      </c>
      <c r="S316" s="3">
        <f t="shared" si="298"/>
        <v>7.3021852336162081E-8</v>
      </c>
      <c r="T316" s="3">
        <f t="shared" si="298"/>
        <v>7.3021852335504969E-8</v>
      </c>
      <c r="U316" s="3">
        <f t="shared" si="298"/>
        <v>7.3021852328933767E-8</v>
      </c>
      <c r="V316" s="3">
        <f t="shared" si="298"/>
        <v>7.3021852263221798E-8</v>
      </c>
      <c r="W316" s="3">
        <f t="shared" si="298"/>
        <v>7.3021851606102094E-8</v>
      </c>
      <c r="X316" s="3">
        <f t="shared" si="298"/>
        <v>7.3021845034905404E-8</v>
      </c>
      <c r="Y316" s="3">
        <f t="shared" si="298"/>
        <v>7.3021779322971012E-8</v>
      </c>
      <c r="Z316" s="3">
        <f t="shared" si="298"/>
        <v>7.3021122206879362E-8</v>
      </c>
      <c r="AA316" s="3">
        <f t="shared" si="298"/>
        <v>7.3014551371187104E-8</v>
      </c>
      <c r="AB316" s="3">
        <f t="shared" si="298"/>
        <v>7.2948875525851259E-8</v>
      </c>
      <c r="AC316" s="3">
        <f t="shared" si="298"/>
        <v>7.2295357432087611E-8</v>
      </c>
      <c r="AD316" s="3">
        <f t="shared" si="298"/>
        <v>6.6073678126128668E-8</v>
      </c>
      <c r="AE316" s="3">
        <f t="shared" si="298"/>
        <v>2.6866384424483412E-8</v>
      </c>
      <c r="AF316" s="3">
        <f t="shared" si="298"/>
        <v>3.3190717256694594E-12</v>
      </c>
      <c r="AG316" s="3"/>
      <c r="AH316" s="3"/>
    </row>
    <row r="317" spans="1:34" x14ac:dyDescent="0.25">
      <c r="B317" s="3">
        <f t="shared" ref="B317:AF317" si="299">$C47*EXP(-B$285/$A47/EXP(-$F$126))</f>
        <v>1.1629614521313135E-6</v>
      </c>
      <c r="C317" s="3">
        <f t="shared" si="299"/>
        <v>1.1629614521313135E-6</v>
      </c>
      <c r="D317" s="3">
        <f t="shared" si="299"/>
        <v>1.1629614521313135E-6</v>
      </c>
      <c r="E317" s="3">
        <f t="shared" si="299"/>
        <v>1.1629614521313135E-6</v>
      </c>
      <c r="F317" s="3">
        <f t="shared" si="299"/>
        <v>1.1629614521313135E-6</v>
      </c>
      <c r="G317" s="3">
        <f t="shared" si="299"/>
        <v>1.1629614521313135E-6</v>
      </c>
      <c r="H317" s="3">
        <f t="shared" si="299"/>
        <v>1.1629614521313135E-6</v>
      </c>
      <c r="I317" s="3">
        <f t="shared" si="299"/>
        <v>1.1629614521313135E-6</v>
      </c>
      <c r="J317" s="3">
        <f t="shared" si="299"/>
        <v>1.1629614521313135E-6</v>
      </c>
      <c r="K317" s="3">
        <f t="shared" si="299"/>
        <v>1.1629614521313135E-6</v>
      </c>
      <c r="L317" s="3">
        <f t="shared" si="299"/>
        <v>1.1629614521313135E-6</v>
      </c>
      <c r="M317" s="3">
        <f t="shared" si="299"/>
        <v>1.1629614521313135E-6</v>
      </c>
      <c r="N317" s="3">
        <f t="shared" si="299"/>
        <v>1.1629614521313135E-6</v>
      </c>
      <c r="O317" s="3">
        <f t="shared" si="299"/>
        <v>1.1629614521313135E-6</v>
      </c>
      <c r="P317" s="3">
        <f t="shared" si="299"/>
        <v>1.1629614521313132E-6</v>
      </c>
      <c r="Q317" s="3">
        <f t="shared" si="299"/>
        <v>1.1629614521313124E-6</v>
      </c>
      <c r="R317" s="3">
        <f t="shared" si="299"/>
        <v>1.1629614521313018E-6</v>
      </c>
      <c r="S317" s="3">
        <f t="shared" si="299"/>
        <v>1.1629614521311972E-6</v>
      </c>
      <c r="T317" s="3">
        <f t="shared" si="299"/>
        <v>1.1629614521301507E-6</v>
      </c>
      <c r="U317" s="3">
        <f t="shared" si="299"/>
        <v>1.1629614521196852E-6</v>
      </c>
      <c r="V317" s="3">
        <f t="shared" si="299"/>
        <v>1.1629614520150311E-6</v>
      </c>
      <c r="W317" s="3">
        <f t="shared" si="299"/>
        <v>1.1629614509684882E-6</v>
      </c>
      <c r="X317" s="3">
        <f t="shared" si="299"/>
        <v>1.1629614405030609E-6</v>
      </c>
      <c r="Y317" s="3">
        <f t="shared" si="299"/>
        <v>1.1629613358487939E-6</v>
      </c>
      <c r="Z317" s="3">
        <f t="shared" si="299"/>
        <v>1.1629602893066394E-6</v>
      </c>
      <c r="AA317" s="3">
        <f t="shared" si="299"/>
        <v>1.1629498239368946E-6</v>
      </c>
      <c r="AB317" s="3">
        <f t="shared" si="299"/>
        <v>1.1628451754190346E-6</v>
      </c>
      <c r="AC317" s="3">
        <f t="shared" si="299"/>
        <v>1.1617992080268348E-6</v>
      </c>
      <c r="AD317" s="3">
        <f t="shared" si="299"/>
        <v>1.1513911407565346E-6</v>
      </c>
      <c r="AE317" s="3">
        <f t="shared" si="299"/>
        <v>1.0523033612924289E-6</v>
      </c>
      <c r="AF317" s="3">
        <f t="shared" si="299"/>
        <v>4.2787971606016175E-7</v>
      </c>
      <c r="AG317" s="3"/>
      <c r="AH317" s="3"/>
    </row>
    <row r="318" spans="1:34" x14ac:dyDescent="0.25">
      <c r="B318" s="3">
        <f t="shared" ref="B318:AF318" si="300">$C48*EXP(-B$285/$A48/EXP(-$F$126))</f>
        <v>4.9365030271996854E-7</v>
      </c>
      <c r="C318" s="3">
        <f t="shared" si="300"/>
        <v>4.9365030271996854E-7</v>
      </c>
      <c r="D318" s="3">
        <f t="shared" si="300"/>
        <v>4.9365030271996854E-7</v>
      </c>
      <c r="E318" s="3">
        <f t="shared" si="300"/>
        <v>4.9365030271996854E-7</v>
      </c>
      <c r="F318" s="3">
        <f t="shared" si="300"/>
        <v>4.9365030271996854E-7</v>
      </c>
      <c r="G318" s="3">
        <f t="shared" si="300"/>
        <v>4.9365030271996854E-7</v>
      </c>
      <c r="H318" s="3">
        <f t="shared" si="300"/>
        <v>4.9365030271996854E-7</v>
      </c>
      <c r="I318" s="3">
        <f t="shared" si="300"/>
        <v>4.9365030271996854E-7</v>
      </c>
      <c r="J318" s="3">
        <f t="shared" si="300"/>
        <v>4.9365030271996854E-7</v>
      </c>
      <c r="K318" s="3">
        <f t="shared" si="300"/>
        <v>4.9365030271996854E-7</v>
      </c>
      <c r="L318" s="3">
        <f t="shared" si="300"/>
        <v>4.9365030271996854E-7</v>
      </c>
      <c r="M318" s="3">
        <f t="shared" si="300"/>
        <v>4.9365030271996854E-7</v>
      </c>
      <c r="N318" s="3">
        <f t="shared" si="300"/>
        <v>4.9365030271996854E-7</v>
      </c>
      <c r="O318" s="3">
        <f t="shared" si="300"/>
        <v>4.9365030271996854E-7</v>
      </c>
      <c r="P318" s="3">
        <f t="shared" si="300"/>
        <v>4.9365030271996854E-7</v>
      </c>
      <c r="Q318" s="3">
        <f t="shared" si="300"/>
        <v>4.9365030271996844E-7</v>
      </c>
      <c r="R318" s="3">
        <f t="shared" si="300"/>
        <v>4.9365030271996801E-7</v>
      </c>
      <c r="S318" s="3">
        <f t="shared" si="300"/>
        <v>4.9365030271996357E-7</v>
      </c>
      <c r="T318" s="3">
        <f t="shared" si="300"/>
        <v>4.936503027199192E-7</v>
      </c>
      <c r="U318" s="3">
        <f t="shared" si="300"/>
        <v>4.9365030271947493E-7</v>
      </c>
      <c r="V318" s="3">
        <f t="shared" si="300"/>
        <v>4.9365030271503267E-7</v>
      </c>
      <c r="W318" s="3">
        <f t="shared" si="300"/>
        <v>4.9365030267060929E-7</v>
      </c>
      <c r="X318" s="3">
        <f t="shared" si="300"/>
        <v>4.9365030222637608E-7</v>
      </c>
      <c r="Y318" s="3">
        <f t="shared" si="300"/>
        <v>4.936502977840436E-7</v>
      </c>
      <c r="Z318" s="3">
        <f t="shared" si="300"/>
        <v>4.93650253360722E-7</v>
      </c>
      <c r="AA318" s="3">
        <f t="shared" si="300"/>
        <v>4.9364980912772502E-7</v>
      </c>
      <c r="AB318" s="3">
        <f t="shared" si="300"/>
        <v>4.9364536681974213E-7</v>
      </c>
      <c r="AC318" s="3">
        <f t="shared" si="300"/>
        <v>4.9360094593852877E-7</v>
      </c>
      <c r="AD318" s="3">
        <f t="shared" si="300"/>
        <v>4.9315695691477528E-7</v>
      </c>
      <c r="AE318" s="3">
        <f t="shared" si="300"/>
        <v>4.8873897251013554E-7</v>
      </c>
      <c r="AF318" s="3">
        <f t="shared" si="300"/>
        <v>4.4667849643961632E-7</v>
      </c>
      <c r="AG318" s="3"/>
      <c r="AH318" s="3"/>
    </row>
    <row r="319" spans="1:34" x14ac:dyDescent="0.25">
      <c r="A319" s="79">
        <f>AVERAGE(B319:AF319)</f>
        <v>1.1991826637072032E-4</v>
      </c>
      <c r="B319" s="80">
        <f>IF($A$64&lt;=B285,IF($B$64&gt;=B285,ABS((B287-B286)/B286),0),0)</f>
        <v>5.1778193198967456E-5</v>
      </c>
      <c r="C319" s="80">
        <f t="shared" ref="C319:AF319" si="301">IF($A$64&lt;=C285,IF($B$64&gt;=C285,ABS((C287-C286)/C286),0),0)</f>
        <v>4.5296282183090664E-5</v>
      </c>
      <c r="D319" s="80">
        <f t="shared" si="301"/>
        <v>4.6325025703931599E-5</v>
      </c>
      <c r="E319" s="80">
        <f t="shared" si="301"/>
        <v>2.040651675839886E-5</v>
      </c>
      <c r="F319" s="80">
        <f t="shared" si="301"/>
        <v>2.0103520052376476E-4</v>
      </c>
      <c r="G319" s="80">
        <f t="shared" si="301"/>
        <v>4.4517825767880555E-5</v>
      </c>
      <c r="H319" s="80">
        <f t="shared" si="301"/>
        <v>6.7644296365472497E-6</v>
      </c>
      <c r="I319" s="80">
        <f t="shared" si="301"/>
        <v>2.1013310442470406E-5</v>
      </c>
      <c r="J319" s="80">
        <f t="shared" si="301"/>
        <v>5.3666805008742518E-5</v>
      </c>
      <c r="K319" s="80">
        <f t="shared" si="301"/>
        <v>1.0295167797745228E-4</v>
      </c>
      <c r="L319" s="80">
        <f t="shared" si="301"/>
        <v>1.8232757904908996E-4</v>
      </c>
      <c r="M319" s="80">
        <f t="shared" si="301"/>
        <v>2.5972999729396068E-4</v>
      </c>
      <c r="N319" s="80">
        <f t="shared" si="301"/>
        <v>3.3079464959780668E-4</v>
      </c>
      <c r="O319" s="80">
        <f t="shared" si="301"/>
        <v>3.4088089840205772E-4</v>
      </c>
      <c r="P319" s="80">
        <f t="shared" si="301"/>
        <v>3.1537395451602772E-4</v>
      </c>
      <c r="Q319" s="80">
        <f t="shared" si="301"/>
        <v>2.4495896422677078E-4</v>
      </c>
      <c r="R319" s="80">
        <f t="shared" si="301"/>
        <v>1.8842862107677498E-4</v>
      </c>
      <c r="S319" s="80">
        <f t="shared" si="301"/>
        <v>1.0715973711795955E-4</v>
      </c>
      <c r="T319" s="80">
        <f t="shared" si="301"/>
        <v>8.105220983401004E-5</v>
      </c>
      <c r="U319" s="80">
        <f t="shared" si="301"/>
        <v>7.8380803483707334E-6</v>
      </c>
      <c r="V319" s="80">
        <f t="shared" si="301"/>
        <v>1.266290299064302E-5</v>
      </c>
      <c r="W319" s="80">
        <f t="shared" si="301"/>
        <v>3.3278826230809595E-5</v>
      </c>
      <c r="X319" s="80">
        <f t="shared" si="301"/>
        <v>4.5373802311387114E-5</v>
      </c>
      <c r="Y319" s="80">
        <f t="shared" si="301"/>
        <v>1.1676718709768515E-4</v>
      </c>
      <c r="Z319" s="80">
        <f t="shared" si="301"/>
        <v>3.411981883021458E-6</v>
      </c>
      <c r="AA319" s="80">
        <f t="shared" si="301"/>
        <v>1.9156750619861657E-4</v>
      </c>
      <c r="AB319" s="80">
        <f t="shared" si="301"/>
        <v>2.1963133440515954E-4</v>
      </c>
      <c r="AC319" s="80">
        <f t="shared" si="301"/>
        <v>2.5581566121553599E-4</v>
      </c>
      <c r="AD319" s="80">
        <f t="shared" si="301"/>
        <v>5.9056390808318912E-5</v>
      </c>
      <c r="AE319" s="80">
        <f t="shared" si="301"/>
        <v>5.3428156024000229E-5</v>
      </c>
      <c r="AF319" s="80">
        <f t="shared" si="301"/>
        <v>7.417254966307758E-5</v>
      </c>
    </row>
    <row r="320" spans="1:34" x14ac:dyDescent="0.25">
      <c r="B320" s="21">
        <f>(B287-B286)^2</f>
        <v>9.3853753150222069E-2</v>
      </c>
      <c r="C320" s="21">
        <f t="shared" ref="C320:AF320" si="302">(C287-C286)^2</f>
        <v>7.1826970406502016E-2</v>
      </c>
      <c r="D320" s="21">
        <f t="shared" si="302"/>
        <v>7.5124623709455149E-2</v>
      </c>
      <c r="E320" s="21">
        <f t="shared" si="302"/>
        <v>1.4574919455070346E-2</v>
      </c>
      <c r="F320" s="21">
        <f t="shared" si="302"/>
        <v>1.4119230481817222</v>
      </c>
      <c r="G320" s="21">
        <f t="shared" si="302"/>
        <v>6.8172630262626877E-2</v>
      </c>
      <c r="H320" s="21">
        <f t="shared" si="302"/>
        <v>1.4984083922795885E-3</v>
      </c>
      <c r="I320" s="21">
        <f t="shared" si="302"/>
        <v>1.373361304790254E-2</v>
      </c>
      <c r="J320" s="21">
        <f t="shared" si="302"/>
        <v>8.4313697990495012E-2</v>
      </c>
      <c r="K320" s="21">
        <f t="shared" si="302"/>
        <v>0.2883787730104963</v>
      </c>
      <c r="L320" s="21">
        <f t="shared" si="302"/>
        <v>0.8372367837136947</v>
      </c>
      <c r="M320" s="21">
        <f t="shared" si="302"/>
        <v>1.5357353884915994</v>
      </c>
      <c r="N320" s="21">
        <f t="shared" si="302"/>
        <v>2.2180848673680407</v>
      </c>
      <c r="O320" s="21">
        <f t="shared" si="302"/>
        <v>2.088887096637877</v>
      </c>
      <c r="P320" s="21">
        <f t="shared" si="302"/>
        <v>1.5585125068404202</v>
      </c>
      <c r="Q320" s="21">
        <f t="shared" si="302"/>
        <v>0.80369837279893941</v>
      </c>
      <c r="R320" s="21">
        <f t="shared" si="302"/>
        <v>0.37922010765202163</v>
      </c>
      <c r="S320" s="21">
        <f t="shared" si="302"/>
        <v>8.8043732244060771E-2</v>
      </c>
      <c r="T320" s="21">
        <f t="shared" si="302"/>
        <v>3.1929220980969147E-2</v>
      </c>
      <c r="U320" s="21">
        <f t="shared" si="302"/>
        <v>1.5462313801038112E-4</v>
      </c>
      <c r="V320" s="21">
        <f t="shared" si="302"/>
        <v>1.6035658376388137E-4</v>
      </c>
      <c r="W320" s="21">
        <f t="shared" si="302"/>
        <v>3.6744380404874117E-4</v>
      </c>
      <c r="X320" s="21">
        <f t="shared" si="302"/>
        <v>2.1319780241149869E-4</v>
      </c>
      <c r="Y320" s="21">
        <f t="shared" si="302"/>
        <v>4.8137651837972716E-4</v>
      </c>
      <c r="Z320" s="21">
        <f t="shared" si="302"/>
        <v>2.4925694421908547E-7</v>
      </c>
      <c r="AA320" s="21">
        <f t="shared" si="302"/>
        <v>6.4598981928347637E-4</v>
      </c>
      <c r="AB320" s="21">
        <f t="shared" si="302"/>
        <v>7.428152974137595E-4</v>
      </c>
      <c r="AC320" s="21">
        <f t="shared" si="302"/>
        <v>1.0057797982402589E-3</v>
      </c>
      <c r="AD320" s="21">
        <f t="shared" si="302"/>
        <v>5.3600434263933822E-5</v>
      </c>
      <c r="AE320" s="21">
        <f t="shared" si="302"/>
        <v>4.3869533763507334E-5</v>
      </c>
      <c r="AF320" s="21">
        <f t="shared" si="302"/>
        <v>8.4547013519132146E-5</v>
      </c>
      <c r="AG320" s="3"/>
      <c r="AH320" s="3"/>
    </row>
    <row r="321" spans="1:34" x14ac:dyDescent="0.25">
      <c r="A321" s="71">
        <f>SUM(B321:AF321)</f>
        <v>11.668702363334436</v>
      </c>
      <c r="B321" s="60">
        <f>IF($A$64&lt;=B285,IF($B$64&gt;=B285,ABS(B320),0),0)</f>
        <v>9.3853753150222069E-2</v>
      </c>
      <c r="C321" s="60">
        <f t="shared" ref="C321" si="303">IF($A$64&lt;=C285,IF($B$64&gt;=C285,ABS(C320),0),0)</f>
        <v>7.1826970406502016E-2</v>
      </c>
      <c r="D321" s="60">
        <f t="shared" ref="D321" si="304">IF($A$64&lt;=D285,IF($B$64&gt;=D285,ABS(D320),0),0)</f>
        <v>7.5124623709455149E-2</v>
      </c>
      <c r="E321" s="60">
        <f t="shared" ref="E321" si="305">IF($A$64&lt;=E285,IF($B$64&gt;=E285,ABS(E320),0),0)</f>
        <v>1.4574919455070346E-2</v>
      </c>
      <c r="F321" s="60">
        <f t="shared" ref="F321" si="306">IF($A$64&lt;=F285,IF($B$64&gt;=F285,ABS(F320),0),0)</f>
        <v>1.4119230481817222</v>
      </c>
      <c r="G321" s="60">
        <f t="shared" ref="G321" si="307">IF($A$64&lt;=G285,IF($B$64&gt;=G285,ABS(G320),0),0)</f>
        <v>6.8172630262626877E-2</v>
      </c>
      <c r="H321" s="60">
        <f t="shared" ref="H321" si="308">IF($A$64&lt;=H285,IF($B$64&gt;=H285,ABS(H320),0),0)</f>
        <v>1.4984083922795885E-3</v>
      </c>
      <c r="I321" s="60">
        <f t="shared" ref="I321" si="309">IF($A$64&lt;=I285,IF($B$64&gt;=I285,ABS(I320),0),0)</f>
        <v>1.373361304790254E-2</v>
      </c>
      <c r="J321" s="60">
        <f t="shared" ref="J321" si="310">IF($A$64&lt;=J285,IF($B$64&gt;=J285,ABS(J320),0),0)</f>
        <v>8.4313697990495012E-2</v>
      </c>
      <c r="K321" s="60">
        <f t="shared" ref="K321" si="311">IF($A$64&lt;=K285,IF($B$64&gt;=K285,ABS(K320),0),0)</f>
        <v>0.2883787730104963</v>
      </c>
      <c r="L321" s="60">
        <f t="shared" ref="L321" si="312">IF($A$64&lt;=L285,IF($B$64&gt;=L285,ABS(L320),0),0)</f>
        <v>0.8372367837136947</v>
      </c>
      <c r="M321" s="60">
        <f t="shared" ref="M321" si="313">IF($A$64&lt;=M285,IF($B$64&gt;=M285,ABS(M320),0),0)</f>
        <v>1.5357353884915994</v>
      </c>
      <c r="N321" s="60">
        <f t="shared" ref="N321" si="314">IF($A$64&lt;=N285,IF($B$64&gt;=N285,ABS(N320),0),0)</f>
        <v>2.2180848673680407</v>
      </c>
      <c r="O321" s="60">
        <f t="shared" ref="O321" si="315">IF($A$64&lt;=O285,IF($B$64&gt;=O285,ABS(O320),0),0)</f>
        <v>2.088887096637877</v>
      </c>
      <c r="P321" s="60">
        <f t="shared" ref="P321" si="316">IF($A$64&lt;=P285,IF($B$64&gt;=P285,ABS(P320),0),0)</f>
        <v>1.5585125068404202</v>
      </c>
      <c r="Q321" s="60">
        <f t="shared" ref="Q321" si="317">IF($A$64&lt;=Q285,IF($B$64&gt;=Q285,ABS(Q320),0),0)</f>
        <v>0.80369837279893941</v>
      </c>
      <c r="R321" s="60">
        <f t="shared" ref="R321" si="318">IF($A$64&lt;=R285,IF($B$64&gt;=R285,ABS(R320),0),0)</f>
        <v>0.37922010765202163</v>
      </c>
      <c r="S321" s="60">
        <f t="shared" ref="S321" si="319">IF($A$64&lt;=S285,IF($B$64&gt;=S285,ABS(S320),0),0)</f>
        <v>8.8043732244060771E-2</v>
      </c>
      <c r="T321" s="60">
        <f t="shared" ref="T321" si="320">IF($A$64&lt;=T285,IF($B$64&gt;=T285,ABS(T320),0),0)</f>
        <v>3.1929220980969147E-2</v>
      </c>
      <c r="U321" s="60">
        <f t="shared" ref="U321" si="321">IF($A$64&lt;=U285,IF($B$64&gt;=U285,ABS(U320),0),0)</f>
        <v>1.5462313801038112E-4</v>
      </c>
      <c r="V321" s="60">
        <f t="shared" ref="V321" si="322">IF($A$64&lt;=V285,IF($B$64&gt;=V285,ABS(V320),0),0)</f>
        <v>1.6035658376388137E-4</v>
      </c>
      <c r="W321" s="60">
        <f t="shared" ref="W321" si="323">IF($A$64&lt;=W285,IF($B$64&gt;=W285,ABS(W320),0),0)</f>
        <v>3.6744380404874117E-4</v>
      </c>
      <c r="X321" s="60">
        <f t="shared" ref="X321" si="324">IF($A$64&lt;=X285,IF($B$64&gt;=X285,ABS(X320),0),0)</f>
        <v>2.1319780241149869E-4</v>
      </c>
      <c r="Y321" s="60">
        <f t="shared" ref="Y321" si="325">IF($A$64&lt;=Y285,IF($B$64&gt;=Y285,ABS(Y320),0),0)</f>
        <v>4.8137651837972716E-4</v>
      </c>
      <c r="Z321" s="60">
        <f t="shared" ref="Z321" si="326">IF($A$64&lt;=Z285,IF($B$64&gt;=Z285,ABS(Z320),0),0)</f>
        <v>2.4925694421908547E-7</v>
      </c>
      <c r="AA321" s="60">
        <f t="shared" ref="AA321" si="327">IF($A$64&lt;=AA285,IF($B$64&gt;=AA285,ABS(AA320),0),0)</f>
        <v>6.4598981928347637E-4</v>
      </c>
      <c r="AB321" s="60">
        <f t="shared" ref="AB321" si="328">IF($A$64&lt;=AB285,IF($B$64&gt;=AB285,ABS(AB320),0),0)</f>
        <v>7.428152974137595E-4</v>
      </c>
      <c r="AC321" s="60">
        <f t="shared" ref="AC321" si="329">IF($A$64&lt;=AC285,IF($B$64&gt;=AC285,ABS(AC320),0),0)</f>
        <v>1.0057797982402589E-3</v>
      </c>
      <c r="AD321" s="60">
        <f t="shared" ref="AD321" si="330">IF($A$64&lt;=AD285,IF($B$64&gt;=AD285,ABS(AD320),0),0)</f>
        <v>5.3600434263933822E-5</v>
      </c>
      <c r="AE321" s="60">
        <f t="shared" ref="AE321" si="331">IF($A$64&lt;=AE285,IF($B$64&gt;=AE285,ABS(AE320),0),0)</f>
        <v>4.3869533763507334E-5</v>
      </c>
      <c r="AF321" s="60">
        <f t="shared" ref="AF321" si="332">IF($A$64&lt;=AF285,IF($B$64&gt;=AF285,ABS(AF320),0),0)</f>
        <v>8.4547013519132146E-5</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7" t="s">
        <v>22</v>
      </c>
      <c r="B326" s="27">
        <f>($C$17+SUM(B327:B357))*$B$51</f>
        <v>5308.8719928110495</v>
      </c>
      <c r="C326" s="27">
        <f t="shared" ref="C326:AF326" si="333">($C$17+SUM(C327:C357))*$B$51</f>
        <v>5106.1155717481925</v>
      </c>
      <c r="D326" s="27">
        <f t="shared" si="333"/>
        <v>4892.9811333693415</v>
      </c>
      <c r="E326" s="27">
        <f t="shared" si="333"/>
        <v>4611.0401764598173</v>
      </c>
      <c r="F326" s="27">
        <f t="shared" si="333"/>
        <v>4353.7424201250633</v>
      </c>
      <c r="G326" s="27">
        <f t="shared" si="333"/>
        <v>4073.4532703768555</v>
      </c>
      <c r="H326" s="27">
        <f t="shared" si="333"/>
        <v>3789.7829555484955</v>
      </c>
      <c r="I326" s="27">
        <f t="shared" si="333"/>
        <v>3447.5042309291011</v>
      </c>
      <c r="J326" s="27">
        <f t="shared" si="333"/>
        <v>2981.2400544444617</v>
      </c>
      <c r="K326" s="27">
        <f t="shared" si="333"/>
        <v>2448.0717270756841</v>
      </c>
      <c r="L326" s="27">
        <f t="shared" si="333"/>
        <v>1849.0035561848861</v>
      </c>
      <c r="M326" s="27">
        <f t="shared" si="333"/>
        <v>1240.6860402340867</v>
      </c>
      <c r="N326" s="27">
        <f t="shared" si="333"/>
        <v>742.66499547374815</v>
      </c>
      <c r="O326" s="27">
        <f t="shared" si="333"/>
        <v>442.4487423263156</v>
      </c>
      <c r="P326" s="27">
        <f t="shared" si="333"/>
        <v>228.36164791655409</v>
      </c>
      <c r="Q326" s="27">
        <f t="shared" si="333"/>
        <v>151.64566361873162</v>
      </c>
      <c r="R326" s="27">
        <f t="shared" si="333"/>
        <v>140.5994841901514</v>
      </c>
      <c r="S326" s="27">
        <f t="shared" si="333"/>
        <v>124.74702838532093</v>
      </c>
      <c r="T326" s="27">
        <f t="shared" si="333"/>
        <v>124.04095057749836</v>
      </c>
      <c r="U326" s="27">
        <f t="shared" si="333"/>
        <v>123.9662510547563</v>
      </c>
      <c r="V326" s="27">
        <f t="shared" si="333"/>
        <v>123.96246038683394</v>
      </c>
      <c r="W326" s="27">
        <f t="shared" si="333"/>
        <v>123.96024692961629</v>
      </c>
      <c r="X326" s="27">
        <f t="shared" si="333"/>
        <v>123.95482368681006</v>
      </c>
      <c r="Y326" s="27">
        <f t="shared" si="333"/>
        <v>123.95265612988601</v>
      </c>
      <c r="Z326" s="27">
        <f t="shared" si="333"/>
        <v>123.95257182050928</v>
      </c>
      <c r="AA326" s="27">
        <f t="shared" si="333"/>
        <v>123.95257182050928</v>
      </c>
      <c r="AB326" s="27">
        <f t="shared" si="333"/>
        <v>123.95257182050928</v>
      </c>
      <c r="AC326" s="27">
        <f t="shared" si="333"/>
        <v>123.95257182050928</v>
      </c>
      <c r="AD326" s="27">
        <f t="shared" si="333"/>
        <v>123.95257182050928</v>
      </c>
      <c r="AE326" s="27">
        <f t="shared" si="333"/>
        <v>123.95257182050928</v>
      </c>
      <c r="AF326" s="27">
        <f t="shared" si="333"/>
        <v>123.95257182050928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1.4251127085508807E-263</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6.2680116285531626E-26</v>
      </c>
      <c r="C333" s="3">
        <f t="shared" si="340"/>
        <v>4.279797609247855E-238</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2.2536231715144977E-4</v>
      </c>
      <c r="C334" s="3">
        <f t="shared" si="341"/>
        <v>1.6359480893474858E-23</v>
      </c>
      <c r="D334" s="3">
        <f t="shared" si="341"/>
        <v>6.6473984836676147E-215</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2.3648296412590725E-2</v>
      </c>
      <c r="C335" s="3">
        <f t="shared" si="342"/>
        <v>4.4390777898023687E-4</v>
      </c>
      <c r="D335" s="3">
        <f t="shared" si="342"/>
        <v>2.4111360079811715E-21</v>
      </c>
      <c r="E335" s="3">
        <f t="shared" si="342"/>
        <v>5.3890379432493898E-194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2.974916026197217E-2</v>
      </c>
      <c r="C336" s="3">
        <f t="shared" si="343"/>
        <v>2.0784013091617398E-2</v>
      </c>
      <c r="D336" s="3">
        <f t="shared" si="343"/>
        <v>5.7580624040713647E-4</v>
      </c>
      <c r="E336" s="3">
        <f t="shared" si="343"/>
        <v>1.5337195998957684E-19</v>
      </c>
      <c r="F336" s="3">
        <f t="shared" si="343"/>
        <v>2.7570330385193618E-175</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5.1968815487824518E-2</v>
      </c>
      <c r="C337" s="3">
        <f t="shared" si="344"/>
        <v>5.0314515619936634E-2</v>
      </c>
      <c r="D337" s="3">
        <f t="shared" si="344"/>
        <v>3.6408105009508855E-2</v>
      </c>
      <c r="E337" s="3">
        <f t="shared" si="344"/>
        <v>1.4329989277739284E-3</v>
      </c>
      <c r="F337" s="3">
        <f t="shared" si="344"/>
        <v>1.2785678176781792E-17</v>
      </c>
      <c r="G337" s="3">
        <f t="shared" si="344"/>
        <v>4.0879238974324837E-158</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4.3146716929590712E-2</v>
      </c>
      <c r="C338" s="3">
        <f t="shared" si="345"/>
        <v>4.3020987180458013E-2</v>
      </c>
      <c r="D338" s="3">
        <f t="shared" si="345"/>
        <v>4.1783665295032878E-2</v>
      </c>
      <c r="E338" s="3">
        <f t="shared" si="345"/>
        <v>3.1208159474875739E-2</v>
      </c>
      <c r="F338" s="3">
        <f t="shared" si="345"/>
        <v>1.6861040931933113E-3</v>
      </c>
      <c r="G338" s="3">
        <f t="shared" si="345"/>
        <v>3.5731121183071499E-16</v>
      </c>
      <c r="H338" s="3">
        <f t="shared" si="345"/>
        <v>6.5263333912243367E-143</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4.976121729324872E-2</v>
      </c>
      <c r="C339" s="3">
        <f t="shared" si="346"/>
        <v>4.9748119315296525E-2</v>
      </c>
      <c r="D339" s="3">
        <f t="shared" si="346"/>
        <v>4.9617329004401738E-2</v>
      </c>
      <c r="E339" s="3">
        <f t="shared" si="346"/>
        <v>4.8328189502433623E-2</v>
      </c>
      <c r="F339" s="3">
        <f t="shared" si="346"/>
        <v>3.7142571293717175E-2</v>
      </c>
      <c r="G339" s="3">
        <f t="shared" si="346"/>
        <v>2.6704617723393117E-3</v>
      </c>
      <c r="H339" s="3">
        <f t="shared" si="346"/>
        <v>9.85667332691715E-15</v>
      </c>
      <c r="I339" s="3">
        <f t="shared" si="346"/>
        <v>4.6256241490482681E-129</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4.742017268693248E-2</v>
      </c>
      <c r="C340" s="3">
        <f t="shared" si="347"/>
        <v>4.7419046592042623E-2</v>
      </c>
      <c r="D340" s="3">
        <f t="shared" si="347"/>
        <v>4.7407787113825386E-2</v>
      </c>
      <c r="E340" s="3">
        <f t="shared" si="347"/>
        <v>4.7295339270650896E-2</v>
      </c>
      <c r="F340" s="3">
        <f t="shared" si="347"/>
        <v>4.6185426445919574E-2</v>
      </c>
      <c r="G340" s="3">
        <f t="shared" si="347"/>
        <v>3.6422611846651104E-2</v>
      </c>
      <c r="H340" s="3">
        <f t="shared" si="347"/>
        <v>3.3886940648938887E-3</v>
      </c>
      <c r="I340" s="3">
        <f t="shared" si="347"/>
        <v>1.6468161829184391E-13</v>
      </c>
      <c r="J340" s="3">
        <f t="shared" si="347"/>
        <v>1.2099648849622645E-116</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5.5060694753192703E-2</v>
      </c>
      <c r="C341" s="3">
        <f t="shared" si="348"/>
        <v>5.5060576801323959E-2</v>
      </c>
      <c r="D341" s="3">
        <f t="shared" si="348"/>
        <v>5.5059397296533724E-2</v>
      </c>
      <c r="E341" s="3">
        <f t="shared" si="348"/>
        <v>5.5047603638243042E-2</v>
      </c>
      <c r="F341" s="3">
        <f t="shared" si="348"/>
        <v>5.4929805906419077E-2</v>
      </c>
      <c r="G341" s="3">
        <f t="shared" si="348"/>
        <v>5.3765604268035908E-2</v>
      </c>
      <c r="H341" s="3">
        <f t="shared" si="348"/>
        <v>4.3397948328762613E-2</v>
      </c>
      <c r="I341" s="3">
        <f t="shared" si="348"/>
        <v>5.094667796327881E-3</v>
      </c>
      <c r="J341" s="3">
        <f t="shared" si="348"/>
        <v>2.5326932482179444E-12</v>
      </c>
      <c r="K341" s="3">
        <f t="shared" si="348"/>
        <v>2.334800688459627E-105</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8.2774015025826778E-2</v>
      </c>
      <c r="C342" s="3">
        <f t="shared" si="349"/>
        <v>8.2773999030092735E-2</v>
      </c>
      <c r="D342" s="3">
        <f t="shared" si="349"/>
        <v>8.2773839072922309E-2</v>
      </c>
      <c r="E342" s="3">
        <f t="shared" si="349"/>
        <v>8.2772239518219118E-2</v>
      </c>
      <c r="F342" s="3">
        <f t="shared" si="349"/>
        <v>8.2756245671162368E-2</v>
      </c>
      <c r="G342" s="3">
        <f t="shared" si="349"/>
        <v>8.2596477076636546E-2</v>
      </c>
      <c r="H342" s="3">
        <f t="shared" si="349"/>
        <v>8.101565789783588E-2</v>
      </c>
      <c r="I342" s="3">
        <f t="shared" si="349"/>
        <v>6.6779529231920917E-2</v>
      </c>
      <c r="J342" s="3">
        <f t="shared" si="349"/>
        <v>9.6691267543866435E-3</v>
      </c>
      <c r="K342" s="3">
        <f t="shared" si="349"/>
        <v>3.9158518928680405E-11</v>
      </c>
      <c r="L342" s="3">
        <f t="shared" si="349"/>
        <v>4.6474667976228198E-95</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9.2826583131745272E-2</v>
      </c>
      <c r="C343" s="3">
        <f t="shared" si="350"/>
        <v>9.2826581513556633E-2</v>
      </c>
      <c r="D343" s="3">
        <f t="shared" si="350"/>
        <v>9.2826565331671843E-2</v>
      </c>
      <c r="E343" s="3">
        <f t="shared" si="350"/>
        <v>9.2826403512978911E-2</v>
      </c>
      <c r="F343" s="3">
        <f t="shared" si="350"/>
        <v>9.2824785341564436E-2</v>
      </c>
      <c r="G343" s="3">
        <f t="shared" si="350"/>
        <v>9.2808605178797313E-2</v>
      </c>
      <c r="H343" s="3">
        <f t="shared" si="350"/>
        <v>9.2646958588864375E-2</v>
      </c>
      <c r="I343" s="3">
        <f t="shared" si="350"/>
        <v>9.1045896928879877E-2</v>
      </c>
      <c r="J343" s="3">
        <f t="shared" si="350"/>
        <v>7.6480813115366308E-2</v>
      </c>
      <c r="K343" s="3">
        <f t="shared" si="350"/>
        <v>1.3380541067731703E-2</v>
      </c>
      <c r="L343" s="3">
        <f t="shared" si="350"/>
        <v>3.5948888164043723E-10</v>
      </c>
      <c r="M343" s="3">
        <f t="shared" si="350"/>
        <v>7.0437403667817813E-86</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0.10795546606899348</v>
      </c>
      <c r="C344" s="3">
        <f t="shared" si="351"/>
        <v>0.10795546589922853</v>
      </c>
      <c r="D344" s="3">
        <f t="shared" si="351"/>
        <v>0.10795546420157912</v>
      </c>
      <c r="E344" s="3">
        <f t="shared" si="351"/>
        <v>0.10795544722508638</v>
      </c>
      <c r="F344" s="3">
        <f t="shared" si="351"/>
        <v>0.10795527746030587</v>
      </c>
      <c r="G344" s="3">
        <f t="shared" si="351"/>
        <v>0.10795357982718359</v>
      </c>
      <c r="H344" s="3">
        <f t="shared" si="351"/>
        <v>0.10793660496416352</v>
      </c>
      <c r="I344" s="3">
        <f t="shared" si="351"/>
        <v>0.10776700306883755</v>
      </c>
      <c r="J344" s="3">
        <f t="shared" si="351"/>
        <v>0.10608557258446966</v>
      </c>
      <c r="K344" s="3">
        <f t="shared" si="351"/>
        <v>9.0648686764221262E-2</v>
      </c>
      <c r="L344" s="3">
        <f t="shared" si="351"/>
        <v>1.8811067298815407E-2</v>
      </c>
      <c r="M344" s="3">
        <f t="shared" si="351"/>
        <v>2.7856890734202788E-9</v>
      </c>
      <c r="N344" s="3">
        <f t="shared" si="351"/>
        <v>1.4129431107494711E-77</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0.11222824358820363</v>
      </c>
      <c r="C345" s="3">
        <f t="shared" si="352"/>
        <v>0.1122282435722833</v>
      </c>
      <c r="D345" s="3">
        <f t="shared" si="352"/>
        <v>0.11222824341307996</v>
      </c>
      <c r="E345" s="3">
        <f t="shared" si="352"/>
        <v>0.11222824182104674</v>
      </c>
      <c r="F345" s="3">
        <f t="shared" si="352"/>
        <v>0.1122282259007156</v>
      </c>
      <c r="G345" s="3">
        <f t="shared" si="352"/>
        <v>0.11222806669752858</v>
      </c>
      <c r="H345" s="3">
        <f t="shared" si="352"/>
        <v>0.11222647467807954</v>
      </c>
      <c r="I345" s="3">
        <f t="shared" si="352"/>
        <v>0.11221055572564032</v>
      </c>
      <c r="J345" s="3">
        <f t="shared" si="352"/>
        <v>0.11205149034119112</v>
      </c>
      <c r="K345" s="3">
        <f t="shared" si="352"/>
        <v>0.11047318558020411</v>
      </c>
      <c r="L345" s="3">
        <f t="shared" si="352"/>
        <v>9.5862616604993844E-2</v>
      </c>
      <c r="M345" s="3">
        <f t="shared" si="352"/>
        <v>2.3204557732642041E-2</v>
      </c>
      <c r="N345" s="3">
        <f t="shared" si="352"/>
        <v>1.6025569018741963E-8</v>
      </c>
      <c r="O345" s="3">
        <f t="shared" si="352"/>
        <v>3.9556248289801483E-70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8.9690702482010082E-2</v>
      </c>
      <c r="C346" s="3">
        <f t="shared" si="353"/>
        <v>8.9690702480862333E-2</v>
      </c>
      <c r="D346" s="3">
        <f t="shared" si="353"/>
        <v>8.9690702469384931E-2</v>
      </c>
      <c r="E346" s="3">
        <f t="shared" si="353"/>
        <v>8.9690702354610796E-2</v>
      </c>
      <c r="F346" s="3">
        <f t="shared" si="353"/>
        <v>8.9690701206869575E-2</v>
      </c>
      <c r="G346" s="3">
        <f t="shared" si="353"/>
        <v>8.9690689729458137E-2</v>
      </c>
      <c r="H346" s="3">
        <f t="shared" si="353"/>
        <v>8.969057495542454E-2</v>
      </c>
      <c r="I346" s="3">
        <f t="shared" si="353"/>
        <v>8.9689427223166543E-2</v>
      </c>
      <c r="J346" s="3">
        <f t="shared" si="353"/>
        <v>8.9677950708342974E-2</v>
      </c>
      <c r="K346" s="3">
        <f t="shared" si="353"/>
        <v>8.9563266297510685E-2</v>
      </c>
      <c r="L346" s="3">
        <f t="shared" si="353"/>
        <v>8.8424457832791251E-2</v>
      </c>
      <c r="M346" s="3">
        <f t="shared" si="353"/>
        <v>7.7803158264970362E-2</v>
      </c>
      <c r="N346" s="3">
        <f t="shared" si="353"/>
        <v>2.1639411061797318E-2</v>
      </c>
      <c r="O346" s="3">
        <f t="shared" si="353"/>
        <v>5.9941490585882444E-8</v>
      </c>
      <c r="P346" s="3">
        <f t="shared" si="353"/>
        <v>1.5942211081961997E-63</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3.2601994192636763E-2</v>
      </c>
      <c r="C347" s="3">
        <f t="shared" si="354"/>
        <v>3.2601994192599126E-2</v>
      </c>
      <c r="D347" s="3">
        <f t="shared" si="354"/>
        <v>3.2601994192222775E-2</v>
      </c>
      <c r="E347" s="3">
        <f t="shared" si="354"/>
        <v>3.260199418845932E-2</v>
      </c>
      <c r="F347" s="3">
        <f t="shared" si="354"/>
        <v>3.2601994150824716E-2</v>
      </c>
      <c r="G347" s="3">
        <f t="shared" si="354"/>
        <v>3.2601993774478706E-2</v>
      </c>
      <c r="H347" s="3">
        <f t="shared" si="354"/>
        <v>3.2601990011018878E-2</v>
      </c>
      <c r="I347" s="3">
        <f t="shared" si="354"/>
        <v>3.2601952376444483E-2</v>
      </c>
      <c r="J347" s="3">
        <f t="shared" si="354"/>
        <v>3.2601576033089934E-2</v>
      </c>
      <c r="K347" s="3">
        <f t="shared" si="354"/>
        <v>3.259781283847546E-2</v>
      </c>
      <c r="L347" s="3">
        <f t="shared" si="354"/>
        <v>3.2560204775231152E-2</v>
      </c>
      <c r="M347" s="3">
        <f t="shared" si="354"/>
        <v>3.2186502263507971E-2</v>
      </c>
      <c r="N347" s="3">
        <f t="shared" si="354"/>
        <v>2.8677437981519591E-2</v>
      </c>
      <c r="O347" s="3">
        <f t="shared" si="354"/>
        <v>9.0407820718244776E-3</v>
      </c>
      <c r="P347" s="3">
        <f t="shared" si="354"/>
        <v>8.7672323302267995E-8</v>
      </c>
      <c r="Q347" s="3">
        <f t="shared" si="354"/>
        <v>6.4480391086195703E-58</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3.335353654623989E-2</v>
      </c>
      <c r="C348" s="3">
        <f t="shared" si="355"/>
        <v>3.3353536546229245E-2</v>
      </c>
      <c r="D348" s="3">
        <f t="shared" si="355"/>
        <v>3.3353536546122761E-2</v>
      </c>
      <c r="E348" s="3">
        <f t="shared" si="355"/>
        <v>3.3353536545057884E-2</v>
      </c>
      <c r="F348" s="3">
        <f t="shared" si="355"/>
        <v>3.3353536534409152E-2</v>
      </c>
      <c r="G348" s="3">
        <f t="shared" si="355"/>
        <v>3.3353536427921833E-2</v>
      </c>
      <c r="H348" s="3">
        <f t="shared" si="355"/>
        <v>3.3353535363048643E-2</v>
      </c>
      <c r="I348" s="3">
        <f t="shared" si="355"/>
        <v>3.3353524714318614E-2</v>
      </c>
      <c r="J348" s="3">
        <f t="shared" si="355"/>
        <v>3.3353418227205368E-2</v>
      </c>
      <c r="K348" s="3">
        <f t="shared" si="355"/>
        <v>3.33523533747715E-2</v>
      </c>
      <c r="L348" s="3">
        <f t="shared" si="355"/>
        <v>3.3341706720079828E-2</v>
      </c>
      <c r="M348" s="3">
        <f t="shared" si="355"/>
        <v>3.3235426917184251E-2</v>
      </c>
      <c r="N348" s="3">
        <f t="shared" si="355"/>
        <v>3.2191084562132405E-2</v>
      </c>
      <c r="O348" s="3">
        <f t="shared" si="355"/>
        <v>2.339263154790085E-2</v>
      </c>
      <c r="P348" s="3">
        <f t="shared" si="355"/>
        <v>9.605363291267995E-4</v>
      </c>
      <c r="Q348" s="3">
        <f t="shared" si="355"/>
        <v>1.3087628052519233E-17</v>
      </c>
      <c r="R348" s="3">
        <f t="shared" si="355"/>
        <v>2.8862399305128129E-156</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1.7436587013509159E-2</v>
      </c>
      <c r="C349" s="3">
        <f t="shared" si="356"/>
        <v>1.74365870135086E-2</v>
      </c>
      <c r="D349" s="3">
        <f t="shared" si="356"/>
        <v>1.7436587013503035E-2</v>
      </c>
      <c r="E349" s="3">
        <f t="shared" si="356"/>
        <v>1.7436587013447368E-2</v>
      </c>
      <c r="F349" s="3">
        <f t="shared" si="356"/>
        <v>1.7436587012890671E-2</v>
      </c>
      <c r="G349" s="3">
        <f t="shared" si="356"/>
        <v>1.7436587007323721E-2</v>
      </c>
      <c r="H349" s="3">
        <f t="shared" si="356"/>
        <v>1.7436586951654197E-2</v>
      </c>
      <c r="I349" s="3">
        <f t="shared" si="356"/>
        <v>1.7436586394958986E-2</v>
      </c>
      <c r="J349" s="3">
        <f t="shared" si="356"/>
        <v>1.7436580828007867E-2</v>
      </c>
      <c r="K349" s="3">
        <f t="shared" si="356"/>
        <v>1.7436525158594417E-2</v>
      </c>
      <c r="L349" s="3">
        <f t="shared" si="356"/>
        <v>1.7435968474235206E-2</v>
      </c>
      <c r="M349" s="3">
        <f t="shared" si="356"/>
        <v>1.7430402608058563E-2</v>
      </c>
      <c r="N349" s="3">
        <f t="shared" si="356"/>
        <v>1.7374841572472485E-2</v>
      </c>
      <c r="O349" s="3">
        <f t="shared" si="356"/>
        <v>1.6828879487746962E-2</v>
      </c>
      <c r="P349" s="3">
        <f t="shared" si="356"/>
        <v>1.2229217579204589E-2</v>
      </c>
      <c r="Q349" s="3">
        <f t="shared" si="356"/>
        <v>5.0214990722906457E-4</v>
      </c>
      <c r="R349" s="3">
        <f t="shared" si="356"/>
        <v>6.8419600728641249E-18</v>
      </c>
      <c r="S349" s="3">
        <f t="shared" si="356"/>
        <v>1.5088706896337566E-156</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4.7217849635186393E-4</v>
      </c>
      <c r="C350" s="3">
        <f t="shared" si="357"/>
        <v>4.7217849635186241E-4</v>
      </c>
      <c r="D350" s="3">
        <f t="shared" si="357"/>
        <v>4.7217849635184734E-4</v>
      </c>
      <c r="E350" s="3">
        <f t="shared" si="357"/>
        <v>4.7217849635169658E-4</v>
      </c>
      <c r="F350" s="3">
        <f t="shared" si="357"/>
        <v>4.721784963501891E-4</v>
      </c>
      <c r="G350" s="3">
        <f t="shared" si="357"/>
        <v>4.7217849633511387E-4</v>
      </c>
      <c r="H350" s="3">
        <f t="shared" si="357"/>
        <v>4.7217849618436222E-4</v>
      </c>
      <c r="I350" s="3">
        <f t="shared" si="357"/>
        <v>4.7217849467684524E-4</v>
      </c>
      <c r="J350" s="3">
        <f t="shared" si="357"/>
        <v>4.7217847960167561E-4</v>
      </c>
      <c r="K350" s="3">
        <f t="shared" si="357"/>
        <v>4.7217832885000568E-4</v>
      </c>
      <c r="L350" s="3">
        <f t="shared" si="357"/>
        <v>4.7217682133595404E-4</v>
      </c>
      <c r="M350" s="3">
        <f t="shared" si="357"/>
        <v>4.7216174646015006E-4</v>
      </c>
      <c r="N350" s="3">
        <f t="shared" si="357"/>
        <v>4.7201102417028062E-4</v>
      </c>
      <c r="O350" s="3">
        <f t="shared" si="357"/>
        <v>4.7050644496458735E-4</v>
      </c>
      <c r="P350" s="3">
        <f t="shared" si="357"/>
        <v>4.5572192572173903E-4</v>
      </c>
      <c r="Q350" s="3">
        <f t="shared" si="357"/>
        <v>3.3116421026860564E-4</v>
      </c>
      <c r="R350" s="3">
        <f t="shared" si="357"/>
        <v>1.3598096230354488E-5</v>
      </c>
      <c r="S350" s="3">
        <f t="shared" si="357"/>
        <v>1.8527859934983281E-19</v>
      </c>
      <c r="T350" s="3">
        <f t="shared" si="357"/>
        <v>4.0859847908807073E-158</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3.9532606595692786E-3</v>
      </c>
      <c r="C351" s="3">
        <f t="shared" si="358"/>
        <v>3.9532606595692769E-3</v>
      </c>
      <c r="D351" s="3">
        <f t="shared" si="358"/>
        <v>3.9532606595692648E-3</v>
      </c>
      <c r="E351" s="3">
        <f t="shared" si="358"/>
        <v>3.9532606595691381E-3</v>
      </c>
      <c r="F351" s="3">
        <f t="shared" si="358"/>
        <v>3.9532606595678761E-3</v>
      </c>
      <c r="G351" s="3">
        <f t="shared" si="358"/>
        <v>3.9532606595552551E-3</v>
      </c>
      <c r="H351" s="3">
        <f t="shared" si="358"/>
        <v>3.9532606594290393E-3</v>
      </c>
      <c r="I351" s="3">
        <f t="shared" si="358"/>
        <v>3.9532606581668883E-3</v>
      </c>
      <c r="J351" s="3">
        <f t="shared" si="358"/>
        <v>3.9532606455453742E-3</v>
      </c>
      <c r="K351" s="3">
        <f t="shared" si="358"/>
        <v>3.9532605193302343E-3</v>
      </c>
      <c r="L351" s="3">
        <f t="shared" si="358"/>
        <v>3.9532592571790547E-3</v>
      </c>
      <c r="M351" s="3">
        <f t="shared" si="358"/>
        <v>3.953246635689427E-3</v>
      </c>
      <c r="N351" s="3">
        <f t="shared" si="358"/>
        <v>3.9531204230094253E-3</v>
      </c>
      <c r="O351" s="3">
        <f t="shared" si="358"/>
        <v>3.9518585178111481E-3</v>
      </c>
      <c r="P351" s="3">
        <f t="shared" si="358"/>
        <v>3.939261599846801E-3</v>
      </c>
      <c r="Q351" s="3">
        <f t="shared" si="358"/>
        <v>3.8154798970692081E-3</v>
      </c>
      <c r="R351" s="3">
        <f t="shared" si="358"/>
        <v>2.7726346168390876E-3</v>
      </c>
      <c r="S351" s="3">
        <f t="shared" si="358"/>
        <v>1.1384851128933772E-4</v>
      </c>
      <c r="T351" s="3">
        <f t="shared" si="358"/>
        <v>1.5512239619738467E-18</v>
      </c>
      <c r="U351" s="3">
        <f t="shared" si="358"/>
        <v>3.4209442094859892E-157</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4.2057154474780992E-7</v>
      </c>
      <c r="C352" s="3">
        <f t="shared" si="359"/>
        <v>4.2057154474780992E-7</v>
      </c>
      <c r="D352" s="3">
        <f t="shared" si="359"/>
        <v>4.2057154474780976E-7</v>
      </c>
      <c r="E352" s="3">
        <f t="shared" si="359"/>
        <v>4.2057154474780844E-7</v>
      </c>
      <c r="F352" s="3">
        <f t="shared" si="359"/>
        <v>4.2057154474779499E-7</v>
      </c>
      <c r="G352" s="3">
        <f t="shared" si="359"/>
        <v>4.2057154474766074E-7</v>
      </c>
      <c r="H352" s="3">
        <f t="shared" si="359"/>
        <v>4.2057154474631798E-7</v>
      </c>
      <c r="I352" s="3">
        <f t="shared" si="359"/>
        <v>4.2057154473289044E-7</v>
      </c>
      <c r="J352" s="3">
        <f t="shared" si="359"/>
        <v>4.2057154459861523E-7</v>
      </c>
      <c r="K352" s="3">
        <f t="shared" si="359"/>
        <v>4.2057154325586298E-7</v>
      </c>
      <c r="L352" s="3">
        <f t="shared" si="359"/>
        <v>4.2057152982834047E-7</v>
      </c>
      <c r="M352" s="3">
        <f t="shared" si="359"/>
        <v>4.2057139555313908E-7</v>
      </c>
      <c r="N352" s="3">
        <f t="shared" si="359"/>
        <v>4.2057005280348332E-7</v>
      </c>
      <c r="O352" s="3">
        <f t="shared" si="359"/>
        <v>4.2055662554270644E-7</v>
      </c>
      <c r="P352" s="3">
        <f t="shared" si="359"/>
        <v>4.2042237651025777E-7</v>
      </c>
      <c r="Q352" s="3">
        <f t="shared" si="359"/>
        <v>4.1908224093520965E-7</v>
      </c>
      <c r="R352" s="3">
        <f t="shared" si="359"/>
        <v>4.0591360207435637E-7</v>
      </c>
      <c r="S352" s="3">
        <f t="shared" si="359"/>
        <v>2.9496947564098059E-7</v>
      </c>
      <c r="T352" s="3">
        <f t="shared" si="359"/>
        <v>1.211188646119077E-8</v>
      </c>
      <c r="U352" s="3">
        <f t="shared" si="359"/>
        <v>1.6502849523922868E-22</v>
      </c>
      <c r="V352" s="3">
        <f t="shared" si="359"/>
        <v>3.6394053278448756E-161</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1.8675724725031384E-5</v>
      </c>
      <c r="C353" s="3">
        <f t="shared" si="360"/>
        <v>1.8675724725031384E-5</v>
      </c>
      <c r="D353" s="3">
        <f t="shared" si="360"/>
        <v>1.8675724725031384E-5</v>
      </c>
      <c r="E353" s="3">
        <f t="shared" si="360"/>
        <v>1.8675724725031377E-5</v>
      </c>
      <c r="F353" s="3">
        <f t="shared" si="360"/>
        <v>1.8675724725031316E-5</v>
      </c>
      <c r="G353" s="3">
        <f t="shared" si="360"/>
        <v>1.867572472503072E-5</v>
      </c>
      <c r="H353" s="3">
        <f t="shared" si="360"/>
        <v>1.867572472502476E-5</v>
      </c>
      <c r="I353" s="3">
        <f t="shared" si="360"/>
        <v>1.8675724724965132E-5</v>
      </c>
      <c r="J353" s="3">
        <f t="shared" si="360"/>
        <v>1.8675724724368875E-5</v>
      </c>
      <c r="K353" s="3">
        <f t="shared" si="360"/>
        <v>1.8675724718406309E-5</v>
      </c>
      <c r="L353" s="3">
        <f t="shared" si="360"/>
        <v>1.867572465878061E-5</v>
      </c>
      <c r="M353" s="3">
        <f t="shared" si="360"/>
        <v>1.8675724062523643E-5</v>
      </c>
      <c r="N353" s="3">
        <f t="shared" si="360"/>
        <v>1.8675718099955015E-5</v>
      </c>
      <c r="O353" s="3">
        <f t="shared" si="360"/>
        <v>1.8675658474373446E-5</v>
      </c>
      <c r="P353" s="3">
        <f t="shared" si="360"/>
        <v>1.8675062229027771E-5</v>
      </c>
      <c r="Q353" s="3">
        <f t="shared" si="360"/>
        <v>1.8669100822446837E-5</v>
      </c>
      <c r="R353" s="3">
        <f t="shared" si="360"/>
        <v>1.8609591320659624E-5</v>
      </c>
      <c r="S353" s="3">
        <f t="shared" si="360"/>
        <v>1.802483023199368E-5</v>
      </c>
      <c r="T353" s="3">
        <f t="shared" si="360"/>
        <v>1.3098291594266232E-5</v>
      </c>
      <c r="U353" s="3">
        <f t="shared" si="360"/>
        <v>5.3783538205293954E-7</v>
      </c>
      <c r="V353" s="3">
        <f t="shared" si="360"/>
        <v>7.3281865769641709E-21</v>
      </c>
      <c r="W353" s="3">
        <f t="shared" si="360"/>
        <v>1.6160991611165684E-159</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6.5581020384023116E-8</v>
      </c>
      <c r="C354" s="3">
        <f t="shared" si="361"/>
        <v>6.5581020384023116E-8</v>
      </c>
      <c r="D354" s="3">
        <f t="shared" si="361"/>
        <v>6.5581020384023116E-8</v>
      </c>
      <c r="E354" s="3">
        <f t="shared" si="361"/>
        <v>6.5581020384023116E-8</v>
      </c>
      <c r="F354" s="3">
        <f t="shared" si="361"/>
        <v>6.5581020384023089E-8</v>
      </c>
      <c r="G354" s="3">
        <f t="shared" si="361"/>
        <v>6.5581020384022877E-8</v>
      </c>
      <c r="H354" s="3">
        <f t="shared" si="361"/>
        <v>6.5581020384020786E-8</v>
      </c>
      <c r="I354" s="3">
        <f t="shared" si="361"/>
        <v>6.5581020383999849E-8</v>
      </c>
      <c r="J354" s="3">
        <f t="shared" si="361"/>
        <v>6.5581020383790473E-8</v>
      </c>
      <c r="K354" s="3">
        <f t="shared" si="361"/>
        <v>6.5581020381696673E-8</v>
      </c>
      <c r="L354" s="3">
        <f t="shared" si="361"/>
        <v>6.5581020360758734E-8</v>
      </c>
      <c r="M354" s="3">
        <f t="shared" si="361"/>
        <v>6.5581020151379217E-8</v>
      </c>
      <c r="N354" s="3">
        <f t="shared" si="361"/>
        <v>6.5581018057584154E-8</v>
      </c>
      <c r="O354" s="3">
        <f t="shared" si="361"/>
        <v>6.558099711963713E-8</v>
      </c>
      <c r="P354" s="3">
        <f t="shared" si="361"/>
        <v>6.5580787740534706E-8</v>
      </c>
      <c r="Q354" s="3">
        <f t="shared" si="361"/>
        <v>6.5578693986276461E-8</v>
      </c>
      <c r="R354" s="3">
        <f t="shared" si="361"/>
        <v>6.5557760119866571E-8</v>
      </c>
      <c r="S354" s="3">
        <f t="shared" si="361"/>
        <v>6.534878863912295E-8</v>
      </c>
      <c r="T354" s="3">
        <f t="shared" si="361"/>
        <v>6.3295362095295999E-8</v>
      </c>
      <c r="U354" s="3">
        <f t="shared" si="361"/>
        <v>4.5995501683965248E-8</v>
      </c>
      <c r="V354" s="3">
        <f t="shared" si="361"/>
        <v>1.8886438771710594E-9</v>
      </c>
      <c r="W354" s="3">
        <f t="shared" si="361"/>
        <v>2.5733403140048921E-23</v>
      </c>
      <c r="X354" s="3">
        <f t="shared" si="361"/>
        <v>5.6750371719569355E-162</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7.3021852336235098E-8</v>
      </c>
      <c r="C355" s="3">
        <f t="shared" si="362"/>
        <v>7.3021852336235098E-8</v>
      </c>
      <c r="D355" s="3">
        <f t="shared" si="362"/>
        <v>7.3021852336235098E-8</v>
      </c>
      <c r="E355" s="3">
        <f t="shared" si="362"/>
        <v>7.3021852336235098E-8</v>
      </c>
      <c r="F355" s="3">
        <f t="shared" si="362"/>
        <v>7.3021852336235098E-8</v>
      </c>
      <c r="G355" s="3">
        <f t="shared" si="362"/>
        <v>7.3021852336235071E-8</v>
      </c>
      <c r="H355" s="3">
        <f t="shared" si="362"/>
        <v>7.3021852336234833E-8</v>
      </c>
      <c r="I355" s="3">
        <f t="shared" si="362"/>
        <v>7.3021852336232504E-8</v>
      </c>
      <c r="J355" s="3">
        <f t="shared" si="362"/>
        <v>7.3021852336209197E-8</v>
      </c>
      <c r="K355" s="3">
        <f t="shared" si="362"/>
        <v>7.3021852335976065E-8</v>
      </c>
      <c r="L355" s="3">
        <f t="shared" si="362"/>
        <v>7.3021852333644699E-8</v>
      </c>
      <c r="M355" s="3">
        <f t="shared" si="362"/>
        <v>7.3021852310331136E-8</v>
      </c>
      <c r="N355" s="3">
        <f t="shared" si="362"/>
        <v>7.3021852077195389E-8</v>
      </c>
      <c r="O355" s="3">
        <f t="shared" si="362"/>
        <v>7.3021849745838039E-8</v>
      </c>
      <c r="P355" s="3">
        <f t="shared" si="362"/>
        <v>7.3021826432268555E-8</v>
      </c>
      <c r="Q355" s="3">
        <f t="shared" si="362"/>
        <v>7.3021593296983221E-8</v>
      </c>
      <c r="R355" s="3">
        <f t="shared" si="362"/>
        <v>7.3019261985067389E-8</v>
      </c>
      <c r="S355" s="3">
        <f t="shared" si="362"/>
        <v>7.2995952959180664E-8</v>
      </c>
      <c r="T355" s="3">
        <f t="shared" si="362"/>
        <v>7.2763271544344617E-8</v>
      </c>
      <c r="U355" s="3">
        <f t="shared" si="362"/>
        <v>7.047686293117264E-8</v>
      </c>
      <c r="V355" s="3">
        <f t="shared" si="362"/>
        <v>5.1214157883334885E-8</v>
      </c>
      <c r="W355" s="3">
        <f t="shared" si="362"/>
        <v>2.102929681589979E-9</v>
      </c>
      <c r="X355" s="3">
        <f t="shared" si="362"/>
        <v>2.8653118740727131E-23</v>
      </c>
      <c r="Y355" s="3">
        <f t="shared" si="362"/>
        <v>6.3189277011347233E-162</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1.1629614521313135E-6</v>
      </c>
      <c r="C356" s="3">
        <f t="shared" si="363"/>
        <v>1.1629614521313135E-6</v>
      </c>
      <c r="D356" s="3">
        <f t="shared" si="363"/>
        <v>1.1629614521313135E-6</v>
      </c>
      <c r="E356" s="3">
        <f t="shared" si="363"/>
        <v>1.1629614521313135E-6</v>
      </c>
      <c r="F356" s="3">
        <f t="shared" si="363"/>
        <v>1.1629614521313135E-6</v>
      </c>
      <c r="G356" s="3">
        <f t="shared" si="363"/>
        <v>1.1629614521313135E-6</v>
      </c>
      <c r="H356" s="3">
        <f t="shared" si="363"/>
        <v>1.162961452131313E-6</v>
      </c>
      <c r="I356" s="3">
        <f t="shared" si="363"/>
        <v>1.1629614521313092E-6</v>
      </c>
      <c r="J356" s="3">
        <f t="shared" si="363"/>
        <v>1.1629614521312722E-6</v>
      </c>
      <c r="K356" s="3">
        <f t="shared" si="363"/>
        <v>1.162961452130901E-6</v>
      </c>
      <c r="L356" s="3">
        <f t="shared" si="363"/>
        <v>1.162961452127188E-6</v>
      </c>
      <c r="M356" s="3">
        <f t="shared" si="363"/>
        <v>1.1629614520900583E-6</v>
      </c>
      <c r="N356" s="3">
        <f t="shared" si="363"/>
        <v>1.1629614517187614E-6</v>
      </c>
      <c r="O356" s="3">
        <f t="shared" si="363"/>
        <v>1.1629614480057923E-6</v>
      </c>
      <c r="P356" s="3">
        <f t="shared" si="363"/>
        <v>1.1629614108761024E-6</v>
      </c>
      <c r="Q356" s="3">
        <f t="shared" si="363"/>
        <v>1.162961039579268E-6</v>
      </c>
      <c r="R356" s="3">
        <f t="shared" si="363"/>
        <v>1.162957326617445E-6</v>
      </c>
      <c r="S356" s="3">
        <f t="shared" si="363"/>
        <v>1.1629201976511934E-6</v>
      </c>
      <c r="T356" s="3">
        <f t="shared" si="363"/>
        <v>1.1625489731789878E-6</v>
      </c>
      <c r="U356" s="3">
        <f t="shared" si="363"/>
        <v>1.158843239793375E-6</v>
      </c>
      <c r="V356" s="3">
        <f t="shared" si="363"/>
        <v>1.1224294130296217E-6</v>
      </c>
      <c r="W356" s="3">
        <f t="shared" si="363"/>
        <v>8.1564750161959975E-7</v>
      </c>
      <c r="X356" s="3">
        <f t="shared" si="363"/>
        <v>3.3491702524483169E-8</v>
      </c>
      <c r="Y356" s="3">
        <f t="shared" si="363"/>
        <v>4.5633562437406989E-22</v>
      </c>
      <c r="Z356" s="3">
        <f t="shared" si="363"/>
        <v>1.0063657795733351E-160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4.9365030271996854E-7</v>
      </c>
      <c r="C357" s="3">
        <f t="shared" si="364"/>
        <v>4.9365030271996854E-7</v>
      </c>
      <c r="D357" s="3">
        <f t="shared" si="364"/>
        <v>4.9365030271996854E-7</v>
      </c>
      <c r="E357" s="3">
        <f t="shared" si="364"/>
        <v>4.9365030271996854E-7</v>
      </c>
      <c r="F357" s="3">
        <f t="shared" si="364"/>
        <v>4.9365030271996854E-7</v>
      </c>
      <c r="G357" s="3">
        <f t="shared" si="364"/>
        <v>4.9365030271996854E-7</v>
      </c>
      <c r="H357" s="3">
        <f t="shared" si="364"/>
        <v>4.9365030271996854E-7</v>
      </c>
      <c r="I357" s="3">
        <f t="shared" si="364"/>
        <v>4.9365030271996833E-7</v>
      </c>
      <c r="J357" s="3">
        <f t="shared" si="364"/>
        <v>4.9365030271996674E-7</v>
      </c>
      <c r="K357" s="3">
        <f t="shared" si="364"/>
        <v>4.9365030271995097E-7</v>
      </c>
      <c r="L357" s="3">
        <f t="shared" si="364"/>
        <v>4.9365030271979342E-7</v>
      </c>
      <c r="M357" s="3">
        <f t="shared" si="364"/>
        <v>4.9365030271821741E-7</v>
      </c>
      <c r="N357" s="3">
        <f t="shared" si="364"/>
        <v>4.9365030270245667E-7</v>
      </c>
      <c r="O357" s="3">
        <f t="shared" si="364"/>
        <v>4.9365030254484967E-7</v>
      </c>
      <c r="P357" s="3">
        <f t="shared" si="364"/>
        <v>4.9365030096878002E-7</v>
      </c>
      <c r="Q357" s="3">
        <f t="shared" si="364"/>
        <v>4.9365028520808339E-7</v>
      </c>
      <c r="R357" s="3">
        <f t="shared" si="364"/>
        <v>4.9365012760114433E-7</v>
      </c>
      <c r="S357" s="3">
        <f t="shared" si="364"/>
        <v>4.936485515345218E-7</v>
      </c>
      <c r="T357" s="3">
        <f t="shared" si="364"/>
        <v>4.9363279114504705E-7</v>
      </c>
      <c r="U357" s="3">
        <f t="shared" si="364"/>
        <v>4.9347521492208155E-7</v>
      </c>
      <c r="V357" s="3">
        <f t="shared" si="364"/>
        <v>4.9190221660450634E-7</v>
      </c>
      <c r="W357" s="3">
        <f t="shared" si="364"/>
        <v>4.764453873414419E-7</v>
      </c>
      <c r="X357" s="3">
        <f t="shared" si="364"/>
        <v>3.4622354451163498E-7</v>
      </c>
      <c r="Y357" s="3">
        <f t="shared" si="364"/>
        <v>1.4216454947426272E-8</v>
      </c>
      <c r="Z357" s="3">
        <f t="shared" si="364"/>
        <v>1.9370394324018362E-22</v>
      </c>
      <c r="AA357" s="3">
        <f t="shared" si="364"/>
        <v>4.2717905294534183E-161</v>
      </c>
      <c r="AB357" s="3">
        <f t="shared" si="364"/>
        <v>0</v>
      </c>
      <c r="AC357" s="3">
        <f t="shared" si="364"/>
        <v>0</v>
      </c>
      <c r="AD357" s="3">
        <f t="shared" si="364"/>
        <v>0</v>
      </c>
      <c r="AE357" s="3">
        <f t="shared" si="364"/>
        <v>0</v>
      </c>
      <c r="AF357" s="3">
        <f t="shared" si="364"/>
        <v>0</v>
      </c>
      <c r="AG357" s="3"/>
      <c r="AH357" s="3"/>
    </row>
    <row r="358" spans="1:34" x14ac:dyDescent="0.25">
      <c r="A358" s="79">
        <f>AVERAGE(B358:AF358)</f>
        <v>1.1638321213639917E-2</v>
      </c>
      <c r="B358" s="80">
        <f>IF($A$64&lt;=B324,IF($B$64&gt;=B324,ABS((B326-B325)/B325),0),0)</f>
        <v>5.7163506536438242E-3</v>
      </c>
      <c r="C358" s="80">
        <f t="shared" ref="C358:AF358" si="365">IF($A$64&lt;=C324,IF($B$64&gt;=C324,ABS((C326-C325)/C325),0),0)</f>
        <v>2.6650627686736566E-3</v>
      </c>
      <c r="D358" s="80">
        <f t="shared" si="365"/>
        <v>6.3291684196387903E-3</v>
      </c>
      <c r="E358" s="80">
        <f t="shared" si="365"/>
        <v>2.3902824308566577E-3</v>
      </c>
      <c r="F358" s="80">
        <f t="shared" si="365"/>
        <v>4.2149457667579708E-3</v>
      </c>
      <c r="G358" s="80">
        <f t="shared" si="365"/>
        <v>2.2657751297113105E-3</v>
      </c>
      <c r="H358" s="80">
        <f t="shared" si="365"/>
        <v>3.9116208612699106E-3</v>
      </c>
      <c r="I358" s="80">
        <f t="shared" si="365"/>
        <v>1.9253617069520574E-3</v>
      </c>
      <c r="J358" s="80">
        <f t="shared" si="365"/>
        <v>8.5757920444314035E-3</v>
      </c>
      <c r="K358" s="80">
        <f t="shared" si="365"/>
        <v>1.4140112365236676E-2</v>
      </c>
      <c r="L358" s="80">
        <f t="shared" si="365"/>
        <v>1.5074846009683158E-2</v>
      </c>
      <c r="M358" s="80">
        <f t="shared" si="365"/>
        <v>1.2113153638644548E-2</v>
      </c>
      <c r="N358" s="80">
        <f t="shared" si="365"/>
        <v>3.4094081471602214E-2</v>
      </c>
      <c r="O358" s="80">
        <f t="shared" si="365"/>
        <v>9.8363529760489857E-2</v>
      </c>
      <c r="P358" s="80">
        <f t="shared" si="365"/>
        <v>1.8663333595651137E-2</v>
      </c>
      <c r="Q358" s="80">
        <f t="shared" si="365"/>
        <v>3.6103871065671152E-2</v>
      </c>
      <c r="R358" s="80">
        <f t="shared" si="365"/>
        <v>1.5344477688296526E-2</v>
      </c>
      <c r="S358" s="80">
        <f t="shared" si="365"/>
        <v>1.7134430364557654E-2</v>
      </c>
      <c r="T358" s="80">
        <f t="shared" si="365"/>
        <v>1.0209699096428874E-2</v>
      </c>
      <c r="U358" s="80">
        <f t="shared" si="365"/>
        <v>9.7731992384537877E-3</v>
      </c>
      <c r="V358" s="80">
        <f t="shared" si="365"/>
        <v>8.7431108138301319E-3</v>
      </c>
      <c r="W358" s="80">
        <f t="shared" si="365"/>
        <v>7.4618771799040522E-3</v>
      </c>
      <c r="X358" s="80">
        <f t="shared" si="365"/>
        <v>6.0407495458534672E-3</v>
      </c>
      <c r="Y358" s="80">
        <f t="shared" si="365"/>
        <v>4.5231929674781355E-3</v>
      </c>
      <c r="Z358" s="80">
        <f t="shared" si="365"/>
        <v>4.0460222760684726E-3</v>
      </c>
      <c r="AA358" s="80">
        <f t="shared" si="365"/>
        <v>3.3093473512248147E-3</v>
      </c>
      <c r="AB358" s="80">
        <f t="shared" si="365"/>
        <v>2.3904054817722093E-3</v>
      </c>
      <c r="AC358" s="80">
        <f t="shared" si="365"/>
        <v>1.3862904879686458E-3</v>
      </c>
      <c r="AD358" s="80">
        <f t="shared" si="365"/>
        <v>1.3245337751854463E-3</v>
      </c>
      <c r="AE358" s="80">
        <f t="shared" si="365"/>
        <v>1.2904716084492782E-3</v>
      </c>
      <c r="AF358" s="80">
        <f t="shared" si="365"/>
        <v>1.262862058451707E-3</v>
      </c>
    </row>
    <row r="359" spans="1:34" x14ac:dyDescent="0.25">
      <c r="B359" s="21">
        <f>(B326-B325)^2</f>
        <v>931.58317291762739</v>
      </c>
      <c r="C359" s="21">
        <f t="shared" ref="C359:AF359" si="366">(C326-C325)^2</f>
        <v>184.19778360052368</v>
      </c>
      <c r="D359" s="21">
        <f t="shared" si="366"/>
        <v>947.0224304157656</v>
      </c>
      <c r="E359" s="21">
        <f t="shared" si="366"/>
        <v>120.89895740440939</v>
      </c>
      <c r="F359" s="21">
        <f t="shared" si="366"/>
        <v>333.93049654958719</v>
      </c>
      <c r="G359" s="21">
        <f t="shared" si="366"/>
        <v>84.799499099916986</v>
      </c>
      <c r="H359" s="21">
        <f t="shared" si="366"/>
        <v>218.04755475870826</v>
      </c>
      <c r="I359" s="21">
        <f t="shared" si="366"/>
        <v>43.889793305837074</v>
      </c>
      <c r="J359" s="21">
        <f t="shared" si="366"/>
        <v>665.00259418796611</v>
      </c>
      <c r="K359" s="21">
        <f t="shared" si="366"/>
        <v>1232.8879407824334</v>
      </c>
      <c r="L359" s="21">
        <f t="shared" si="366"/>
        <v>800.8935642312872</v>
      </c>
      <c r="M359" s="21">
        <f t="shared" si="366"/>
        <v>220.48553596585089</v>
      </c>
      <c r="N359" s="21">
        <f t="shared" si="366"/>
        <v>599.547771757551</v>
      </c>
      <c r="O359" s="21">
        <f t="shared" si="366"/>
        <v>1570.008239426247</v>
      </c>
      <c r="P359" s="21">
        <f t="shared" si="366"/>
        <v>17.505052840865602</v>
      </c>
      <c r="Q359" s="21">
        <f t="shared" si="366"/>
        <v>32.263171655799454</v>
      </c>
      <c r="R359" s="21">
        <f t="shared" si="366"/>
        <v>4.5148658713102288</v>
      </c>
      <c r="S359" s="21">
        <f t="shared" si="366"/>
        <v>4.7294595597746873</v>
      </c>
      <c r="T359" s="21">
        <f t="shared" si="366"/>
        <v>1.6370791192565364</v>
      </c>
      <c r="U359" s="21">
        <f t="shared" si="366"/>
        <v>1.4969630728470806</v>
      </c>
      <c r="V359" s="21">
        <f t="shared" si="366"/>
        <v>1.1954733616126823</v>
      </c>
      <c r="W359" s="21">
        <f t="shared" si="366"/>
        <v>0.86849368448093822</v>
      </c>
      <c r="X359" s="21">
        <f t="shared" si="366"/>
        <v>0.56750718445372517</v>
      </c>
      <c r="Y359" s="21">
        <f t="shared" si="366"/>
        <v>0.31720470072894791</v>
      </c>
      <c r="Z359" s="21">
        <f t="shared" si="366"/>
        <v>0.25356486886676621</v>
      </c>
      <c r="AA359" s="21">
        <f t="shared" si="366"/>
        <v>0.16938502806092276</v>
      </c>
      <c r="AB359" s="21">
        <f t="shared" si="366"/>
        <v>8.8213083214709567E-2</v>
      </c>
      <c r="AC359" s="21">
        <f t="shared" si="366"/>
        <v>2.9609053379672543E-2</v>
      </c>
      <c r="AD359" s="21">
        <f t="shared" si="366"/>
        <v>2.7026412219933068E-2</v>
      </c>
      <c r="AE359" s="21">
        <f t="shared" si="366"/>
        <v>2.5652494651144418E-2</v>
      </c>
      <c r="AF359" s="21">
        <f t="shared" si="366"/>
        <v>2.4565211996154523E-2</v>
      </c>
      <c r="AG359" s="3"/>
      <c r="AH359" s="3"/>
    </row>
    <row r="360" spans="1:34" x14ac:dyDescent="0.25">
      <c r="A360" s="71">
        <f>SUM(B360:AF360)</f>
        <v>8018.9086216072337</v>
      </c>
      <c r="B360" s="60">
        <f>IF($A$64&lt;=B324,IF($B$64&gt;=B324,ABS(B359),0),0)</f>
        <v>931.58317291762739</v>
      </c>
      <c r="C360" s="60">
        <f t="shared" ref="C360:AF360" si="367">IF($A$64&lt;=C324,IF($B$64&gt;=C324,ABS(C359),0),0)</f>
        <v>184.19778360052368</v>
      </c>
      <c r="D360" s="60">
        <f t="shared" si="367"/>
        <v>947.0224304157656</v>
      </c>
      <c r="E360" s="60">
        <f t="shared" si="367"/>
        <v>120.89895740440939</v>
      </c>
      <c r="F360" s="60">
        <f t="shared" si="367"/>
        <v>333.93049654958719</v>
      </c>
      <c r="G360" s="60">
        <f t="shared" si="367"/>
        <v>84.799499099916986</v>
      </c>
      <c r="H360" s="60">
        <f t="shared" si="367"/>
        <v>218.04755475870826</v>
      </c>
      <c r="I360" s="60">
        <f t="shared" si="367"/>
        <v>43.889793305837074</v>
      </c>
      <c r="J360" s="60">
        <f t="shared" si="367"/>
        <v>665.00259418796611</v>
      </c>
      <c r="K360" s="60">
        <f t="shared" si="367"/>
        <v>1232.8879407824334</v>
      </c>
      <c r="L360" s="60">
        <f t="shared" si="367"/>
        <v>800.8935642312872</v>
      </c>
      <c r="M360" s="60">
        <f t="shared" si="367"/>
        <v>220.48553596585089</v>
      </c>
      <c r="N360" s="60">
        <f t="shared" si="367"/>
        <v>599.547771757551</v>
      </c>
      <c r="O360" s="60">
        <f t="shared" si="367"/>
        <v>1570.008239426247</v>
      </c>
      <c r="P360" s="60">
        <f t="shared" si="367"/>
        <v>17.505052840865602</v>
      </c>
      <c r="Q360" s="60">
        <f t="shared" si="367"/>
        <v>32.263171655799454</v>
      </c>
      <c r="R360" s="60">
        <f t="shared" si="367"/>
        <v>4.5148658713102288</v>
      </c>
      <c r="S360" s="60">
        <f t="shared" si="367"/>
        <v>4.7294595597746873</v>
      </c>
      <c r="T360" s="60">
        <f t="shared" si="367"/>
        <v>1.6370791192565364</v>
      </c>
      <c r="U360" s="60">
        <f t="shared" si="367"/>
        <v>1.4969630728470806</v>
      </c>
      <c r="V360" s="60">
        <f t="shared" si="367"/>
        <v>1.1954733616126823</v>
      </c>
      <c r="W360" s="60">
        <f t="shared" si="367"/>
        <v>0.86849368448093822</v>
      </c>
      <c r="X360" s="60">
        <f t="shared" si="367"/>
        <v>0.56750718445372517</v>
      </c>
      <c r="Y360" s="60">
        <f t="shared" si="367"/>
        <v>0.31720470072894791</v>
      </c>
      <c r="Z360" s="60">
        <f t="shared" si="367"/>
        <v>0.25356486886676621</v>
      </c>
      <c r="AA360" s="60">
        <f t="shared" si="367"/>
        <v>0.16938502806092276</v>
      </c>
      <c r="AB360" s="60">
        <f t="shared" si="367"/>
        <v>8.8213083214709567E-2</v>
      </c>
      <c r="AC360" s="60">
        <f t="shared" si="367"/>
        <v>2.9609053379672543E-2</v>
      </c>
      <c r="AD360" s="60">
        <f t="shared" si="367"/>
        <v>2.7026412219933068E-2</v>
      </c>
      <c r="AE360" s="60">
        <f t="shared" si="367"/>
        <v>2.5652494651144418E-2</v>
      </c>
      <c r="AF360" s="60">
        <f t="shared" si="367"/>
        <v>2.4565211996154523E-2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0" t="s">
        <v>22</v>
      </c>
      <c r="B365" s="27">
        <f>($C$17+SUM(B366:B396))*$B$51</f>
        <v>4936.960459238614</v>
      </c>
      <c r="C365" s="27">
        <f t="shared" ref="C365:AF365" si="368">($C$17+SUM(C366:C396))*$B$51</f>
        <v>4659.7666903679119</v>
      </c>
      <c r="D365" s="27">
        <f t="shared" si="368"/>
        <v>4403.2500268396388</v>
      </c>
      <c r="E365" s="27">
        <f t="shared" si="368"/>
        <v>4127.6769010479793</v>
      </c>
      <c r="F365" s="27">
        <f t="shared" si="368"/>
        <v>3848.8036185239089</v>
      </c>
      <c r="G365" s="27">
        <f t="shared" si="368"/>
        <v>3524.4868361516992</v>
      </c>
      <c r="H365" s="27">
        <f t="shared" si="368"/>
        <v>3085.2047380600234</v>
      </c>
      <c r="I365" s="27">
        <f t="shared" si="368"/>
        <v>2566.9524557474456</v>
      </c>
      <c r="J365" s="27">
        <f t="shared" si="368"/>
        <v>1982.6528254069508</v>
      </c>
      <c r="K365" s="27">
        <f t="shared" si="368"/>
        <v>1371.1259193139472</v>
      </c>
      <c r="L365" s="27">
        <f t="shared" si="368"/>
        <v>839.05657258385588</v>
      </c>
      <c r="M365" s="27">
        <f t="shared" si="368"/>
        <v>494.14059749446403</v>
      </c>
      <c r="N365" s="27">
        <f t="shared" si="368"/>
        <v>253.07837675368498</v>
      </c>
      <c r="O365" s="27">
        <f t="shared" si="368"/>
        <v>159.90123879189215</v>
      </c>
      <c r="P365" s="27">
        <f t="shared" si="368"/>
        <v>143.0472527993025</v>
      </c>
      <c r="Q365" s="27">
        <f t="shared" si="368"/>
        <v>126.49380677642732</v>
      </c>
      <c r="R365" s="27">
        <f t="shared" si="368"/>
        <v>124.051720590394</v>
      </c>
      <c r="S365" s="27">
        <f t="shared" si="368"/>
        <v>123.974547118442</v>
      </c>
      <c r="T365" s="27">
        <f t="shared" si="368"/>
        <v>123.96261995221694</v>
      </c>
      <c r="U365" s="27">
        <f t="shared" si="368"/>
        <v>123.96097417890218</v>
      </c>
      <c r="V365" s="27">
        <f t="shared" si="368"/>
        <v>123.95561668275428</v>
      </c>
      <c r="W365" s="27">
        <f t="shared" si="368"/>
        <v>123.95287405170627</v>
      </c>
      <c r="X365" s="27">
        <f t="shared" si="368"/>
        <v>123.95257182050969</v>
      </c>
      <c r="Y365" s="27">
        <f t="shared" si="368"/>
        <v>123.95257182050928</v>
      </c>
      <c r="Z365" s="27">
        <f t="shared" si="368"/>
        <v>123.95257182050928</v>
      </c>
      <c r="AA365" s="27">
        <f t="shared" si="368"/>
        <v>123.95257182050928</v>
      </c>
      <c r="AB365" s="27">
        <f t="shared" si="368"/>
        <v>123.95257182050928</v>
      </c>
      <c r="AC365" s="27">
        <f t="shared" si="368"/>
        <v>123.95257182050928</v>
      </c>
      <c r="AD365" s="27">
        <f t="shared" si="368"/>
        <v>123.95257182050928</v>
      </c>
      <c r="AE365" s="27">
        <f t="shared" si="368"/>
        <v>123.95257182050928</v>
      </c>
      <c r="AF365" s="27">
        <f t="shared" si="368"/>
        <v>123.95257182050928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2.2732151068679512E-138</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1.9329659413138355E-14</v>
      </c>
      <c r="C374" s="3">
        <f t="shared" si="377"/>
        <v>5.9093018078931323E-125</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2.4158770487084772E-3</v>
      </c>
      <c r="C375" s="3">
        <f t="shared" si="378"/>
        <v>2.5925704936533064E-13</v>
      </c>
      <c r="D375" s="3">
        <f t="shared" si="378"/>
        <v>5.2515564011442743E-113</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4.1436176799117985E-2</v>
      </c>
      <c r="C376" s="3">
        <f t="shared" si="379"/>
        <v>5.2247063794116349E-3</v>
      </c>
      <c r="D376" s="3">
        <f t="shared" si="379"/>
        <v>5.307426666081769E-12</v>
      </c>
      <c r="E376" s="3">
        <f t="shared" si="379"/>
        <v>6.2101935483343243E-102</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4.2274120585070296E-2</v>
      </c>
      <c r="C377" s="3">
        <f t="shared" si="380"/>
        <v>3.5071039277386827E-2</v>
      </c>
      <c r="D377" s="3">
        <f t="shared" si="380"/>
        <v>5.4161311775702053E-3</v>
      </c>
      <c r="E377" s="3">
        <f t="shared" si="380"/>
        <v>4.179213520155878E-11</v>
      </c>
      <c r="F377" s="3">
        <f t="shared" si="380"/>
        <v>3.1271478822539526E-92</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4.966958847232867E-2</v>
      </c>
      <c r="C378" s="3">
        <f t="shared" si="381"/>
        <v>4.8839625653815937E-2</v>
      </c>
      <c r="D378" s="3">
        <f t="shared" si="381"/>
        <v>4.1265771976608766E-2</v>
      </c>
      <c r="E378" s="3">
        <f t="shared" si="381"/>
        <v>7.6518500292533289E-3</v>
      </c>
      <c r="F378" s="3">
        <f t="shared" si="381"/>
        <v>3.6773181460512858E-10</v>
      </c>
      <c r="G378" s="3">
        <f t="shared" si="381"/>
        <v>2.4164552517721876E-83</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4.7412289263070784E-2</v>
      </c>
      <c r="C379" s="3">
        <f t="shared" si="382"/>
        <v>4.7340273174497023E-2</v>
      </c>
      <c r="D379" s="3">
        <f t="shared" si="382"/>
        <v>4.6626101275269984E-2</v>
      </c>
      <c r="E379" s="3">
        <f t="shared" si="382"/>
        <v>4.0050923316491301E-2</v>
      </c>
      <c r="F379" s="3">
        <f t="shared" si="382"/>
        <v>8.7588448120016569E-3</v>
      </c>
      <c r="G379" s="3">
        <f t="shared" si="382"/>
        <v>2.1917439798989612E-9</v>
      </c>
      <c r="H379" s="3">
        <f t="shared" si="382"/>
        <v>2.1096952709400724E-75</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5.505986895701203E-2</v>
      </c>
      <c r="C380" s="3">
        <f t="shared" si="383"/>
        <v>5.5052319414519414E-2</v>
      </c>
      <c r="D380" s="3">
        <f t="shared" si="383"/>
        <v>5.4976880899798387E-2</v>
      </c>
      <c r="E380" s="3">
        <f t="shared" si="383"/>
        <v>5.4228158004693584E-2</v>
      </c>
      <c r="F380" s="3">
        <f t="shared" si="383"/>
        <v>4.7279449862845747E-2</v>
      </c>
      <c r="G380" s="3">
        <f t="shared" si="383"/>
        <v>1.199908229089448E-2</v>
      </c>
      <c r="H380" s="3">
        <f t="shared" si="383"/>
        <v>1.3301609821074483E-8</v>
      </c>
      <c r="I380" s="3">
        <f t="shared" si="383"/>
        <v>3.727914395039033E-68</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8.2773903036983634E-2</v>
      </c>
      <c r="C381" s="3">
        <f t="shared" si="384"/>
        <v>8.2772879148695813E-2</v>
      </c>
      <c r="D381" s="3">
        <f t="shared" si="384"/>
        <v>8.2762640962377218E-2</v>
      </c>
      <c r="E381" s="3">
        <f t="shared" si="384"/>
        <v>8.2660328723282814E-2</v>
      </c>
      <c r="F381" s="3">
        <f t="shared" si="384"/>
        <v>8.1644136980979901E-2</v>
      </c>
      <c r="G381" s="3">
        <f t="shared" si="384"/>
        <v>7.2144586583614098E-2</v>
      </c>
      <c r="H381" s="3">
        <f t="shared" si="384"/>
        <v>2.0940700864799572E-2</v>
      </c>
      <c r="I381" s="3">
        <f t="shared" si="384"/>
        <v>8.8892649779546098E-8</v>
      </c>
      <c r="J381" s="3">
        <f t="shared" si="384"/>
        <v>1.6889323095956827E-61</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9.2826571802526597E-2</v>
      </c>
      <c r="C382" s="3">
        <f t="shared" si="385"/>
        <v>9.2826468221434033E-2</v>
      </c>
      <c r="D382" s="3">
        <f t="shared" si="385"/>
        <v>9.2825432416865333E-2</v>
      </c>
      <c r="E382" s="3">
        <f t="shared" si="385"/>
        <v>9.2815075006848768E-2</v>
      </c>
      <c r="F382" s="3">
        <f t="shared" si="385"/>
        <v>9.2711564447483324E-2</v>
      </c>
      <c r="G382" s="3">
        <f t="shared" si="385"/>
        <v>9.1682786778064809E-2</v>
      </c>
      <c r="H382" s="3">
        <f t="shared" si="385"/>
        <v>8.2002438215613704E-2</v>
      </c>
      <c r="I382" s="3">
        <f t="shared" si="385"/>
        <v>2.6866826226135114E-2</v>
      </c>
      <c r="J382" s="3">
        <f t="shared" si="385"/>
        <v>3.8292381149367706E-7</v>
      </c>
      <c r="K382" s="3">
        <f t="shared" si="385"/>
        <v>1.3245624547951002E-55</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0.10795546488043968</v>
      </c>
      <c r="C383" s="3">
        <f t="shared" si="386"/>
        <v>0.10795545401369108</v>
      </c>
      <c r="D383" s="3">
        <f t="shared" si="386"/>
        <v>0.10795534534626543</v>
      </c>
      <c r="E383" s="3">
        <f t="shared" si="386"/>
        <v>0.10795425867802487</v>
      </c>
      <c r="F383" s="3">
        <f t="shared" si="386"/>
        <v>0.10794339259720755</v>
      </c>
      <c r="G383" s="3">
        <f t="shared" si="386"/>
        <v>0.10783479192546365</v>
      </c>
      <c r="H383" s="3">
        <f t="shared" si="386"/>
        <v>0.10675477651389452</v>
      </c>
      <c r="I383" s="3">
        <f t="shared" si="386"/>
        <v>9.6532027094614198E-2</v>
      </c>
      <c r="J383" s="3">
        <f t="shared" si="386"/>
        <v>3.5278696505129381E-2</v>
      </c>
      <c r="K383" s="3">
        <f t="shared" si="386"/>
        <v>1.4994209388298745E-6</v>
      </c>
      <c r="L383" s="3">
        <f t="shared" si="386"/>
        <v>2.884257177790964E-50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0.11222824347674261</v>
      </c>
      <c r="C384" s="3">
        <f t="shared" si="387"/>
        <v>0.11222824245767321</v>
      </c>
      <c r="D384" s="3">
        <f t="shared" si="387"/>
        <v>0.11222823226697966</v>
      </c>
      <c r="E384" s="3">
        <f t="shared" si="387"/>
        <v>0.112228130360095</v>
      </c>
      <c r="F384" s="3">
        <f t="shared" si="387"/>
        <v>0.11222711129633792</v>
      </c>
      <c r="G384" s="3">
        <f t="shared" si="387"/>
        <v>0.11221692116768968</v>
      </c>
      <c r="H384" s="3">
        <f t="shared" si="387"/>
        <v>0.1121150707563856</v>
      </c>
      <c r="I384" s="3">
        <f t="shared" si="387"/>
        <v>0.11110163710995886</v>
      </c>
      <c r="J384" s="3">
        <f t="shared" si="387"/>
        <v>0.1014577178408711</v>
      </c>
      <c r="K384" s="3">
        <f t="shared" si="387"/>
        <v>4.0919601627657801E-2</v>
      </c>
      <c r="L384" s="3">
        <f t="shared" si="387"/>
        <v>4.6600918306459921E-6</v>
      </c>
      <c r="M384" s="3">
        <f t="shared" si="387"/>
        <v>1.710114753422275E-45</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8.9690702473974551E-2</v>
      </c>
      <c r="C385" s="3">
        <f t="shared" si="388"/>
        <v>8.9690702400506986E-2</v>
      </c>
      <c r="D385" s="3">
        <f t="shared" si="388"/>
        <v>8.9690701665831388E-2</v>
      </c>
      <c r="E385" s="3">
        <f t="shared" si="388"/>
        <v>8.9690694319075739E-2</v>
      </c>
      <c r="F385" s="3">
        <f t="shared" si="388"/>
        <v>8.9690620851552494E-2</v>
      </c>
      <c r="G385" s="3">
        <f t="shared" si="388"/>
        <v>8.9689886179629752E-2</v>
      </c>
      <c r="H385" s="3">
        <f t="shared" si="388"/>
        <v>8.9682539791374818E-2</v>
      </c>
      <c r="I385" s="3">
        <f t="shared" si="388"/>
        <v>8.9609108996043796E-2</v>
      </c>
      <c r="J385" s="3">
        <f t="shared" si="388"/>
        <v>8.887809975859802E-2</v>
      </c>
      <c r="K385" s="3">
        <f t="shared" si="388"/>
        <v>8.1888096677354624E-2</v>
      </c>
      <c r="L385" s="3">
        <f t="shared" si="388"/>
        <v>3.6097817047211316E-2</v>
      </c>
      <c r="M385" s="3">
        <f t="shared" si="388"/>
        <v>1.0001901311928363E-5</v>
      </c>
      <c r="N385" s="3">
        <f t="shared" si="388"/>
        <v>2.6674655601075601E-41</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3.2601994192373272E-2</v>
      </c>
      <c r="C386" s="3">
        <f t="shared" si="389"/>
        <v>3.2601994189964262E-2</v>
      </c>
      <c r="D386" s="3">
        <f t="shared" si="389"/>
        <v>3.2601994165874143E-2</v>
      </c>
      <c r="E386" s="3">
        <f t="shared" si="389"/>
        <v>3.2601993924972948E-2</v>
      </c>
      <c r="F386" s="3">
        <f t="shared" si="389"/>
        <v>3.2601991515961146E-2</v>
      </c>
      <c r="G386" s="3">
        <f t="shared" si="389"/>
        <v>3.2601967425852897E-2</v>
      </c>
      <c r="H386" s="3">
        <f t="shared" si="389"/>
        <v>3.2601726525749428E-2</v>
      </c>
      <c r="I386" s="3">
        <f t="shared" si="389"/>
        <v>3.2599317622614879E-2</v>
      </c>
      <c r="J386" s="3">
        <f t="shared" si="389"/>
        <v>3.2575238378605396E-2</v>
      </c>
      <c r="K386" s="3">
        <f t="shared" si="389"/>
        <v>3.2335422001545967E-2</v>
      </c>
      <c r="L386" s="3">
        <f t="shared" si="389"/>
        <v>3.00322479154265E-2</v>
      </c>
      <c r="M386" s="3">
        <f t="shared" si="389"/>
        <v>1.4344351284891459E-2</v>
      </c>
      <c r="N386" s="3">
        <f t="shared" si="389"/>
        <v>8.8636302613872471E-6</v>
      </c>
      <c r="O386" s="3">
        <f t="shared" si="389"/>
        <v>7.1931451493837967E-38</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3.3353536546165338E-2</v>
      </c>
      <c r="C387" s="3">
        <f t="shared" si="390"/>
        <v>3.335353654548371E-2</v>
      </c>
      <c r="D387" s="3">
        <f t="shared" si="390"/>
        <v>3.3353536538667398E-2</v>
      </c>
      <c r="E387" s="3">
        <f t="shared" si="390"/>
        <v>3.3353536470504264E-2</v>
      </c>
      <c r="F387" s="3">
        <f t="shared" si="390"/>
        <v>3.3353535788872957E-2</v>
      </c>
      <c r="G387" s="3">
        <f t="shared" si="390"/>
        <v>3.3353528972560671E-2</v>
      </c>
      <c r="H387" s="3">
        <f t="shared" si="390"/>
        <v>3.3353460809514415E-2</v>
      </c>
      <c r="I387" s="3">
        <f t="shared" si="390"/>
        <v>3.3352779186713373E-2</v>
      </c>
      <c r="J387" s="3">
        <f t="shared" si="390"/>
        <v>3.334596372479931E-2</v>
      </c>
      <c r="K387" s="3">
        <f t="shared" si="390"/>
        <v>3.3277885657394306E-2</v>
      </c>
      <c r="L387" s="3">
        <f t="shared" si="390"/>
        <v>3.2604702587190476E-2</v>
      </c>
      <c r="M387" s="3">
        <f t="shared" si="390"/>
        <v>2.6578191209427983E-2</v>
      </c>
      <c r="N387" s="3">
        <f t="shared" si="390"/>
        <v>3.4433185827144942E-3</v>
      </c>
      <c r="O387" s="3">
        <f t="shared" si="390"/>
        <v>4.5866442310922437E-12</v>
      </c>
      <c r="P387" s="3">
        <f t="shared" si="390"/>
        <v>8.0662845738047574E-101</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1.7436587013505263E-2</v>
      </c>
      <c r="C388" s="3">
        <f t="shared" si="391"/>
        <v>1.7436587013469628E-2</v>
      </c>
      <c r="D388" s="3">
        <f t="shared" si="391"/>
        <v>1.7436587013113285E-2</v>
      </c>
      <c r="E388" s="3">
        <f t="shared" si="391"/>
        <v>1.7436587009549847E-2</v>
      </c>
      <c r="F388" s="3">
        <f t="shared" si="391"/>
        <v>1.7436586973915473E-2</v>
      </c>
      <c r="G388" s="3">
        <f t="shared" si="391"/>
        <v>1.7436586617571744E-2</v>
      </c>
      <c r="H388" s="3">
        <f t="shared" si="391"/>
        <v>1.7436583054134862E-2</v>
      </c>
      <c r="I388" s="3">
        <f t="shared" si="391"/>
        <v>1.7436547419806082E-2</v>
      </c>
      <c r="J388" s="3">
        <f t="shared" si="391"/>
        <v>1.7436191080523616E-2</v>
      </c>
      <c r="K388" s="3">
        <f t="shared" si="391"/>
        <v>1.7432628088199335E-2</v>
      </c>
      <c r="L388" s="3">
        <f t="shared" si="391"/>
        <v>1.7397038184730682E-2</v>
      </c>
      <c r="M388" s="3">
        <f t="shared" si="391"/>
        <v>1.7045111031118144E-2</v>
      </c>
      <c r="N388" s="3">
        <f t="shared" si="391"/>
        <v>1.3894566863768021E-2</v>
      </c>
      <c r="O388" s="3">
        <f t="shared" si="391"/>
        <v>1.8001006879584099E-3</v>
      </c>
      <c r="P388" s="3">
        <f t="shared" si="391"/>
        <v>2.3978093334892006E-12</v>
      </c>
      <c r="Q388" s="3">
        <f t="shared" si="391"/>
        <v>4.2168983385578877E-101</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4.7217849635185335E-4</v>
      </c>
      <c r="C389" s="3">
        <f t="shared" si="392"/>
        <v>4.7217849635175686E-4</v>
      </c>
      <c r="D389" s="3">
        <f t="shared" si="392"/>
        <v>4.7217849635079192E-4</v>
      </c>
      <c r="E389" s="3">
        <f t="shared" si="392"/>
        <v>4.721784963411422E-4</v>
      </c>
      <c r="F389" s="3">
        <f t="shared" si="392"/>
        <v>4.7217849624464517E-4</v>
      </c>
      <c r="G389" s="3">
        <f t="shared" si="392"/>
        <v>4.7217849527967515E-4</v>
      </c>
      <c r="H389" s="3">
        <f t="shared" si="392"/>
        <v>4.721784856299744E-4</v>
      </c>
      <c r="I389" s="3">
        <f t="shared" si="392"/>
        <v>4.721783891329783E-4</v>
      </c>
      <c r="J389" s="3">
        <f t="shared" si="392"/>
        <v>4.7217742416410179E-4</v>
      </c>
      <c r="K389" s="3">
        <f t="shared" si="392"/>
        <v>4.7216777458379934E-4</v>
      </c>
      <c r="L389" s="3">
        <f t="shared" si="392"/>
        <v>4.7207128962622775E-4</v>
      </c>
      <c r="M389" s="3">
        <f t="shared" si="392"/>
        <v>4.7110752377617257E-4</v>
      </c>
      <c r="N389" s="3">
        <f t="shared" si="392"/>
        <v>4.6157742284016855E-4</v>
      </c>
      <c r="O389" s="3">
        <f t="shared" si="392"/>
        <v>3.7626146011896828E-4</v>
      </c>
      <c r="P389" s="3">
        <f t="shared" si="392"/>
        <v>4.874628477830172E-5</v>
      </c>
      <c r="Q389" s="3">
        <f t="shared" si="392"/>
        <v>6.4932088186077593E-14</v>
      </c>
      <c r="R389" s="3">
        <f t="shared" si="392"/>
        <v>1.1419257193086496E-102</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3.95326065956927E-3</v>
      </c>
      <c r="C390" s="3">
        <f t="shared" si="393"/>
        <v>3.9532606595691884E-3</v>
      </c>
      <c r="D390" s="3">
        <f t="shared" si="393"/>
        <v>3.9532606595683809E-3</v>
      </c>
      <c r="E390" s="3">
        <f t="shared" si="393"/>
        <v>3.9532606595603014E-3</v>
      </c>
      <c r="F390" s="3">
        <f t="shared" si="393"/>
        <v>3.953260659479511E-3</v>
      </c>
      <c r="G390" s="3">
        <f t="shared" si="393"/>
        <v>3.9532606586716009E-3</v>
      </c>
      <c r="H390" s="3">
        <f t="shared" si="393"/>
        <v>3.9532606505924984E-3</v>
      </c>
      <c r="I390" s="3">
        <f t="shared" si="393"/>
        <v>3.9532605698014787E-3</v>
      </c>
      <c r="J390" s="3">
        <f t="shared" si="393"/>
        <v>3.9532597618913744E-3</v>
      </c>
      <c r="K390" s="3">
        <f t="shared" si="393"/>
        <v>3.9532516827994061E-3</v>
      </c>
      <c r="L390" s="3">
        <f t="shared" si="393"/>
        <v>3.95317089278782E-3</v>
      </c>
      <c r="M390" s="3">
        <f t="shared" si="393"/>
        <v>3.9523630834742765E-3</v>
      </c>
      <c r="N390" s="3">
        <f t="shared" si="393"/>
        <v>3.9442940637084544E-3</v>
      </c>
      <c r="O390" s="3">
        <f t="shared" si="393"/>
        <v>3.8645043795040427E-3</v>
      </c>
      <c r="P390" s="3">
        <f t="shared" si="393"/>
        <v>3.1502062027237428E-3</v>
      </c>
      <c r="Q390" s="3">
        <f t="shared" si="393"/>
        <v>4.0812271503913898E-4</v>
      </c>
      <c r="R390" s="3">
        <f t="shared" si="393"/>
        <v>5.4363650982194986E-13</v>
      </c>
      <c r="S390" s="3">
        <f t="shared" si="393"/>
        <v>9.5606429711894111E-102</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4.2057154474780982E-7</v>
      </c>
      <c r="C391" s="3">
        <f t="shared" si="394"/>
        <v>4.2057154474780897E-7</v>
      </c>
      <c r="D391" s="3">
        <f t="shared" si="394"/>
        <v>4.2057154474780034E-7</v>
      </c>
      <c r="E391" s="3">
        <f t="shared" si="394"/>
        <v>4.2057154474771442E-7</v>
      </c>
      <c r="F391" s="3">
        <f t="shared" si="394"/>
        <v>4.2057154474685489E-7</v>
      </c>
      <c r="G391" s="3">
        <f t="shared" si="394"/>
        <v>4.2057154473825989E-7</v>
      </c>
      <c r="H391" s="3">
        <f t="shared" si="394"/>
        <v>4.2057154465230955E-7</v>
      </c>
      <c r="I391" s="3">
        <f t="shared" si="394"/>
        <v>4.2057154379280632E-7</v>
      </c>
      <c r="J391" s="3">
        <f t="shared" si="394"/>
        <v>4.205715351977738E-7</v>
      </c>
      <c r="K391" s="3">
        <f t="shared" si="394"/>
        <v>4.2057144924745832E-7</v>
      </c>
      <c r="L391" s="3">
        <f t="shared" si="394"/>
        <v>4.205705897452697E-7</v>
      </c>
      <c r="M391" s="3">
        <f t="shared" si="394"/>
        <v>4.2056199481999183E-7</v>
      </c>
      <c r="N391" s="3">
        <f t="shared" si="394"/>
        <v>4.2047605522730743E-7</v>
      </c>
      <c r="O391" s="3">
        <f t="shared" si="394"/>
        <v>4.1961762457986251E-7</v>
      </c>
      <c r="P391" s="3">
        <f t="shared" si="394"/>
        <v>4.1112912011973783E-7</v>
      </c>
      <c r="Q391" s="3">
        <f t="shared" si="394"/>
        <v>3.3513780219541806E-7</v>
      </c>
      <c r="R391" s="3">
        <f t="shared" si="394"/>
        <v>4.3418538642322215E-8</v>
      </c>
      <c r="S391" s="3">
        <f t="shared" si="394"/>
        <v>5.7835307713313364E-17</v>
      </c>
      <c r="T391" s="3">
        <f t="shared" si="394"/>
        <v>1.0171184572518213E-105</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1.8675724725031384E-5</v>
      </c>
      <c r="C392" s="3">
        <f t="shared" si="395"/>
        <v>1.867572472503138E-5</v>
      </c>
      <c r="D392" s="3">
        <f t="shared" si="395"/>
        <v>1.8675724725031343E-5</v>
      </c>
      <c r="E392" s="3">
        <f t="shared" si="395"/>
        <v>1.867572472503096E-5</v>
      </c>
      <c r="F392" s="3">
        <f t="shared" si="395"/>
        <v>1.8675724725027145E-5</v>
      </c>
      <c r="G392" s="3">
        <f t="shared" si="395"/>
        <v>1.8675724724988975E-5</v>
      </c>
      <c r="H392" s="3">
        <f t="shared" si="395"/>
        <v>1.8675724724607308E-5</v>
      </c>
      <c r="I392" s="3">
        <f t="shared" si="395"/>
        <v>1.8675724720790635E-5</v>
      </c>
      <c r="J392" s="3">
        <f t="shared" si="395"/>
        <v>1.8675724682623893E-5</v>
      </c>
      <c r="K392" s="3">
        <f t="shared" si="395"/>
        <v>1.8675724300956461E-5</v>
      </c>
      <c r="L392" s="3">
        <f t="shared" si="395"/>
        <v>1.8675720484282576E-5</v>
      </c>
      <c r="M392" s="3">
        <f t="shared" si="395"/>
        <v>1.867568231758662E-5</v>
      </c>
      <c r="N392" s="3">
        <f t="shared" si="395"/>
        <v>1.8675300654917032E-5</v>
      </c>
      <c r="O392" s="3">
        <f t="shared" si="395"/>
        <v>1.867148445718326E-5</v>
      </c>
      <c r="P392" s="3">
        <f t="shared" si="395"/>
        <v>1.8633365343640224E-5</v>
      </c>
      <c r="Q392" s="3">
        <f t="shared" si="395"/>
        <v>1.8256428352528404E-5</v>
      </c>
      <c r="R392" s="3">
        <f t="shared" si="395"/>
        <v>1.4881989561387793E-5</v>
      </c>
      <c r="S392" s="3">
        <f t="shared" si="395"/>
        <v>1.9280255304323464E-6</v>
      </c>
      <c r="T392" s="3">
        <f t="shared" si="395"/>
        <v>2.5682105689984376E-15</v>
      </c>
      <c r="U392" s="3">
        <f t="shared" si="395"/>
        <v>4.5165738285441938E-104</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6.5581020384023116E-8</v>
      </c>
      <c r="C393" s="3">
        <f t="shared" si="396"/>
        <v>6.5581020384023116E-8</v>
      </c>
      <c r="D393" s="3">
        <f t="shared" si="396"/>
        <v>6.5581020384023102E-8</v>
      </c>
      <c r="E393" s="3">
        <f t="shared" si="396"/>
        <v>6.558102038402297E-8</v>
      </c>
      <c r="F393" s="3">
        <f t="shared" si="396"/>
        <v>6.558102038402162E-8</v>
      </c>
      <c r="G393" s="3">
        <f t="shared" si="396"/>
        <v>6.5581020384008226E-8</v>
      </c>
      <c r="H393" s="3">
        <f t="shared" si="396"/>
        <v>6.5581020383874197E-8</v>
      </c>
      <c r="I393" s="3">
        <f t="shared" si="396"/>
        <v>6.5581020382533952E-8</v>
      </c>
      <c r="J393" s="3">
        <f t="shared" si="396"/>
        <v>6.5581020369131456E-8</v>
      </c>
      <c r="K393" s="3">
        <f t="shared" si="396"/>
        <v>6.5581020235106452E-8</v>
      </c>
      <c r="L393" s="3">
        <f t="shared" si="396"/>
        <v>6.5581018894856476E-8</v>
      </c>
      <c r="M393" s="3">
        <f t="shared" si="396"/>
        <v>6.5581005492358231E-8</v>
      </c>
      <c r="N393" s="3">
        <f t="shared" si="396"/>
        <v>6.5580871467526405E-8</v>
      </c>
      <c r="O393" s="3">
        <f t="shared" si="396"/>
        <v>6.5579531234272679E-8</v>
      </c>
      <c r="P393" s="3">
        <f t="shared" si="396"/>
        <v>6.5566130408063643E-8</v>
      </c>
      <c r="Q393" s="3">
        <f t="shared" si="396"/>
        <v>6.5432272664972354E-8</v>
      </c>
      <c r="R393" s="3">
        <f t="shared" si="396"/>
        <v>6.4108633938146191E-8</v>
      </c>
      <c r="S393" s="3">
        <f t="shared" si="396"/>
        <v>5.2259072948964344E-8</v>
      </c>
      <c r="T393" s="3">
        <f t="shared" si="396"/>
        <v>6.7703868778237308E-9</v>
      </c>
      <c r="U393" s="3">
        <f t="shared" si="396"/>
        <v>9.0184382215810963E-18</v>
      </c>
      <c r="V393" s="3">
        <f t="shared" si="396"/>
        <v>1.5860242356147941E-106</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7.3021852336235098E-8</v>
      </c>
      <c r="C394" s="3">
        <f t="shared" si="397"/>
        <v>7.3021852336235098E-8</v>
      </c>
      <c r="D394" s="3">
        <f t="shared" si="397"/>
        <v>7.3021852336235098E-8</v>
      </c>
      <c r="E394" s="3">
        <f t="shared" si="397"/>
        <v>7.3021852336235085E-8</v>
      </c>
      <c r="F394" s="3">
        <f t="shared" si="397"/>
        <v>7.3021852336234939E-8</v>
      </c>
      <c r="G394" s="3">
        <f t="shared" si="397"/>
        <v>7.302185233623343E-8</v>
      </c>
      <c r="H394" s="3">
        <f t="shared" si="397"/>
        <v>7.3021852336218515E-8</v>
      </c>
      <c r="I394" s="3">
        <f t="shared" si="397"/>
        <v>7.3021852336069278E-8</v>
      </c>
      <c r="J394" s="3">
        <f t="shared" si="397"/>
        <v>7.3021852334576965E-8</v>
      </c>
      <c r="K394" s="3">
        <f t="shared" si="397"/>
        <v>7.3021852319653819E-8</v>
      </c>
      <c r="L394" s="3">
        <f t="shared" si="397"/>
        <v>7.3021852170422324E-8</v>
      </c>
      <c r="M394" s="3">
        <f t="shared" si="397"/>
        <v>7.3021850678107395E-8</v>
      </c>
      <c r="N394" s="3">
        <f t="shared" si="397"/>
        <v>7.3021835754959792E-8</v>
      </c>
      <c r="O394" s="3">
        <f t="shared" si="397"/>
        <v>7.3021686523651375E-8</v>
      </c>
      <c r="P394" s="3">
        <f t="shared" si="397"/>
        <v>7.3020194227340986E-8</v>
      </c>
      <c r="Q394" s="3">
        <f t="shared" si="397"/>
        <v>7.3005272941473685E-8</v>
      </c>
      <c r="R394" s="3">
        <f t="shared" si="397"/>
        <v>7.2856227679706846E-8</v>
      </c>
      <c r="S394" s="3">
        <f t="shared" si="397"/>
        <v>7.1382408713627291E-8</v>
      </c>
      <c r="T394" s="3">
        <f t="shared" si="397"/>
        <v>5.8188394839880864E-8</v>
      </c>
      <c r="U394" s="3">
        <f t="shared" si="397"/>
        <v>7.5385559412868008E-9</v>
      </c>
      <c r="V394" s="3">
        <f t="shared" si="397"/>
        <v>1.0041671512024659E-17</v>
      </c>
      <c r="W394" s="3">
        <f t="shared" si="397"/>
        <v>1.765974772221879E-106</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1.1629614521313135E-6</v>
      </c>
      <c r="C395" s="3">
        <f t="shared" si="398"/>
        <v>1.1629614521313135E-6</v>
      </c>
      <c r="D395" s="3">
        <f t="shared" si="398"/>
        <v>1.1629614521313135E-6</v>
      </c>
      <c r="E395" s="3">
        <f t="shared" si="398"/>
        <v>1.1629614521313135E-6</v>
      </c>
      <c r="F395" s="3">
        <f t="shared" si="398"/>
        <v>1.1629614521313132E-6</v>
      </c>
      <c r="G395" s="3">
        <f t="shared" si="398"/>
        <v>1.1629614521313109E-6</v>
      </c>
      <c r="H395" s="3">
        <f t="shared" si="398"/>
        <v>1.162961452131287E-6</v>
      </c>
      <c r="I395" s="3">
        <f t="shared" si="398"/>
        <v>1.1629614521310494E-6</v>
      </c>
      <c r="J395" s="3">
        <f t="shared" si="398"/>
        <v>1.1629614521286726E-6</v>
      </c>
      <c r="K395" s="3">
        <f t="shared" si="398"/>
        <v>1.1629614521049057E-6</v>
      </c>
      <c r="L395" s="3">
        <f t="shared" si="398"/>
        <v>1.1629614518672365E-6</v>
      </c>
      <c r="M395" s="3">
        <f t="shared" si="398"/>
        <v>1.1629614494905442E-6</v>
      </c>
      <c r="N395" s="3">
        <f t="shared" si="398"/>
        <v>1.1629614257236214E-6</v>
      </c>
      <c r="O395" s="3">
        <f t="shared" si="398"/>
        <v>1.1629611880544186E-6</v>
      </c>
      <c r="P395" s="3">
        <f t="shared" si="398"/>
        <v>1.1629588113650637E-6</v>
      </c>
      <c r="Q395" s="3">
        <f t="shared" si="398"/>
        <v>1.1629350447386551E-6</v>
      </c>
      <c r="R395" s="3">
        <f t="shared" si="398"/>
        <v>1.1626974051865932E-6</v>
      </c>
      <c r="S395" s="3">
        <f t="shared" si="398"/>
        <v>1.1603236788497219E-6</v>
      </c>
      <c r="T395" s="3">
        <f t="shared" si="398"/>
        <v>1.136851326531428E-6</v>
      </c>
      <c r="U395" s="3">
        <f t="shared" si="398"/>
        <v>9.267206732661623E-7</v>
      </c>
      <c r="V395" s="3">
        <f t="shared" si="398"/>
        <v>1.2006063505597528E-7</v>
      </c>
      <c r="W395" s="3">
        <f t="shared" si="398"/>
        <v>1.5992578262294936E-16</v>
      </c>
      <c r="X395" s="3">
        <f t="shared" si="398"/>
        <v>2.8125287428668796E-105</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4.9365030271996854E-7</v>
      </c>
      <c r="C396" s="3">
        <f t="shared" si="399"/>
        <v>4.9365030271996854E-7</v>
      </c>
      <c r="D396" s="3">
        <f t="shared" si="399"/>
        <v>4.9365030271996854E-7</v>
      </c>
      <c r="E396" s="3">
        <f t="shared" si="399"/>
        <v>4.9365030271996854E-7</v>
      </c>
      <c r="F396" s="3">
        <f t="shared" si="399"/>
        <v>4.9365030271996854E-7</v>
      </c>
      <c r="G396" s="3">
        <f t="shared" si="399"/>
        <v>4.9365030271996844E-7</v>
      </c>
      <c r="H396" s="3">
        <f t="shared" si="399"/>
        <v>4.9365030271996748E-7</v>
      </c>
      <c r="I396" s="3">
        <f t="shared" si="399"/>
        <v>4.9365030271995732E-7</v>
      </c>
      <c r="J396" s="3">
        <f t="shared" si="399"/>
        <v>4.9365030271985642E-7</v>
      </c>
      <c r="K396" s="3">
        <f t="shared" si="399"/>
        <v>4.936503027188476E-7</v>
      </c>
      <c r="L396" s="3">
        <f t="shared" si="399"/>
        <v>4.9365030270875912E-7</v>
      </c>
      <c r="M396" s="3">
        <f t="shared" si="399"/>
        <v>4.93650302607874E-7</v>
      </c>
      <c r="N396" s="3">
        <f t="shared" si="399"/>
        <v>4.9365030159902293E-7</v>
      </c>
      <c r="O396" s="3">
        <f t="shared" si="399"/>
        <v>4.936502915105125E-7</v>
      </c>
      <c r="P396" s="3">
        <f t="shared" si="399"/>
        <v>4.9365019062541988E-7</v>
      </c>
      <c r="Q396" s="3">
        <f t="shared" si="399"/>
        <v>4.9364918177562756E-7</v>
      </c>
      <c r="R396" s="3">
        <f t="shared" si="399"/>
        <v>4.9363909339109879E-7</v>
      </c>
      <c r="S396" s="3">
        <f t="shared" si="399"/>
        <v>4.93538220884449E-7</v>
      </c>
      <c r="T396" s="3">
        <f t="shared" si="399"/>
        <v>4.9253062882486396E-7</v>
      </c>
      <c r="U396" s="3">
        <f t="shared" si="399"/>
        <v>4.8256715685746534E-7</v>
      </c>
      <c r="V396" s="3">
        <f t="shared" si="399"/>
        <v>3.9337154301743709E-7</v>
      </c>
      <c r="W396" s="3">
        <f t="shared" si="399"/>
        <v>5.0962969349943461E-8</v>
      </c>
      <c r="X396" s="3">
        <f t="shared" si="399"/>
        <v>6.7884804659572367E-17</v>
      </c>
      <c r="Y396" s="3">
        <f t="shared" si="399"/>
        <v>1.1938535561779554E-105</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1.0277208925652951E-2</v>
      </c>
      <c r="B397" s="80">
        <f>IF($A$64&lt;=B363,IF($B$64&gt;=B363,ABS((B365-B364)/B364),0),0)</f>
        <v>7.2798134742550428E-3</v>
      </c>
      <c r="C397" s="80">
        <f t="shared" ref="C397:AF397" si="400">IF($A$64&lt;=C363,IF($B$64&gt;=C363,ABS((C365-C364)/C364),0),0)</f>
        <v>3.6523505592277648E-5</v>
      </c>
      <c r="D397" s="80">
        <f t="shared" si="400"/>
        <v>3.9440506523135618E-3</v>
      </c>
      <c r="E397" s="80">
        <f t="shared" si="400"/>
        <v>2.2630224774973762E-3</v>
      </c>
      <c r="F397" s="80">
        <f t="shared" si="400"/>
        <v>4.9614427302311376E-3</v>
      </c>
      <c r="G397" s="80">
        <f t="shared" si="400"/>
        <v>3.1397051245189234E-3</v>
      </c>
      <c r="H397" s="80">
        <f t="shared" si="400"/>
        <v>4.1028214128376482E-3</v>
      </c>
      <c r="I397" s="80">
        <f t="shared" si="400"/>
        <v>9.3646859427944582E-3</v>
      </c>
      <c r="J397" s="80">
        <f t="shared" si="400"/>
        <v>1.1319579110089153E-2</v>
      </c>
      <c r="K397" s="80">
        <f t="shared" si="400"/>
        <v>1.1401232790361258E-2</v>
      </c>
      <c r="L397" s="80">
        <f t="shared" si="400"/>
        <v>2.70573286800567E-2</v>
      </c>
      <c r="M397" s="80">
        <f t="shared" si="400"/>
        <v>6.6402338631512792E-2</v>
      </c>
      <c r="N397" s="80">
        <f t="shared" si="400"/>
        <v>1.514930026949694E-2</v>
      </c>
      <c r="O397" s="80">
        <f t="shared" si="400"/>
        <v>4.5336718219825024E-2</v>
      </c>
      <c r="P397" s="80">
        <f t="shared" si="400"/>
        <v>8.7703384221886806E-3</v>
      </c>
      <c r="Q397" s="80">
        <f t="shared" si="400"/>
        <v>2.08800230716015E-2</v>
      </c>
      <c r="R397" s="80">
        <f t="shared" si="400"/>
        <v>1.1191986385556124E-2</v>
      </c>
      <c r="S397" s="80">
        <f t="shared" si="400"/>
        <v>1.1189950280492285E-2</v>
      </c>
      <c r="T397" s="80">
        <f t="shared" si="400"/>
        <v>1.037656180614605E-2</v>
      </c>
      <c r="U397" s="80">
        <f t="shared" si="400"/>
        <v>9.397396354165876E-3</v>
      </c>
      <c r="V397" s="80">
        <f t="shared" si="400"/>
        <v>8.1851906776855606E-3</v>
      </c>
      <c r="W397" s="80">
        <f t="shared" si="400"/>
        <v>6.7497613388202643E-3</v>
      </c>
      <c r="X397" s="80">
        <f t="shared" si="400"/>
        <v>5.20134524148141E-3</v>
      </c>
      <c r="Y397" s="80">
        <f t="shared" si="400"/>
        <v>3.6228056978485934E-3</v>
      </c>
      <c r="Z397" s="80">
        <f t="shared" si="400"/>
        <v>3.5884531279440092E-3</v>
      </c>
      <c r="AA397" s="80">
        <f t="shared" si="400"/>
        <v>2.8469971753302499E-3</v>
      </c>
      <c r="AB397" s="80">
        <f t="shared" si="400"/>
        <v>1.8446883475729114E-3</v>
      </c>
      <c r="AC397" s="80">
        <f t="shared" si="400"/>
        <v>8.1191551916452785E-4</v>
      </c>
      <c r="AD397" s="80">
        <f t="shared" si="400"/>
        <v>7.5204288547326336E-4</v>
      </c>
      <c r="AE397" s="80">
        <f t="shared" si="400"/>
        <v>7.2302381765910746E-4</v>
      </c>
      <c r="AF397" s="80">
        <f t="shared" si="400"/>
        <v>7.0243352472870431E-4</v>
      </c>
    </row>
    <row r="398" spans="1:34" x14ac:dyDescent="0.25">
      <c r="B398" s="21">
        <f>(B365-B364)^2</f>
        <v>1310.708437526443</v>
      </c>
      <c r="C398" s="21">
        <f t="shared" ref="C398:AF398" si="401">(C365-C364)^2</f>
        <v>2.896286582050793E-2</v>
      </c>
      <c r="D398" s="21">
        <f t="shared" si="401"/>
        <v>299.23517239125471</v>
      </c>
      <c r="E398" s="21">
        <f t="shared" si="401"/>
        <v>86.861176957745272</v>
      </c>
      <c r="F398" s="21">
        <f t="shared" si="401"/>
        <v>361.05109850560234</v>
      </c>
      <c r="G398" s="21">
        <f t="shared" si="401"/>
        <v>121.68769598574745</v>
      </c>
      <c r="H398" s="21">
        <f t="shared" si="401"/>
        <v>161.5489732796801</v>
      </c>
      <c r="I398" s="21">
        <f t="shared" si="401"/>
        <v>588.8361618060427</v>
      </c>
      <c r="J398" s="21">
        <f t="shared" si="401"/>
        <v>515.27851785812618</v>
      </c>
      <c r="K398" s="21">
        <f t="shared" si="401"/>
        <v>238.89735996220395</v>
      </c>
      <c r="L398" s="21">
        <f t="shared" si="401"/>
        <v>488.61067403942104</v>
      </c>
      <c r="M398" s="21">
        <f t="shared" si="401"/>
        <v>946.72892170687305</v>
      </c>
      <c r="N398" s="21">
        <f t="shared" si="401"/>
        <v>15.154947360378724</v>
      </c>
      <c r="O398" s="21">
        <f t="shared" si="401"/>
        <v>57.663815846601821</v>
      </c>
      <c r="P398" s="21">
        <f t="shared" si="401"/>
        <v>1.5467037528398384</v>
      </c>
      <c r="Q398" s="21">
        <f t="shared" si="401"/>
        <v>7.2766024896342527</v>
      </c>
      <c r="R398" s="21">
        <f t="shared" si="401"/>
        <v>1.9714963443460249</v>
      </c>
      <c r="S398" s="21">
        <f t="shared" si="401"/>
        <v>1.9683196643796657</v>
      </c>
      <c r="T398" s="21">
        <f t="shared" si="401"/>
        <v>1.6894622893747961</v>
      </c>
      <c r="U398" s="21">
        <f t="shared" si="401"/>
        <v>1.3828851719826827</v>
      </c>
      <c r="V398" s="21">
        <f t="shared" si="401"/>
        <v>1.0464749699854958</v>
      </c>
      <c r="W398" s="21">
        <f t="shared" si="401"/>
        <v>0.70953313252098194</v>
      </c>
      <c r="X398" s="21">
        <f t="shared" si="401"/>
        <v>0.42002202851325737</v>
      </c>
      <c r="Y398" s="21">
        <f t="shared" si="401"/>
        <v>0.20312043190442261</v>
      </c>
      <c r="Z398" s="21">
        <f t="shared" si="401"/>
        <v>0.19927285206809392</v>
      </c>
      <c r="AA398" s="21">
        <f t="shared" si="401"/>
        <v>0.12524533361409729</v>
      </c>
      <c r="AB398" s="21">
        <f t="shared" si="401"/>
        <v>5.2476015146682535E-2</v>
      </c>
      <c r="AC398" s="21">
        <f t="shared" si="401"/>
        <v>1.0144678238586842E-2</v>
      </c>
      <c r="AD398" s="21">
        <f t="shared" si="401"/>
        <v>8.7026147864829317E-3</v>
      </c>
      <c r="AE398" s="21">
        <f t="shared" si="401"/>
        <v>8.0434900660426596E-3</v>
      </c>
      <c r="AF398" s="21">
        <f t="shared" si="401"/>
        <v>7.5915749866822735E-3</v>
      </c>
      <c r="AG398" s="3"/>
      <c r="AH398" s="3"/>
    </row>
    <row r="399" spans="1:34" x14ac:dyDescent="0.25">
      <c r="A399" s="71">
        <f>SUM(B399:AF399)</f>
        <v>5210.9180129263295</v>
      </c>
      <c r="B399" s="60">
        <f>IF($A$64&lt;=B363,IF($B$64&gt;=B363,ABS(B398),0),0)</f>
        <v>1310.708437526443</v>
      </c>
      <c r="C399" s="60">
        <f t="shared" ref="C399" si="402">IF($A$64&lt;=C363,IF($B$64&gt;=C363,ABS(C398),0),0)</f>
        <v>2.896286582050793E-2</v>
      </c>
      <c r="D399" s="60">
        <f t="shared" ref="D399" si="403">IF($A$64&lt;=D363,IF($B$64&gt;=D363,ABS(D398),0),0)</f>
        <v>299.23517239125471</v>
      </c>
      <c r="E399" s="60">
        <f t="shared" ref="E399" si="404">IF($A$64&lt;=E363,IF($B$64&gt;=E363,ABS(E398),0),0)</f>
        <v>86.861176957745272</v>
      </c>
      <c r="F399" s="60">
        <f t="shared" ref="F399" si="405">IF($A$64&lt;=F363,IF($B$64&gt;=F363,ABS(F398),0),0)</f>
        <v>361.05109850560234</v>
      </c>
      <c r="G399" s="60">
        <f t="shared" ref="G399" si="406">IF($A$64&lt;=G363,IF($B$64&gt;=G363,ABS(G398),0),0)</f>
        <v>121.68769598574745</v>
      </c>
      <c r="H399" s="60">
        <f t="shared" ref="H399" si="407">IF($A$64&lt;=H363,IF($B$64&gt;=H363,ABS(H398),0),0)</f>
        <v>161.5489732796801</v>
      </c>
      <c r="I399" s="60">
        <f t="shared" ref="I399" si="408">IF($A$64&lt;=I363,IF($B$64&gt;=I363,ABS(I398),0),0)</f>
        <v>588.8361618060427</v>
      </c>
      <c r="J399" s="60">
        <f t="shared" ref="J399" si="409">IF($A$64&lt;=J363,IF($B$64&gt;=J363,ABS(J398),0),0)</f>
        <v>515.27851785812618</v>
      </c>
      <c r="K399" s="60">
        <f t="shared" ref="K399" si="410">IF($A$64&lt;=K363,IF($B$64&gt;=K363,ABS(K398),0),0)</f>
        <v>238.89735996220395</v>
      </c>
      <c r="L399" s="60">
        <f t="shared" ref="L399" si="411">IF($A$64&lt;=L363,IF($B$64&gt;=L363,ABS(L398),0),0)</f>
        <v>488.61067403942104</v>
      </c>
      <c r="M399" s="60">
        <f t="shared" ref="M399" si="412">IF($A$64&lt;=M363,IF($B$64&gt;=M363,ABS(M398),0),0)</f>
        <v>946.72892170687305</v>
      </c>
      <c r="N399" s="60">
        <f t="shared" ref="N399" si="413">IF($A$64&lt;=N363,IF($B$64&gt;=N363,ABS(N398),0),0)</f>
        <v>15.154947360378724</v>
      </c>
      <c r="O399" s="60">
        <f t="shared" ref="O399" si="414">IF($A$64&lt;=O363,IF($B$64&gt;=O363,ABS(O398),0),0)</f>
        <v>57.663815846601821</v>
      </c>
      <c r="P399" s="60">
        <f t="shared" ref="P399" si="415">IF($A$64&lt;=P363,IF($B$64&gt;=P363,ABS(P398),0),0)</f>
        <v>1.5467037528398384</v>
      </c>
      <c r="Q399" s="60">
        <f t="shared" ref="Q399" si="416">IF($A$64&lt;=Q363,IF($B$64&gt;=Q363,ABS(Q398),0),0)</f>
        <v>7.2766024896342527</v>
      </c>
      <c r="R399" s="60">
        <f t="shared" ref="R399" si="417">IF($A$64&lt;=R363,IF($B$64&gt;=R363,ABS(R398),0),0)</f>
        <v>1.9714963443460249</v>
      </c>
      <c r="S399" s="60">
        <f t="shared" ref="S399" si="418">IF($A$64&lt;=S363,IF($B$64&gt;=S363,ABS(S398),0),0)</f>
        <v>1.9683196643796657</v>
      </c>
      <c r="T399" s="60">
        <f t="shared" ref="T399" si="419">IF($A$64&lt;=T363,IF($B$64&gt;=T363,ABS(T398),0),0)</f>
        <v>1.6894622893747961</v>
      </c>
      <c r="U399" s="60">
        <f t="shared" ref="U399" si="420">IF($A$64&lt;=U363,IF($B$64&gt;=U363,ABS(U398),0),0)</f>
        <v>1.3828851719826827</v>
      </c>
      <c r="V399" s="60">
        <f t="shared" ref="V399" si="421">IF($A$64&lt;=V363,IF($B$64&gt;=V363,ABS(V398),0),0)</f>
        <v>1.0464749699854958</v>
      </c>
      <c r="W399" s="60">
        <f t="shared" ref="W399" si="422">IF($A$64&lt;=W363,IF($B$64&gt;=W363,ABS(W398),0),0)</f>
        <v>0.70953313252098194</v>
      </c>
      <c r="X399" s="60">
        <f t="shared" ref="X399" si="423">IF($A$64&lt;=X363,IF($B$64&gt;=X363,ABS(X398),0),0)</f>
        <v>0.42002202851325737</v>
      </c>
      <c r="Y399" s="60">
        <f t="shared" ref="Y399" si="424">IF($A$64&lt;=Y363,IF($B$64&gt;=Y363,ABS(Y398),0),0)</f>
        <v>0.20312043190442261</v>
      </c>
      <c r="Z399" s="60">
        <f t="shared" ref="Z399" si="425">IF($A$64&lt;=Z363,IF($B$64&gt;=Z363,ABS(Z398),0),0)</f>
        <v>0.19927285206809392</v>
      </c>
      <c r="AA399" s="60">
        <f t="shared" ref="AA399" si="426">IF($A$64&lt;=AA363,IF($B$64&gt;=AA363,ABS(AA398),0),0)</f>
        <v>0.12524533361409729</v>
      </c>
      <c r="AB399" s="60">
        <f t="shared" ref="AB399" si="427">IF($A$64&lt;=AB363,IF($B$64&gt;=AB363,ABS(AB398),0),0)</f>
        <v>5.2476015146682535E-2</v>
      </c>
      <c r="AC399" s="60">
        <f t="shared" ref="AC399" si="428">IF($A$64&lt;=AC363,IF($B$64&gt;=AC363,ABS(AC398),0),0)</f>
        <v>1.0144678238586842E-2</v>
      </c>
      <c r="AD399" s="60">
        <f t="shared" ref="AD399" si="429">IF($A$64&lt;=AD363,IF($B$64&gt;=AD363,ABS(AD398),0),0)</f>
        <v>8.7026147864829317E-3</v>
      </c>
      <c r="AE399" s="60">
        <f t="shared" ref="AE399" si="430">IF($A$64&lt;=AE363,IF($B$64&gt;=AE363,ABS(AE398),0),0)</f>
        <v>8.0434900660426596E-3</v>
      </c>
      <c r="AF399" s="60">
        <f t="shared" ref="AF399" si="431">IF($A$64&lt;=AF363,IF($B$64&gt;=AF363,ABS(AF398),0),0)</f>
        <v>7.5915749866822735E-3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-26.500682963138459</v>
      </c>
      <c r="C403" s="107">
        <f t="shared" ref="C403:H403" si="432">IF(C125=$B$2,0,C126)</f>
        <v>-22.958170002975599</v>
      </c>
      <c r="D403" s="107">
        <f t="shared" si="432"/>
        <v>-18.648467323418366</v>
      </c>
      <c r="E403" s="107">
        <f t="shared" si="432"/>
        <v>-11.958520051934006</v>
      </c>
      <c r="F403" s="107">
        <f t="shared" si="432"/>
        <v>0</v>
      </c>
      <c r="G403" s="107">
        <f t="shared" si="432"/>
        <v>19.686903376106656</v>
      </c>
      <c r="H403" s="107">
        <f t="shared" si="432"/>
        <v>23.845951458670253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3.0967034820173342E-27</v>
      </c>
      <c r="C404" s="3">
        <f t="shared" ref="C404:H419" si="433">$A404/EXP(-C$403)</f>
        <v>1.0700238382509549E-25</v>
      </c>
      <c r="D404" s="3">
        <f t="shared" si="433"/>
        <v>7.9629418723247065E-24</v>
      </c>
      <c r="E404" s="3">
        <f t="shared" si="433"/>
        <v>6.4044336352574559E-21</v>
      </c>
      <c r="F404" s="3">
        <f t="shared" si="433"/>
        <v>1.0000000000000001E-15</v>
      </c>
      <c r="G404" s="3">
        <f t="shared" si="433"/>
        <v>3.5474272844529211E-7</v>
      </c>
      <c r="H404" s="3">
        <f t="shared" si="433"/>
        <v>2.2707280994703249E-5</v>
      </c>
      <c r="I404" s="10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3.0967034820173337E-26</v>
      </c>
      <c r="C405" s="3">
        <f t="shared" si="433"/>
        <v>1.070023838250955E-24</v>
      </c>
      <c r="D405" s="3">
        <f t="shared" si="433"/>
        <v>7.9629418723247062E-23</v>
      </c>
      <c r="E405" s="3">
        <f t="shared" si="433"/>
        <v>6.4044336352574548E-20</v>
      </c>
      <c r="F405" s="3">
        <f t="shared" si="433"/>
        <v>1E-14</v>
      </c>
      <c r="G405" s="3">
        <f t="shared" si="433"/>
        <v>3.5474272844529212E-6</v>
      </c>
      <c r="H405" s="3">
        <f t="shared" si="433"/>
        <v>2.2707280994703247E-4</v>
      </c>
      <c r="I405" s="10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3.0967034820173343E-25</v>
      </c>
      <c r="C406" s="3">
        <f t="shared" si="433"/>
        <v>1.0700238382509549E-23</v>
      </c>
      <c r="D406" s="3">
        <f t="shared" si="433"/>
        <v>7.9629418723247064E-22</v>
      </c>
      <c r="E406" s="3">
        <f t="shared" si="433"/>
        <v>6.4044336352574551E-19</v>
      </c>
      <c r="F406" s="3">
        <f t="shared" si="433"/>
        <v>1E-13</v>
      </c>
      <c r="G406" s="3">
        <f t="shared" si="433"/>
        <v>3.547427284452921E-5</v>
      </c>
      <c r="H406" s="3">
        <f t="shared" si="433"/>
        <v>2.2707280994703248E-3</v>
      </c>
      <c r="I406" s="10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3.0967034820173337E-24</v>
      </c>
      <c r="C407" s="3">
        <f t="shared" si="433"/>
        <v>1.0700238382509548E-22</v>
      </c>
      <c r="D407" s="3">
        <f t="shared" si="433"/>
        <v>7.9629418723247057E-21</v>
      </c>
      <c r="E407" s="3">
        <f t="shared" si="433"/>
        <v>6.4044336352574554E-18</v>
      </c>
      <c r="F407" s="3">
        <f t="shared" si="433"/>
        <v>9.9999999999999998E-13</v>
      </c>
      <c r="G407" s="3">
        <f t="shared" si="433"/>
        <v>3.5474272844529211E-4</v>
      </c>
      <c r="H407" s="3">
        <f t="shared" si="433"/>
        <v>2.2707280994703247E-2</v>
      </c>
      <c r="I407" s="10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3.096703482017334E-23</v>
      </c>
      <c r="C408" s="3">
        <f t="shared" si="433"/>
        <v>1.0700238382509549E-21</v>
      </c>
      <c r="D408" s="3">
        <f t="shared" si="433"/>
        <v>7.9629418723247054E-20</v>
      </c>
      <c r="E408" s="3">
        <f t="shared" si="433"/>
        <v>6.4044336352574545E-17</v>
      </c>
      <c r="F408" s="3">
        <f t="shared" si="433"/>
        <v>9.9999999999999994E-12</v>
      </c>
      <c r="G408" s="3">
        <f t="shared" si="433"/>
        <v>3.547427284452921E-3</v>
      </c>
      <c r="H408" s="3">
        <f t="shared" si="433"/>
        <v>0.22707280994703247</v>
      </c>
      <c r="I408" s="10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3.0967034820173341E-22</v>
      </c>
      <c r="C409" s="3">
        <f t="shared" si="433"/>
        <v>1.0700238382509549E-20</v>
      </c>
      <c r="D409" s="3">
        <f t="shared" si="433"/>
        <v>7.9629418723247071E-19</v>
      </c>
      <c r="E409" s="3">
        <f t="shared" si="433"/>
        <v>6.4044336352574558E-16</v>
      </c>
      <c r="F409" s="3">
        <f t="shared" si="433"/>
        <v>1E-10</v>
      </c>
      <c r="G409" s="3">
        <f t="shared" si="433"/>
        <v>3.5474272844529212E-2</v>
      </c>
      <c r="H409" s="3">
        <f t="shared" si="433"/>
        <v>2.2707280994703249</v>
      </c>
      <c r="I409" s="10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3.0967034820173343E-21</v>
      </c>
      <c r="C410" s="3">
        <f t="shared" si="433"/>
        <v>1.0700238382509549E-19</v>
      </c>
      <c r="D410" s="3">
        <f t="shared" si="433"/>
        <v>7.9629418723247073E-18</v>
      </c>
      <c r="E410" s="3">
        <f t="shared" si="433"/>
        <v>6.4044336352574558E-15</v>
      </c>
      <c r="F410" s="3">
        <f t="shared" si="433"/>
        <v>1.0000000000000001E-9</v>
      </c>
      <c r="G410" s="3">
        <f t="shared" si="433"/>
        <v>0.35474272844529214</v>
      </c>
      <c r="H410" s="3">
        <f t="shared" si="433"/>
        <v>22.70728099470325</v>
      </c>
      <c r="I410" s="10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3.096703482017334E-20</v>
      </c>
      <c r="C411" s="3">
        <f t="shared" si="433"/>
        <v>1.070023838250955E-18</v>
      </c>
      <c r="D411" s="3">
        <f t="shared" si="433"/>
        <v>7.962941872324707E-17</v>
      </c>
      <c r="E411" s="3">
        <f t="shared" si="433"/>
        <v>6.4044336352574553E-14</v>
      </c>
      <c r="F411" s="3">
        <f t="shared" si="433"/>
        <v>1E-8</v>
      </c>
      <c r="G411" s="3">
        <f t="shared" si="433"/>
        <v>3.5474272844529211</v>
      </c>
      <c r="H411" s="3">
        <f t="shared" si="433"/>
        <v>227.07280994703248</v>
      </c>
      <c r="I411" s="10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3.0967034820173339E-19</v>
      </c>
      <c r="C412" s="3">
        <f t="shared" si="433"/>
        <v>1.0700238382509548E-17</v>
      </c>
      <c r="D412" s="3">
        <f t="shared" si="433"/>
        <v>7.9629418723247065E-16</v>
      </c>
      <c r="E412" s="3">
        <f t="shared" si="433"/>
        <v>6.4044336352574553E-13</v>
      </c>
      <c r="F412" s="3">
        <f t="shared" si="433"/>
        <v>9.9999999999999995E-8</v>
      </c>
      <c r="G412" s="3">
        <f t="shared" si="433"/>
        <v>35.47427284452921</v>
      </c>
      <c r="H412" s="3">
        <f t="shared" si="433"/>
        <v>2270.7280994703247</v>
      </c>
      <c r="I412" s="10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3.0967034820173337E-18</v>
      </c>
      <c r="C413" s="3">
        <f t="shared" si="433"/>
        <v>1.0700238382509548E-16</v>
      </c>
      <c r="D413" s="3">
        <f t="shared" si="433"/>
        <v>7.9629418723247057E-15</v>
      </c>
      <c r="E413" s="3">
        <f t="shared" si="433"/>
        <v>6.4044336352574553E-12</v>
      </c>
      <c r="F413" s="3">
        <f t="shared" si="433"/>
        <v>9.9999999999999995E-7</v>
      </c>
      <c r="G413" s="3">
        <f t="shared" si="433"/>
        <v>354.74272844529207</v>
      </c>
      <c r="H413" s="3">
        <f t="shared" si="433"/>
        <v>22707.280994703247</v>
      </c>
      <c r="I413" s="10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3.0967034820173343E-17</v>
      </c>
      <c r="C414" s="3">
        <f t="shared" si="433"/>
        <v>1.070023838250955E-15</v>
      </c>
      <c r="D414" s="3">
        <f t="shared" si="433"/>
        <v>7.9629418723247066E-14</v>
      </c>
      <c r="E414" s="3">
        <f t="shared" si="433"/>
        <v>6.4044336352574558E-11</v>
      </c>
      <c r="F414" s="3">
        <f t="shared" si="433"/>
        <v>1.0000000000000001E-5</v>
      </c>
      <c r="G414" s="3">
        <f t="shared" si="433"/>
        <v>3547.4272844529214</v>
      </c>
      <c r="H414" s="3">
        <f t="shared" si="433"/>
        <v>227072.80994703251</v>
      </c>
      <c r="I414" s="10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3.0967034820173343E-16</v>
      </c>
      <c r="C415" s="3">
        <f t="shared" si="433"/>
        <v>1.070023838250955E-14</v>
      </c>
      <c r="D415" s="3">
        <f t="shared" si="433"/>
        <v>7.9629418723247071E-13</v>
      </c>
      <c r="E415" s="3">
        <f t="shared" si="433"/>
        <v>6.4044336352574558E-10</v>
      </c>
      <c r="F415" s="3">
        <f t="shared" si="433"/>
        <v>1E-4</v>
      </c>
      <c r="G415" s="3">
        <f t="shared" si="433"/>
        <v>35474.272844529209</v>
      </c>
      <c r="H415" s="3">
        <f t="shared" si="433"/>
        <v>2270728.0994703248</v>
      </c>
      <c r="I415" s="10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3.096703482017334E-15</v>
      </c>
      <c r="C416" s="3">
        <f t="shared" si="433"/>
        <v>1.0700238382509549E-13</v>
      </c>
      <c r="D416" s="3">
        <f t="shared" si="433"/>
        <v>7.9629418723247059E-12</v>
      </c>
      <c r="E416" s="3">
        <f t="shared" si="433"/>
        <v>6.4044336352574551E-9</v>
      </c>
      <c r="F416" s="3">
        <f t="shared" si="433"/>
        <v>1E-3</v>
      </c>
      <c r="G416" s="3">
        <f t="shared" si="433"/>
        <v>354742.7284452921</v>
      </c>
      <c r="H416" s="3">
        <f t="shared" si="433"/>
        <v>22707280.994703248</v>
      </c>
      <c r="I416" s="10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3.0967034820173341E-14</v>
      </c>
      <c r="C417" s="3">
        <f t="shared" si="433"/>
        <v>1.0700238382509549E-12</v>
      </c>
      <c r="D417" s="3">
        <f t="shared" si="433"/>
        <v>7.9629418723247062E-11</v>
      </c>
      <c r="E417" s="3">
        <f t="shared" si="433"/>
        <v>6.4044336352574555E-8</v>
      </c>
      <c r="F417" s="3">
        <f t="shared" si="433"/>
        <v>0.01</v>
      </c>
      <c r="G417" s="3">
        <f t="shared" si="433"/>
        <v>3547427.2844529212</v>
      </c>
      <c r="H417" s="3">
        <f t="shared" si="433"/>
        <v>227072809.94703248</v>
      </c>
      <c r="I417" s="10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3.0967034820173341E-13</v>
      </c>
      <c r="C418" s="3">
        <f t="shared" si="433"/>
        <v>1.070023838250955E-11</v>
      </c>
      <c r="D418" s="3">
        <f t="shared" si="433"/>
        <v>7.962941872324707E-10</v>
      </c>
      <c r="E418" s="3">
        <f t="shared" si="433"/>
        <v>6.4044336352574552E-7</v>
      </c>
      <c r="F418" s="3">
        <f t="shared" si="433"/>
        <v>0.1</v>
      </c>
      <c r="G418" s="3">
        <f t="shared" si="433"/>
        <v>35474272.844529212</v>
      </c>
      <c r="H418" s="3">
        <f t="shared" si="433"/>
        <v>2270728099.470325</v>
      </c>
      <c r="I418" s="10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3.0967034820173341E-12</v>
      </c>
      <c r="C419" s="3">
        <f t="shared" si="433"/>
        <v>1.0700238382509549E-10</v>
      </c>
      <c r="D419" s="3">
        <f t="shared" si="433"/>
        <v>7.9629418723247068E-9</v>
      </c>
      <c r="E419" s="3">
        <f t="shared" si="433"/>
        <v>6.404433635257455E-6</v>
      </c>
      <c r="F419" s="3">
        <f t="shared" si="433"/>
        <v>1</v>
      </c>
      <c r="G419" s="3">
        <f t="shared" si="433"/>
        <v>354742728.44529212</v>
      </c>
      <c r="H419" s="3">
        <f t="shared" si="433"/>
        <v>22707280994.703247</v>
      </c>
      <c r="I419" s="10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129.19132461504012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3.0967034820173337E-11</v>
      </c>
      <c r="C420" s="3">
        <f t="shared" si="434"/>
        <v>1.0700238382509549E-9</v>
      </c>
      <c r="D420" s="3">
        <f t="shared" si="434"/>
        <v>7.9629418723247061E-8</v>
      </c>
      <c r="E420" s="3">
        <f t="shared" si="434"/>
        <v>6.4044336352574548E-5</v>
      </c>
      <c r="F420" s="3">
        <f t="shared" si="434"/>
        <v>10</v>
      </c>
      <c r="G420" s="3">
        <f t="shared" si="434"/>
        <v>3547427284.4529209</v>
      </c>
      <c r="H420" s="3">
        <f t="shared" si="434"/>
        <v>227072809947.03247</v>
      </c>
      <c r="I420" s="10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138.47466281617423</v>
      </c>
      <c r="P420" s="3">
        <f>Comparison!AS19</f>
        <v>125.45582042457461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3.0967034820173337E-10</v>
      </c>
      <c r="C421" s="3">
        <f t="shared" si="434"/>
        <v>1.0700238382509549E-8</v>
      </c>
      <c r="D421" s="3">
        <f t="shared" si="434"/>
        <v>7.9629418723247061E-7</v>
      </c>
      <c r="E421" s="3">
        <f t="shared" si="434"/>
        <v>6.4044336352574551E-4</v>
      </c>
      <c r="F421" s="3">
        <f t="shared" si="434"/>
        <v>100</v>
      </c>
      <c r="G421" s="3">
        <f t="shared" si="434"/>
        <v>35474272844.529213</v>
      </c>
      <c r="H421" s="3">
        <f t="shared" si="434"/>
        <v>2270728099470.3247</v>
      </c>
      <c r="I421" s="10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126.92176045152465</v>
      </c>
      <c r="P421" s="3">
        <f>Comparison!AS20</f>
        <v>125.37751528072498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3.0967034820173339E-9</v>
      </c>
      <c r="C422" s="3">
        <f t="shared" si="434"/>
        <v>1.0700238382509549E-7</v>
      </c>
      <c r="D422" s="3">
        <f t="shared" si="434"/>
        <v>7.9629418723247057E-6</v>
      </c>
      <c r="E422" s="3">
        <f t="shared" si="434"/>
        <v>6.4044336352574553E-3</v>
      </c>
      <c r="F422" s="3">
        <f t="shared" si="434"/>
        <v>1000</v>
      </c>
      <c r="G422" s="3">
        <f t="shared" si="434"/>
        <v>354742728445.29211</v>
      </c>
      <c r="H422" s="3">
        <f t="shared" si="434"/>
        <v>22707280994703.246</v>
      </c>
      <c r="I422" s="10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125.32043450442224</v>
      </c>
      <c r="P422" s="3">
        <f>Comparison!AS21</f>
        <v>125.26241312398497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3.096703482017334E-8</v>
      </c>
      <c r="C423" s="3">
        <f t="shared" si="434"/>
        <v>1.0700238382509549E-6</v>
      </c>
      <c r="D423" s="3">
        <f t="shared" si="434"/>
        <v>7.9629418723247067E-5</v>
      </c>
      <c r="E423" s="3">
        <f t="shared" si="434"/>
        <v>6.4044336352574546E-2</v>
      </c>
      <c r="F423" s="3">
        <f t="shared" si="434"/>
        <v>10000</v>
      </c>
      <c r="G423" s="3">
        <f t="shared" si="434"/>
        <v>3547427284452.9209</v>
      </c>
      <c r="H423" s="3">
        <f t="shared" si="434"/>
        <v>227072809947032.47</v>
      </c>
      <c r="I423" s="10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125.18975547765271</v>
      </c>
      <c r="P423" s="3">
        <f>Comparison!AS22</f>
        <v>125.1369355609138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3.0967034820173337E-7</v>
      </c>
      <c r="C424" s="3">
        <f t="shared" si="434"/>
        <v>1.0700238382509549E-5</v>
      </c>
      <c r="D424" s="3">
        <f t="shared" si="434"/>
        <v>7.9629418723247065E-4</v>
      </c>
      <c r="E424" s="3">
        <f t="shared" si="434"/>
        <v>0.64044336352574549</v>
      </c>
      <c r="F424" s="3">
        <f t="shared" si="434"/>
        <v>100000</v>
      </c>
      <c r="G424" s="3">
        <f t="shared" si="434"/>
        <v>35474272844529.211</v>
      </c>
      <c r="H424" s="3">
        <f t="shared" si="434"/>
        <v>2270728099470325</v>
      </c>
      <c r="I424" s="109">
        <f>Comparison!AL23</f>
        <v>100000</v>
      </c>
      <c r="J424" s="3">
        <f>Comparison!AM23</f>
        <v>5399.4936644871386</v>
      </c>
      <c r="K424" s="3">
        <f>Comparison!AN23</f>
        <v>4967.1522364522052</v>
      </c>
      <c r="L424" s="3">
        <f>Comparison!AO23</f>
        <v>4428.9407335348296</v>
      </c>
      <c r="M424" s="3">
        <f>Comparison!AP23</f>
        <v>3608.495032401398</v>
      </c>
      <c r="N424" s="3">
        <f>Comparison!AQ23</f>
        <v>1000.0232976856266</v>
      </c>
      <c r="O424" s="3">
        <f>Comparison!AR23</f>
        <v>125.05583743141311</v>
      </c>
      <c r="P424" s="3">
        <f>Comparison!AS23</f>
        <v>124.97859027478171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3.0967034820173342E-6</v>
      </c>
      <c r="C425" s="3">
        <f t="shared" si="434"/>
        <v>1.0700238382509549E-4</v>
      </c>
      <c r="D425" s="3">
        <f t="shared" si="434"/>
        <v>7.9629418723247067E-3</v>
      </c>
      <c r="E425" s="3">
        <f t="shared" si="434"/>
        <v>6.4044336352574556</v>
      </c>
      <c r="F425" s="3">
        <f t="shared" si="434"/>
        <v>1000000</v>
      </c>
      <c r="G425" s="3">
        <f t="shared" si="434"/>
        <v>354742728445292.12</v>
      </c>
      <c r="H425" s="3">
        <f t="shared" si="434"/>
        <v>2.2707280994703248E+16</v>
      </c>
      <c r="I425" s="109">
        <f>Comparison!AL24</f>
        <v>1000000</v>
      </c>
      <c r="J425" s="3">
        <f>Comparison!AM24</f>
        <v>5141.8460502498219</v>
      </c>
      <c r="K425" s="3">
        <f>Comparison!AN24</f>
        <v>4663.1486629646943</v>
      </c>
      <c r="L425" s="3">
        <f>Comparison!AO24</f>
        <v>4111.7161259908762</v>
      </c>
      <c r="M425" s="3">
        <f>Comparison!AP24</f>
        <v>3262.5462100054015</v>
      </c>
      <c r="N425" s="3">
        <f>Comparison!AQ24</f>
        <v>576.00660610456418</v>
      </c>
      <c r="O425" s="3">
        <f>Comparison!AR24</f>
        <v>124.89217701523481</v>
      </c>
      <c r="P425" s="3">
        <f>Comparison!AS24</f>
        <v>124.79521194858673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3.0967034820173339E-5</v>
      </c>
      <c r="C426" s="3">
        <f t="shared" si="434"/>
        <v>1.070023838250955E-3</v>
      </c>
      <c r="D426" s="3">
        <f t="shared" si="434"/>
        <v>7.9629418723247067E-2</v>
      </c>
      <c r="E426" s="3">
        <f t="shared" si="434"/>
        <v>64.044336352574547</v>
      </c>
      <c r="F426" s="3">
        <f t="shared" si="434"/>
        <v>10000000</v>
      </c>
      <c r="G426" s="3">
        <f t="shared" si="434"/>
        <v>3547427284452921</v>
      </c>
      <c r="H426" s="3">
        <f t="shared" si="434"/>
        <v>2.2707280994703248E+17</v>
      </c>
      <c r="I426" s="109">
        <f>Comparison!AL25</f>
        <v>10000000</v>
      </c>
      <c r="J426" s="3">
        <f>Comparison!AM25</f>
        <v>4855.3493085479013</v>
      </c>
      <c r="K426" s="3">
        <f>Comparison!AN25</f>
        <v>4346.263159926043</v>
      </c>
      <c r="L426" s="3">
        <f>Comparison!AO25</f>
        <v>3814.2268394370481</v>
      </c>
      <c r="M426" s="3">
        <f>Comparison!AP25</f>
        <v>2841.314577864513</v>
      </c>
      <c r="N426" s="3">
        <f>Comparison!AQ25</f>
        <v>321.80010935687142</v>
      </c>
      <c r="O426" s="3">
        <f>Comparison!AR25</f>
        <v>124.70815441395035</v>
      </c>
      <c r="P426" s="3">
        <f>Comparison!AS25</f>
        <v>124.60066288549459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3.0967034820173341E-4</v>
      </c>
      <c r="C427" s="3">
        <f t="shared" si="434"/>
        <v>1.0700238382509549E-2</v>
      </c>
      <c r="D427" s="3">
        <f t="shared" si="434"/>
        <v>0.79629418723247058</v>
      </c>
      <c r="E427" s="3">
        <f t="shared" si="434"/>
        <v>640.44336352574555</v>
      </c>
      <c r="F427" s="3">
        <f t="shared" si="434"/>
        <v>100000000</v>
      </c>
      <c r="G427" s="3">
        <f t="shared" si="434"/>
        <v>3.5474272844529212E+16</v>
      </c>
      <c r="H427" s="3">
        <f t="shared" si="434"/>
        <v>2.2707280994703247E+18</v>
      </c>
      <c r="I427" s="109">
        <f>Comparison!AL26</f>
        <v>100000000</v>
      </c>
      <c r="J427" s="3">
        <f>Comparison!AM26</f>
        <v>4530.5898566513597</v>
      </c>
      <c r="K427" s="3">
        <f>Comparison!AN26</f>
        <v>4052.7215067045913</v>
      </c>
      <c r="L427" s="3">
        <f>Comparison!AO26</f>
        <v>3517.7803393025779</v>
      </c>
      <c r="M427" s="3">
        <f>Comparison!AP26</f>
        <v>2350.4004054830193</v>
      </c>
      <c r="N427" s="3">
        <f>Comparison!AQ26</f>
        <v>187.89777287454069</v>
      </c>
      <c r="O427" s="3">
        <f>Comparison!AR26</f>
        <v>124.51586541667818</v>
      </c>
      <c r="P427" s="3">
        <f>Comparison!AS26</f>
        <v>124.40326066206676</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3.0967034820173342E-3</v>
      </c>
      <c r="C428" s="3">
        <f t="shared" si="434"/>
        <v>0.10700238382509548</v>
      </c>
      <c r="D428" s="3">
        <f t="shared" si="434"/>
        <v>7.9629418723247065</v>
      </c>
      <c r="E428" s="3">
        <f t="shared" si="434"/>
        <v>6404.4336352574555</v>
      </c>
      <c r="F428" s="3">
        <f t="shared" si="434"/>
        <v>1000000000</v>
      </c>
      <c r="G428" s="3">
        <f t="shared" si="434"/>
        <v>3.547427284452921E+17</v>
      </c>
      <c r="H428" s="3">
        <f t="shared" si="434"/>
        <v>2.2707280994703249E+19</v>
      </c>
      <c r="I428" s="109">
        <f>Comparison!AL27</f>
        <v>1000000000</v>
      </c>
      <c r="J428" s="3">
        <f>Comparison!AM27</f>
        <v>4215.1902304511941</v>
      </c>
      <c r="K428" s="3">
        <f>Comparison!AN27</f>
        <v>3771.4995408899726</v>
      </c>
      <c r="L428" s="3">
        <f>Comparison!AO27</f>
        <v>3195.2414492417452</v>
      </c>
      <c r="M428" s="3">
        <f>Comparison!AP27</f>
        <v>1794.2797745605371</v>
      </c>
      <c r="N428" s="3">
        <f>Comparison!AQ27</f>
        <v>146.32445551645827</v>
      </c>
      <c r="O428" s="3">
        <f>Comparison!AR27</f>
        <v>124.45612407089325</v>
      </c>
      <c r="P428" s="3">
        <f>Comparison!AS27</f>
        <v>124.39897169961779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3.096703482017334E-2</v>
      </c>
      <c r="C429" s="3">
        <f t="shared" si="434"/>
        <v>1.0700238382509548</v>
      </c>
      <c r="D429" s="3">
        <f t="shared" si="434"/>
        <v>79.62941872324707</v>
      </c>
      <c r="E429" s="3">
        <f t="shared" si="434"/>
        <v>64044.336352574552</v>
      </c>
      <c r="F429" s="3">
        <f t="shared" si="434"/>
        <v>10000000000</v>
      </c>
      <c r="G429" s="3">
        <f t="shared" si="434"/>
        <v>3.5474272844529208E+18</v>
      </c>
      <c r="H429" s="3">
        <f t="shared" si="434"/>
        <v>2.2707280994703249E+20</v>
      </c>
      <c r="I429" s="109">
        <f>Comparison!AL28</f>
        <v>10000000000</v>
      </c>
      <c r="J429" s="3">
        <f>Comparison!AM28</f>
        <v>3929.081471457625</v>
      </c>
      <c r="K429" s="3">
        <f>Comparison!AN28</f>
        <v>3487.2930712528305</v>
      </c>
      <c r="L429" s="3">
        <f>Comparison!AO28</f>
        <v>2791.4157044377589</v>
      </c>
      <c r="M429" s="3">
        <f>Comparison!AP28</f>
        <v>1192.7526197056241</v>
      </c>
      <c r="N429" s="3">
        <f>Comparison!AQ28</f>
        <v>132.67557886184474</v>
      </c>
      <c r="O429" s="3">
        <f>Comparison!AR28</f>
        <v>124.36413594438419</v>
      </c>
      <c r="P429" s="3">
        <f>Comparison!AS28</f>
        <v>124.30647199515475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0.30967034820173339</v>
      </c>
      <c r="C430" s="3">
        <f t="shared" si="434"/>
        <v>10.70023838250955</v>
      </c>
      <c r="D430" s="3">
        <f t="shared" si="434"/>
        <v>796.29418723247068</v>
      </c>
      <c r="E430" s="3">
        <f t="shared" si="434"/>
        <v>640443.36352574558</v>
      </c>
      <c r="F430" s="3">
        <f t="shared" si="434"/>
        <v>100000000000</v>
      </c>
      <c r="G430" s="3">
        <f t="shared" si="434"/>
        <v>3.5474272844529209E+19</v>
      </c>
      <c r="H430" s="3">
        <f t="shared" si="434"/>
        <v>2.2707280994703248E+21</v>
      </c>
      <c r="I430" s="109">
        <f>Comparison!AL29</f>
        <v>100000000000</v>
      </c>
      <c r="J430" s="3">
        <f>Comparison!AM29</f>
        <v>3641.242030569621</v>
      </c>
      <c r="K430" s="3">
        <f>Comparison!AN29</f>
        <v>3171.2944430186703</v>
      </c>
      <c r="L430" s="3">
        <f>Comparison!AO29</f>
        <v>2312.1801528163464</v>
      </c>
      <c r="M430" s="3">
        <f>Comparison!AP29</f>
        <v>712.56207316539314</v>
      </c>
      <c r="N430" s="3">
        <f>Comparison!AQ29</f>
        <v>124.09266721325585</v>
      </c>
      <c r="O430" s="3">
        <f>Comparison!AR29</f>
        <v>124.24957869452857</v>
      </c>
      <c r="P430" s="3">
        <f>Comparison!AS29</f>
        <v>124.18164826003697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3.0967034820173338</v>
      </c>
      <c r="C431" s="3">
        <f t="shared" si="434"/>
        <v>107.00238382509549</v>
      </c>
      <c r="D431" s="3">
        <f t="shared" si="434"/>
        <v>7962.9418723247063</v>
      </c>
      <c r="E431" s="3">
        <f t="shared" si="434"/>
        <v>6404433.6352574555</v>
      </c>
      <c r="F431" s="3">
        <f t="shared" si="434"/>
        <v>1000000000000</v>
      </c>
      <c r="G431" s="3">
        <f t="shared" si="434"/>
        <v>3.5474272844529212E+20</v>
      </c>
      <c r="H431" s="3">
        <f t="shared" si="434"/>
        <v>2.2707280994703247E+22</v>
      </c>
      <c r="I431" s="109">
        <f>Comparison!AL30</f>
        <v>1000000000000</v>
      </c>
      <c r="J431" s="3">
        <f>Comparison!AM30</f>
        <v>3352.5216988135498</v>
      </c>
      <c r="K431" s="3">
        <f>Comparison!AN30</f>
        <v>2771.7245513357993</v>
      </c>
      <c r="L431" s="3">
        <f>Comparison!AO30</f>
        <v>1761.4184833894965</v>
      </c>
      <c r="M431" s="3">
        <f>Comparison!AP30</f>
        <v>405.79350694215293</v>
      </c>
      <c r="N431" s="3">
        <f>Comparison!AQ30</f>
        <v>123.97220489326934</v>
      </c>
      <c r="O431" s="3">
        <f>Comparison!AR30</f>
        <v>124.12464463468883</v>
      </c>
      <c r="P431" s="3">
        <f>Comparison!AS30</f>
        <v>124.05329261398603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30.967034820173339</v>
      </c>
      <c r="C432" s="3">
        <f t="shared" si="434"/>
        <v>1070.0238382509549</v>
      </c>
      <c r="D432" s="3">
        <f t="shared" si="434"/>
        <v>79629.418723247058</v>
      </c>
      <c r="E432" s="3">
        <f t="shared" si="434"/>
        <v>64044336.35257455</v>
      </c>
      <c r="F432" s="3">
        <f t="shared" si="434"/>
        <v>10000000000000</v>
      </c>
      <c r="G432" s="3">
        <f t="shared" si="434"/>
        <v>3.5474272844529208E+21</v>
      </c>
      <c r="H432" s="3">
        <f t="shared" si="434"/>
        <v>2.2707280994703248E+23</v>
      </c>
      <c r="I432" s="109">
        <f>Comparison!AL31</f>
        <v>10000000000000</v>
      </c>
      <c r="J432" s="3">
        <f>Comparison!AM31</f>
        <v>2996.6335305209523</v>
      </c>
      <c r="K432" s="3">
        <f>Comparison!AN31</f>
        <v>2294.6891766146468</v>
      </c>
      <c r="L432" s="3">
        <f>Comparison!AO31</f>
        <v>1165.0893454090649</v>
      </c>
      <c r="M432" s="3">
        <f>Comparison!AP31</f>
        <v>227.75650575396227</v>
      </c>
      <c r="N432" s="3">
        <f>Comparison!AQ31</f>
        <v>123.97018586453261</v>
      </c>
      <c r="O432" s="3">
        <f>Comparison!AR31</f>
        <v>124.11696893794122</v>
      </c>
      <c r="P432" s="3">
        <f>Comparison!AS31</f>
        <v>124.04585962671396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309.67034820173342</v>
      </c>
      <c r="C433" s="3">
        <f t="shared" si="434"/>
        <v>10700.238382509549</v>
      </c>
      <c r="D433" s="3">
        <f t="shared" si="434"/>
        <v>796294.18723247061</v>
      </c>
      <c r="E433" s="3">
        <f t="shared" si="434"/>
        <v>640443363.52574551</v>
      </c>
      <c r="F433" s="3">
        <f t="shared" si="434"/>
        <v>100000000000000</v>
      </c>
      <c r="G433" s="3">
        <f t="shared" si="434"/>
        <v>3.547427284452921E+22</v>
      </c>
      <c r="H433" s="3">
        <f t="shared" si="434"/>
        <v>2.2707280994703248E+24</v>
      </c>
      <c r="I433" s="109">
        <f>Comparison!AL32</f>
        <v>100000000000000</v>
      </c>
      <c r="J433" s="3">
        <f>Comparison!AM32</f>
        <v>2563.0064610610193</v>
      </c>
      <c r="K433" s="3">
        <f>Comparison!AN32</f>
        <v>1744.1842965326991</v>
      </c>
      <c r="L433" s="3">
        <f>Comparison!AO32</f>
        <v>692.87414966525068</v>
      </c>
      <c r="M433" s="3">
        <f>Comparison!AP32</f>
        <v>157.27484077697326</v>
      </c>
      <c r="N433" s="3">
        <f>Comparison!AQ32</f>
        <v>123.96849358445334</v>
      </c>
      <c r="O433" s="3">
        <f>Comparison!AR32</f>
        <v>124.11273578228328</v>
      </c>
      <c r="P433" s="3">
        <f>Comparison!AS32</f>
        <v>124.04225732695286</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3096.703482017334</v>
      </c>
      <c r="C434" s="3">
        <f t="shared" si="434"/>
        <v>107002.38382509549</v>
      </c>
      <c r="D434" s="3">
        <f t="shared" si="434"/>
        <v>7962941.8723247061</v>
      </c>
      <c r="E434" s="3">
        <f t="shared" si="434"/>
        <v>6404433635.2574549</v>
      </c>
      <c r="F434" s="3">
        <f t="shared" si="434"/>
        <v>1000000000000000</v>
      </c>
      <c r="G434" s="3">
        <f t="shared" si="434"/>
        <v>3.5474272844529212E+23</v>
      </c>
      <c r="H434" s="3">
        <f t="shared" si="434"/>
        <v>2.2707280994703247E+25</v>
      </c>
      <c r="I434" s="109">
        <f>Comparison!AL33</f>
        <v>1000000000000000</v>
      </c>
      <c r="J434" s="3">
        <f>Comparison!AM33</f>
        <v>2059.5134179476377</v>
      </c>
      <c r="K434" s="3">
        <f>Comparison!AN33</f>
        <v>1149.8282974544306</v>
      </c>
      <c r="L434" s="3">
        <f>Comparison!AO33</f>
        <v>393.89092728068977</v>
      </c>
      <c r="M434" s="3">
        <f>Comparison!AP33</f>
        <v>137.32830205333357</v>
      </c>
      <c r="N434" s="3">
        <f>Comparison!AQ33</f>
        <v>123.96695327212331</v>
      </c>
      <c r="O434" s="3">
        <f>Comparison!AR33</f>
        <v>124.10930475258213</v>
      </c>
      <c r="P434" s="3">
        <f>Comparison!AS33</f>
        <v>124.03970146521578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-26.500682963138459</v>
      </c>
      <c r="M1" s="54">
        <v>1</v>
      </c>
      <c r="N1" s="56">
        <f>INDEX($H$217:$P$217,1,Q1)</f>
        <v>0.46946581030246137</v>
      </c>
      <c r="O1" s="11"/>
      <c r="P1" s="55">
        <v>1</v>
      </c>
      <c r="Q1" s="11">
        <v>2</v>
      </c>
    </row>
    <row r="2" spans="1:17" x14ac:dyDescent="0.25">
      <c r="A2" s="11">
        <f>'Mastercurve bestimmen'!M119</f>
        <v>0</v>
      </c>
      <c r="B2" s="11">
        <f>'Mastercurve bestimmen'!N119</f>
        <v>-22.958170002975599</v>
      </c>
      <c r="M2" s="54">
        <v>2</v>
      </c>
      <c r="N2" s="56">
        <f t="shared" ref="N2:N9" si="0">INDEX($H$217:$P$217,1,Q2)</f>
        <v>1.6612517165030748E-3</v>
      </c>
      <c r="O2" s="11"/>
      <c r="P2" s="55">
        <v>2</v>
      </c>
      <c r="Q2" s="11">
        <f>Q1+1</f>
        <v>3</v>
      </c>
    </row>
    <row r="3" spans="1:17" x14ac:dyDescent="0.25">
      <c r="A3" s="11">
        <f>'Mastercurve bestimmen'!M120</f>
        <v>25</v>
      </c>
      <c r="B3" s="11">
        <f>'Mastercurve bestimmen'!N120</f>
        <v>-18.648467323418366</v>
      </c>
      <c r="M3" s="54">
        <v>3</v>
      </c>
      <c r="N3" s="56">
        <f t="shared" si="0"/>
        <v>-3.5215345359778821E-5</v>
      </c>
      <c r="O3" s="11"/>
      <c r="P3" s="55">
        <v>3</v>
      </c>
      <c r="Q3" s="11">
        <f t="shared" ref="Q3:Q8" si="1">Q2+1</f>
        <v>4</v>
      </c>
    </row>
    <row r="4" spans="1:17" x14ac:dyDescent="0.25">
      <c r="A4" s="11">
        <f>'Mastercurve bestimmen'!M121</f>
        <v>50</v>
      </c>
      <c r="B4" s="11">
        <f>'Mastercurve bestimmen'!N121</f>
        <v>-11.958520051934006</v>
      </c>
      <c r="M4" s="54">
        <v>4</v>
      </c>
      <c r="N4" s="56">
        <f t="shared" si="0"/>
        <v>-4.7763192160456358E-7</v>
      </c>
      <c r="O4" s="11"/>
      <c r="P4" s="55">
        <v>4</v>
      </c>
      <c r="Q4" s="11">
        <f t="shared" si="1"/>
        <v>5</v>
      </c>
    </row>
    <row r="5" spans="1:17" x14ac:dyDescent="0.25">
      <c r="A5" s="11">
        <f>'Mastercurve bestimmen'!M122</f>
        <v>80</v>
      </c>
      <c r="B5" s="11">
        <f>'Mastercurve bestimmen'!N122</f>
        <v>0</v>
      </c>
      <c r="M5" s="54">
        <v>5</v>
      </c>
      <c r="N5" s="56">
        <f t="shared" si="0"/>
        <v>5.0180461891847456E-11</v>
      </c>
      <c r="O5" s="11"/>
      <c r="P5" s="55">
        <v>5</v>
      </c>
      <c r="Q5" s="11">
        <f t="shared" si="1"/>
        <v>6</v>
      </c>
    </row>
    <row r="6" spans="1:17" x14ac:dyDescent="0.25">
      <c r="A6" s="11">
        <f>'Mastercurve bestimmen'!M123</f>
        <v>125</v>
      </c>
      <c r="B6" s="11">
        <f>'Mastercurve bestimmen'!N123</f>
        <v>19.686903376106656</v>
      </c>
      <c r="M6" s="54">
        <v>6</v>
      </c>
      <c r="N6" s="56">
        <f t="shared" si="0"/>
        <v>3.5450018287463353E-11</v>
      </c>
      <c r="O6" s="11"/>
      <c r="P6" s="55">
        <v>6</v>
      </c>
      <c r="Q6" s="11">
        <f t="shared" si="1"/>
        <v>7</v>
      </c>
    </row>
    <row r="7" spans="1:17" x14ac:dyDescent="0.25">
      <c r="A7" s="11">
        <f>'Mastercurve bestimmen'!M124</f>
        <v>160</v>
      </c>
      <c r="B7" s="11">
        <f>'Mastercurve bestimmen'!N124</f>
        <v>23.845951458670253</v>
      </c>
      <c r="M7" s="54">
        <v>7</v>
      </c>
      <c r="N7" s="56">
        <f t="shared" si="0"/>
        <v>1.8191111701198339E-13</v>
      </c>
      <c r="O7" s="11"/>
      <c r="P7" s="55">
        <v>7</v>
      </c>
      <c r="Q7" s="11">
        <f t="shared" si="1"/>
        <v>8</v>
      </c>
    </row>
    <row r="8" spans="1:17" x14ac:dyDescent="0.25">
      <c r="A8" s="11"/>
      <c r="B8" s="11"/>
      <c r="M8" s="54">
        <v>8</v>
      </c>
      <c r="N8" s="56">
        <f t="shared" si="0"/>
        <v>1.067566921737343E-16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-26.500682963138459</v>
      </c>
      <c r="E15" s="11">
        <f>A15-'Mastercurve bestimmen'!$B$2</f>
        <v>-120</v>
      </c>
      <c r="F15" s="11">
        <f>B15</f>
        <v>-26.500682963138459</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-26.433078251979069</v>
      </c>
      <c r="E16" s="11">
        <f>A16-'Mastercurve bestimmen'!$B$2</f>
        <v>-119</v>
      </c>
      <c r="F16" s="11">
        <f t="shared" ref="F16:F79" si="4">B16</f>
        <v>-26.433078251979069</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-26.365394898745212</v>
      </c>
      <c r="E17" s="11">
        <f>A17-'Mastercurve bestimmen'!$B$2</f>
        <v>-118</v>
      </c>
      <c r="F17" s="11">
        <f t="shared" si="4"/>
        <v>-26.365394898745212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-26.297554261362428</v>
      </c>
      <c r="E18" s="11">
        <f>A18-'Mastercurve bestimmen'!$B$2</f>
        <v>-117</v>
      </c>
      <c r="F18" s="11">
        <f t="shared" si="4"/>
        <v>-26.297554261362428</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-26.229477697756252</v>
      </c>
      <c r="E19" s="11">
        <f>A19-'Mastercurve bestimmen'!$B$2</f>
        <v>-116</v>
      </c>
      <c r="F19" s="11">
        <f t="shared" si="4"/>
        <v>-26.229477697756252</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-26.161086565852223</v>
      </c>
      <c r="E20" s="11">
        <f>A20-'Mastercurve bestimmen'!$B$2</f>
        <v>-115</v>
      </c>
      <c r="F20" s="11">
        <f t="shared" si="4"/>
        <v>-26.161086565852223</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-26.092302223575867</v>
      </c>
      <c r="E21" s="11">
        <f>A21-'Mastercurve bestimmen'!$B$2</f>
        <v>-114</v>
      </c>
      <c r="F21" s="11">
        <f t="shared" si="4"/>
        <v>-26.092302223575867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-26.023046028852725</v>
      </c>
      <c r="E22" s="11">
        <f>A22-'Mastercurve bestimmen'!$B$2</f>
        <v>-113</v>
      </c>
      <c r="F22" s="11">
        <f t="shared" si="4"/>
        <v>-26.023046028852725</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-25.953239339608341</v>
      </c>
      <c r="E23" s="11">
        <f>A23-'Mastercurve bestimmen'!$B$2</f>
        <v>-112</v>
      </c>
      <c r="F23" s="11">
        <f t="shared" si="4"/>
        <v>-25.953239339608341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-25.882803513768245</v>
      </c>
      <c r="E24" s="11">
        <f>A24-'Mastercurve bestimmen'!$B$2</f>
        <v>-111</v>
      </c>
      <c r="F24" s="11">
        <f t="shared" si="4"/>
        <v>-25.882803513768245</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-25.811659909257965</v>
      </c>
      <c r="E25" s="11">
        <f>A25-'Mastercurve bestimmen'!$B$2</f>
        <v>-110</v>
      </c>
      <c r="F25" s="11">
        <f t="shared" si="4"/>
        <v>-25.811659909257965</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-25.739729884003047</v>
      </c>
      <c r="E26" s="11">
        <f>A26-'Mastercurve bestimmen'!$B$2</f>
        <v>-109</v>
      </c>
      <c r="F26" s="11">
        <f t="shared" si="4"/>
        <v>-25.739729884003047</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-25.666934795929027</v>
      </c>
      <c r="E27" s="11">
        <f>A27-'Mastercurve bestimmen'!$B$2</f>
        <v>-108</v>
      </c>
      <c r="F27" s="11">
        <f t="shared" si="4"/>
        <v>-25.666934795929027</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-25.593196002961434</v>
      </c>
      <c r="E28" s="11">
        <f>A28-'Mastercurve bestimmen'!$B$2</f>
        <v>-107</v>
      </c>
      <c r="F28" s="11">
        <f t="shared" si="4"/>
        <v>-25.593196002961434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-25.518434863025814</v>
      </c>
      <c r="E29" s="11">
        <f>A29-'Mastercurve bestimmen'!$B$2</f>
        <v>-106</v>
      </c>
      <c r="F29" s="11">
        <f t="shared" si="4"/>
        <v>-25.518434863025814</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-25.442572734047694</v>
      </c>
      <c r="E30" s="11">
        <f>A30-'Mastercurve bestimmen'!$B$2</f>
        <v>-105</v>
      </c>
      <c r="F30" s="11">
        <f t="shared" si="4"/>
        <v>-25.442572734047694</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-25.365530973952609</v>
      </c>
      <c r="E31" s="11">
        <f>A31-'Mastercurve bestimmen'!$B$2</f>
        <v>-104</v>
      </c>
      <c r="F31" s="11">
        <f t="shared" si="4"/>
        <v>-25.365530973952609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-25.287230940666102</v>
      </c>
      <c r="E32" s="11">
        <f>A32-'Mastercurve bestimmen'!$B$2</f>
        <v>-103</v>
      </c>
      <c r="F32" s="11">
        <f t="shared" si="4"/>
        <v>-25.287230940666102</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-25.207593992113704</v>
      </c>
      <c r="E33" s="11">
        <f>A33-'Mastercurve bestimmen'!$B$2</f>
        <v>-102</v>
      </c>
      <c r="F33" s="11">
        <f t="shared" si="4"/>
        <v>-25.207593992113704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-25.126541486220951</v>
      </c>
      <c r="E34" s="11">
        <f>A34-'Mastercurve bestimmen'!$B$2</f>
        <v>-101</v>
      </c>
      <c r="F34" s="11">
        <f t="shared" si="4"/>
        <v>-25.126541486220951</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-25.043994780913383</v>
      </c>
      <c r="E35" s="11">
        <f>A35-'Mastercurve bestimmen'!$B$2</f>
        <v>-100</v>
      </c>
      <c r="F35" s="11">
        <f t="shared" si="4"/>
        <v>-25.043994780913383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-24.959875234116531</v>
      </c>
      <c r="E36" s="11">
        <f>A36-'Mastercurve bestimmen'!$B$2</f>
        <v>-99</v>
      </c>
      <c r="F36" s="11">
        <f t="shared" si="4"/>
        <v>-24.959875234116531</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-24.874104203755941</v>
      </c>
      <c r="E37" s="11">
        <f>A37-'Mastercurve bestimmen'!$B$2</f>
        <v>-98</v>
      </c>
      <c r="F37" s="11">
        <f t="shared" si="4"/>
        <v>-24.874104203755941</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-24.786603047757133</v>
      </c>
      <c r="E38" s="11">
        <f>A38-'Mastercurve bestimmen'!$B$2</f>
        <v>-97</v>
      </c>
      <c r="F38" s="11">
        <f t="shared" si="4"/>
        <v>-24.786603047757133</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-24.69729312404565</v>
      </c>
      <c r="E39" s="11">
        <f>A39-'Mastercurve bestimmen'!$B$2</f>
        <v>-96</v>
      </c>
      <c r="F39" s="11">
        <f t="shared" si="4"/>
        <v>-24.69729312404565</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-24.60609579054703</v>
      </c>
      <c r="E40" s="11">
        <f>A40-'Mastercurve bestimmen'!$B$2</f>
        <v>-95</v>
      </c>
      <c r="F40" s="11">
        <f t="shared" si="4"/>
        <v>-24.60609579054703</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-24.51293240518681</v>
      </c>
      <c r="E41" s="11">
        <f>A41-'Mastercurve bestimmen'!$B$2</f>
        <v>-94</v>
      </c>
      <c r="F41" s="11">
        <f t="shared" si="4"/>
        <v>-24.51293240518681</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-24.417724325890525</v>
      </c>
      <c r="E42" s="11">
        <f>A42-'Mastercurve bestimmen'!$B$2</f>
        <v>-93</v>
      </c>
      <c r="F42" s="11">
        <f t="shared" si="4"/>
        <v>-24.417724325890525</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-24.320392910583706</v>
      </c>
      <c r="E43" s="11">
        <f>A43-'Mastercurve bestimmen'!$B$2</f>
        <v>-92</v>
      </c>
      <c r="F43" s="11">
        <f t="shared" si="4"/>
        <v>-24.320392910583706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-24.220859517191897</v>
      </c>
      <c r="E44" s="11">
        <f>A44-'Mastercurve bestimmen'!$B$2</f>
        <v>-91</v>
      </c>
      <c r="F44" s="11">
        <f t="shared" si="4"/>
        <v>-24.220859517191897</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-24.119045503640624</v>
      </c>
      <c r="E45" s="11">
        <f>A45-'Mastercurve bestimmen'!$B$2</f>
        <v>-90</v>
      </c>
      <c r="F45" s="11">
        <f t="shared" si="4"/>
        <v>-24.119045503640624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-24.014872227855431</v>
      </c>
      <c r="E46" s="11">
        <f>A46-'Mastercurve bestimmen'!$B$2</f>
        <v>-89</v>
      </c>
      <c r="F46" s="11">
        <f t="shared" si="4"/>
        <v>-24.014872227855431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-23.908261047761851</v>
      </c>
      <c r="E47" s="11">
        <f>A47-'Mastercurve bestimmen'!$B$2</f>
        <v>-88</v>
      </c>
      <c r="F47" s="11">
        <f t="shared" si="4"/>
        <v>-23.908261047761851</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-23.799133321285424</v>
      </c>
      <c r="E48" s="11">
        <f>A48-'Mastercurve bestimmen'!$B$2</f>
        <v>-87</v>
      </c>
      <c r="F48" s="11">
        <f t="shared" si="4"/>
        <v>-23.799133321285424</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-23.687410406351674</v>
      </c>
      <c r="E49" s="11">
        <f>A49-'Mastercurve bestimmen'!$B$2</f>
        <v>-86</v>
      </c>
      <c r="F49" s="11">
        <f t="shared" si="4"/>
        <v>-23.687410406351674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-23.573013660886147</v>
      </c>
      <c r="E50" s="11">
        <f>A50-'Mastercurve bestimmen'!$B$2</f>
        <v>-85</v>
      </c>
      <c r="F50" s="11">
        <f t="shared" si="4"/>
        <v>-23.573013660886147</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-23.455864442814384</v>
      </c>
      <c r="E51" s="11">
        <f>A51-'Mastercurve bestimmen'!$B$2</f>
        <v>-84</v>
      </c>
      <c r="F51" s="11">
        <f t="shared" si="4"/>
        <v>-23.455864442814384</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-23.335884110061912</v>
      </c>
      <c r="E52" s="11">
        <f>A52-'Mastercurve bestimmen'!$B$2</f>
        <v>-83</v>
      </c>
      <c r="F52" s="11">
        <f t="shared" si="4"/>
        <v>-23.335884110061912</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-23.212994020554262</v>
      </c>
      <c r="E53" s="11">
        <f>A53-'Mastercurve bestimmen'!$B$2</f>
        <v>-82</v>
      </c>
      <c r="F53" s="11">
        <f t="shared" si="4"/>
        <v>-23.212994020554262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-23.087115532216977</v>
      </c>
      <c r="E54" s="11">
        <f>A54-'Mastercurve bestimmen'!$B$2</f>
        <v>-81</v>
      </c>
      <c r="F54" s="11">
        <f t="shared" si="4"/>
        <v>-23.087115532216977</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-22.958170002975599</v>
      </c>
      <c r="E55" s="11">
        <f>A55-'Mastercurve bestimmen'!$B$2</f>
        <v>-80</v>
      </c>
      <c r="F55" s="11">
        <f t="shared" si="4"/>
        <v>-22.958170002975599</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-22.825645113687351</v>
      </c>
      <c r="E56" s="11">
        <f>A56-'Mastercurve bestimmen'!$B$2</f>
        <v>-79</v>
      </c>
      <c r="F56" s="11">
        <f t="shared" si="4"/>
        <v>-22.825645113687351</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-22.689954204669082</v>
      </c>
      <c r="E57" s="11">
        <f>A57-'Mastercurve bestimmen'!$B$2</f>
        <v>-78</v>
      </c>
      <c r="F57" s="11">
        <f t="shared" si="4"/>
        <v>-22.689954204669082</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-22.551076939169338</v>
      </c>
      <c r="E58" s="11">
        <f>A58-'Mastercurve bestimmen'!$B$2</f>
        <v>-77</v>
      </c>
      <c r="F58" s="11">
        <f t="shared" si="4"/>
        <v>-22.551076939169338</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-22.408992980436672</v>
      </c>
      <c r="E59" s="11">
        <f>A59-'Mastercurve bestimmen'!$B$2</f>
        <v>-76</v>
      </c>
      <c r="F59" s="11">
        <f t="shared" si="4"/>
        <v>-22.408992980436672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-22.263681991719622</v>
      </c>
      <c r="E60" s="11">
        <f>A60-'Mastercurve bestimmen'!$B$2</f>
        <v>-75</v>
      </c>
      <c r="F60" s="11">
        <f t="shared" si="4"/>
        <v>-22.263681991719622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-22.115123636266731</v>
      </c>
      <c r="E61" s="11">
        <f>A61-'Mastercurve bestimmen'!$B$2</f>
        <v>-74</v>
      </c>
      <c r="F61" s="11">
        <f t="shared" si="4"/>
        <v>-22.115123636266731</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-21.963297577326557</v>
      </c>
      <c r="E62" s="11">
        <f>A62-'Mastercurve bestimmen'!$B$2</f>
        <v>-73</v>
      </c>
      <c r="F62" s="11">
        <f t="shared" si="4"/>
        <v>-21.963297577326557</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-21.808183478147633</v>
      </c>
      <c r="E63" s="11">
        <f>A63-'Mastercurve bestimmen'!$B$2</f>
        <v>-72</v>
      </c>
      <c r="F63" s="11">
        <f t="shared" si="4"/>
        <v>-21.808183478147633</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-21.649761001978508</v>
      </c>
      <c r="E64" s="11">
        <f>A64-'Mastercurve bestimmen'!$B$2</f>
        <v>-71</v>
      </c>
      <c r="F64" s="11">
        <f t="shared" si="4"/>
        <v>-21.649761001978508</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-21.48800981206773</v>
      </c>
      <c r="E65" s="11">
        <f>A65-'Mastercurve bestimmen'!$B$2</f>
        <v>-70</v>
      </c>
      <c r="F65" s="11">
        <f t="shared" si="4"/>
        <v>-21.48800981206773</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-21.322909571663843</v>
      </c>
      <c r="E66" s="11">
        <f>A66-'Mastercurve bestimmen'!$B$2</f>
        <v>-69</v>
      </c>
      <c r="F66" s="11">
        <f t="shared" si="4"/>
        <v>-21.322909571663843</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-21.15443994401539</v>
      </c>
      <c r="E67" s="11">
        <f>A67-'Mastercurve bestimmen'!$B$2</f>
        <v>-68</v>
      </c>
      <c r="F67" s="11">
        <f t="shared" si="4"/>
        <v>-21.15443994401539</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-20.982580592370919</v>
      </c>
      <c r="E68" s="11">
        <f>A68-'Mastercurve bestimmen'!$B$2</f>
        <v>-67</v>
      </c>
      <c r="F68" s="11">
        <f t="shared" si="4"/>
        <v>-20.982580592370919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-20.807311179978974</v>
      </c>
      <c r="E69" s="11">
        <f>A69-'Mastercurve bestimmen'!$B$2</f>
        <v>-66</v>
      </c>
      <c r="F69" s="11">
        <f t="shared" si="4"/>
        <v>-20.807311179978974</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-20.628611370088109</v>
      </c>
      <c r="E70" s="11">
        <f>A70-'Mastercurve bestimmen'!$B$2</f>
        <v>-65</v>
      </c>
      <c r="F70" s="11">
        <f t="shared" si="4"/>
        <v>-20.628611370088109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-20.446460825946851</v>
      </c>
      <c r="E71" s="11">
        <f>A71-'Mastercurve bestimmen'!$B$2</f>
        <v>-64</v>
      </c>
      <c r="F71" s="11">
        <f t="shared" si="4"/>
        <v>-20.446460825946851</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-20.260839210803763</v>
      </c>
      <c r="E72" s="11">
        <f>A72-'Mastercurve bestimmen'!$B$2</f>
        <v>-63</v>
      </c>
      <c r="F72" s="11">
        <f t="shared" si="4"/>
        <v>-20.260839210803763</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-20.07172618790738</v>
      </c>
      <c r="E73" s="11">
        <f>A73-'Mastercurve bestimmen'!$B$2</f>
        <v>-62</v>
      </c>
      <c r="F73" s="11">
        <f t="shared" si="4"/>
        <v>-20.07172618790738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-19.879101420506252</v>
      </c>
      <c r="E74" s="11">
        <f>A74-'Mastercurve bestimmen'!$B$2</f>
        <v>-61</v>
      </c>
      <c r="F74" s="11">
        <f t="shared" si="4"/>
        <v>-19.879101420506252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-19.682944571848925</v>
      </c>
      <c r="E75" s="11">
        <f>A75-'Mastercurve bestimmen'!$B$2</f>
        <v>-60</v>
      </c>
      <c r="F75" s="11">
        <f t="shared" si="4"/>
        <v>-19.682944571848925</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-19.483235305183943</v>
      </c>
      <c r="E76" s="11">
        <f>A76-'Mastercurve bestimmen'!$B$2</f>
        <v>-59</v>
      </c>
      <c r="F76" s="11">
        <f t="shared" si="4"/>
        <v>-19.483235305183943</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-19.279953283759848</v>
      </c>
      <c r="E77" s="11">
        <f>A77-'Mastercurve bestimmen'!$B$2</f>
        <v>-58</v>
      </c>
      <c r="F77" s="11">
        <f t="shared" si="4"/>
        <v>-19.279953283759848</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-19.073078170825191</v>
      </c>
      <c r="E78" s="11">
        <f>A78-'Mastercurve bestimmen'!$B$2</f>
        <v>-57</v>
      </c>
      <c r="F78" s="11">
        <f t="shared" si="4"/>
        <v>-19.073078170825191</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-18.862589629628513</v>
      </c>
      <c r="E79" s="11">
        <f>A79-'Mastercurve bestimmen'!$B$2</f>
        <v>-56</v>
      </c>
      <c r="F79" s="11">
        <f t="shared" si="4"/>
        <v>-18.862589629628513</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-18.648467323418362</v>
      </c>
      <c r="E80" s="11">
        <f>A80-'Mastercurve bestimmen'!$B$2</f>
        <v>-55</v>
      </c>
      <c r="F80" s="11">
        <f t="shared" ref="F80:F143" si="10">B80</f>
        <v>-18.648467323418362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-18.430684743860002</v>
      </c>
      <c r="E81" s="11">
        <f>A81-'Mastercurve bestimmen'!$B$2</f>
        <v>-54</v>
      </c>
      <c r="F81" s="11">
        <f t="shared" si="10"/>
        <v>-18.430684743860002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-18.209190696285535</v>
      </c>
      <c r="E82" s="11">
        <f>A82-'Mastercurve bestimmen'!$B$2</f>
        <v>-53</v>
      </c>
      <c r="F82" s="11">
        <f t="shared" si="10"/>
        <v>-18.209190696285535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-17.983927814443803</v>
      </c>
      <c r="E83" s="11">
        <f>A83-'Mastercurve bestimmen'!$B$2</f>
        <v>-52</v>
      </c>
      <c r="F83" s="11">
        <f t="shared" si="10"/>
        <v>-17.983927814443803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-17.754838732083623</v>
      </c>
      <c r="E84" s="11">
        <f>A84-'Mastercurve bestimmen'!$B$2</f>
        <v>-51</v>
      </c>
      <c r="F84" s="11">
        <f t="shared" si="10"/>
        <v>-17.754838732083623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-17.521866082953828</v>
      </c>
      <c r="E85" s="11">
        <f>A85-'Mastercurve bestimmen'!$B$2</f>
        <v>-50</v>
      </c>
      <c r="F85" s="11">
        <f t="shared" si="10"/>
        <v>-17.521866082953828</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-17.284952500803247</v>
      </c>
      <c r="E86" s="11">
        <f>A86-'Mastercurve bestimmen'!$B$2</f>
        <v>-49</v>
      </c>
      <c r="F86" s="11">
        <f t="shared" si="10"/>
        <v>-17.284952500803247</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-17.044040619380706</v>
      </c>
      <c r="E87" s="11">
        <f>A87-'Mastercurve bestimmen'!$B$2</f>
        <v>-48</v>
      </c>
      <c r="F87" s="11">
        <f t="shared" si="10"/>
        <v>-17.044040619380706</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-16.799073072435032</v>
      </c>
      <c r="E88" s="11">
        <f>A88-'Mastercurve bestimmen'!$B$2</f>
        <v>-47</v>
      </c>
      <c r="F88" s="11">
        <f t="shared" si="10"/>
        <v>-16.799073072435032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-16.549992493715056</v>
      </c>
      <c r="E89" s="11">
        <f>A89-'Mastercurve bestimmen'!$B$2</f>
        <v>-46</v>
      </c>
      <c r="F89" s="11">
        <f t="shared" si="10"/>
        <v>-16.549992493715056</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-16.296741516969607</v>
      </c>
      <c r="E90" s="11">
        <f>A90-'Mastercurve bestimmen'!$B$2</f>
        <v>-45</v>
      </c>
      <c r="F90" s="11">
        <f t="shared" si="10"/>
        <v>-16.296741516969607</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-16.039262775947513</v>
      </c>
      <c r="E91" s="11">
        <f>A91-'Mastercurve bestimmen'!$B$2</f>
        <v>-44</v>
      </c>
      <c r="F91" s="11">
        <f t="shared" si="10"/>
        <v>-16.039262775947513</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-15.777498904397593</v>
      </c>
      <c r="E92" s="11">
        <f>A92-'Mastercurve bestimmen'!$B$2</f>
        <v>-43</v>
      </c>
      <c r="F92" s="11">
        <f t="shared" si="10"/>
        <v>-15.777498904397593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-15.511392536068687</v>
      </c>
      <c r="E93" s="11">
        <f>A93-'Mastercurve bestimmen'!$B$2</f>
        <v>-42</v>
      </c>
      <c r="F93" s="11">
        <f t="shared" si="10"/>
        <v>-15.511392536068687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-15.240886304709619</v>
      </c>
      <c r="E94" s="11">
        <f>A94-'Mastercurve bestimmen'!$B$2</f>
        <v>-41</v>
      </c>
      <c r="F94" s="11">
        <f t="shared" si="10"/>
        <v>-15.240886304709619</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-14.965922844069219</v>
      </c>
      <c r="E95" s="11">
        <f>A95-'Mastercurve bestimmen'!$B$2</f>
        <v>-40</v>
      </c>
      <c r="F95" s="11">
        <f t="shared" si="10"/>
        <v>-14.965922844069219</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-14.68644478789631</v>
      </c>
      <c r="E96" s="11">
        <f>A96-'Mastercurve bestimmen'!$B$2</f>
        <v>-39</v>
      </c>
      <c r="F96" s="11">
        <f t="shared" si="10"/>
        <v>-14.68644478789631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-14.402394769939724</v>
      </c>
      <c r="E97" s="11">
        <f>A97-'Mastercurve bestimmen'!$B$2</f>
        <v>-38</v>
      </c>
      <c r="F97" s="11">
        <f t="shared" si="10"/>
        <v>-14.402394769939724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-14.113715423948287</v>
      </c>
      <c r="E98" s="11">
        <f>A98-'Mastercurve bestimmen'!$B$2</f>
        <v>-37</v>
      </c>
      <c r="F98" s="11">
        <f t="shared" si="10"/>
        <v>-14.113715423948287</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-13.82034938367083</v>
      </c>
      <c r="E99" s="11">
        <f>A99-'Mastercurve bestimmen'!$B$2</f>
        <v>-36</v>
      </c>
      <c r="F99" s="11">
        <f t="shared" si="10"/>
        <v>-13.82034938367083</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-13.52223928285618</v>
      </c>
      <c r="E100" s="11">
        <f>A100-'Mastercurve bestimmen'!$B$2</f>
        <v>-35</v>
      </c>
      <c r="F100" s="11">
        <f t="shared" si="10"/>
        <v>-13.52223928285618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-13.219327755253163</v>
      </c>
      <c r="E101" s="11">
        <f>A101-'Mastercurve bestimmen'!$B$2</f>
        <v>-34</v>
      </c>
      <c r="F101" s="11">
        <f t="shared" si="10"/>
        <v>-13.219327755253163</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-12.911557434610609</v>
      </c>
      <c r="E102" s="11">
        <f>A102-'Mastercurve bestimmen'!$B$2</f>
        <v>-33</v>
      </c>
      <c r="F102" s="11">
        <f t="shared" si="10"/>
        <v>-12.911557434610609</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-12.598870954677347</v>
      </c>
      <c r="E103" s="11">
        <f>A103-'Mastercurve bestimmen'!$B$2</f>
        <v>-32</v>
      </c>
      <c r="F103" s="11">
        <f t="shared" si="10"/>
        <v>-12.598870954677347</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-12.281210949202203</v>
      </c>
      <c r="E104" s="11">
        <f>A104-'Mastercurve bestimmen'!$B$2</f>
        <v>-31</v>
      </c>
      <c r="F104" s="11">
        <f t="shared" si="10"/>
        <v>-12.281210949202203</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-11.958520051934007</v>
      </c>
      <c r="E105" s="11">
        <f>A105-'Mastercurve bestimmen'!$B$2</f>
        <v>-30</v>
      </c>
      <c r="F105" s="11">
        <f t="shared" si="10"/>
        <v>-11.958520051934007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-11.630753715442165</v>
      </c>
      <c r="E106" s="11">
        <f>A106-'Mastercurve bestimmen'!$B$2</f>
        <v>-29</v>
      </c>
      <c r="F106" s="11">
        <f t="shared" si="10"/>
        <v>-11.630753715442165</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-11.297918667578417</v>
      </c>
      <c r="E107" s="11">
        <f>A107-'Mastercurve bestimmen'!$B$2</f>
        <v>-28</v>
      </c>
      <c r="F107" s="11">
        <f t="shared" si="10"/>
        <v>-11.297918667578417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-10.960034455015075</v>
      </c>
      <c r="E108" s="11">
        <f>A108-'Mastercurve bestimmen'!$B$2</f>
        <v>-27</v>
      </c>
      <c r="F108" s="11">
        <f t="shared" si="10"/>
        <v>-10.960034455015075</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-10.617120624424453</v>
      </c>
      <c r="E109" s="11">
        <f>A109-'Mastercurve bestimmen'!$B$2</f>
        <v>-26</v>
      </c>
      <c r="F109" s="11">
        <f t="shared" si="10"/>
        <v>-10.617120624424453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-10.269196722478872</v>
      </c>
      <c r="E110" s="11">
        <f>A110-'Mastercurve bestimmen'!$B$2</f>
        <v>-25</v>
      </c>
      <c r="F110" s="11">
        <f t="shared" si="10"/>
        <v>-10.269196722478872</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-9.916282295850646</v>
      </c>
      <c r="E111" s="11">
        <f>A111-'Mastercurve bestimmen'!$B$2</f>
        <v>-24</v>
      </c>
      <c r="F111" s="11">
        <f t="shared" si="10"/>
        <v>-9.916282295850646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-9.5583968912120856</v>
      </c>
      <c r="E112" s="11">
        <f>A112-'Mastercurve bestimmen'!$B$2</f>
        <v>-23</v>
      </c>
      <c r="F112" s="11">
        <f t="shared" si="10"/>
        <v>-9.5583968912120856</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-9.1955600552355108</v>
      </c>
      <c r="E113" s="11">
        <f>A113-'Mastercurve bestimmen'!$B$2</f>
        <v>-22</v>
      </c>
      <c r="F113" s="11">
        <f t="shared" si="10"/>
        <v>-9.1955600552355108</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-8.8277913345932379</v>
      </c>
      <c r="E114" s="11">
        <f>A114-'Mastercurve bestimmen'!$B$2</f>
        <v>-21</v>
      </c>
      <c r="F114" s="11">
        <f t="shared" si="10"/>
        <v>-8.8277913345932379</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-8.4551102759575816</v>
      </c>
      <c r="E115" s="11">
        <f>A115-'Mastercurve bestimmen'!$B$2</f>
        <v>-20</v>
      </c>
      <c r="F115" s="11">
        <f t="shared" si="10"/>
        <v>-8.4551102759575816</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-8.077536426000858</v>
      </c>
      <c r="E116" s="11">
        <f>A116-'Mastercurve bestimmen'!$B$2</f>
        <v>-19</v>
      </c>
      <c r="F116" s="11">
        <f t="shared" si="10"/>
        <v>-8.077536426000858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-7.695089331395379</v>
      </c>
      <c r="E117" s="11">
        <f>A117-'Mastercurve bestimmen'!$B$2</f>
        <v>-18</v>
      </c>
      <c r="F117" s="11">
        <f t="shared" si="10"/>
        <v>-7.695089331395379</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-7.3077885388134662</v>
      </c>
      <c r="E118" s="11">
        <f>A118-'Mastercurve bestimmen'!$B$2</f>
        <v>-17</v>
      </c>
      <c r="F118" s="11">
        <f t="shared" si="10"/>
        <v>-7.3077885388134662</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-6.9156535949274316</v>
      </c>
      <c r="E119" s="11">
        <f>A119-'Mastercurve bestimmen'!$B$2</f>
        <v>-16</v>
      </c>
      <c r="F119" s="11">
        <f t="shared" si="10"/>
        <v>-6.9156535949274316</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-6.5187040464095913</v>
      </c>
      <c r="E120" s="11">
        <f>A120-'Mastercurve bestimmen'!$B$2</f>
        <v>-15</v>
      </c>
      <c r="F120" s="11">
        <f t="shared" si="10"/>
        <v>-6.5187040464095913</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-6.1169594399322609</v>
      </c>
      <c r="E121" s="11">
        <f>A121-'Mastercurve bestimmen'!$B$2</f>
        <v>-14</v>
      </c>
      <c r="F121" s="11">
        <f t="shared" si="10"/>
        <v>-6.1169594399322609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-5.7104393221677574</v>
      </c>
      <c r="E122" s="11">
        <f>A122-'Mastercurve bestimmen'!$B$2</f>
        <v>-13</v>
      </c>
      <c r="F122" s="11">
        <f t="shared" si="10"/>
        <v>-5.7104393221677574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-5.2991632397883954</v>
      </c>
      <c r="E123" s="11">
        <f>A123-'Mastercurve bestimmen'!$B$2</f>
        <v>-12</v>
      </c>
      <c r="F123" s="11">
        <f t="shared" si="10"/>
        <v>-5.2991632397883954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-4.8831507394664904</v>
      </c>
      <c r="E124" s="11">
        <f>A124-'Mastercurve bestimmen'!$B$2</f>
        <v>-11</v>
      </c>
      <c r="F124" s="11">
        <f t="shared" si="10"/>
        <v>-4.8831507394664904</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-4.4624213678743576</v>
      </c>
      <c r="E125" s="11">
        <f>A125-'Mastercurve bestimmen'!$B$2</f>
        <v>-10</v>
      </c>
      <c r="F125" s="11">
        <f t="shared" si="10"/>
        <v>-4.4624213678743576</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-4.0369946716843153</v>
      </c>
      <c r="E126" s="11">
        <f>A126-'Mastercurve bestimmen'!$B$2</f>
        <v>-9</v>
      </c>
      <c r="F126" s="11">
        <f t="shared" si="10"/>
        <v>-4.0369946716843153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-3.606890197568676</v>
      </c>
      <c r="E127" s="11">
        <f>A127-'Mastercurve bestimmen'!$B$2</f>
        <v>-8</v>
      </c>
      <c r="F127" s="11">
        <f t="shared" si="10"/>
        <v>-3.606890197568676</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-3.1721274921997571</v>
      </c>
      <c r="E128" s="11">
        <f>A128-'Mastercurve bestimmen'!$B$2</f>
        <v>-7</v>
      </c>
      <c r="F128" s="11">
        <f t="shared" si="10"/>
        <v>-3.1721274921997571</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-2.7327261022498739</v>
      </c>
      <c r="E129" s="11">
        <f>A129-'Mastercurve bestimmen'!$B$2</f>
        <v>-6</v>
      </c>
      <c r="F129" s="11">
        <f t="shared" si="10"/>
        <v>-2.7327261022498739</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-2.2887055743913418</v>
      </c>
      <c r="E130" s="11">
        <f>A130-'Mastercurve bestimmen'!$B$2</f>
        <v>-5</v>
      </c>
      <c r="F130" s="11">
        <f t="shared" si="10"/>
        <v>-2.2887055743913418</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-1.8400854552964767</v>
      </c>
      <c r="E131" s="11">
        <f>A131-'Mastercurve bestimmen'!$B$2</f>
        <v>-4</v>
      </c>
      <c r="F131" s="11">
        <f t="shared" si="10"/>
        <v>-1.8400854552964767</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-1.3868852916375944</v>
      </c>
      <c r="E132" s="11">
        <f>A132-'Mastercurve bestimmen'!$B$2</f>
        <v>-3</v>
      </c>
      <c r="F132" s="11">
        <f t="shared" si="10"/>
        <v>-1.3868852916375944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-0.92912463008701041</v>
      </c>
      <c r="E133" s="11">
        <f>A133-'Mastercurve bestimmen'!$B$2</f>
        <v>-2</v>
      </c>
      <c r="F133" s="11">
        <f t="shared" si="10"/>
        <v>-0.92912463008701041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-0.46682301731704035</v>
      </c>
      <c r="E134" s="11">
        <f>A134-'Mastercurve bestimmen'!$B$2</f>
        <v>-1</v>
      </c>
      <c r="F134" s="11">
        <f t="shared" si="10"/>
        <v>-0.46682301731704035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0.47126251209914438</v>
      </c>
      <c r="E136" s="11">
        <f>A136-'Mastercurve bestimmen'!$B$2</f>
        <v>1</v>
      </c>
      <c r="F136" s="11">
        <f t="shared" si="10"/>
        <v>0.47126251209914438</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0.94663315684482519</v>
      </c>
      <c r="E137" s="11">
        <f>A137-'Mastercurve bestimmen'!$B$2</f>
        <v>2</v>
      </c>
      <c r="F137" s="11">
        <f t="shared" si="10"/>
        <v>0.94663315684482519</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1.4257182090088225</v>
      </c>
      <c r="E138" s="11">
        <f>A138-'Mastercurve bestimmen'!$B$2</f>
        <v>3</v>
      </c>
      <c r="F138" s="11">
        <f t="shared" si="10"/>
        <v>1.4257182090088225</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1.908123943362918</v>
      </c>
      <c r="E139" s="11">
        <f>A139-'Mastercurve bestimmen'!$B$2</f>
        <v>4</v>
      </c>
      <c r="F139" s="11">
        <f t="shared" si="10"/>
        <v>1.908123943362918</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2.393456634678893</v>
      </c>
      <c r="E140" s="11">
        <f>A140-'Mastercurve bestimmen'!$B$2</f>
        <v>5</v>
      </c>
      <c r="F140" s="11">
        <f t="shared" si="10"/>
        <v>2.393456634678893</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2.8813225577285286</v>
      </c>
      <c r="E141" s="11">
        <f>A141-'Mastercurve bestimmen'!$B$2</f>
        <v>6</v>
      </c>
      <c r="F141" s="11">
        <f t="shared" si="10"/>
        <v>2.8813225577285286</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3.3713279872836055</v>
      </c>
      <c r="E142" s="11">
        <f>A142-'Mastercurve bestimmen'!$B$2</f>
        <v>7</v>
      </c>
      <c r="F142" s="11">
        <f t="shared" si="10"/>
        <v>3.3713279872836055</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3.8630791981159054</v>
      </c>
      <c r="E143" s="11">
        <f>A143-'Mastercurve bestimmen'!$B$2</f>
        <v>8</v>
      </c>
      <c r="F143" s="11">
        <f t="shared" si="10"/>
        <v>3.8630791981159054</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4.3561824649972092</v>
      </c>
      <c r="E144" s="11">
        <f>A144-'Mastercurve bestimmen'!$B$2</f>
        <v>9</v>
      </c>
      <c r="F144" s="11">
        <f t="shared" ref="F144:F207" si="15">B144</f>
        <v>4.3561824649972092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4.8502440626992982</v>
      </c>
      <c r="E145" s="11">
        <f>A145-'Mastercurve bestimmen'!$B$2</f>
        <v>10</v>
      </c>
      <c r="F145" s="11">
        <f t="shared" si="15"/>
        <v>4.8502440626992982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5.3448702659939533</v>
      </c>
      <c r="E146" s="11">
        <f>A146-'Mastercurve bestimmen'!$B$2</f>
        <v>11</v>
      </c>
      <c r="F146" s="11">
        <f t="shared" si="15"/>
        <v>5.3448702659939533</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5.8396673496529568</v>
      </c>
      <c r="E147" s="11">
        <f>A147-'Mastercurve bestimmen'!$B$2</f>
        <v>12</v>
      </c>
      <c r="F147" s="11">
        <f t="shared" si="15"/>
        <v>5.8396673496529568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6.334241588448088</v>
      </c>
      <c r="E148" s="11">
        <f>A148-'Mastercurve bestimmen'!$B$2</f>
        <v>13</v>
      </c>
      <c r="F148" s="11">
        <f t="shared" si="15"/>
        <v>6.334241588448088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6.8281992571511285</v>
      </c>
      <c r="E149" s="11">
        <f>A149-'Mastercurve bestimmen'!$B$2</f>
        <v>14</v>
      </c>
      <c r="F149" s="11">
        <f t="shared" si="15"/>
        <v>6.8281992571511285</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7.3211466305338595</v>
      </c>
      <c r="E150" s="11">
        <f>A150-'Mastercurve bestimmen'!$B$2</f>
        <v>15</v>
      </c>
      <c r="F150" s="11">
        <f t="shared" si="15"/>
        <v>7.3211466305338595</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7.812689983368065</v>
      </c>
      <c r="E151" s="11">
        <f>A151-'Mastercurve bestimmen'!$B$2</f>
        <v>16</v>
      </c>
      <c r="F151" s="11">
        <f t="shared" si="15"/>
        <v>7.812689983368065</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8.3024355904255227</v>
      </c>
      <c r="E152" s="11">
        <f>A152-'Mastercurve bestimmen'!$B$2</f>
        <v>17</v>
      </c>
      <c r="F152" s="11">
        <f t="shared" si="15"/>
        <v>8.3024355904255227</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8.789989726478014</v>
      </c>
      <c r="E153" s="11">
        <f>A153-'Mastercurve bestimmen'!$B$2</f>
        <v>18</v>
      </c>
      <c r="F153" s="11">
        <f t="shared" si="15"/>
        <v>8.789989726478014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9.2749586662973211</v>
      </c>
      <c r="E154" s="11">
        <f>A154-'Mastercurve bestimmen'!$B$2</f>
        <v>19</v>
      </c>
      <c r="F154" s="11">
        <f t="shared" si="15"/>
        <v>9.2749586662973211</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9.7569486846552245</v>
      </c>
      <c r="E155" s="11">
        <f>A155-'Mastercurve bestimmen'!$B$2</f>
        <v>20</v>
      </c>
      <c r="F155" s="11">
        <f t="shared" si="15"/>
        <v>9.7569486846552245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10.235566056323508</v>
      </c>
      <c r="E156" s="11">
        <f>A156-'Mastercurve bestimmen'!$B$2</f>
        <v>21</v>
      </c>
      <c r="F156" s="11">
        <f t="shared" si="15"/>
        <v>10.235566056323508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10.710417056073947</v>
      </c>
      <c r="E157" s="11">
        <f>A157-'Mastercurve bestimmen'!$B$2</f>
        <v>22</v>
      </c>
      <c r="F157" s="11">
        <f t="shared" si="15"/>
        <v>10.710417056073947</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11.18110795867833</v>
      </c>
      <c r="E158" s="11">
        <f>A158-'Mastercurve bestimmen'!$B$2</f>
        <v>23</v>
      </c>
      <c r="F158" s="11">
        <f t="shared" si="15"/>
        <v>11.18110795867833</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11.647245038908434</v>
      </c>
      <c r="E159" s="11">
        <f>A159-'Mastercurve bestimmen'!$B$2</f>
        <v>24</v>
      </c>
      <c r="F159" s="11">
        <f t="shared" si="15"/>
        <v>11.647245038908434</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12.108434571536037</v>
      </c>
      <c r="E160" s="11">
        <f>A160-'Mastercurve bestimmen'!$B$2</f>
        <v>25</v>
      </c>
      <c r="F160" s="11">
        <f t="shared" si="15"/>
        <v>12.108434571536037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12.564282831332926</v>
      </c>
      <c r="E161" s="11">
        <f>A161-'Mastercurve bestimmen'!$B$2</f>
        <v>26</v>
      </c>
      <c r="F161" s="11">
        <f t="shared" si="15"/>
        <v>12.564282831332926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13.014396093070879</v>
      </c>
      <c r="E162" s="11">
        <f>A162-'Mastercurve bestimmen'!$B$2</f>
        <v>27</v>
      </c>
      <c r="F162" s="11">
        <f t="shared" si="15"/>
        <v>13.014396093070879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13.458380631521679</v>
      </c>
      <c r="E163" s="11">
        <f>A163-'Mastercurve bestimmen'!$B$2</f>
        <v>28</v>
      </c>
      <c r="F163" s="11">
        <f t="shared" si="15"/>
        <v>13.458380631521679</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13.895842721457106</v>
      </c>
      <c r="E164" s="11">
        <f>A164-'Mastercurve bestimmen'!$B$2</f>
        <v>29</v>
      </c>
      <c r="F164" s="11">
        <f t="shared" si="15"/>
        <v>13.895842721457106</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14.32638863764894</v>
      </c>
      <c r="E165" s="11">
        <f>A165-'Mastercurve bestimmen'!$B$2</f>
        <v>30</v>
      </c>
      <c r="F165" s="11">
        <f t="shared" si="15"/>
        <v>14.32638863764894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14.749624654868965</v>
      </c>
      <c r="E166" s="11">
        <f>A166-'Mastercurve bestimmen'!$B$2</f>
        <v>31</v>
      </c>
      <c r="F166" s="11">
        <f t="shared" si="15"/>
        <v>14.749624654868965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15.165157047888961</v>
      </c>
      <c r="E167" s="11">
        <f>A167-'Mastercurve bestimmen'!$B$2</f>
        <v>32</v>
      </c>
      <c r="F167" s="11">
        <f t="shared" si="15"/>
        <v>15.165157047888961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15.572592091480709</v>
      </c>
      <c r="E168" s="11">
        <f>A168-'Mastercurve bestimmen'!$B$2</f>
        <v>33</v>
      </c>
      <c r="F168" s="11">
        <f t="shared" si="15"/>
        <v>15.572592091480709</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15.971536060415991</v>
      </c>
      <c r="E169" s="11">
        <f>A169-'Mastercurve bestimmen'!$B$2</f>
        <v>34</v>
      </c>
      <c r="F169" s="11">
        <f t="shared" si="15"/>
        <v>15.971536060415991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16.36159522946658</v>
      </c>
      <c r="E170" s="11">
        <f>A170-'Mastercurve bestimmen'!$B$2</f>
        <v>35</v>
      </c>
      <c r="F170" s="11">
        <f t="shared" si="15"/>
        <v>16.36159522946658</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16.742375873404271</v>
      </c>
      <c r="E171" s="11">
        <f>A171-'Mastercurve bestimmen'!$B$2</f>
        <v>36</v>
      </c>
      <c r="F171" s="11">
        <f t="shared" si="15"/>
        <v>16.742375873404271</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17.113484267000839</v>
      </c>
      <c r="E172" s="11">
        <f>A172-'Mastercurve bestimmen'!$B$2</f>
        <v>37</v>
      </c>
      <c r="F172" s="11">
        <f t="shared" si="15"/>
        <v>17.113484267000839</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17.474526685028064</v>
      </c>
      <c r="E173" s="11">
        <f>A173-'Mastercurve bestimmen'!$B$2</f>
        <v>38</v>
      </c>
      <c r="F173" s="11">
        <f t="shared" si="15"/>
        <v>17.474526685028064</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17.825109402257723</v>
      </c>
      <c r="E174" s="11">
        <f>A174-'Mastercurve bestimmen'!$B$2</f>
        <v>39</v>
      </c>
      <c r="F174" s="11">
        <f t="shared" si="15"/>
        <v>17.825109402257723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18.164838693461604</v>
      </c>
      <c r="E175" s="11">
        <f>A175-'Mastercurve bestimmen'!$B$2</f>
        <v>40</v>
      </c>
      <c r="F175" s="11">
        <f t="shared" si="15"/>
        <v>18.164838693461604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18.493320833411488</v>
      </c>
      <c r="E176" s="11">
        <f>A176-'Mastercurve bestimmen'!$B$2</f>
        <v>41</v>
      </c>
      <c r="F176" s="11">
        <f t="shared" si="15"/>
        <v>18.493320833411488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18.810162096879157</v>
      </c>
      <c r="E177" s="11">
        <f>A177-'Mastercurve bestimmen'!$B$2</f>
        <v>42</v>
      </c>
      <c r="F177" s="11">
        <f t="shared" si="15"/>
        <v>18.810162096879157</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19.114968758636387</v>
      </c>
      <c r="E178" s="11">
        <f>A178-'Mastercurve bestimmen'!$B$2</f>
        <v>43</v>
      </c>
      <c r="F178" s="11">
        <f t="shared" si="15"/>
        <v>19.114968758636387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19.407347093454955</v>
      </c>
      <c r="E179" s="11">
        <f>A179-'Mastercurve bestimmen'!$B$2</f>
        <v>44</v>
      </c>
      <c r="F179" s="11">
        <f t="shared" si="15"/>
        <v>19.407347093454955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19.686903376106656</v>
      </c>
      <c r="E180" s="11">
        <f>A180-'Mastercurve bestimmen'!$B$2</f>
        <v>45</v>
      </c>
      <c r="F180" s="11">
        <f t="shared" si="15"/>
        <v>19.686903376106656</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19.953372434507944</v>
      </c>
      <c r="E181" s="11">
        <f>A181-'Mastercurve bestimmen'!$B$2</f>
        <v>46</v>
      </c>
      <c r="F181" s="11">
        <f t="shared" si="15"/>
        <v>19.953372434507944</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20.207003309153997</v>
      </c>
      <c r="E182" s="11">
        <f>A182-'Mastercurve bestimmen'!$B$2</f>
        <v>47</v>
      </c>
      <c r="F182" s="11">
        <f t="shared" si="15"/>
        <v>20.207003309153997</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20.448173593684672</v>
      </c>
      <c r="E183" s="11">
        <f>A183-'Mastercurve bestimmen'!$B$2</f>
        <v>48</v>
      </c>
      <c r="F183" s="11">
        <f t="shared" si="15"/>
        <v>20.448173593684672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20.677260881739837</v>
      </c>
      <c r="E184" s="11">
        <f>A184-'Mastercurve bestimmen'!$B$2</f>
        <v>49</v>
      </c>
      <c r="F184" s="11">
        <f t="shared" si="15"/>
        <v>20.677260881739837</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20.89464276695935</v>
      </c>
      <c r="E185" s="11">
        <f>A185-'Mastercurve bestimmen'!$B$2</f>
        <v>50</v>
      </c>
      <c r="F185" s="11">
        <f t="shared" si="15"/>
        <v>20.89464276695935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21.100696842983066</v>
      </c>
      <c r="E186" s="11">
        <f>A186-'Mastercurve bestimmen'!$B$2</f>
        <v>51</v>
      </c>
      <c r="F186" s="11">
        <f t="shared" si="15"/>
        <v>21.100696842983066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21.295800703450855</v>
      </c>
      <c r="E187" s="11">
        <f>A187-'Mastercurve bestimmen'!$B$2</f>
        <v>52</v>
      </c>
      <c r="F187" s="11">
        <f t="shared" si="15"/>
        <v>21.295800703450855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21.480331942002557</v>
      </c>
      <c r="E188" s="11">
        <f>A188-'Mastercurve bestimmen'!$B$2</f>
        <v>53</v>
      </c>
      <c r="F188" s="11">
        <f t="shared" si="15"/>
        <v>21.480331942002557</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21.654668152278056</v>
      </c>
      <c r="E189" s="11">
        <f>A189-'Mastercurve bestimmen'!$B$2</f>
        <v>54</v>
      </c>
      <c r="F189" s="11">
        <f t="shared" si="15"/>
        <v>21.654668152278056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21.819186927917194</v>
      </c>
      <c r="E190" s="11">
        <f>A190-'Mastercurve bestimmen'!$B$2</f>
        <v>55</v>
      </c>
      <c r="F190" s="11">
        <f t="shared" si="15"/>
        <v>21.819186927917194</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21.974265862559839</v>
      </c>
      <c r="E191" s="11">
        <f>A191-'Mastercurve bestimmen'!$B$2</f>
        <v>56</v>
      </c>
      <c r="F191" s="11">
        <f t="shared" si="15"/>
        <v>21.974265862559839</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22.120282549845847</v>
      </c>
      <c r="E192" s="11">
        <f>A192-'Mastercurve bestimmen'!$B$2</f>
        <v>57</v>
      </c>
      <c r="F192" s="11">
        <f t="shared" si="15"/>
        <v>22.120282549845847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22.257614583415076</v>
      </c>
      <c r="E193" s="11">
        <f>A193-'Mastercurve bestimmen'!$B$2</f>
        <v>58</v>
      </c>
      <c r="F193" s="11">
        <f t="shared" si="15"/>
        <v>22.257614583415076</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22.386639556907397</v>
      </c>
      <c r="E194" s="11">
        <f>A194-'Mastercurve bestimmen'!$B$2</f>
        <v>59</v>
      </c>
      <c r="F194" s="11">
        <f t="shared" si="15"/>
        <v>22.386639556907397</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22.507735063962656</v>
      </c>
      <c r="E195" s="11">
        <f>A195-'Mastercurve bestimmen'!$B$2</f>
        <v>60</v>
      </c>
      <c r="F195" s="11">
        <f t="shared" si="15"/>
        <v>22.507735063962656</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22.621278698220721</v>
      </c>
      <c r="E196" s="11">
        <f>A196-'Mastercurve bestimmen'!$B$2</f>
        <v>61</v>
      </c>
      <c r="F196" s="11">
        <f t="shared" si="15"/>
        <v>22.621278698220721</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22.727648053321452</v>
      </c>
      <c r="E197" s="11">
        <f>A197-'Mastercurve bestimmen'!$B$2</f>
        <v>62</v>
      </c>
      <c r="F197" s="11">
        <f t="shared" si="15"/>
        <v>22.727648053321452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22.827220722904705</v>
      </c>
      <c r="E198" s="11">
        <f>A198-'Mastercurve bestimmen'!$B$2</f>
        <v>63</v>
      </c>
      <c r="F198" s="11">
        <f t="shared" si="15"/>
        <v>22.827220722904705</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22.920374300610341</v>
      </c>
      <c r="E199" s="11">
        <f>A199-'Mastercurve bestimmen'!$B$2</f>
        <v>64</v>
      </c>
      <c r="F199" s="11">
        <f t="shared" si="15"/>
        <v>22.920374300610341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23.00748638007822</v>
      </c>
      <c r="E200" s="11">
        <f>A200-'Mastercurve bestimmen'!$B$2</f>
        <v>65</v>
      </c>
      <c r="F200" s="11">
        <f t="shared" si="15"/>
        <v>23.00748638007822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23.088934554948203</v>
      </c>
      <c r="E201" s="11">
        <f>A201-'Mastercurve bestimmen'!$B$2</f>
        <v>66</v>
      </c>
      <c r="F201" s="11">
        <f t="shared" si="15"/>
        <v>23.088934554948203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23.165096418860148</v>
      </c>
      <c r="E202" s="11">
        <f>A202-'Mastercurve bestimmen'!$B$2</f>
        <v>67</v>
      </c>
      <c r="F202" s="11">
        <f t="shared" si="15"/>
        <v>23.165096418860148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23.236349565453914</v>
      </c>
      <c r="E203" s="11">
        <f>A203-'Mastercurve bestimmen'!$B$2</f>
        <v>68</v>
      </c>
      <c r="F203" s="11">
        <f t="shared" si="15"/>
        <v>23.236349565453914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23.303071588369367</v>
      </c>
      <c r="E204" s="11">
        <f>A204-'Mastercurve bestimmen'!$B$2</f>
        <v>69</v>
      </c>
      <c r="F204" s="11">
        <f t="shared" si="15"/>
        <v>23.303071588369367</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23.365640081246354</v>
      </c>
      <c r="E205" s="11">
        <f>A205-'Mastercurve bestimmen'!$B$2</f>
        <v>70</v>
      </c>
      <c r="F205" s="11">
        <f t="shared" si="15"/>
        <v>23.365640081246354</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23.424432637724752</v>
      </c>
      <c r="E206" s="11">
        <f>A206-'Mastercurve bestimmen'!$B$2</f>
        <v>71</v>
      </c>
      <c r="F206" s="11">
        <f t="shared" si="15"/>
        <v>23.424432637724752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23.479826851444408</v>
      </c>
      <c r="E207" s="11">
        <f>A207-'Mastercurve bestimmen'!$B$2</f>
        <v>72</v>
      </c>
      <c r="F207" s="11">
        <f t="shared" si="15"/>
        <v>23.479826851444408</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23.532200316045184</v>
      </c>
      <c r="E208" s="11">
        <f>A208-'Mastercurve bestimmen'!$B$2</f>
        <v>73</v>
      </c>
      <c r="F208" s="11">
        <f t="shared" ref="F208:F215" si="21">B208</f>
        <v>23.532200316045184</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23.581930625166947</v>
      </c>
      <c r="E209" s="11">
        <f>A209-'Mastercurve bestimmen'!$B$2</f>
        <v>74</v>
      </c>
      <c r="F209" s="11">
        <f t="shared" si="21"/>
        <v>23.581930625166947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23.629395372449544</v>
      </c>
      <c r="E210" s="11">
        <f>A210-'Mastercurve bestimmen'!$B$2</f>
        <v>75</v>
      </c>
      <c r="F210" s="11">
        <f t="shared" si="21"/>
        <v>23.629395372449544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23.674972151532845</v>
      </c>
      <c r="E211" s="11">
        <f>A211-'Mastercurve bestimmen'!$B$2</f>
        <v>76</v>
      </c>
      <c r="F211" s="11">
        <f t="shared" si="21"/>
        <v>23.674972151532845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23.719038556056706</v>
      </c>
      <c r="E212" s="11">
        <f>A212-'Mastercurve bestimmen'!$B$2</f>
        <v>77</v>
      </c>
      <c r="F212" s="11">
        <f t="shared" si="21"/>
        <v>23.719038556056706</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23.76197217966099</v>
      </c>
      <c r="E213" s="11">
        <f>A213-'Mastercurve bestimmen'!$B$2</f>
        <v>78</v>
      </c>
      <c r="F213" s="11">
        <f t="shared" si="21"/>
        <v>23.76197217966099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23.804150615985552</v>
      </c>
      <c r="E214" s="11">
        <f>A214-'Mastercurve bestimmen'!$B$2</f>
        <v>79</v>
      </c>
      <c r="F214" s="11">
        <f t="shared" si="21"/>
        <v>23.804150615985552</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23.845951458670253</v>
      </c>
      <c r="E215" s="11">
        <f>A215-'Mastercurve bestimmen'!$B$2</f>
        <v>80</v>
      </c>
      <c r="F215" s="11">
        <f t="shared" si="21"/>
        <v>23.845951458670253</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0.46946581030246137</v>
      </c>
      <c r="J217" s="98">
        <v>1.6612517165030748E-3</v>
      </c>
      <c r="K217" s="98">
        <v>-3.5215345359778821E-5</v>
      </c>
      <c r="L217" s="98">
        <v>-4.7763192160456358E-7</v>
      </c>
      <c r="M217" s="98">
        <v>5.0180461891847456E-11</v>
      </c>
      <c r="N217" s="98">
        <v>3.5450018287463353E-11</v>
      </c>
      <c r="O217" s="98">
        <v>1.8191111701198339E-13</v>
      </c>
      <c r="P217" s="98">
        <v>1.067566921737343E-16</v>
      </c>
    </row>
    <row r="218" spans="1:16" x14ac:dyDescent="0.25">
      <c r="G218" s="11"/>
      <c r="H218" s="11">
        <v>0</v>
      </c>
      <c r="I218" s="11">
        <v>4.5805791718852055E-4</v>
      </c>
      <c r="J218" s="11">
        <v>8.5320363874765456E-6</v>
      </c>
      <c r="K218" s="3">
        <v>4.33509303110213E-7</v>
      </c>
      <c r="L218" s="3">
        <v>3.9472311518664567E-9</v>
      </c>
      <c r="M218" s="3">
        <v>1.2394379727682398E-10</v>
      </c>
      <c r="N218" s="3">
        <v>6.8108419025785233E-13</v>
      </c>
      <c r="O218" s="11">
        <v>1.0952230426552762E-14</v>
      </c>
      <c r="P218" s="11">
        <v>6.6600366181093821E-17</v>
      </c>
    </row>
    <row r="219" spans="1:16" x14ac:dyDescent="0.25">
      <c r="G219" s="11"/>
      <c r="H219" s="11">
        <v>0.99999370959957146</v>
      </c>
      <c r="I219" s="11">
        <v>4.7388260681576172E-2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-26.590673886517838</v>
      </c>
      <c r="G222">
        <f>F15</f>
        <v>-26.500682963138459</v>
      </c>
    </row>
    <row r="223" spans="1:16" x14ac:dyDescent="0.25">
      <c r="E223" s="11">
        <f t="shared" ref="E223:E286" si="25">E16</f>
        <v>-119</v>
      </c>
      <c r="F223" s="11">
        <f t="shared" ref="F223:F286" si="26">$H$217*0+E223*$I$217+E223^2*$J$217+E223^3*$K$217+E223^4*$L$217+E223^5*$M$217+E223^6*$N$217+E223^7*$O$217+E223^8*$P$217</f>
        <v>-26.487707031064552</v>
      </c>
      <c r="G223" s="11">
        <f t="shared" ref="G223:G286" si="27">F16</f>
        <v>-26.433078251979069</v>
      </c>
    </row>
    <row r="224" spans="1:16" x14ac:dyDescent="0.25">
      <c r="E224" s="11">
        <f t="shared" si="25"/>
        <v>-118</v>
      </c>
      <c r="F224" s="11">
        <f t="shared" si="26"/>
        <v>-26.39121322011416</v>
      </c>
      <c r="G224" s="11">
        <f t="shared" si="27"/>
        <v>-26.365394898745212</v>
      </c>
    </row>
    <row r="225" spans="5:7" x14ac:dyDescent="0.25">
      <c r="E225" s="11">
        <f t="shared" si="25"/>
        <v>-117</v>
      </c>
      <c r="F225" s="11">
        <f t="shared" si="26"/>
        <v>-26.300386928006318</v>
      </c>
      <c r="G225" s="11">
        <f t="shared" si="27"/>
        <v>-26.297554261362428</v>
      </c>
    </row>
    <row r="226" spans="5:7" x14ac:dyDescent="0.25">
      <c r="E226" s="11">
        <f t="shared" si="25"/>
        <v>-116</v>
      </c>
      <c r="F226" s="11">
        <f t="shared" si="26"/>
        <v>-26.214473405245489</v>
      </c>
      <c r="G226" s="11">
        <f t="shared" si="27"/>
        <v>-26.229477697756252</v>
      </c>
    </row>
    <row r="227" spans="5:7" x14ac:dyDescent="0.25">
      <c r="E227" s="11">
        <f t="shared" si="25"/>
        <v>-115</v>
      </c>
      <c r="F227" s="11">
        <f t="shared" si="26"/>
        <v>-26.132766506257891</v>
      </c>
      <c r="G227" s="11">
        <f t="shared" si="27"/>
        <v>-26.161086565852223</v>
      </c>
    </row>
    <row r="228" spans="5:7" x14ac:dyDescent="0.25">
      <c r="E228" s="11">
        <f t="shared" si="25"/>
        <v>-114</v>
      </c>
      <c r="F228" s="11">
        <f t="shared" si="26"/>
        <v>-26.054606569431328</v>
      </c>
      <c r="G228" s="11">
        <f t="shared" si="27"/>
        <v>-26.092302223575867</v>
      </c>
    </row>
    <row r="229" spans="5:7" x14ac:dyDescent="0.25">
      <c r="E229" s="11">
        <f t="shared" si="25"/>
        <v>-113</v>
      </c>
      <c r="F229" s="11">
        <f t="shared" si="26"/>
        <v>-25.979378349022184</v>
      </c>
      <c r="G229" s="11">
        <f t="shared" si="27"/>
        <v>-26.023046028852725</v>
      </c>
    </row>
    <row r="230" spans="5:7" x14ac:dyDescent="0.25">
      <c r="E230" s="11">
        <f t="shared" si="25"/>
        <v>-112</v>
      </c>
      <c r="F230" s="11">
        <f t="shared" si="26"/>
        <v>-25.906508998509857</v>
      </c>
      <c r="G230" s="11">
        <f t="shared" si="27"/>
        <v>-25.953239339608341</v>
      </c>
    </row>
    <row r="231" spans="5:7" x14ac:dyDescent="0.25">
      <c r="E231" s="11">
        <f t="shared" si="25"/>
        <v>-111</v>
      </c>
      <c r="F231" s="11">
        <f t="shared" si="26"/>
        <v>-25.835466104974952</v>
      </c>
      <c r="G231" s="11">
        <f t="shared" si="27"/>
        <v>-25.882803513768245</v>
      </c>
    </row>
    <row r="232" spans="5:7" x14ac:dyDescent="0.25">
      <c r="E232" s="11">
        <f t="shared" si="25"/>
        <v>-110</v>
      </c>
      <c r="F232" s="11">
        <f t="shared" si="26"/>
        <v>-25.765755774072602</v>
      </c>
      <c r="G232" s="11">
        <f t="shared" si="27"/>
        <v>-25.811659909257965</v>
      </c>
    </row>
    <row r="233" spans="5:7" x14ac:dyDescent="0.25">
      <c r="E233" s="11">
        <f t="shared" si="25"/>
        <v>-109</v>
      </c>
      <c r="F233" s="11">
        <f t="shared" si="26"/>
        <v>-25.696920765168571</v>
      </c>
      <c r="G233" s="11">
        <f t="shared" si="27"/>
        <v>-25.739729884003047</v>
      </c>
    </row>
    <row r="234" spans="5:7" x14ac:dyDescent="0.25">
      <c r="E234" s="11">
        <f t="shared" si="25"/>
        <v>-108</v>
      </c>
      <c r="F234" s="11">
        <f t="shared" si="26"/>
        <v>-25.628538676201227</v>
      </c>
      <c r="G234" s="11">
        <f t="shared" si="27"/>
        <v>-25.666934795929027</v>
      </c>
    </row>
    <row r="235" spans="5:7" x14ac:dyDescent="0.25">
      <c r="E235" s="11">
        <f t="shared" si="25"/>
        <v>-107</v>
      </c>
      <c r="F235" s="11">
        <f t="shared" si="26"/>
        <v>-25.560220177828111</v>
      </c>
      <c r="G235" s="11">
        <f t="shared" si="27"/>
        <v>-25.593196002961434</v>
      </c>
    </row>
    <row r="236" spans="5:7" x14ac:dyDescent="0.25">
      <c r="E236" s="11">
        <f t="shared" si="25"/>
        <v>-106</v>
      </c>
      <c r="F236" s="11">
        <f t="shared" si="26"/>
        <v>-25.491607296411591</v>
      </c>
      <c r="G236" s="11">
        <f t="shared" si="27"/>
        <v>-25.518434863025814</v>
      </c>
    </row>
    <row r="237" spans="5:7" x14ac:dyDescent="0.25">
      <c r="E237" s="11">
        <f t="shared" si="25"/>
        <v>-105</v>
      </c>
      <c r="F237" s="11">
        <f t="shared" si="26"/>
        <v>-25.422371745393885</v>
      </c>
      <c r="G237" s="11">
        <f t="shared" si="27"/>
        <v>-25.442572734047694</v>
      </c>
    </row>
    <row r="238" spans="5:7" x14ac:dyDescent="0.25">
      <c r="E238" s="11">
        <f t="shared" si="25"/>
        <v>-104</v>
      </c>
      <c r="F238" s="11">
        <f t="shared" si="26"/>
        <v>-25.352213304607428</v>
      </c>
      <c r="G238" s="11">
        <f t="shared" si="27"/>
        <v>-25.365530973952609</v>
      </c>
    </row>
    <row r="239" spans="5:7" x14ac:dyDescent="0.25">
      <c r="E239" s="11">
        <f t="shared" si="25"/>
        <v>-103</v>
      </c>
      <c r="F239" s="11">
        <f t="shared" si="26"/>
        <v>-25.280858247061882</v>
      </c>
      <c r="G239" s="11">
        <f t="shared" si="27"/>
        <v>-25.287230940666102</v>
      </c>
    </row>
    <row r="240" spans="5:7" x14ac:dyDescent="0.25">
      <c r="E240" s="11">
        <f t="shared" si="25"/>
        <v>-102</v>
      </c>
      <c r="F240" s="11">
        <f t="shared" si="26"/>
        <v>-25.208057812745327</v>
      </c>
      <c r="G240" s="11">
        <f t="shared" si="27"/>
        <v>-25.207593992113704</v>
      </c>
    </row>
    <row r="241" spans="5:7" x14ac:dyDescent="0.25">
      <c r="E241" s="11">
        <f t="shared" si="25"/>
        <v>-101</v>
      </c>
      <c r="F241" s="11">
        <f t="shared" si="26"/>
        <v>-25.133586728972531</v>
      </c>
      <c r="G241" s="11">
        <f t="shared" si="27"/>
        <v>-25.126541486220951</v>
      </c>
    </row>
    <row r="242" spans="5:7" x14ac:dyDescent="0.25">
      <c r="E242" s="11">
        <f t="shared" si="25"/>
        <v>-100</v>
      </c>
      <c r="F242" s="11">
        <f t="shared" si="26"/>
        <v>-25.05724177680904</v>
      </c>
      <c r="G242" s="11">
        <f t="shared" si="27"/>
        <v>-25.043994780913383</v>
      </c>
    </row>
    <row r="243" spans="5:7" x14ac:dyDescent="0.25">
      <c r="E243" s="11">
        <f t="shared" si="25"/>
        <v>-99</v>
      </c>
      <c r="F243" s="11">
        <f t="shared" si="26"/>
        <v>-24.978840403095287</v>
      </c>
      <c r="G243" s="11">
        <f t="shared" si="27"/>
        <v>-24.959875234116531</v>
      </c>
    </row>
    <row r="244" spans="5:7" x14ac:dyDescent="0.25">
      <c r="E244" s="11">
        <f t="shared" si="25"/>
        <v>-98</v>
      </c>
      <c r="F244" s="11">
        <f t="shared" si="26"/>
        <v>-24.898219377590983</v>
      </c>
      <c r="G244" s="11">
        <f t="shared" si="27"/>
        <v>-24.874104203755941</v>
      </c>
    </row>
    <row r="245" spans="5:7" x14ac:dyDescent="0.25">
      <c r="E245" s="11">
        <f t="shared" si="25"/>
        <v>-97</v>
      </c>
      <c r="F245" s="11">
        <f t="shared" si="26"/>
        <v>-24.815233494755489</v>
      </c>
      <c r="G245" s="11">
        <f t="shared" si="27"/>
        <v>-24.786603047757133</v>
      </c>
    </row>
    <row r="246" spans="5:7" x14ac:dyDescent="0.25">
      <c r="E246" s="11">
        <f t="shared" si="25"/>
        <v>-96</v>
      </c>
      <c r="F246" s="11">
        <f t="shared" si="26"/>
        <v>-24.729754319675521</v>
      </c>
      <c r="G246" s="11">
        <f t="shared" si="27"/>
        <v>-24.69729312404565</v>
      </c>
    </row>
    <row r="247" spans="5:7" x14ac:dyDescent="0.25">
      <c r="E247" s="11">
        <f t="shared" si="25"/>
        <v>-95</v>
      </c>
      <c r="F247" s="11">
        <f t="shared" si="26"/>
        <v>-24.64166897764753</v>
      </c>
      <c r="G247" s="11">
        <f t="shared" si="27"/>
        <v>-24.60609579054703</v>
      </c>
    </row>
    <row r="248" spans="5:7" x14ac:dyDescent="0.25">
      <c r="E248" s="11">
        <f t="shared" si="25"/>
        <v>-94</v>
      </c>
      <c r="F248" s="11">
        <f t="shared" si="26"/>
        <v>-24.550878986917422</v>
      </c>
      <c r="G248" s="11">
        <f t="shared" si="27"/>
        <v>-24.51293240518681</v>
      </c>
    </row>
    <row r="249" spans="5:7" x14ac:dyDescent="0.25">
      <c r="E249" s="11">
        <f t="shared" si="25"/>
        <v>-93</v>
      </c>
      <c r="F249" s="11">
        <f t="shared" si="26"/>
        <v>-24.457299134076376</v>
      </c>
      <c r="G249" s="11">
        <f t="shared" si="27"/>
        <v>-24.417724325890525</v>
      </c>
    </row>
    <row r="250" spans="5:7" x14ac:dyDescent="0.25">
      <c r="E250" s="11">
        <f t="shared" si="25"/>
        <v>-92</v>
      </c>
      <c r="F250" s="11">
        <f t="shared" si="26"/>
        <v>-24.360856391606692</v>
      </c>
      <c r="G250" s="11">
        <f t="shared" si="27"/>
        <v>-24.320392910583706</v>
      </c>
    </row>
    <row r="251" spans="5:7" x14ac:dyDescent="0.25">
      <c r="E251" s="11">
        <f t="shared" si="25"/>
        <v>-91</v>
      </c>
      <c r="F251" s="11">
        <f t="shared" si="26"/>
        <v>-24.261488877067972</v>
      </c>
      <c r="G251" s="11">
        <f t="shared" si="27"/>
        <v>-24.220859517191897</v>
      </c>
    </row>
    <row r="252" spans="5:7" x14ac:dyDescent="0.25">
      <c r="E252" s="11">
        <f t="shared" si="25"/>
        <v>-90</v>
      </c>
      <c r="F252" s="11">
        <f t="shared" si="26"/>
        <v>-24.159144853408961</v>
      </c>
      <c r="G252" s="11">
        <f t="shared" si="27"/>
        <v>-24.119045503640624</v>
      </c>
    </row>
    <row r="253" spans="5:7" x14ac:dyDescent="0.25">
      <c r="E253" s="11">
        <f t="shared" si="25"/>
        <v>-89</v>
      </c>
      <c r="F253" s="11">
        <f t="shared" si="26"/>
        <v>-24.053781769886577</v>
      </c>
      <c r="G253" s="11">
        <f t="shared" si="27"/>
        <v>-24.014872227855431</v>
      </c>
    </row>
    <row r="254" spans="5:7" x14ac:dyDescent="0.25">
      <c r="E254" s="11">
        <f t="shared" si="25"/>
        <v>-88</v>
      </c>
      <c r="F254" s="11">
        <f t="shared" si="26"/>
        <v>-23.945365343069017</v>
      </c>
      <c r="G254" s="11">
        <f t="shared" si="27"/>
        <v>-23.908261047761851</v>
      </c>
    </row>
    <row r="255" spans="5:7" x14ac:dyDescent="0.25">
      <c r="E255" s="11">
        <f t="shared" si="25"/>
        <v>-87</v>
      </c>
      <c r="F255" s="11">
        <f t="shared" si="26"/>
        <v>-23.833868677395749</v>
      </c>
      <c r="G255" s="11">
        <f t="shared" si="27"/>
        <v>-23.799133321285424</v>
      </c>
    </row>
    <row r="256" spans="5:7" x14ac:dyDescent="0.25">
      <c r="E256" s="11">
        <f t="shared" si="25"/>
        <v>-86</v>
      </c>
      <c r="F256" s="11">
        <f t="shared" si="26"/>
        <v>-23.719271424762741</v>
      </c>
      <c r="G256" s="11">
        <f t="shared" si="27"/>
        <v>-23.687410406351674</v>
      </c>
    </row>
    <row r="257" spans="5:7" x14ac:dyDescent="0.25">
      <c r="E257" s="11">
        <f t="shared" si="25"/>
        <v>-85</v>
      </c>
      <c r="F257" s="11">
        <f t="shared" si="26"/>
        <v>-23.601558982597119</v>
      </c>
      <c r="G257" s="11">
        <f t="shared" si="27"/>
        <v>-23.573013660886147</v>
      </c>
    </row>
    <row r="258" spans="5:7" x14ac:dyDescent="0.25">
      <c r="E258" s="11">
        <f t="shared" si="25"/>
        <v>-84</v>
      </c>
      <c r="F258" s="11">
        <f t="shared" si="26"/>
        <v>-23.480721729880955</v>
      </c>
      <c r="G258" s="11">
        <f t="shared" si="27"/>
        <v>-23.455864442814384</v>
      </c>
    </row>
    <row r="259" spans="5:7" x14ac:dyDescent="0.25">
      <c r="E259" s="11">
        <f t="shared" si="25"/>
        <v>-83</v>
      </c>
      <c r="F259" s="11">
        <f t="shared" si="26"/>
        <v>-23.356754300579745</v>
      </c>
      <c r="G259" s="11">
        <f t="shared" si="27"/>
        <v>-23.335884110061912</v>
      </c>
    </row>
    <row r="260" spans="5:7" x14ac:dyDescent="0.25">
      <c r="E260" s="11">
        <f t="shared" si="25"/>
        <v>-82</v>
      </c>
      <c r="F260" s="11">
        <f t="shared" si="26"/>
        <v>-23.229654893926842</v>
      </c>
      <c r="G260" s="11">
        <f t="shared" si="27"/>
        <v>-23.212994020554262</v>
      </c>
    </row>
    <row r="261" spans="5:7" x14ac:dyDescent="0.25">
      <c r="E261" s="11">
        <f t="shared" si="25"/>
        <v>-81</v>
      </c>
      <c r="F261" s="11">
        <f t="shared" si="26"/>
        <v>-23.09942462101052</v>
      </c>
      <c r="G261" s="11">
        <f t="shared" si="27"/>
        <v>-23.087115532216977</v>
      </c>
    </row>
    <row r="262" spans="5:7" x14ac:dyDescent="0.25">
      <c r="E262" s="11">
        <f t="shared" si="25"/>
        <v>-80</v>
      </c>
      <c r="F262" s="11">
        <f t="shared" si="26"/>
        <v>-22.966066887106532</v>
      </c>
      <c r="G262" s="11">
        <f t="shared" si="27"/>
        <v>-22.958170002975599</v>
      </c>
    </row>
    <row r="263" spans="5:7" x14ac:dyDescent="0.25">
      <c r="E263" s="11">
        <f t="shared" si="25"/>
        <v>-79</v>
      </c>
      <c r="F263" s="11">
        <f t="shared" si="26"/>
        <v>-22.829586809194268</v>
      </c>
      <c r="G263" s="11">
        <f t="shared" si="27"/>
        <v>-22.825645113687351</v>
      </c>
    </row>
    <row r="264" spans="5:7" x14ac:dyDescent="0.25">
      <c r="E264" s="11">
        <f t="shared" si="25"/>
        <v>-78</v>
      </c>
      <c r="F264" s="11">
        <f t="shared" si="26"/>
        <v>-22.689990668090466</v>
      </c>
      <c r="G264" s="11">
        <f t="shared" si="27"/>
        <v>-22.689954204669082</v>
      </c>
    </row>
    <row r="265" spans="5:7" x14ac:dyDescent="0.25">
      <c r="E265" s="11">
        <f t="shared" si="25"/>
        <v>-77</v>
      </c>
      <c r="F265" s="11">
        <f t="shared" si="26"/>
        <v>-22.547285394630372</v>
      </c>
      <c r="G265" s="11">
        <f t="shared" si="27"/>
        <v>-22.551076939169338</v>
      </c>
    </row>
    <row r="266" spans="5:7" x14ac:dyDescent="0.25">
      <c r="E266" s="11">
        <f t="shared" si="25"/>
        <v>-76</v>
      </c>
      <c r="F266" s="11">
        <f t="shared" si="26"/>
        <v>-22.401478089321408</v>
      </c>
      <c r="G266" s="11">
        <f t="shared" si="27"/>
        <v>-22.408992980436672</v>
      </c>
    </row>
    <row r="267" spans="5:7" x14ac:dyDescent="0.25">
      <c r="E267" s="11">
        <f t="shared" si="25"/>
        <v>-75</v>
      </c>
      <c r="F267" s="11">
        <f t="shared" si="26"/>
        <v>-22.252575574890667</v>
      </c>
      <c r="G267" s="11">
        <f t="shared" si="27"/>
        <v>-22.263681991719622</v>
      </c>
    </row>
    <row r="268" spans="5:7" x14ac:dyDescent="0.25">
      <c r="E268" s="11">
        <f t="shared" si="25"/>
        <v>-74</v>
      </c>
      <c r="F268" s="11">
        <f t="shared" si="26"/>
        <v>-22.100583981142897</v>
      </c>
      <c r="G268" s="11">
        <f t="shared" si="27"/>
        <v>-22.115123636266731</v>
      </c>
    </row>
    <row r="269" spans="5:7" x14ac:dyDescent="0.25">
      <c r="E269" s="11">
        <f t="shared" si="25"/>
        <v>-73</v>
      </c>
      <c r="F269" s="11">
        <f t="shared" si="26"/>
        <v>-21.945508361541386</v>
      </c>
      <c r="G269" s="11">
        <f t="shared" si="27"/>
        <v>-21.963297577326557</v>
      </c>
    </row>
    <row r="270" spans="5:7" x14ac:dyDescent="0.25">
      <c r="E270" s="11">
        <f t="shared" si="25"/>
        <v>-72</v>
      </c>
      <c r="F270" s="11">
        <f t="shared" si="26"/>
        <v>-21.78735234092003</v>
      </c>
      <c r="G270" s="11">
        <f t="shared" si="27"/>
        <v>-21.808183478147633</v>
      </c>
    </row>
    <row r="271" spans="5:7" x14ac:dyDescent="0.25">
      <c r="E271" s="11">
        <f t="shared" si="25"/>
        <v>-71</v>
      </c>
      <c r="F271" s="11">
        <f t="shared" si="26"/>
        <v>-21.626117793730259</v>
      </c>
      <c r="G271" s="11">
        <f t="shared" si="27"/>
        <v>-21.649761001978508</v>
      </c>
    </row>
    <row r="272" spans="5:7" x14ac:dyDescent="0.25">
      <c r="E272" s="11">
        <f t="shared" si="25"/>
        <v>-70</v>
      </c>
      <c r="F272" s="11">
        <f t="shared" si="26"/>
        <v>-21.461804552222532</v>
      </c>
      <c r="G272" s="11">
        <f t="shared" si="27"/>
        <v>-21.48800981206773</v>
      </c>
    </row>
    <row r="273" spans="5:7" x14ac:dyDescent="0.25">
      <c r="E273" s="11">
        <f t="shared" si="25"/>
        <v>-69</v>
      </c>
      <c r="F273" s="11">
        <f t="shared" si="26"/>
        <v>-21.294410143957553</v>
      </c>
      <c r="G273" s="11">
        <f t="shared" si="27"/>
        <v>-21.322909571663843</v>
      </c>
    </row>
    <row r="274" spans="5:7" x14ac:dyDescent="0.25">
      <c r="E274" s="11">
        <f t="shared" si="25"/>
        <v>-68</v>
      </c>
      <c r="F274" s="11">
        <f t="shared" si="26"/>
        <v>-21.123929558038128</v>
      </c>
      <c r="G274" s="11">
        <f t="shared" si="27"/>
        <v>-21.15443994401539</v>
      </c>
    </row>
    <row r="275" spans="5:7" x14ac:dyDescent="0.25">
      <c r="E275" s="11">
        <f t="shared" si="25"/>
        <v>-67</v>
      </c>
      <c r="F275" s="11">
        <f t="shared" si="26"/>
        <v>-20.950355039448347</v>
      </c>
      <c r="G275" s="11">
        <f t="shared" si="27"/>
        <v>-20.982580592370919</v>
      </c>
    </row>
    <row r="276" spans="5:7" x14ac:dyDescent="0.25">
      <c r="E276" s="11">
        <f t="shared" si="25"/>
        <v>-66</v>
      </c>
      <c r="F276" s="11">
        <f t="shared" si="26"/>
        <v>-20.773675910882375</v>
      </c>
      <c r="G276" s="11">
        <f t="shared" si="27"/>
        <v>-20.807311179978974</v>
      </c>
    </row>
    <row r="277" spans="5:7" x14ac:dyDescent="0.25">
      <c r="E277" s="11">
        <f t="shared" si="25"/>
        <v>-65</v>
      </c>
      <c r="F277" s="11">
        <f t="shared" si="26"/>
        <v>-20.593878421440905</v>
      </c>
      <c r="G277" s="11">
        <f t="shared" si="27"/>
        <v>-20.628611370088109</v>
      </c>
    </row>
    <row r="278" spans="5:7" x14ac:dyDescent="0.25">
      <c r="E278" s="11">
        <f t="shared" si="25"/>
        <v>-64</v>
      </c>
      <c r="F278" s="11">
        <f t="shared" si="26"/>
        <v>-20.410945621568981</v>
      </c>
      <c r="G278" s="11">
        <f t="shared" si="27"/>
        <v>-20.446460825946851</v>
      </c>
    </row>
    <row r="279" spans="5:7" x14ac:dyDescent="0.25">
      <c r="E279" s="11">
        <f t="shared" si="25"/>
        <v>-63</v>
      </c>
      <c r="F279" s="11">
        <f t="shared" si="26"/>
        <v>-20.224857263604569</v>
      </c>
      <c r="G279" s="11">
        <f t="shared" si="27"/>
        <v>-20.260839210803763</v>
      </c>
    </row>
    <row r="280" spans="5:7" x14ac:dyDescent="0.25">
      <c r="E280" s="11">
        <f t="shared" si="25"/>
        <v>-62</v>
      </c>
      <c r="F280" s="11">
        <f t="shared" si="26"/>
        <v>-20.03558972730303</v>
      </c>
      <c r="G280" s="11">
        <f t="shared" si="27"/>
        <v>-20.07172618790738</v>
      </c>
    </row>
    <row r="281" spans="5:7" x14ac:dyDescent="0.25">
      <c r="E281" s="11">
        <f t="shared" si="25"/>
        <v>-61</v>
      </c>
      <c r="F281" s="11">
        <f t="shared" si="26"/>
        <v>-19.843115969698299</v>
      </c>
      <c r="G281" s="11">
        <f t="shared" si="27"/>
        <v>-19.879101420506252</v>
      </c>
    </row>
    <row r="282" spans="5:7" x14ac:dyDescent="0.25">
      <c r="E282" s="11">
        <f t="shared" si="25"/>
        <v>-60</v>
      </c>
      <c r="F282" s="11">
        <f t="shared" si="26"/>
        <v>-19.6474054986572</v>
      </c>
      <c r="G282" s="11">
        <f t="shared" si="27"/>
        <v>-19.682944571848925</v>
      </c>
    </row>
    <row r="283" spans="5:7" x14ac:dyDescent="0.25">
      <c r="E283" s="11">
        <f t="shared" si="25"/>
        <v>-59</v>
      </c>
      <c r="F283" s="11">
        <f t="shared" si="26"/>
        <v>-19.448424369479209</v>
      </c>
      <c r="G283" s="11">
        <f t="shared" si="27"/>
        <v>-19.483235305183943</v>
      </c>
    </row>
    <row r="284" spans="5:7" x14ac:dyDescent="0.25">
      <c r="E284" s="11">
        <f t="shared" si="25"/>
        <v>-58</v>
      </c>
      <c r="F284" s="11">
        <f t="shared" si="26"/>
        <v>-19.246135203889438</v>
      </c>
      <c r="G284" s="11">
        <f t="shared" si="27"/>
        <v>-19.279953283759848</v>
      </c>
    </row>
    <row r="285" spans="5:7" x14ac:dyDescent="0.25">
      <c r="E285" s="11">
        <f t="shared" si="25"/>
        <v>-57</v>
      </c>
      <c r="F285" s="11">
        <f t="shared" si="26"/>
        <v>-19.040497230768505</v>
      </c>
      <c r="G285" s="11">
        <f t="shared" si="27"/>
        <v>-19.073078170825191</v>
      </c>
    </row>
    <row r="286" spans="5:7" x14ac:dyDescent="0.25">
      <c r="E286" s="11">
        <f t="shared" si="25"/>
        <v>-56</v>
      </c>
      <c r="F286" s="11">
        <f t="shared" si="26"/>
        <v>-18.831466347958546</v>
      </c>
      <c r="G286" s="11">
        <f t="shared" si="27"/>
        <v>-18.862589629628513</v>
      </c>
    </row>
    <row r="287" spans="5:7" x14ac:dyDescent="0.25">
      <c r="E287" s="11">
        <f t="shared" ref="E287:E350" si="28">E80</f>
        <v>-55</v>
      </c>
      <c r="F287" s="11">
        <f t="shared" ref="F287:F350" si="29">$H$217*0+E287*$I$217+E287^2*$J$217+E287^3*$K$217+E287^4*$L$217+E287^5*$M$217+E287^6*$N$217+E287^7*$O$217+E287^8*$P$217</f>
        <v>-18.618995204480306</v>
      </c>
      <c r="G287" s="11">
        <f t="shared" ref="G287:G350" si="30">F80</f>
        <v>-18.648467323418362</v>
      </c>
    </row>
    <row r="288" spans="5:7" x14ac:dyDescent="0.25">
      <c r="E288" s="11">
        <f t="shared" si="28"/>
        <v>-54</v>
      </c>
      <c r="F288" s="11">
        <f t="shared" si="29"/>
        <v>-18.403033302492069</v>
      </c>
      <c r="G288" s="11">
        <f t="shared" si="30"/>
        <v>-18.430684743860002</v>
      </c>
    </row>
    <row r="289" spans="5:7" x14ac:dyDescent="0.25">
      <c r="E289" s="11">
        <f t="shared" si="28"/>
        <v>-53</v>
      </c>
      <c r="F289" s="11">
        <f t="shared" si="29"/>
        <v>-18.18352711831675</v>
      </c>
      <c r="G289" s="11">
        <f t="shared" si="30"/>
        <v>-18.209190696285535</v>
      </c>
    </row>
    <row r="290" spans="5:7" x14ac:dyDescent="0.25">
      <c r="E290" s="11">
        <f t="shared" si="28"/>
        <v>-52</v>
      </c>
      <c r="F290" s="11">
        <f t="shared" si="29"/>
        <v>-17.960420241859129</v>
      </c>
      <c r="G290" s="11">
        <f t="shared" si="30"/>
        <v>-17.983927814443803</v>
      </c>
    </row>
    <row r="291" spans="5:7" x14ac:dyDescent="0.25">
      <c r="E291" s="11">
        <f t="shared" si="28"/>
        <v>-51</v>
      </c>
      <c r="F291" s="11">
        <f t="shared" si="29"/>
        <v>-17.733653533731168</v>
      </c>
      <c r="G291" s="11">
        <f t="shared" si="30"/>
        <v>-17.754838732083623</v>
      </c>
    </row>
    <row r="292" spans="5:7" x14ac:dyDescent="0.25">
      <c r="E292" s="11">
        <f t="shared" si="28"/>
        <v>-50</v>
      </c>
      <c r="F292" s="11">
        <f t="shared" si="29"/>
        <v>-17.503165299398717</v>
      </c>
      <c r="G292" s="11">
        <f t="shared" si="30"/>
        <v>-17.521866082953828</v>
      </c>
    </row>
    <row r="293" spans="5:7" x14ac:dyDescent="0.25">
      <c r="E293" s="11">
        <f t="shared" si="28"/>
        <v>-49</v>
      </c>
      <c r="F293" s="11">
        <f t="shared" si="29"/>
        <v>-17.26889147965878</v>
      </c>
      <c r="G293" s="11">
        <f t="shared" si="30"/>
        <v>-17.284952500803247</v>
      </c>
    </row>
    <row r="294" spans="5:7" x14ac:dyDescent="0.25">
      <c r="E294" s="11">
        <f t="shared" si="28"/>
        <v>-48</v>
      </c>
      <c r="F294" s="11">
        <f t="shared" si="29"/>
        <v>-17.030765856752286</v>
      </c>
      <c r="G294" s="11">
        <f t="shared" si="30"/>
        <v>-17.044040619380706</v>
      </c>
    </row>
    <row r="295" spans="5:7" x14ac:dyDescent="0.25">
      <c r="E295" s="11">
        <f t="shared" si="28"/>
        <v>-47</v>
      </c>
      <c r="F295" s="11">
        <f t="shared" si="29"/>
        <v>-16.788720275412754</v>
      </c>
      <c r="G295" s="11">
        <f t="shared" si="30"/>
        <v>-16.799073072435032</v>
      </c>
    </row>
    <row r="296" spans="5:7" x14ac:dyDescent="0.25">
      <c r="E296" s="11">
        <f t="shared" si="28"/>
        <v>-46</v>
      </c>
      <c r="F296" s="11">
        <f t="shared" si="29"/>
        <v>-16.542684878147259</v>
      </c>
      <c r="G296" s="11">
        <f t="shared" si="30"/>
        <v>-16.549992493715056</v>
      </c>
    </row>
    <row r="297" spans="5:7" x14ac:dyDescent="0.25">
      <c r="E297" s="11">
        <f t="shared" si="28"/>
        <v>-45</v>
      </c>
      <c r="F297" s="11">
        <f t="shared" si="29"/>
        <v>-16.292588354041417</v>
      </c>
      <c r="G297" s="11">
        <f t="shared" si="30"/>
        <v>-16.296741516969607</v>
      </c>
    </row>
    <row r="298" spans="5:7" x14ac:dyDescent="0.25">
      <c r="E298" s="11">
        <f t="shared" si="28"/>
        <v>-44</v>
      </c>
      <c r="F298" s="11">
        <f t="shared" si="29"/>
        <v>-16.038358200376308</v>
      </c>
      <c r="G298" s="11">
        <f t="shared" si="30"/>
        <v>-16.039262775947513</v>
      </c>
    </row>
    <row r="299" spans="5:7" x14ac:dyDescent="0.25">
      <c r="E299" s="11">
        <f t="shared" si="28"/>
        <v>-43</v>
      </c>
      <c r="F299" s="11">
        <f t="shared" si="29"/>
        <v>-15.779920996340339</v>
      </c>
      <c r="G299" s="11">
        <f t="shared" si="30"/>
        <v>-15.777498904397593</v>
      </c>
    </row>
    <row r="300" spans="5:7" x14ac:dyDescent="0.25">
      <c r="E300" s="11">
        <f t="shared" si="28"/>
        <v>-42</v>
      </c>
      <c r="F300" s="11">
        <f t="shared" si="29"/>
        <v>-15.517202688115335</v>
      </c>
      <c r="G300" s="11">
        <f t="shared" si="30"/>
        <v>-15.511392536068687</v>
      </c>
    </row>
    <row r="301" spans="5:7" x14ac:dyDescent="0.25">
      <c r="E301" s="11">
        <f t="shared" si="28"/>
        <v>-41</v>
      </c>
      <c r="F301" s="11">
        <f t="shared" si="29"/>
        <v>-15.250128884611406</v>
      </c>
      <c r="G301" s="11">
        <f t="shared" si="30"/>
        <v>-15.240886304709619</v>
      </c>
    </row>
    <row r="302" spans="5:7" x14ac:dyDescent="0.25">
      <c r="E302" s="11">
        <f t="shared" si="28"/>
        <v>-40</v>
      </c>
      <c r="F302" s="11">
        <f t="shared" si="29"/>
        <v>-14.978625163121061</v>
      </c>
      <c r="G302" s="11">
        <f t="shared" si="30"/>
        <v>-14.965922844069219</v>
      </c>
    </row>
    <row r="303" spans="5:7" x14ac:dyDescent="0.25">
      <c r="E303" s="11">
        <f t="shared" si="28"/>
        <v>-39</v>
      </c>
      <c r="F303" s="11">
        <f t="shared" si="29"/>
        <v>-14.702617384158698</v>
      </c>
      <c r="G303" s="11">
        <f t="shared" si="30"/>
        <v>-14.68644478789631</v>
      </c>
    </row>
    <row r="304" spans="5:7" x14ac:dyDescent="0.25">
      <c r="E304" s="11">
        <f t="shared" si="28"/>
        <v>-38</v>
      </c>
      <c r="F304" s="11">
        <f t="shared" si="29"/>
        <v>-14.422032014747213</v>
      </c>
      <c r="G304" s="11">
        <f t="shared" si="30"/>
        <v>-14.402394769939724</v>
      </c>
    </row>
    <row r="305" spans="5:7" x14ac:dyDescent="0.25">
      <c r="E305" s="11">
        <f t="shared" si="28"/>
        <v>-37</v>
      </c>
      <c r="F305" s="11">
        <f t="shared" si="29"/>
        <v>-14.136796459409284</v>
      </c>
      <c r="G305" s="11">
        <f t="shared" si="30"/>
        <v>-14.113715423948287</v>
      </c>
    </row>
    <row r="306" spans="5:7" x14ac:dyDescent="0.25">
      <c r="E306" s="11">
        <f t="shared" si="28"/>
        <v>-36</v>
      </c>
      <c r="F306" s="11">
        <f t="shared" si="29"/>
        <v>-13.846839398116474</v>
      </c>
      <c r="G306" s="11">
        <f t="shared" si="30"/>
        <v>-13.82034938367083</v>
      </c>
    </row>
    <row r="307" spans="5:7" x14ac:dyDescent="0.25">
      <c r="E307" s="11">
        <f t="shared" si="28"/>
        <v>-35</v>
      </c>
      <c r="F307" s="11">
        <f t="shared" si="29"/>
        <v>-13.552091130445081</v>
      </c>
      <c r="G307" s="11">
        <f t="shared" si="30"/>
        <v>-13.52223928285618</v>
      </c>
    </row>
    <row r="308" spans="5:7" x14ac:dyDescent="0.25">
      <c r="E308" s="11">
        <f t="shared" si="28"/>
        <v>-34</v>
      </c>
      <c r="F308" s="11">
        <f t="shared" si="29"/>
        <v>-13.252483925183274</v>
      </c>
      <c r="G308" s="11">
        <f t="shared" si="30"/>
        <v>-13.219327755253163</v>
      </c>
    </row>
    <row r="309" spans="5:7" x14ac:dyDescent="0.25">
      <c r="E309" s="11">
        <f t="shared" si="28"/>
        <v>-33</v>
      </c>
      <c r="F309" s="11">
        <f t="shared" si="29"/>
        <v>-12.94795237462988</v>
      </c>
      <c r="G309" s="11">
        <f t="shared" si="30"/>
        <v>-12.911557434610609</v>
      </c>
    </row>
    <row r="310" spans="5:7" x14ac:dyDescent="0.25">
      <c r="E310" s="11">
        <f t="shared" si="28"/>
        <v>-32</v>
      </c>
      <c r="F310" s="11">
        <f t="shared" si="29"/>
        <v>-12.638433752820649</v>
      </c>
      <c r="G310" s="11">
        <f t="shared" si="30"/>
        <v>-12.598870954677347</v>
      </c>
    </row>
    <row r="311" spans="5:7" x14ac:dyDescent="0.25">
      <c r="E311" s="11">
        <f t="shared" si="28"/>
        <v>-31</v>
      </c>
      <c r="F311" s="11">
        <f t="shared" si="29"/>
        <v>-12.323868376913865</v>
      </c>
      <c r="G311" s="11">
        <f t="shared" si="30"/>
        <v>-12.281210949202203</v>
      </c>
    </row>
    <row r="312" spans="5:7" x14ac:dyDescent="0.25">
      <c r="E312" s="11">
        <f t="shared" si="28"/>
        <v>-30</v>
      </c>
      <c r="F312" s="11">
        <f t="shared" si="29"/>
        <v>-12.004199970962473</v>
      </c>
      <c r="G312" s="11">
        <f t="shared" si="30"/>
        <v>-11.958520051934007</v>
      </c>
    </row>
    <row r="313" spans="5:7" x14ac:dyDescent="0.25">
      <c r="E313" s="11">
        <f t="shared" si="28"/>
        <v>-29</v>
      </c>
      <c r="F313" s="11">
        <f t="shared" si="29"/>
        <v>-11.679376031295909</v>
      </c>
      <c r="G313" s="11">
        <f t="shared" si="30"/>
        <v>-11.630753715442165</v>
      </c>
    </row>
    <row r="314" spans="5:7" x14ac:dyDescent="0.25">
      <c r="E314" s="11">
        <f t="shared" si="28"/>
        <v>-28</v>
      </c>
      <c r="F314" s="11">
        <f t="shared" si="29"/>
        <v>-11.349348192730375</v>
      </c>
      <c r="G314" s="11">
        <f t="shared" si="30"/>
        <v>-11.297918667578417</v>
      </c>
    </row>
    <row r="315" spans="5:7" x14ac:dyDescent="0.25">
      <c r="E315" s="11">
        <f t="shared" si="28"/>
        <v>-27</v>
      </c>
      <c r="F315" s="11">
        <f t="shared" si="29"/>
        <v>-11.014072594821966</v>
      </c>
      <c r="G315" s="11">
        <f t="shared" si="30"/>
        <v>-10.960034455015075</v>
      </c>
    </row>
    <row r="316" spans="5:7" x14ac:dyDescent="0.25">
      <c r="E316" s="11">
        <f t="shared" si="28"/>
        <v>-26</v>
      </c>
      <c r="F316" s="11">
        <f t="shared" si="29"/>
        <v>-10.673510247372811</v>
      </c>
      <c r="G316" s="11">
        <f t="shared" si="30"/>
        <v>-10.617120624424453</v>
      </c>
    </row>
    <row r="317" spans="5:7" x14ac:dyDescent="0.25">
      <c r="E317" s="11">
        <f t="shared" si="28"/>
        <v>-25</v>
      </c>
      <c r="F317" s="11">
        <f t="shared" si="29"/>
        <v>-10.327627394396128</v>
      </c>
      <c r="G317" s="11">
        <f t="shared" si="30"/>
        <v>-10.269196722478872</v>
      </c>
    </row>
    <row r="318" spans="5:7" x14ac:dyDescent="0.25">
      <c r="E318" s="11">
        <f t="shared" si="28"/>
        <v>-24</v>
      </c>
      <c r="F318" s="11">
        <f t="shared" si="29"/>
        <v>-9.9763958757416482</v>
      </c>
      <c r="G318" s="11">
        <f t="shared" si="30"/>
        <v>-9.916282295850646</v>
      </c>
    </row>
    <row r="319" spans="5:7" x14ac:dyDescent="0.25">
      <c r="E319" s="11">
        <f t="shared" si="28"/>
        <v>-23</v>
      </c>
      <c r="F319" s="11">
        <f t="shared" si="29"/>
        <v>-9.6197934855787288</v>
      </c>
      <c r="G319" s="11">
        <f t="shared" si="30"/>
        <v>-9.5583968912120856</v>
      </c>
    </row>
    <row r="320" spans="5:7" x14ac:dyDescent="0.25">
      <c r="E320" s="11">
        <f t="shared" si="28"/>
        <v>-22</v>
      </c>
      <c r="F320" s="11">
        <f t="shared" si="29"/>
        <v>-9.2578043269299783</v>
      </c>
      <c r="G320" s="11">
        <f t="shared" si="30"/>
        <v>-9.1955600552355108</v>
      </c>
    </row>
    <row r="321" spans="5:7" x14ac:dyDescent="0.25">
      <c r="E321" s="11">
        <f t="shared" si="28"/>
        <v>-21</v>
      </c>
      <c r="F321" s="11">
        <f t="shared" si="29"/>
        <v>-8.8904191614441732</v>
      </c>
      <c r="G321" s="11">
        <f t="shared" si="30"/>
        <v>-8.8277913345932379</v>
      </c>
    </row>
    <row r="322" spans="5:7" x14ac:dyDescent="0.25">
      <c r="E322" s="11">
        <f t="shared" si="28"/>
        <v>-20</v>
      </c>
      <c r="F322" s="11">
        <f t="shared" si="29"/>
        <v>-8.5176357535926073</v>
      </c>
      <c r="G322" s="11">
        <f t="shared" si="30"/>
        <v>-8.4551102759575816</v>
      </c>
    </row>
    <row r="323" spans="5:7" x14ac:dyDescent="0.25">
      <c r="E323" s="11">
        <f t="shared" si="28"/>
        <v>-19</v>
      </c>
      <c r="F323" s="11">
        <f t="shared" si="29"/>
        <v>-8.1394592084690665</v>
      </c>
      <c r="G323" s="11">
        <f t="shared" si="30"/>
        <v>-8.077536426000858</v>
      </c>
    </row>
    <row r="324" spans="5:7" x14ac:dyDescent="0.25">
      <c r="E324" s="11">
        <f t="shared" si="28"/>
        <v>-18</v>
      </c>
      <c r="F324" s="11">
        <f t="shared" si="29"/>
        <v>-7.7559023023689964</v>
      </c>
      <c r="G324" s="11">
        <f t="shared" si="30"/>
        <v>-7.695089331395379</v>
      </c>
    </row>
    <row r="325" spans="5:7" x14ac:dyDescent="0.25">
      <c r="E325" s="11">
        <f t="shared" si="28"/>
        <v>-17</v>
      </c>
      <c r="F325" s="11">
        <f t="shared" si="29"/>
        <v>-7.3669858053193789</v>
      </c>
      <c r="G325" s="11">
        <f t="shared" si="30"/>
        <v>-7.3077885388134662</v>
      </c>
    </row>
    <row r="326" spans="5:7" x14ac:dyDescent="0.25">
      <c r="E326" s="11">
        <f t="shared" si="28"/>
        <v>-16</v>
      </c>
      <c r="F326" s="11">
        <f t="shared" si="29"/>
        <v>-6.972738794726359</v>
      </c>
      <c r="G326" s="11">
        <f t="shared" si="30"/>
        <v>-6.9156535949274316</v>
      </c>
    </row>
    <row r="327" spans="5:7" x14ac:dyDescent="0.25">
      <c r="E327" s="11">
        <f t="shared" si="28"/>
        <v>-15</v>
      </c>
      <c r="F327" s="11">
        <f t="shared" si="29"/>
        <v>-6.5731989593034328</v>
      </c>
      <c r="G327" s="11">
        <f t="shared" si="30"/>
        <v>-6.5187040464095913</v>
      </c>
    </row>
    <row r="328" spans="5:7" x14ac:dyDescent="0.25">
      <c r="E328" s="11">
        <f t="shared" si="28"/>
        <v>-14</v>
      </c>
      <c r="F328" s="11">
        <f t="shared" si="29"/>
        <v>-6.1684128924387283</v>
      </c>
      <c r="G328" s="11">
        <f t="shared" si="30"/>
        <v>-6.1169594399322609</v>
      </c>
    </row>
    <row r="329" spans="5:7" x14ac:dyDescent="0.25">
      <c r="E329" s="11">
        <f t="shared" si="28"/>
        <v>-13</v>
      </c>
      <c r="F329" s="11">
        <f t="shared" si="29"/>
        <v>-5.7584363741555142</v>
      </c>
      <c r="G329" s="11">
        <f t="shared" si="30"/>
        <v>-5.7104393221677574</v>
      </c>
    </row>
    <row r="330" spans="5:7" x14ac:dyDescent="0.25">
      <c r="E330" s="11">
        <f t="shared" si="28"/>
        <v>-12</v>
      </c>
      <c r="F330" s="11">
        <f t="shared" si="29"/>
        <v>-5.3433346408158711</v>
      </c>
      <c r="G330" s="11">
        <f t="shared" si="30"/>
        <v>-5.2991632397883954</v>
      </c>
    </row>
    <row r="331" spans="5:7" x14ac:dyDescent="0.25">
      <c r="E331" s="11">
        <f t="shared" si="28"/>
        <v>-11</v>
      </c>
      <c r="F331" s="11">
        <f t="shared" si="29"/>
        <v>-4.92318264171307</v>
      </c>
      <c r="G331" s="11">
        <f t="shared" si="30"/>
        <v>-4.8831507394664904</v>
      </c>
    </row>
    <row r="332" spans="5:7" x14ac:dyDescent="0.25">
      <c r="E332" s="11">
        <f t="shared" si="28"/>
        <v>-10</v>
      </c>
      <c r="F332" s="11">
        <f t="shared" si="29"/>
        <v>-4.4980652816939752</v>
      </c>
      <c r="G332" s="11">
        <f t="shared" si="30"/>
        <v>-4.4624213678743576</v>
      </c>
    </row>
    <row r="333" spans="5:7" x14ac:dyDescent="0.25">
      <c r="E333" s="11">
        <f t="shared" si="28"/>
        <v>-9</v>
      </c>
      <c r="F333" s="11">
        <f t="shared" si="29"/>
        <v>-4.0680776489484041</v>
      </c>
      <c r="G333" s="11">
        <f t="shared" si="30"/>
        <v>-4.0369946716843153</v>
      </c>
    </row>
    <row r="334" spans="5:7" x14ac:dyDescent="0.25">
      <c r="E334" s="11">
        <f t="shared" si="28"/>
        <v>-8</v>
      </c>
      <c r="F334" s="11">
        <f t="shared" si="29"/>
        <v>-3.633325227098144</v>
      </c>
      <c r="G334" s="11">
        <f t="shared" si="30"/>
        <v>-3.606890197568676</v>
      </c>
    </row>
    <row r="335" spans="5:7" x14ac:dyDescent="0.25">
      <c r="E335" s="11">
        <f t="shared" si="28"/>
        <v>-7</v>
      </c>
      <c r="F335" s="11">
        <f t="shared" si="29"/>
        <v>-3.1939240907139648</v>
      </c>
      <c r="G335" s="11">
        <f t="shared" si="30"/>
        <v>-3.1721274921997571</v>
      </c>
    </row>
    <row r="336" spans="5:7" x14ac:dyDescent="0.25">
      <c r="E336" s="11">
        <f t="shared" si="28"/>
        <v>-6</v>
      </c>
      <c r="F336" s="11">
        <f t="shared" si="29"/>
        <v>-2.7500010833847233</v>
      </c>
      <c r="G336" s="11">
        <f t="shared" si="30"/>
        <v>-2.7327261022498739</v>
      </c>
    </row>
    <row r="337" spans="5:7" x14ac:dyDescent="0.25">
      <c r="E337" s="11">
        <f t="shared" si="28"/>
        <v>-5</v>
      </c>
      <c r="F337" s="11">
        <f t="shared" si="29"/>
        <v>-2.3016939774582728</v>
      </c>
      <c r="G337" s="11">
        <f t="shared" si="30"/>
        <v>-2.2887055743913418</v>
      </c>
    </row>
    <row r="338" spans="5:7" x14ac:dyDescent="0.25">
      <c r="E338" s="11">
        <f t="shared" si="28"/>
        <v>-4</v>
      </c>
      <c r="F338" s="11">
        <f t="shared" si="29"/>
        <v>-1.8491516145696547</v>
      </c>
      <c r="G338" s="11">
        <f t="shared" si="30"/>
        <v>-1.8400854552964767</v>
      </c>
    </row>
    <row r="339" spans="5:7" x14ac:dyDescent="0.25">
      <c r="E339" s="11">
        <f t="shared" si="28"/>
        <v>-3</v>
      </c>
      <c r="F339" s="11">
        <f t="shared" si="29"/>
        <v>-1.3925340260677204</v>
      </c>
      <c r="G339" s="11">
        <f t="shared" si="30"/>
        <v>-1.3868852916375944</v>
      </c>
    </row>
    <row r="340" spans="5:7" x14ac:dyDescent="0.25">
      <c r="E340" s="11">
        <f t="shared" si="28"/>
        <v>-2</v>
      </c>
      <c r="F340" s="11">
        <f t="shared" si="29"/>
        <v>-0.93201253244700877</v>
      </c>
      <c r="G340" s="11">
        <f t="shared" si="30"/>
        <v>-0.92912463008701041</v>
      </c>
    </row>
    <row r="341" spans="5:7" x14ac:dyDescent="0.25">
      <c r="E341" s="11">
        <f t="shared" si="28"/>
        <v>-1</v>
      </c>
      <c r="F341" s="11">
        <f t="shared" si="29"/>
        <v>-0.46776982088743241</v>
      </c>
      <c r="G341" s="11">
        <f t="shared" si="30"/>
        <v>-0.46682301731704035</v>
      </c>
    </row>
    <row r="342" spans="5:7" x14ac:dyDescent="0.25">
      <c r="E342" s="11">
        <f t="shared" si="28"/>
        <v>0</v>
      </c>
      <c r="F342" s="11">
        <f t="shared" si="29"/>
        <v>0</v>
      </c>
      <c r="G342" s="11">
        <f t="shared" si="30"/>
        <v>0</v>
      </c>
    </row>
    <row r="343" spans="5:7" x14ac:dyDescent="0.25">
      <c r="E343" s="11">
        <f t="shared" si="28"/>
        <v>1</v>
      </c>
      <c r="F343" s="11">
        <f t="shared" si="29"/>
        <v>0.47109136912749555</v>
      </c>
      <c r="G343" s="11">
        <f t="shared" si="30"/>
        <v>0.47126251209914438</v>
      </c>
    </row>
    <row r="344" spans="5:7" x14ac:dyDescent="0.25">
      <c r="E344" s="11">
        <f t="shared" si="28"/>
        <v>2</v>
      </c>
      <c r="F344" s="11">
        <f t="shared" si="29"/>
        <v>0.94528726649519901</v>
      </c>
      <c r="G344" s="11">
        <f t="shared" si="30"/>
        <v>0.94663315684482519</v>
      </c>
    </row>
    <row r="345" spans="5:7" x14ac:dyDescent="0.25">
      <c r="E345" s="11">
        <f t="shared" si="28"/>
        <v>3</v>
      </c>
      <c r="F345" s="11">
        <f t="shared" si="29"/>
        <v>1.422359232281003</v>
      </c>
      <c r="G345" s="11">
        <f t="shared" si="30"/>
        <v>1.4257182090088225</v>
      </c>
    </row>
    <row r="346" spans="5:7" x14ac:dyDescent="0.25">
      <c r="E346" s="11">
        <f t="shared" si="28"/>
        <v>4</v>
      </c>
      <c r="F346" s="11">
        <f t="shared" si="29"/>
        <v>1.9020674123744343</v>
      </c>
      <c r="G346" s="11">
        <f t="shared" si="30"/>
        <v>1.908123943362918</v>
      </c>
    </row>
    <row r="347" spans="5:7" x14ac:dyDescent="0.25">
      <c r="E347" s="11">
        <f t="shared" si="28"/>
        <v>5</v>
      </c>
      <c r="F347" s="11">
        <f t="shared" si="29"/>
        <v>2.3841606312778953</v>
      </c>
      <c r="G347" s="11">
        <f t="shared" si="30"/>
        <v>2.393456634678893</v>
      </c>
    </row>
    <row r="348" spans="5:7" x14ac:dyDescent="0.25">
      <c r="E348" s="11">
        <f t="shared" si="28"/>
        <v>6</v>
      </c>
      <c r="F348" s="11">
        <f t="shared" si="29"/>
        <v>2.8683764933028719</v>
      </c>
      <c r="G348" s="11">
        <f t="shared" si="30"/>
        <v>2.8813225577285286</v>
      </c>
    </row>
    <row r="349" spans="5:7" x14ac:dyDescent="0.25">
      <c r="E349" s="11">
        <f t="shared" si="28"/>
        <v>7</v>
      </c>
      <c r="F349" s="11">
        <f t="shared" si="29"/>
        <v>3.3544415129929868</v>
      </c>
      <c r="G349" s="11">
        <f t="shared" si="30"/>
        <v>3.3713279872836055</v>
      </c>
    </row>
    <row r="350" spans="5:7" x14ac:dyDescent="0.25">
      <c r="E350" s="11">
        <f t="shared" si="28"/>
        <v>8</v>
      </c>
      <c r="F350" s="11">
        <f t="shared" si="29"/>
        <v>3.8420712757101008</v>
      </c>
      <c r="G350" s="11">
        <f t="shared" si="30"/>
        <v>3.8630791981159054</v>
      </c>
    </row>
    <row r="351" spans="5:7" x14ac:dyDescent="0.25">
      <c r="E351" s="11">
        <f t="shared" ref="E351:E414" si="31">E144</f>
        <v>9</v>
      </c>
      <c r="F351" s="11">
        <f t="shared" ref="F351:F414" si="32">$H$217*0+E351*$I$217+E351^2*$J$217+E351^3*$K$217+E351^4*$L$217+E351^5*$M$217+E351^6*$N$217+E351^7*$O$217+E351^8*$P$217</f>
        <v>4.3309706293239971</v>
      </c>
      <c r="G351" s="11">
        <f t="shared" ref="G351:G414" si="33">F144</f>
        <v>4.3561824649972092</v>
      </c>
    </row>
    <row r="352" spans="5:7" x14ac:dyDescent="0.25">
      <c r="E352" s="11">
        <f t="shared" si="31"/>
        <v>10</v>
      </c>
      <c r="F352" s="11">
        <f t="shared" si="32"/>
        <v>4.8208339079504121</v>
      </c>
      <c r="G352" s="11">
        <f t="shared" si="33"/>
        <v>4.8502440626992982</v>
      </c>
    </row>
    <row r="353" spans="5:7" x14ac:dyDescent="0.25">
      <c r="E353" s="11">
        <f t="shared" si="31"/>
        <v>11</v>
      </c>
      <c r="F353" s="11">
        <f t="shared" si="32"/>
        <v>5.3113451886865741</v>
      </c>
      <c r="G353" s="11">
        <f t="shared" si="33"/>
        <v>5.3448702659939533</v>
      </c>
    </row>
    <row r="354" spans="5:7" x14ac:dyDescent="0.25">
      <c r="E354" s="11">
        <f t="shared" si="31"/>
        <v>12</v>
      </c>
      <c r="F354" s="11">
        <f t="shared" si="32"/>
        <v>5.8021785822976293</v>
      </c>
      <c r="G354" s="11">
        <f t="shared" si="33"/>
        <v>5.8396673496529568</v>
      </c>
    </row>
    <row r="355" spans="5:7" x14ac:dyDescent="0.25">
      <c r="E355" s="11">
        <f t="shared" si="31"/>
        <v>13</v>
      </c>
      <c r="F355" s="11">
        <f t="shared" si="32"/>
        <v>6.2929985588117239</v>
      </c>
      <c r="G355" s="11">
        <f t="shared" si="33"/>
        <v>6.334241588448088</v>
      </c>
    </row>
    <row r="356" spans="5:7" x14ac:dyDescent="0.25">
      <c r="E356" s="11">
        <f t="shared" si="31"/>
        <v>14</v>
      </c>
      <c r="F356" s="11">
        <f t="shared" si="32"/>
        <v>6.7834603089857177</v>
      </c>
      <c r="G356" s="11">
        <f t="shared" si="33"/>
        <v>6.8281992571511285</v>
      </c>
    </row>
    <row r="357" spans="5:7" x14ac:dyDescent="0.25">
      <c r="E357" s="11">
        <f t="shared" si="31"/>
        <v>15</v>
      </c>
      <c r="F357" s="11">
        <f t="shared" si="32"/>
        <v>7.2732101426079154</v>
      </c>
      <c r="G357" s="11">
        <f t="shared" si="33"/>
        <v>7.3211466305338595</v>
      </c>
    </row>
    <row r="358" spans="5:7" x14ac:dyDescent="0.25">
      <c r="E358" s="11">
        <f t="shared" si="31"/>
        <v>16</v>
      </c>
      <c r="F358" s="11">
        <f t="shared" si="32"/>
        <v>7.7618859246084071</v>
      </c>
      <c r="G358" s="11">
        <f t="shared" si="33"/>
        <v>7.812689983368065</v>
      </c>
    </row>
    <row r="359" spans="5:7" x14ac:dyDescent="0.25">
      <c r="E359" s="11">
        <f t="shared" si="31"/>
        <v>17</v>
      </c>
      <c r="F359" s="11">
        <f t="shared" si="32"/>
        <v>8.2491175499520004</v>
      </c>
      <c r="G359" s="11">
        <f t="shared" si="33"/>
        <v>8.3024355904255227</v>
      </c>
    </row>
    <row r="360" spans="5:7" x14ac:dyDescent="0.25">
      <c r="E360" s="11">
        <f t="shared" si="31"/>
        <v>18</v>
      </c>
      <c r="F360" s="11">
        <f t="shared" si="32"/>
        <v>8.7345274582929395</v>
      </c>
      <c r="G360" s="11">
        <f t="shared" si="33"/>
        <v>8.789989726478014</v>
      </c>
    </row>
    <row r="361" spans="5:7" x14ac:dyDescent="0.25">
      <c r="E361" s="11">
        <f t="shared" si="31"/>
        <v>19</v>
      </c>
      <c r="F361" s="11">
        <f t="shared" si="32"/>
        <v>9.2177311893750513</v>
      </c>
      <c r="G361" s="11">
        <f t="shared" si="33"/>
        <v>9.2749586662973211</v>
      </c>
    </row>
    <row r="362" spans="5:7" x14ac:dyDescent="0.25">
      <c r="E362" s="11">
        <f t="shared" si="31"/>
        <v>20</v>
      </c>
      <c r="F362" s="11">
        <f t="shared" si="32"/>
        <v>9.6983379801650429</v>
      </c>
      <c r="G362" s="11">
        <f t="shared" si="33"/>
        <v>9.7569486846552245</v>
      </c>
    </row>
    <row r="363" spans="5:7" x14ac:dyDescent="0.25">
      <c r="E363" s="11">
        <f t="shared" si="31"/>
        <v>21</v>
      </c>
      <c r="F363" s="11">
        <f t="shared" si="32"/>
        <v>10.175951404711229</v>
      </c>
      <c r="G363" s="11">
        <f t="shared" si="33"/>
        <v>10.235566056323508</v>
      </c>
    </row>
    <row r="364" spans="5:7" x14ac:dyDescent="0.25">
      <c r="E364" s="11">
        <f t="shared" si="31"/>
        <v>22</v>
      </c>
      <c r="F364" s="11">
        <f t="shared" si="32"/>
        <v>10.6501700577241</v>
      </c>
      <c r="G364" s="11">
        <f t="shared" si="33"/>
        <v>10.710417056073947</v>
      </c>
    </row>
    <row r="365" spans="5:7" x14ac:dyDescent="0.25">
      <c r="E365" s="11">
        <f t="shared" si="31"/>
        <v>23</v>
      </c>
      <c r="F365" s="11">
        <f t="shared" si="32"/>
        <v>11.120588282879496</v>
      </c>
      <c r="G365" s="11">
        <f t="shared" si="33"/>
        <v>11.18110795867833</v>
      </c>
    </row>
    <row r="366" spans="5:7" x14ac:dyDescent="0.25">
      <c r="E366" s="11">
        <f t="shared" si="31"/>
        <v>24</v>
      </c>
      <c r="F366" s="11">
        <f t="shared" si="32"/>
        <v>11.586796946849482</v>
      </c>
      <c r="G366" s="11">
        <f t="shared" si="33"/>
        <v>11.647245038908434</v>
      </c>
    </row>
    <row r="367" spans="5:7" x14ac:dyDescent="0.25">
      <c r="E367" s="11">
        <f t="shared" si="31"/>
        <v>25</v>
      </c>
      <c r="F367" s="11">
        <f t="shared" si="32"/>
        <v>12.048384260070264</v>
      </c>
      <c r="G367" s="11">
        <f t="shared" si="33"/>
        <v>12.108434571536037</v>
      </c>
    </row>
    <row r="368" spans="5:7" x14ac:dyDescent="0.25">
      <c r="E368" s="11">
        <f t="shared" si="31"/>
        <v>26</v>
      </c>
      <c r="F368" s="11">
        <f t="shared" si="32"/>
        <v>12.504936645260905</v>
      </c>
      <c r="G368" s="11">
        <f t="shared" si="33"/>
        <v>12.564282831332926</v>
      </c>
    </row>
    <row r="369" spans="5:7" x14ac:dyDescent="0.25">
      <c r="E369" s="11">
        <f t="shared" si="31"/>
        <v>27</v>
      </c>
      <c r="F369" s="11">
        <f t="shared" si="32"/>
        <v>12.956039654710695</v>
      </c>
      <c r="G369" s="11">
        <f t="shared" si="33"/>
        <v>13.014396093070879</v>
      </c>
    </row>
    <row r="370" spans="5:7" x14ac:dyDescent="0.25">
      <c r="E370" s="11">
        <f t="shared" si="31"/>
        <v>28</v>
      </c>
      <c r="F370" s="11">
        <f t="shared" si="32"/>
        <v>13.401278937357631</v>
      </c>
      <c r="G370" s="11">
        <f t="shared" si="33"/>
        <v>13.458380631521679</v>
      </c>
    </row>
    <row r="371" spans="5:7" x14ac:dyDescent="0.25">
      <c r="E371" s="11">
        <f t="shared" si="31"/>
        <v>29</v>
      </c>
      <c r="F371" s="11">
        <f t="shared" si="32"/>
        <v>13.840241256684443</v>
      </c>
      <c r="G371" s="11">
        <f t="shared" si="33"/>
        <v>13.895842721457106</v>
      </c>
    </row>
    <row r="372" spans="5:7" x14ac:dyDescent="0.25">
      <c r="E372" s="11">
        <f t="shared" si="31"/>
        <v>30</v>
      </c>
      <c r="F372" s="11">
        <f t="shared" si="32"/>
        <v>14.272515560463203</v>
      </c>
      <c r="G372" s="11">
        <f t="shared" si="33"/>
        <v>14.32638863764894</v>
      </c>
    </row>
    <row r="373" spans="5:7" x14ac:dyDescent="0.25">
      <c r="E373" s="11">
        <f t="shared" si="31"/>
        <v>31</v>
      </c>
      <c r="F373" s="11">
        <f t="shared" si="32"/>
        <v>14.697694103383604</v>
      </c>
      <c r="G373" s="11">
        <f t="shared" si="33"/>
        <v>14.749624654868965</v>
      </c>
    </row>
    <row r="374" spans="5:7" x14ac:dyDescent="0.25">
      <c r="E374" s="11">
        <f t="shared" si="31"/>
        <v>32</v>
      </c>
      <c r="F374" s="11">
        <f t="shared" si="32"/>
        <v>15.115373623604498</v>
      </c>
      <c r="G374" s="11">
        <f t="shared" si="33"/>
        <v>15.165157047888961</v>
      </c>
    </row>
    <row r="375" spans="5:7" x14ac:dyDescent="0.25">
      <c r="E375" s="11">
        <f t="shared" si="31"/>
        <v>33</v>
      </c>
      <c r="F375" s="11">
        <f t="shared" si="32"/>
        <v>15.525156574272463</v>
      </c>
      <c r="G375" s="11">
        <f t="shared" si="33"/>
        <v>15.572592091480709</v>
      </c>
    </row>
    <row r="376" spans="5:7" x14ac:dyDescent="0.25">
      <c r="E376" s="11">
        <f t="shared" si="31"/>
        <v>34</v>
      </c>
      <c r="F376" s="11">
        <f t="shared" si="32"/>
        <v>15.926652411055564</v>
      </c>
      <c r="G376" s="11">
        <f t="shared" si="33"/>
        <v>15.971536060415991</v>
      </c>
    </row>
    <row r="377" spans="5:7" x14ac:dyDescent="0.25">
      <c r="E377" s="11">
        <f t="shared" si="31"/>
        <v>35</v>
      </c>
      <c r="F377" s="11">
        <f t="shared" si="32"/>
        <v>16.319478936744627</v>
      </c>
      <c r="G377" s="11">
        <f t="shared" si="33"/>
        <v>16.36159522946658</v>
      </c>
    </row>
    <row r="378" spans="5:7" x14ac:dyDescent="0.25">
      <c r="E378" s="11">
        <f t="shared" si="31"/>
        <v>36</v>
      </c>
      <c r="F378" s="11">
        <f t="shared" si="32"/>
        <v>16.703263703978912</v>
      </c>
      <c r="G378" s="11">
        <f t="shared" si="33"/>
        <v>16.742375873404271</v>
      </c>
    </row>
    <row r="379" spans="5:7" x14ac:dyDescent="0.25">
      <c r="E379" s="11">
        <f t="shared" si="31"/>
        <v>37</v>
      </c>
      <c r="F379" s="11">
        <f t="shared" si="32"/>
        <v>17.077645477157059</v>
      </c>
      <c r="G379" s="11">
        <f t="shared" si="33"/>
        <v>17.113484267000839</v>
      </c>
    </row>
    <row r="380" spans="5:7" x14ac:dyDescent="0.25">
      <c r="E380" s="11">
        <f t="shared" si="31"/>
        <v>38</v>
      </c>
      <c r="F380" s="11">
        <f t="shared" si="32"/>
        <v>17.442275754598693</v>
      </c>
      <c r="G380" s="11">
        <f t="shared" si="33"/>
        <v>17.474526685028064</v>
      </c>
    </row>
    <row r="381" spans="5:7" x14ac:dyDescent="0.25">
      <c r="E381" s="11">
        <f t="shared" si="31"/>
        <v>39</v>
      </c>
      <c r="F381" s="11">
        <f t="shared" si="32"/>
        <v>17.796820352026444</v>
      </c>
      <c r="G381" s="11">
        <f t="shared" si="33"/>
        <v>17.825109402257723</v>
      </c>
    </row>
    <row r="382" spans="5:7" x14ac:dyDescent="0.25">
      <c r="E382" s="11">
        <f t="shared" si="31"/>
        <v>40</v>
      </c>
      <c r="F382" s="11">
        <f t="shared" si="32"/>
        <v>18.140961048442087</v>
      </c>
      <c r="G382" s="11">
        <f t="shared" si="33"/>
        <v>18.164838693461604</v>
      </c>
    </row>
    <row r="383" spans="5:7" x14ac:dyDescent="0.25">
      <c r="E383" s="11">
        <f t="shared" si="31"/>
        <v>41</v>
      </c>
      <c r="F383" s="11">
        <f t="shared" si="32"/>
        <v>18.47439729547532</v>
      </c>
      <c r="G383" s="11">
        <f t="shared" si="33"/>
        <v>18.493320833411488</v>
      </c>
    </row>
    <row r="384" spans="5:7" x14ac:dyDescent="0.25">
      <c r="E384" s="11">
        <f t="shared" si="31"/>
        <v>42</v>
      </c>
      <c r="F384" s="11">
        <f t="shared" si="32"/>
        <v>18.796847991287464</v>
      </c>
      <c r="G384" s="11">
        <f t="shared" si="33"/>
        <v>18.810162096879157</v>
      </c>
    </row>
    <row r="385" spans="5:7" x14ac:dyDescent="0.25">
      <c r="E385" s="11">
        <f t="shared" si="31"/>
        <v>43</v>
      </c>
      <c r="F385" s="11">
        <f t="shared" si="32"/>
        <v>19.108053320117197</v>
      </c>
      <c r="G385" s="11">
        <f t="shared" si="33"/>
        <v>19.114968758636387</v>
      </c>
    </row>
    <row r="386" spans="5:7" x14ac:dyDescent="0.25">
      <c r="E386" s="11">
        <f t="shared" si="31"/>
        <v>44</v>
      </c>
      <c r="F386" s="11">
        <f t="shared" si="32"/>
        <v>19.407776658559289</v>
      </c>
      <c r="G386" s="11">
        <f t="shared" si="33"/>
        <v>19.407347093454955</v>
      </c>
    </row>
    <row r="387" spans="5:7" x14ac:dyDescent="0.25">
      <c r="E387" s="11">
        <f t="shared" si="31"/>
        <v>45</v>
      </c>
      <c r="F387" s="11">
        <f t="shared" si="32"/>
        <v>19.695806549671939</v>
      </c>
      <c r="G387" s="11">
        <f t="shared" si="33"/>
        <v>19.686903376106656</v>
      </c>
    </row>
    <row r="388" spans="5:7" x14ac:dyDescent="0.25">
      <c r="E388" s="11">
        <f t="shared" si="31"/>
        <v>46</v>
      </c>
      <c r="F388" s="11">
        <f t="shared" si="32"/>
        <v>19.971958746012344</v>
      </c>
      <c r="G388" s="11">
        <f t="shared" si="33"/>
        <v>19.953372434507944</v>
      </c>
    </row>
    <row r="389" spans="5:7" x14ac:dyDescent="0.25">
      <c r="E389" s="11">
        <f t="shared" si="31"/>
        <v>47</v>
      </c>
      <c r="F389" s="11">
        <f t="shared" si="32"/>
        <v>20.236078322704717</v>
      </c>
      <c r="G389" s="11">
        <f t="shared" si="33"/>
        <v>20.207003309153997</v>
      </c>
    </row>
    <row r="390" spans="5:7" x14ac:dyDescent="0.25">
      <c r="E390" s="11">
        <f t="shared" si="31"/>
        <v>48</v>
      </c>
      <c r="F390" s="11">
        <f t="shared" si="32"/>
        <v>20.488041861649066</v>
      </c>
      <c r="G390" s="11">
        <f t="shared" si="33"/>
        <v>20.448173593684672</v>
      </c>
    </row>
    <row r="391" spans="5:7" x14ac:dyDescent="0.25">
      <c r="E391" s="11">
        <f t="shared" si="31"/>
        <v>49</v>
      </c>
      <c r="F391" s="11">
        <f t="shared" si="32"/>
        <v>20.727759707983385</v>
      </c>
      <c r="G391" s="11">
        <f t="shared" si="33"/>
        <v>20.677260881739837</v>
      </c>
    </row>
    <row r="392" spans="5:7" x14ac:dyDescent="0.25">
      <c r="E392" s="11">
        <f t="shared" si="31"/>
        <v>50</v>
      </c>
      <c r="F392" s="11">
        <f t="shared" si="32"/>
        <v>20.955178299916348</v>
      </c>
      <c r="G392" s="11">
        <f t="shared" si="33"/>
        <v>20.89464276695935</v>
      </c>
    </row>
    <row r="393" spans="5:7" x14ac:dyDescent="0.25">
      <c r="E393" s="11">
        <f t="shared" si="31"/>
        <v>51</v>
      </c>
      <c r="F393" s="11">
        <f t="shared" si="32"/>
        <v>21.17028257305163</v>
      </c>
      <c r="G393" s="11">
        <f t="shared" si="33"/>
        <v>21.100696842983066</v>
      </c>
    </row>
    <row r="394" spans="5:7" x14ac:dyDescent="0.25">
      <c r="E394" s="11">
        <f t="shared" si="31"/>
        <v>52</v>
      </c>
      <c r="F394" s="11">
        <f t="shared" si="32"/>
        <v>21.37309844032966</v>
      </c>
      <c r="G394" s="11">
        <f t="shared" si="33"/>
        <v>21.295800703450855</v>
      </c>
    </row>
    <row r="395" spans="5:7" x14ac:dyDescent="0.25">
      <c r="E395" s="11">
        <f t="shared" si="31"/>
        <v>53</v>
      </c>
      <c r="F395" s="11">
        <f t="shared" si="32"/>
        <v>21.563695348716568</v>
      </c>
      <c r="G395" s="11">
        <f t="shared" si="33"/>
        <v>21.480331942002557</v>
      </c>
    </row>
    <row r="396" spans="5:7" x14ac:dyDescent="0.25">
      <c r="E396" s="11">
        <f t="shared" si="31"/>
        <v>54</v>
      </c>
      <c r="F396" s="11">
        <f t="shared" si="32"/>
        <v>21.74218891377452</v>
      </c>
      <c r="G396" s="11">
        <f t="shared" si="33"/>
        <v>21.654668152278056</v>
      </c>
    </row>
    <row r="397" spans="5:7" x14ac:dyDescent="0.25">
      <c r="E397" s="11">
        <f t="shared" si="31"/>
        <v>55</v>
      </c>
      <c r="F397" s="11">
        <f t="shared" si="32"/>
        <v>21.908743633252055</v>
      </c>
      <c r="G397" s="11">
        <f t="shared" si="33"/>
        <v>21.819186927917194</v>
      </c>
    </row>
    <row r="398" spans="5:7" x14ac:dyDescent="0.25">
      <c r="E398" s="11">
        <f t="shared" si="31"/>
        <v>56</v>
      </c>
      <c r="F398" s="11">
        <f t="shared" si="32"/>
        <v>22.063575680837161</v>
      </c>
      <c r="G398" s="11">
        <f t="shared" si="33"/>
        <v>21.974265862559839</v>
      </c>
    </row>
    <row r="399" spans="5:7" x14ac:dyDescent="0.25">
      <c r="E399" s="11">
        <f t="shared" si="31"/>
        <v>57</v>
      </c>
      <c r="F399" s="11">
        <f t="shared" si="32"/>
        <v>22.206955781220213</v>
      </c>
      <c r="G399" s="11">
        <f t="shared" si="33"/>
        <v>22.120282549845847</v>
      </c>
    </row>
    <row r="400" spans="5:7" x14ac:dyDescent="0.25">
      <c r="E400" s="11">
        <f t="shared" si="31"/>
        <v>58</v>
      </c>
      <c r="F400" s="11">
        <f t="shared" si="32"/>
        <v>22.339212167618232</v>
      </c>
      <c r="G400" s="11">
        <f t="shared" si="33"/>
        <v>22.257614583415076</v>
      </c>
    </row>
    <row r="401" spans="5:7" x14ac:dyDescent="0.25">
      <c r="E401" s="11">
        <f t="shared" si="31"/>
        <v>59</v>
      </c>
      <c r="F401" s="11">
        <f t="shared" si="32"/>
        <v>22.460733622916162</v>
      </c>
      <c r="G401" s="11">
        <f t="shared" si="33"/>
        <v>22.386639556907397</v>
      </c>
    </row>
    <row r="402" spans="5:7" x14ac:dyDescent="0.25">
      <c r="E402" s="11">
        <f t="shared" si="31"/>
        <v>60</v>
      </c>
      <c r="F402" s="11">
        <f t="shared" si="32"/>
        <v>22.571972605585248</v>
      </c>
      <c r="G402" s="11">
        <f t="shared" si="33"/>
        <v>22.507735063962656</v>
      </c>
    </row>
    <row r="403" spans="5:7" x14ac:dyDescent="0.25">
      <c r="E403" s="11">
        <f t="shared" si="31"/>
        <v>61</v>
      </c>
      <c r="F403" s="11">
        <f t="shared" si="32"/>
        <v>22.673448461542709</v>
      </c>
      <c r="G403" s="11">
        <f t="shared" si="33"/>
        <v>22.621278698220721</v>
      </c>
    </row>
    <row r="404" spans="5:7" x14ac:dyDescent="0.25">
      <c r="E404" s="11">
        <f t="shared" si="31"/>
        <v>62</v>
      </c>
      <c r="F404" s="11">
        <f t="shared" si="32"/>
        <v>22.765750723121553</v>
      </c>
      <c r="G404" s="11">
        <f t="shared" si="33"/>
        <v>22.727648053321452</v>
      </c>
    </row>
    <row r="405" spans="5:7" x14ac:dyDescent="0.25">
      <c r="E405" s="11">
        <f t="shared" si="31"/>
        <v>63</v>
      </c>
      <c r="F405" s="11">
        <f t="shared" si="32"/>
        <v>22.849542496323402</v>
      </c>
      <c r="G405" s="11">
        <f t="shared" si="33"/>
        <v>22.827220722904705</v>
      </c>
    </row>
    <row r="406" spans="5:7" x14ac:dyDescent="0.25">
      <c r="E406" s="11">
        <f t="shared" si="31"/>
        <v>64</v>
      </c>
      <c r="F406" s="11">
        <f t="shared" si="32"/>
        <v>22.925563937531358</v>
      </c>
      <c r="G406" s="11">
        <f t="shared" si="33"/>
        <v>22.920374300610341</v>
      </c>
    </row>
    <row r="407" spans="5:7" x14ac:dyDescent="0.25">
      <c r="E407" s="11">
        <f t="shared" si="31"/>
        <v>65</v>
      </c>
      <c r="F407" s="11">
        <f t="shared" si="32"/>
        <v>22.994635820864904</v>
      </c>
      <c r="G407" s="11">
        <f t="shared" si="33"/>
        <v>23.00748638007822</v>
      </c>
    </row>
    <row r="408" spans="5:7" x14ac:dyDescent="0.25">
      <c r="E408" s="11">
        <f t="shared" si="31"/>
        <v>66</v>
      </c>
      <c r="F408" s="11">
        <f t="shared" si="32"/>
        <v>23.057663197362295</v>
      </c>
      <c r="G408" s="11">
        <f t="shared" si="33"/>
        <v>23.088934554948203</v>
      </c>
    </row>
    <row r="409" spans="5:7" x14ac:dyDescent="0.25">
      <c r="E409" s="11">
        <f t="shared" si="31"/>
        <v>67</v>
      </c>
      <c r="F409" s="11">
        <f t="shared" si="32"/>
        <v>23.115639147180836</v>
      </c>
      <c r="G409" s="11">
        <f t="shared" si="33"/>
        <v>23.165096418860148</v>
      </c>
    </row>
    <row r="410" spans="5:7" x14ac:dyDescent="0.25">
      <c r="E410" s="11">
        <f t="shared" si="31"/>
        <v>68</v>
      </c>
      <c r="F410" s="11">
        <f t="shared" si="32"/>
        <v>23.169648626009348</v>
      </c>
      <c r="G410" s="11">
        <f t="shared" si="33"/>
        <v>23.236349565453914</v>
      </c>
    </row>
    <row r="411" spans="5:7" x14ac:dyDescent="0.25">
      <c r="E411" s="11">
        <f t="shared" si="31"/>
        <v>69</v>
      </c>
      <c r="F411" s="11">
        <f t="shared" si="32"/>
        <v>23.220872406891811</v>
      </c>
      <c r="G411" s="11">
        <f t="shared" si="33"/>
        <v>23.303071588369367</v>
      </c>
    </row>
    <row r="412" spans="5:7" x14ac:dyDescent="0.25">
      <c r="E412" s="11">
        <f t="shared" si="31"/>
        <v>70</v>
      </c>
      <c r="F412" s="11">
        <f t="shared" si="32"/>
        <v>23.270591118665045</v>
      </c>
      <c r="G412" s="11">
        <f t="shared" si="33"/>
        <v>23.365640081246354</v>
      </c>
    </row>
    <row r="413" spans="5:7" x14ac:dyDescent="0.25">
      <c r="E413" s="11">
        <f t="shared" si="31"/>
        <v>71</v>
      </c>
      <c r="F413" s="11">
        <f t="shared" si="32"/>
        <v>23.320189382217912</v>
      </c>
      <c r="G413" s="11">
        <f t="shared" si="33"/>
        <v>23.424432637724752</v>
      </c>
    </row>
    <row r="414" spans="5:7" x14ac:dyDescent="0.25">
      <c r="E414" s="11">
        <f t="shared" si="31"/>
        <v>72</v>
      </c>
      <c r="F414" s="11">
        <f t="shared" si="32"/>
        <v>23.371160045783746</v>
      </c>
      <c r="G414" s="11">
        <f t="shared" si="33"/>
        <v>23.479826851444408</v>
      </c>
    </row>
    <row r="415" spans="5:7" x14ac:dyDescent="0.25">
      <c r="E415" s="11">
        <f t="shared" ref="E415:E422" si="34">E208</f>
        <v>73</v>
      </c>
      <c r="F415" s="11">
        <f t="shared" ref="F415:F422" si="35">$H$217*0+E415*$I$217+E415^2*$J$217+E415^3*$K$217+E415^4*$L$217+E415^5*$M$217+E415^6*$N$217+E415^7*$O$217+E415^8*$P$217</f>
        <v>23.42510852048197</v>
      </c>
      <c r="G415" s="11">
        <f t="shared" ref="G415:G422" si="36">F208</f>
        <v>23.532200316045184</v>
      </c>
    </row>
    <row r="416" spans="5:7" x14ac:dyDescent="0.25">
      <c r="E416" s="11">
        <f t="shared" si="34"/>
        <v>74</v>
      </c>
      <c r="F416" s="11">
        <f t="shared" si="35"/>
        <v>23.483757217329092</v>
      </c>
      <c r="G416" s="11">
        <f t="shared" si="36"/>
        <v>23.581930625166947</v>
      </c>
    </row>
    <row r="417" spans="5:7" x14ac:dyDescent="0.25">
      <c r="E417" s="11">
        <f t="shared" si="34"/>
        <v>75</v>
      </c>
      <c r="F417" s="11">
        <f t="shared" si="35"/>
        <v>23.54895008694394</v>
      </c>
      <c r="G417" s="11">
        <f t="shared" si="36"/>
        <v>23.629395372449544</v>
      </c>
    </row>
    <row r="418" spans="5:7" x14ac:dyDescent="0.25">
      <c r="E418" s="11">
        <f t="shared" si="34"/>
        <v>76</v>
      </c>
      <c r="F418" s="11">
        <f t="shared" si="35"/>
        <v>23.622657263175761</v>
      </c>
      <c r="G418" s="11">
        <f t="shared" si="36"/>
        <v>23.674972151532845</v>
      </c>
    </row>
    <row r="419" spans="5:7" x14ac:dyDescent="0.25">
      <c r="E419" s="11">
        <f t="shared" si="34"/>
        <v>77</v>
      </c>
      <c r="F419" s="11">
        <f t="shared" si="35"/>
        <v>23.706979811888527</v>
      </c>
      <c r="G419" s="11">
        <f t="shared" si="36"/>
        <v>23.719038556056706</v>
      </c>
    </row>
    <row r="420" spans="5:7" x14ac:dyDescent="0.25">
      <c r="E420" s="11">
        <f t="shared" si="34"/>
        <v>78</v>
      </c>
      <c r="F420" s="11">
        <f t="shared" si="35"/>
        <v>23.804154586138971</v>
      </c>
      <c r="G420" s="11">
        <f t="shared" si="36"/>
        <v>23.76197217966099</v>
      </c>
    </row>
    <row r="421" spans="5:7" x14ac:dyDescent="0.25">
      <c r="E421" s="11">
        <f t="shared" si="34"/>
        <v>79</v>
      </c>
      <c r="F421" s="11">
        <f t="shared" si="35"/>
        <v>23.916559188990114</v>
      </c>
      <c r="G421" s="11">
        <f t="shared" si="36"/>
        <v>23.804150615985552</v>
      </c>
    </row>
    <row r="422" spans="5:7" x14ac:dyDescent="0.25">
      <c r="E422" s="11">
        <f t="shared" si="34"/>
        <v>80</v>
      </c>
      <c r="F422" s="11">
        <f t="shared" si="35"/>
        <v>24.046717045206481</v>
      </c>
      <c r="G422" s="11">
        <f t="shared" si="36"/>
        <v>23.845951458670253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2022-01-17T07:54:21Z</dcterms:modified>
</cp:coreProperties>
</file>