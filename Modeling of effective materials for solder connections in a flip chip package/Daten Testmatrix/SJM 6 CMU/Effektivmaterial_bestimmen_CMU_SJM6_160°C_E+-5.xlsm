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1" activeTab="5"/>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bestimmen'!$E$126:$H$126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N122" i="43" l="1"/>
  <c r="O33" i="11"/>
  <c r="N33" i="11"/>
  <c r="P33" i="11" s="1"/>
  <c r="O32" i="11"/>
  <c r="N32" i="11"/>
  <c r="O31" i="11"/>
  <c r="N31" i="11"/>
  <c r="P31" i="11" s="1"/>
  <c r="O30" i="11"/>
  <c r="N30" i="11"/>
  <c r="O29" i="11"/>
  <c r="N29" i="11"/>
  <c r="P29" i="11" s="1"/>
  <c r="O28" i="11"/>
  <c r="N28" i="11"/>
  <c r="P28" i="11" s="1"/>
  <c r="P27" i="11"/>
  <c r="O27" i="11"/>
  <c r="N27" i="11"/>
  <c r="O26" i="11"/>
  <c r="N26" i="11"/>
  <c r="P26" i="11" s="1"/>
  <c r="P25" i="11"/>
  <c r="O25" i="11"/>
  <c r="N25" i="11"/>
  <c r="O24" i="11"/>
  <c r="N24" i="11"/>
  <c r="P24" i="11" s="1"/>
  <c r="O23" i="11"/>
  <c r="N23" i="11"/>
  <c r="P23" i="11" s="1"/>
  <c r="O22" i="11"/>
  <c r="N22" i="11"/>
  <c r="P22" i="11" s="1"/>
  <c r="O21" i="11"/>
  <c r="N21" i="11"/>
  <c r="P21" i="11" s="1"/>
  <c r="O20" i="11"/>
  <c r="N20" i="11"/>
  <c r="O19" i="11"/>
  <c r="N19" i="11"/>
  <c r="P19" i="11" s="1"/>
  <c r="O18" i="11"/>
  <c r="N18" i="11"/>
  <c r="O17" i="11"/>
  <c r="N17" i="11"/>
  <c r="P17" i="11" s="1"/>
  <c r="O16" i="11"/>
  <c r="N16" i="11"/>
  <c r="P16" i="11" s="1"/>
  <c r="P15" i="11"/>
  <c r="O15" i="11"/>
  <c r="N15" i="11"/>
  <c r="O14" i="11"/>
  <c r="N14" i="11"/>
  <c r="P14" i="11" s="1"/>
  <c r="P13" i="11"/>
  <c r="O13" i="11"/>
  <c r="N13" i="11"/>
  <c r="O12" i="11"/>
  <c r="N12" i="11"/>
  <c r="O11" i="11"/>
  <c r="N11" i="11"/>
  <c r="P11" i="11" s="1"/>
  <c r="O10" i="11"/>
  <c r="N10" i="11"/>
  <c r="P10" i="11" s="1"/>
  <c r="O9" i="11"/>
  <c r="N9" i="11"/>
  <c r="P9" i="11" s="1"/>
  <c r="O8" i="11"/>
  <c r="N8" i="11"/>
  <c r="O7" i="11"/>
  <c r="N7" i="11"/>
  <c r="P7" i="11" s="1"/>
  <c r="O6" i="11"/>
  <c r="N6" i="11"/>
  <c r="O5" i="11"/>
  <c r="N5" i="11"/>
  <c r="P5" i="11" s="1"/>
  <c r="O4" i="11"/>
  <c r="N4" i="11"/>
  <c r="P4" i="11" s="1"/>
  <c r="P3" i="11"/>
  <c r="O3" i="11"/>
  <c r="N3" i="11"/>
  <c r="P6" i="11" l="1"/>
  <c r="P18" i="11"/>
  <c r="P30" i="11"/>
  <c r="P1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H403" i="43"/>
  <c r="E403" i="43"/>
  <c r="C403" i="43"/>
  <c r="B403" i="43"/>
  <c r="D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B405" i="43" l="1"/>
  <c r="B424" i="43"/>
  <c r="B425" i="43"/>
  <c r="B413" i="43"/>
  <c r="B414" i="43"/>
  <c r="B408" i="43"/>
  <c r="B429" i="43"/>
  <c r="B412" i="43"/>
  <c r="B415" i="43"/>
  <c r="B417" i="43"/>
  <c r="B409" i="43"/>
  <c r="B406" i="43"/>
  <c r="B423" i="43"/>
  <c r="B419" i="43"/>
  <c r="B433" i="43"/>
  <c r="B411" i="43"/>
  <c r="B416" i="43"/>
  <c r="B432" i="43"/>
  <c r="B404" i="43"/>
  <c r="B428" i="43"/>
  <c r="B421" i="43"/>
  <c r="B410" i="43"/>
  <c r="B407" i="43"/>
  <c r="B431" i="43"/>
  <c r="B427" i="43"/>
  <c r="B420" i="43"/>
  <c r="B434" i="43"/>
  <c r="B430" i="43"/>
  <c r="B418" i="43"/>
  <c r="B426" i="43"/>
  <c r="B422" i="43"/>
  <c r="E405" i="43"/>
  <c r="E408" i="43"/>
  <c r="E413" i="43"/>
  <c r="E415" i="43"/>
  <c r="E424" i="43"/>
  <c r="E433" i="43"/>
  <c r="E404" i="43"/>
  <c r="E422" i="43"/>
  <c r="E431" i="43"/>
  <c r="E406" i="43"/>
  <c r="E417" i="43"/>
  <c r="E419" i="43"/>
  <c r="E426" i="43"/>
  <c r="E430" i="43"/>
  <c r="E425" i="43"/>
  <c r="E411" i="43"/>
  <c r="E416" i="43"/>
  <c r="E423" i="43"/>
  <c r="E410" i="43"/>
  <c r="E434" i="43"/>
  <c r="E418" i="43"/>
  <c r="E429" i="43"/>
  <c r="E427" i="43"/>
  <c r="E420" i="43"/>
  <c r="E414" i="43"/>
  <c r="E407" i="43"/>
  <c r="E421" i="43"/>
  <c r="E409" i="43"/>
  <c r="E428" i="43"/>
  <c r="E432" i="43"/>
  <c r="E412" i="43"/>
  <c r="C406" i="43"/>
  <c r="C423" i="43"/>
  <c r="C428" i="43"/>
  <c r="C404" i="43"/>
  <c r="C434" i="43"/>
  <c r="C409" i="43"/>
  <c r="C421" i="43"/>
  <c r="C433" i="43"/>
  <c r="C417" i="43"/>
  <c r="C430" i="43"/>
  <c r="C407" i="43"/>
  <c r="C414" i="43"/>
  <c r="C418" i="43"/>
  <c r="C425" i="43"/>
  <c r="C427" i="43"/>
  <c r="C429" i="43"/>
  <c r="C432" i="43"/>
  <c r="C424" i="43"/>
  <c r="C419" i="43"/>
  <c r="C426" i="43"/>
  <c r="C410" i="43"/>
  <c r="C412" i="43"/>
  <c r="C420" i="43"/>
  <c r="C422" i="43"/>
  <c r="C431" i="43"/>
  <c r="C408" i="43"/>
  <c r="C405" i="43"/>
  <c r="C415" i="43"/>
  <c r="C413" i="43"/>
  <c r="C411" i="43"/>
  <c r="C416" i="43"/>
  <c r="H434" i="43"/>
  <c r="H418" i="43"/>
  <c r="H415" i="43"/>
  <c r="H410" i="43"/>
  <c r="H424" i="43"/>
  <c r="H405" i="43"/>
  <c r="H430" i="43"/>
  <c r="H423" i="43"/>
  <c r="H417" i="43"/>
  <c r="H414" i="43"/>
  <c r="H425" i="43"/>
  <c r="H419" i="43"/>
  <c r="H429" i="43"/>
  <c r="H416" i="43"/>
  <c r="H404" i="43"/>
  <c r="H413" i="43"/>
  <c r="H427" i="43"/>
  <c r="H409" i="43"/>
  <c r="H422" i="43"/>
  <c r="H421" i="43"/>
  <c r="H432" i="43"/>
  <c r="H407" i="43"/>
  <c r="H431" i="43"/>
  <c r="H433" i="43"/>
  <c r="H428" i="43"/>
  <c r="H426" i="43"/>
  <c r="H408" i="43"/>
  <c r="H420" i="43"/>
  <c r="H412" i="43"/>
  <c r="H411" i="43"/>
  <c r="H406" i="43"/>
  <c r="G410" i="43"/>
  <c r="G431" i="43"/>
  <c r="G413" i="43"/>
  <c r="G416" i="43"/>
  <c r="G434" i="43"/>
  <c r="G428" i="43"/>
  <c r="G429" i="43"/>
  <c r="G411" i="43"/>
  <c r="G427" i="43"/>
  <c r="G409" i="43"/>
  <c r="G408" i="43"/>
  <c r="G424" i="43"/>
  <c r="G414" i="43"/>
  <c r="G422" i="43"/>
  <c r="G426" i="43"/>
  <c r="G417" i="43"/>
  <c r="G412" i="43"/>
  <c r="G406" i="43"/>
  <c r="G419" i="43"/>
  <c r="G423" i="43"/>
  <c r="G405" i="43"/>
  <c r="G421" i="43"/>
  <c r="G433" i="43"/>
  <c r="G432" i="43"/>
  <c r="G407" i="43"/>
  <c r="G420" i="43"/>
  <c r="G404" i="43"/>
  <c r="G418" i="43"/>
  <c r="G415" i="43"/>
  <c r="G425" i="43"/>
  <c r="G430" i="43"/>
  <c r="D406" i="43"/>
  <c r="D417" i="43"/>
  <c r="D419" i="43"/>
  <c r="D426" i="43"/>
  <c r="D430" i="43"/>
  <c r="D428" i="43"/>
  <c r="D422" i="43"/>
  <c r="D413" i="43"/>
  <c r="D411" i="43"/>
  <c r="D416" i="43"/>
  <c r="D423" i="43"/>
  <c r="D404" i="43"/>
  <c r="D408" i="43"/>
  <c r="D409" i="43"/>
  <c r="D421" i="43"/>
  <c r="D434" i="43"/>
  <c r="D431" i="43"/>
  <c r="D407" i="43"/>
  <c r="D414" i="43"/>
  <c r="D418" i="43"/>
  <c r="D425" i="43"/>
  <c r="D427" i="43"/>
  <c r="D429" i="43"/>
  <c r="D432" i="43"/>
  <c r="D410" i="43"/>
  <c r="D412" i="43"/>
  <c r="D420" i="43"/>
  <c r="D405" i="43"/>
  <c r="D415" i="43"/>
  <c r="D424" i="43"/>
  <c r="D433" i="43"/>
  <c r="F415" i="43"/>
  <c r="F410" i="43"/>
  <c r="F420" i="43"/>
  <c r="F431" i="43"/>
  <c r="F434" i="43"/>
  <c r="F424" i="43"/>
  <c r="F419" i="43"/>
  <c r="F430" i="43"/>
  <c r="F416" i="43"/>
  <c r="F423" i="43"/>
  <c r="F404" i="43"/>
  <c r="F427" i="43"/>
  <c r="F421" i="43"/>
  <c r="F425" i="43"/>
  <c r="F426" i="43"/>
  <c r="F412" i="43"/>
  <c r="F405" i="43"/>
  <c r="F413" i="43"/>
  <c r="F417" i="43"/>
  <c r="F414" i="43"/>
  <c r="F422" i="43"/>
  <c r="F411" i="43"/>
  <c r="F429" i="43"/>
  <c r="F432" i="43"/>
  <c r="F418" i="43"/>
  <c r="F409" i="43"/>
  <c r="F428" i="43"/>
  <c r="F406" i="43"/>
  <c r="F408" i="43"/>
  <c r="F407" i="43"/>
  <c r="F433"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R286" i="43" l="1"/>
  <c r="M420" i="43"/>
  <c r="Y286" i="43"/>
  <c r="M427" i="43"/>
  <c r="AF286" i="43"/>
  <c r="M434" i="43"/>
  <c r="N247" i="43"/>
  <c r="L416" i="43"/>
  <c r="Y247" i="43"/>
  <c r="L427" i="43"/>
  <c r="Y169" i="43"/>
  <c r="K427" i="43"/>
  <c r="G208" i="43"/>
  <c r="K409" i="43"/>
  <c r="Z169" i="43"/>
  <c r="K428" i="43"/>
  <c r="N169" i="43"/>
  <c r="K416" i="43"/>
  <c r="H169" i="43"/>
  <c r="K410" i="43"/>
  <c r="AD169" i="43"/>
  <c r="K432" i="43"/>
  <c r="F169" i="43"/>
  <c r="K408" i="43"/>
  <c r="D169" i="43"/>
  <c r="K406" i="43"/>
  <c r="K208" i="43"/>
  <c r="K413" i="43"/>
  <c r="R169" i="43"/>
  <c r="K420" i="43"/>
  <c r="L169" i="43"/>
  <c r="K414"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D247" i="43"/>
  <c r="L406" i="43"/>
  <c r="M247" i="43"/>
  <c r="L415" i="43"/>
  <c r="AE247" i="43"/>
  <c r="L433" i="43"/>
  <c r="G130" i="43"/>
  <c r="J409" i="43"/>
  <c r="T130" i="43"/>
  <c r="J422" i="43"/>
  <c r="I130" i="43"/>
  <c r="J411" i="43"/>
  <c r="X130" i="43"/>
  <c r="J426" i="43"/>
  <c r="J130" i="43"/>
  <c r="J412" i="43"/>
  <c r="AD130" i="43"/>
  <c r="J432" i="43"/>
  <c r="M130" i="43"/>
  <c r="J415" i="43"/>
  <c r="AE130" i="43"/>
  <c r="J433" i="43"/>
  <c r="AC130" i="43"/>
  <c r="J431" i="43"/>
  <c r="P130" i="43"/>
  <c r="J418" i="43"/>
  <c r="O130" i="43"/>
  <c r="J417" i="43"/>
  <c r="F130" i="43"/>
  <c r="J408" i="43"/>
  <c r="R130" i="43"/>
  <c r="J420" i="43"/>
  <c r="N130" i="43"/>
  <c r="J416" i="43"/>
  <c r="Z130" i="43"/>
  <c r="J428" i="43"/>
  <c r="E130" i="43"/>
  <c r="J407" i="43"/>
  <c r="AB130" i="43"/>
  <c r="J430" i="43"/>
  <c r="S130" i="43"/>
  <c r="J421" i="43"/>
  <c r="W130" i="43"/>
  <c r="J425" i="43"/>
  <c r="D130" i="43"/>
  <c r="J406" i="43"/>
  <c r="AF130" i="43"/>
  <c r="J434" i="43"/>
  <c r="V130" i="43"/>
  <c r="J424" i="43"/>
  <c r="K130" i="43"/>
  <c r="J413" i="43"/>
  <c r="Q130" i="43"/>
  <c r="J419" i="43"/>
  <c r="L130" i="43"/>
  <c r="J414" i="43"/>
  <c r="Y130" i="43"/>
  <c r="J427" i="43"/>
  <c r="C130" i="43"/>
  <c r="J405"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<sst xmlns="http://schemas.openxmlformats.org/spreadsheetml/2006/main" count="311" uniqueCount="164">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</sst>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-6.1953560000000004E-4</c:v>
                </c:pt>
                <c:pt idx="1">
                  <c:v>-6.1952405714285716E-4</c:v>
                </c:pt>
                <c:pt idx="2">
                  <c:v>-6.1952640000000005E-4</c:v>
                </c:pt>
                <c:pt idx="3">
                  <c:v>-6.1952705714285721E-4</c:v>
                </c:pt>
                <c:pt idx="4">
                  <c:v>-6.1952725714285717E-4</c:v>
                </c:pt>
                <c:pt idx="5">
                  <c:v>-6.1952734285714288E-4</c:v>
                </c:pt>
                <c:pt idx="6">
                  <c:v>-6.1952737142857142E-4</c:v>
                </c:pt>
                <c:pt idx="7">
                  <c:v>-6.1952737142857142E-4</c:v>
                </c:pt>
                <c:pt idx="8">
                  <c:v>-6.1952737142857142E-4</c:v>
                </c:pt>
                <c:pt idx="9">
                  <c:v>-6.1952737142857142E-4</c:v>
                </c:pt>
                <c:pt idx="10">
                  <c:v>-6.1952737142857142E-4</c:v>
                </c:pt>
                <c:pt idx="11">
                  <c:v>-6.1952737142857142E-4</c:v>
                </c:pt>
                <c:pt idx="12">
                  <c:v>-6.195274285714286E-4</c:v>
                </c:pt>
                <c:pt idx="13">
                  <c:v>-6.1952805714285723E-4</c:v>
                </c:pt>
                <c:pt idx="14">
                  <c:v>-6.1953428571428571E-4</c:v>
                </c:pt>
                <c:pt idx="15">
                  <c:v>-6.195964285714286E-4</c:v>
                </c:pt>
                <c:pt idx="16">
                  <c:v>-6.2020457142857152E-4</c:v>
                </c:pt>
                <c:pt idx="17">
                  <c:v>-6.2514277142857149E-4</c:v>
                </c:pt>
                <c:pt idx="18">
                  <c:v>-6.3898228571428574E-4</c:v>
                </c:pt>
                <c:pt idx="19">
                  <c:v>-6.5406977142857148E-4</c:v>
                </c:pt>
                <c:pt idx="20">
                  <c:v>-6.7496257142857143E-4</c:v>
                </c:pt>
                <c:pt idx="21">
                  <c:v>-7.0784651428571431E-4</c:v>
                </c:pt>
                <c:pt idx="22">
                  <c:v>-7.4948245714285731E-4</c:v>
                </c:pt>
                <c:pt idx="23">
                  <c:v>-8.0181628571428579E-4</c:v>
                </c:pt>
                <c:pt idx="24">
                  <c:v>-8.5946594285714285E-4</c:v>
                </c:pt>
                <c:pt idx="25">
                  <c:v>-9.1906580000000011E-4</c:v>
                </c:pt>
                <c:pt idx="26">
                  <c:v>-9.8779891428571421E-4</c:v>
                </c:pt>
                <c:pt idx="27">
                  <c:v>-1.0683100285714287E-3</c:v>
                </c:pt>
                <c:pt idx="28">
                  <c:v>-1.1885513428571428E-3</c:v>
                </c:pt>
                <c:pt idx="29">
                  <c:v>-1.3798511142857142E-3</c:v>
                </c:pt>
                <c:pt idx="30">
                  <c:v>-1.701471342857143E-3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-6.206781142857143E-4</c:v>
                </c:pt>
                <c:pt idx="1">
                  <c:v>-6.2066645714285718E-4</c:v>
                </c:pt>
                <c:pt idx="2">
                  <c:v>-6.2066877142857152E-4</c:v>
                </c:pt>
                <c:pt idx="3">
                  <c:v>-6.2066945714285722E-4</c:v>
                </c:pt>
                <c:pt idx="4">
                  <c:v>-6.2066965714285718E-4</c:v>
                </c:pt>
                <c:pt idx="5">
                  <c:v>-6.2066971428571425E-4</c:v>
                </c:pt>
                <c:pt idx="6">
                  <c:v>-6.2066974285714289E-4</c:v>
                </c:pt>
                <c:pt idx="7">
                  <c:v>-6.2066974285714289E-4</c:v>
                </c:pt>
                <c:pt idx="8">
                  <c:v>-6.2066977142857143E-4</c:v>
                </c:pt>
                <c:pt idx="9">
                  <c:v>-6.2066977142857143E-4</c:v>
                </c:pt>
                <c:pt idx="10">
                  <c:v>-6.2066980000000007E-4</c:v>
                </c:pt>
                <c:pt idx="11">
                  <c:v>-6.2067000000000003E-4</c:v>
                </c:pt>
                <c:pt idx="12">
                  <c:v>-6.2067228571428574E-4</c:v>
                </c:pt>
                <c:pt idx="13">
                  <c:v>-6.2069502857142864E-4</c:v>
                </c:pt>
                <c:pt idx="14">
                  <c:v>-6.2092060000000005E-4</c:v>
                </c:pt>
                <c:pt idx="15">
                  <c:v>-6.230076285714286E-4</c:v>
                </c:pt>
                <c:pt idx="16">
                  <c:v>-6.3449151428571432E-4</c:v>
                </c:pt>
                <c:pt idx="17">
                  <c:v>-6.4859785714285723E-4</c:v>
                </c:pt>
                <c:pt idx="18">
                  <c:v>-6.665313428571429E-4</c:v>
                </c:pt>
                <c:pt idx="19">
                  <c:v>-6.9502094285714292E-4</c:v>
                </c:pt>
                <c:pt idx="20">
                  <c:v>-7.3337408571428567E-4</c:v>
                </c:pt>
                <c:pt idx="21">
                  <c:v>-7.8033254285714293E-4</c:v>
                </c:pt>
                <c:pt idx="22">
                  <c:v>-8.349933714285714E-4</c:v>
                </c:pt>
                <c:pt idx="23">
                  <c:v>-8.9258854285714285E-4</c:v>
                </c:pt>
                <c:pt idx="24">
                  <c:v>-9.5556454285714292E-4</c:v>
                </c:pt>
                <c:pt idx="25">
                  <c:v>-1.0291650285714285E-3</c:v>
                </c:pt>
                <c:pt idx="26">
                  <c:v>-1.1262674571428572E-3</c:v>
                </c:pt>
                <c:pt idx="27">
                  <c:v>-1.2804857714285715E-3</c:v>
                </c:pt>
                <c:pt idx="28">
                  <c:v>-1.5340936E-3</c:v>
                </c:pt>
                <c:pt idx="29">
                  <c:v>-1.9957457428571431E-3</c:v>
                </c:pt>
                <c:pt idx="30">
                  <c:v>-2.978228857142857E-3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-6.2141817142857142E-4</c:v>
                </c:pt>
                <c:pt idx="1">
                  <c:v>-6.2140645714285723E-4</c:v>
                </c:pt>
                <c:pt idx="2">
                  <c:v>-6.2140877142857146E-4</c:v>
                </c:pt>
                <c:pt idx="3">
                  <c:v>-6.2140945714285716E-4</c:v>
                </c:pt>
                <c:pt idx="4">
                  <c:v>-6.2140965714285723E-4</c:v>
                </c:pt>
                <c:pt idx="5">
                  <c:v>-6.2140974285714284E-4</c:v>
                </c:pt>
                <c:pt idx="6">
                  <c:v>-6.2140974285714284E-4</c:v>
                </c:pt>
                <c:pt idx="7">
                  <c:v>-6.2140977142857148E-4</c:v>
                </c:pt>
                <c:pt idx="8">
                  <c:v>-6.2140980000000001E-4</c:v>
                </c:pt>
                <c:pt idx="9">
                  <c:v>-6.2141000000000008E-4</c:v>
                </c:pt>
                <c:pt idx="10">
                  <c:v>-6.214121428571429E-4</c:v>
                </c:pt>
                <c:pt idx="11">
                  <c:v>-6.2143345714285722E-4</c:v>
                </c:pt>
                <c:pt idx="12">
                  <c:v>-6.2164505714285717E-4</c:v>
                </c:pt>
                <c:pt idx="13">
                  <c:v>-6.2361234285714291E-4</c:v>
                </c:pt>
                <c:pt idx="14">
                  <c:v>-6.3481440000000007E-4</c:v>
                </c:pt>
                <c:pt idx="15">
                  <c:v>-6.4871805714285724E-4</c:v>
                </c:pt>
                <c:pt idx="16">
                  <c:v>-6.6495991428571432E-4</c:v>
                </c:pt>
                <c:pt idx="17">
                  <c:v>-6.8659568571428572E-4</c:v>
                </c:pt>
                <c:pt idx="18">
                  <c:v>-7.1666468571428569E-4</c:v>
                </c:pt>
                <c:pt idx="19">
                  <c:v>-7.6131068571428577E-4</c:v>
                </c:pt>
                <c:pt idx="20">
                  <c:v>-8.1763514285714293E-4</c:v>
                </c:pt>
                <c:pt idx="21">
                  <c:v>-8.7882385714285716E-4</c:v>
                </c:pt>
                <c:pt idx="22">
                  <c:v>-9.4455039999999997E-4</c:v>
                </c:pt>
                <c:pt idx="23">
                  <c:v>-1.0202113142857142E-3</c:v>
                </c:pt>
                <c:pt idx="24">
                  <c:v>-1.1177940285714287E-3</c:v>
                </c:pt>
                <c:pt idx="25">
                  <c:v>-1.2711824857142859E-3</c:v>
                </c:pt>
                <c:pt idx="26">
                  <c:v>-1.5219878857142858E-3</c:v>
                </c:pt>
                <c:pt idx="27">
                  <c:v>-1.9756241714285715E-3</c:v>
                </c:pt>
                <c:pt idx="28">
                  <c:v>-2.9386628571428574E-3</c:v>
                </c:pt>
                <c:pt idx="29">
                  <c:v>-4.8502194285714286E-3</c:v>
                </c:pt>
                <c:pt idx="30">
                  <c:v>-8.3903105714285726E-3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-6.2217942857142861E-4</c:v>
                </c:pt>
                <c:pt idx="1">
                  <c:v>-6.221676285714286E-4</c:v>
                </c:pt>
                <c:pt idx="2">
                  <c:v>-6.2216994285714284E-4</c:v>
                </c:pt>
                <c:pt idx="3">
                  <c:v>-6.2217062857142865E-4</c:v>
                </c:pt>
                <c:pt idx="4">
                  <c:v>-6.2217082857142861E-4</c:v>
                </c:pt>
                <c:pt idx="5">
                  <c:v>-6.2217091428571432E-4</c:v>
                </c:pt>
                <c:pt idx="6">
                  <c:v>-6.2217114285714292E-4</c:v>
                </c:pt>
                <c:pt idx="7">
                  <c:v>-6.2217305714285724E-4</c:v>
                </c:pt>
                <c:pt idx="8">
                  <c:v>-6.2219222857142864E-4</c:v>
                </c:pt>
                <c:pt idx="9">
                  <c:v>-6.2238277142857151E-4</c:v>
                </c:pt>
                <c:pt idx="10">
                  <c:v>-6.241672857142858E-4</c:v>
                </c:pt>
                <c:pt idx="11">
                  <c:v>-6.3489737142857143E-4</c:v>
                </c:pt>
                <c:pt idx="12">
                  <c:v>-6.4874699999999997E-4</c:v>
                </c:pt>
                <c:pt idx="13">
                  <c:v>-6.6470451428571429E-4</c:v>
                </c:pt>
                <c:pt idx="14">
                  <c:v>-6.8470391428571435E-4</c:v>
                </c:pt>
                <c:pt idx="15">
                  <c:v>-7.0731608571428576E-4</c:v>
                </c:pt>
                <c:pt idx="16">
                  <c:v>-7.3649559999999998E-4</c:v>
                </c:pt>
                <c:pt idx="17">
                  <c:v>-7.7964925714285723E-4</c:v>
                </c:pt>
                <c:pt idx="18">
                  <c:v>-8.3844428571428571E-4</c:v>
                </c:pt>
                <c:pt idx="19">
                  <c:v>-9.0886000000000005E-4</c:v>
                </c:pt>
                <c:pt idx="20">
                  <c:v>-9.9127794285714288E-4</c:v>
                </c:pt>
                <c:pt idx="21">
                  <c:v>-1.0927976285714286E-3</c:v>
                </c:pt>
                <c:pt idx="22">
                  <c:v>-1.2470880857142859E-3</c:v>
                </c:pt>
                <c:pt idx="23">
                  <c:v>-1.4947720285714288E-3</c:v>
                </c:pt>
                <c:pt idx="24">
                  <c:v>-1.9359241142857142E-3</c:v>
                </c:pt>
                <c:pt idx="25">
                  <c:v>-2.8654377142857141E-3</c:v>
                </c:pt>
                <c:pt idx="26">
                  <c:v>-4.7087302857142859E-3</c:v>
                </c:pt>
                <c:pt idx="27">
                  <c:v>-8.1325860000000007E-3</c:v>
                </c:pt>
                <c:pt idx="28">
                  <c:v>-1.4301890857142858E-2</c:v>
                </c:pt>
                <c:pt idx="29">
                  <c:v>-2.0572484000000002E-2</c:v>
                </c:pt>
                <c:pt idx="30">
                  <c:v>-2.3518056857142859E-2</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-6.2312237142857143E-4</c:v>
                </c:pt>
                <c:pt idx="1">
                  <c:v>-6.2311097142857144E-4</c:v>
                </c:pt>
                <c:pt idx="2">
                  <c:v>-6.2311840000000012E-4</c:v>
                </c:pt>
                <c:pt idx="3">
                  <c:v>-6.2317011428571439E-4</c:v>
                </c:pt>
                <c:pt idx="4">
                  <c:v>-6.2367177142857153E-4</c:v>
                </c:pt>
                <c:pt idx="5">
                  <c:v>-6.2789734285714294E-4</c:v>
                </c:pt>
                <c:pt idx="6">
                  <c:v>-6.4159802857142859E-4</c:v>
                </c:pt>
                <c:pt idx="7">
                  <c:v>-6.5623828571428574E-4</c:v>
                </c:pt>
                <c:pt idx="8">
                  <c:v>-6.7388657142857151E-4</c:v>
                </c:pt>
                <c:pt idx="9">
                  <c:v>-6.9584814285714289E-4</c:v>
                </c:pt>
                <c:pt idx="10">
                  <c:v>-7.1980254285714288E-4</c:v>
                </c:pt>
                <c:pt idx="11">
                  <c:v>-7.5238042857142854E-4</c:v>
                </c:pt>
                <c:pt idx="12">
                  <c:v>-7.9162271428571431E-4</c:v>
                </c:pt>
                <c:pt idx="13">
                  <c:v>-8.3435134285714284E-4</c:v>
                </c:pt>
                <c:pt idx="14">
                  <c:v>-8.8610754285714283E-4</c:v>
                </c:pt>
                <c:pt idx="15">
                  <c:v>-9.4997799999999998E-4</c:v>
                </c:pt>
                <c:pt idx="16">
                  <c:v>-1.0555970285714286E-3</c:v>
                </c:pt>
                <c:pt idx="17">
                  <c:v>-1.240269E-3</c:v>
                </c:pt>
                <c:pt idx="18">
                  <c:v>-1.5493837142857142E-3</c:v>
                </c:pt>
                <c:pt idx="19">
                  <c:v>-2.1293292000000002E-3</c:v>
                </c:pt>
                <c:pt idx="20">
                  <c:v>-3.3221765714285716E-3</c:v>
                </c:pt>
                <c:pt idx="21">
                  <c:v>-5.6721531428571429E-3</c:v>
                </c:pt>
                <c:pt idx="22">
                  <c:v>-1.0032045714285715E-2</c:v>
                </c:pt>
                <c:pt idx="23">
                  <c:v>-1.7054402857142856E-2</c:v>
                </c:pt>
                <c:pt idx="24">
                  <c:v>-2.1908498571428573E-2</c:v>
                </c:pt>
                <c:pt idx="25">
                  <c:v>-2.4215067428571428E-2</c:v>
                </c:pt>
                <c:pt idx="26">
                  <c:v>-2.5915531714285719E-2</c:v>
                </c:pt>
                <c:pt idx="27">
                  <c:v>-2.5940484571428574E-2</c:v>
                </c:pt>
                <c:pt idx="28">
                  <c:v>-2.5945272857142859E-2</c:v>
                </c:pt>
                <c:pt idx="29">
                  <c:v>-2.594922828571429E-2</c:v>
                </c:pt>
                <c:pt idx="30">
                  <c:v>-2.595281942857143E-2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-6.8221225714285721E-4</c:v>
                </c:pt>
                <c:pt idx="1">
                  <c:v>-7.1116868571428579E-4</c:v>
                </c:pt>
                <c:pt idx="2">
                  <c:v>-7.4067305714285725E-4</c:v>
                </c:pt>
                <c:pt idx="3">
                  <c:v>-7.7760822857142866E-4</c:v>
                </c:pt>
                <c:pt idx="4">
                  <c:v>-8.190924571428572E-4</c:v>
                </c:pt>
                <c:pt idx="5">
                  <c:v>-8.6683934285714296E-4</c:v>
                </c:pt>
                <c:pt idx="6">
                  <c:v>-9.2476508571428574E-4</c:v>
                </c:pt>
                <c:pt idx="7">
                  <c:v>-1.0029450000000001E-3</c:v>
                </c:pt>
                <c:pt idx="8">
                  <c:v>-1.1283940285714287E-3</c:v>
                </c:pt>
                <c:pt idx="9">
                  <c:v>-1.3335056285714287E-3</c:v>
                </c:pt>
                <c:pt idx="10">
                  <c:v>-1.7015873428571429E-3</c:v>
                </c:pt>
                <c:pt idx="11">
                  <c:v>-2.4700689428571432E-3</c:v>
                </c:pt>
                <c:pt idx="12">
                  <c:v>-3.9745942857142861E-3</c:v>
                </c:pt>
                <c:pt idx="13">
                  <c:v>-6.7902885714285714E-3</c:v>
                </c:pt>
                <c:pt idx="14">
                  <c:v>-1.2002249428571428E-2</c:v>
                </c:pt>
                <c:pt idx="15">
                  <c:v>-1.7315724571428572E-2</c:v>
                </c:pt>
                <c:pt idx="16">
                  <c:v>-2.0362101428571429E-2</c:v>
                </c:pt>
                <c:pt idx="17">
                  <c:v>-2.3023530571428572E-2</c:v>
                </c:pt>
                <c:pt idx="18">
                  <c:v>-2.4109917714285715E-2</c:v>
                </c:pt>
                <c:pt idx="19">
                  <c:v>-2.4720074000000002E-2</c:v>
                </c:pt>
                <c:pt idx="20">
                  <c:v>-2.5134670571428576E-2</c:v>
                </c:pt>
                <c:pt idx="21">
                  <c:v>-2.5445166000000005E-2</c:v>
                </c:pt>
                <c:pt idx="22">
                  <c:v>-2.5669595428571428E-2</c:v>
                </c:pt>
                <c:pt idx="23">
                  <c:v>-2.5825078857142861E-2</c:v>
                </c:pt>
                <c:pt idx="24">
                  <c:v>-2.5863216285714287E-2</c:v>
                </c:pt>
                <c:pt idx="25">
                  <c:v>-2.5912107428571432E-2</c:v>
                </c:pt>
                <c:pt idx="26">
                  <c:v>-2.5958522285714283E-2</c:v>
                </c:pt>
                <c:pt idx="27">
                  <c:v>-2.5996258285714287E-2</c:v>
                </c:pt>
                <c:pt idx="28">
                  <c:v>-2.5998281142857144E-2</c:v>
                </c:pt>
                <c:pt idx="29">
                  <c:v>-2.5999255142857142E-2</c:v>
                </c:pt>
                <c:pt idx="30">
                  <c:v>-2.5999937428571429E-2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-7.2659245714285707E-4</c:v>
                </c:pt>
                <c:pt idx="1">
                  <c:v>-7.6944214285714285E-4</c:v>
                </c:pt>
                <c:pt idx="2">
                  <c:v>-8.1148822857142868E-4</c:v>
                </c:pt>
                <c:pt idx="3">
                  <c:v>-8.5763660000000004E-4</c:v>
                </c:pt>
                <c:pt idx="4">
                  <c:v>-9.1411340000000006E-4</c:v>
                </c:pt>
                <c:pt idx="5">
                  <c:v>-9.859250571428572E-4</c:v>
                </c:pt>
                <c:pt idx="6">
                  <c:v>-1.1008914E-3</c:v>
                </c:pt>
                <c:pt idx="7">
                  <c:v>-1.2869660000000001E-3</c:v>
                </c:pt>
                <c:pt idx="8">
                  <c:v>-1.6095891714285717E-3</c:v>
                </c:pt>
                <c:pt idx="9">
                  <c:v>-2.2664522285714287E-3</c:v>
                </c:pt>
                <c:pt idx="10">
                  <c:v>-3.5457385714285717E-3</c:v>
                </c:pt>
                <c:pt idx="11">
                  <c:v>-5.9282531428571442E-3</c:v>
                </c:pt>
                <c:pt idx="12">
                  <c:v>-1.0308408000000002E-2</c:v>
                </c:pt>
                <c:pt idx="13">
                  <c:v>-1.5675806E-2</c:v>
                </c:pt>
                <c:pt idx="14">
                  <c:v>-1.8852515428571429E-2</c:v>
                </c:pt>
                <c:pt idx="15">
                  <c:v>-2.1389056571428575E-2</c:v>
                </c:pt>
                <c:pt idx="16">
                  <c:v>-2.2954753142857144E-2</c:v>
                </c:pt>
                <c:pt idx="17">
                  <c:v>-2.3821136E-2</c:v>
                </c:pt>
                <c:pt idx="18">
                  <c:v>-2.4494131714285713E-2</c:v>
                </c:pt>
                <c:pt idx="19">
                  <c:v>-2.4967701714285716E-2</c:v>
                </c:pt>
                <c:pt idx="20">
                  <c:v>-2.5325042857142856E-2</c:v>
                </c:pt>
                <c:pt idx="21">
                  <c:v>-2.5585562571428574E-2</c:v>
                </c:pt>
                <c:pt idx="22">
                  <c:v>-2.5768378857142858E-2</c:v>
                </c:pt>
                <c:pt idx="23">
                  <c:v>-2.5890898857142859E-2</c:v>
                </c:pt>
                <c:pt idx="24">
                  <c:v>-2.5892521714285716E-2</c:v>
                </c:pt>
                <c:pt idx="25">
                  <c:v>-2.5934564857142857E-2</c:v>
                </c:pt>
                <c:pt idx="26">
                  <c:v>-2.5979272000000001E-2</c:v>
                </c:pt>
                <c:pt idx="27">
                  <c:v>-2.6014335142857146E-2</c:v>
                </c:pt>
                <c:pt idx="28">
                  <c:v>-2.6016274000000002E-2</c:v>
                </c:pt>
                <c:pt idx="29">
                  <c:v>-2.6017058285714288E-2</c:v>
                </c:pt>
                <c:pt idx="30">
                  <c:v>-2.6017475428571427E-2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79601280"/>
        <c:axId val="4795977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96012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7752"/>
        <c:crossesAt val="-8.0000000000000019E-3"/>
        <c:crossBetween val="midCat"/>
      </c:valAx>
      <c:valAx>
        <c:axId val="4795977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601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16141.122479483018</c:v>
                </c:pt>
                <c:pt idx="1">
                  <c:v>16141.423217878499</c:v>
                </c:pt>
                <c:pt idx="2">
                  <c:v>16141.362176010578</c:v>
                </c:pt>
                <c:pt idx="3">
                  <c:v>16141.345054593947</c:v>
                </c:pt>
                <c:pt idx="4">
                  <c:v>16141.339843735226</c:v>
                </c:pt>
                <c:pt idx="5">
                  <c:v>16141.337610511091</c:v>
                </c:pt>
                <c:pt idx="6">
                  <c:v>16141.336866103184</c:v>
                </c:pt>
                <c:pt idx="7">
                  <c:v>16141.336866103184</c:v>
                </c:pt>
                <c:pt idx="8">
                  <c:v>16141.336866103184</c:v>
                </c:pt>
                <c:pt idx="9">
                  <c:v>16141.336866103184</c:v>
                </c:pt>
                <c:pt idx="10">
                  <c:v>16141.336866103184</c:v>
                </c:pt>
                <c:pt idx="11">
                  <c:v>16141.336866103184</c:v>
                </c:pt>
                <c:pt idx="12">
                  <c:v>16141.335377287573</c:v>
                </c:pt>
                <c:pt idx="13">
                  <c:v>16141.319000333984</c:v>
                </c:pt>
                <c:pt idx="14">
                  <c:v>16141.156721408246</c:v>
                </c:pt>
                <c:pt idx="15">
                  <c:v>16139.537832805916</c:v>
                </c:pt>
                <c:pt idx="16">
                  <c:v>16123.712176074619</c:v>
                </c:pt>
                <c:pt idx="17">
                  <c:v>15996.345886153456</c:v>
                </c:pt>
                <c:pt idx="18">
                  <c:v>15649.886113543052</c:v>
                </c:pt>
                <c:pt idx="19">
                  <c:v>15288.888795699469</c:v>
                </c:pt>
                <c:pt idx="20">
                  <c:v>14815.636337930273</c:v>
                </c:pt>
                <c:pt idx="21">
                  <c:v>14127.356422869396</c:v>
                </c:pt>
                <c:pt idx="22">
                  <c:v>13342.540448673799</c:v>
                </c:pt>
                <c:pt idx="23">
                  <c:v>12471.684821282537</c:v>
                </c:pt>
                <c:pt idx="24">
                  <c:v>11635.132355281892</c:v>
                </c:pt>
                <c:pt idx="25">
                  <c:v>10880.613771070579</c:v>
                </c:pt>
                <c:pt idx="26">
                  <c:v>10123.51790974693</c:v>
                </c:pt>
                <c:pt idx="27">
                  <c:v>9360.5786078524925</c:v>
                </c:pt>
                <c:pt idx="28">
                  <c:v>8413.6037202744083</c:v>
                </c:pt>
                <c:pt idx="29">
                  <c:v>7247.1586944918636</c:v>
                </c:pt>
                <c:pt idx="30">
                  <c:v>5877.2661919817056</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16111.410681055107</c:v>
                </c:pt>
                <c:pt idx="1">
                  <c:v>16111.713280001413</c:v>
                </c:pt>
                <c:pt idx="2">
                  <c:v>16111.653204306302</c:v>
                </c:pt>
                <c:pt idx="3">
                  <c:v>16111.635404186381</c:v>
                </c:pt>
                <c:pt idx="4">
                  <c:v>16111.630212492148</c:v>
                </c:pt>
                <c:pt idx="5">
                  <c:v>16111.628729151553</c:v>
                </c:pt>
                <c:pt idx="6">
                  <c:v>16111.627987481355</c:v>
                </c:pt>
                <c:pt idx="7">
                  <c:v>16111.627987481355</c:v>
                </c:pt>
                <c:pt idx="8">
                  <c:v>16111.627245811231</c:v>
                </c:pt>
                <c:pt idx="9">
                  <c:v>16111.627245811231</c:v>
                </c:pt>
                <c:pt idx="10">
                  <c:v>16111.62650414117</c:v>
                </c:pt>
                <c:pt idx="11">
                  <c:v>16111.621312452671</c:v>
                </c:pt>
                <c:pt idx="12">
                  <c:v>16111.561979107446</c:v>
                </c:pt>
                <c:pt idx="13">
                  <c:v>16110.971636128088</c:v>
                </c:pt>
                <c:pt idx="14">
                  <c:v>16105.118754314157</c:v>
                </c:pt>
                <c:pt idx="15">
                  <c:v>16051.167821059013</c:v>
                </c:pt>
                <c:pt idx="16">
                  <c:v>15760.652073113393</c:v>
                </c:pt>
                <c:pt idx="17">
                  <c:v>15417.873941260101</c:v>
                </c:pt>
                <c:pt idx="18">
                  <c:v>15003.045403887769</c:v>
                </c:pt>
                <c:pt idx="19">
                  <c:v>14388.05564461305</c:v>
                </c:pt>
                <c:pt idx="20">
                  <c:v>13635.605886265101</c:v>
                </c:pt>
                <c:pt idx="21">
                  <c:v>12815.049290890231</c:v>
                </c:pt>
                <c:pt idx="22">
                  <c:v>11976.142975711562</c:v>
                </c:pt>
                <c:pt idx="23">
                  <c:v>11203.370332303808</c:v>
                </c:pt>
                <c:pt idx="24">
                  <c:v>10465.017852273953</c:v>
                </c:pt>
                <c:pt idx="25">
                  <c:v>9716.6146559418939</c:v>
                </c:pt>
                <c:pt idx="26">
                  <c:v>8878.8856825964267</c:v>
                </c:pt>
                <c:pt idx="27">
                  <c:v>7809.5362112798175</c:v>
                </c:pt>
                <c:pt idx="28">
                  <c:v>6518.5070845742393</c:v>
                </c:pt>
                <c:pt idx="29">
                  <c:v>5010.6583144623582</c:v>
                </c:pt>
                <c:pt idx="30">
                  <c:v>3357.700324478566</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16092.223336519288</c:v>
                </c:pt>
                <c:pt idx="1">
                  <c:v>16092.526694972959</c:v>
                </c:pt>
                <c:pt idx="2">
                  <c:v>16092.466762274309</c:v>
                </c:pt>
                <c:pt idx="3">
                  <c:v>16092.449004523403</c:v>
                </c:pt>
                <c:pt idx="4">
                  <c:v>16092.443825186769</c:v>
                </c:pt>
                <c:pt idx="5">
                  <c:v>16092.441605472093</c:v>
                </c:pt>
                <c:pt idx="6">
                  <c:v>16092.441605472093</c:v>
                </c:pt>
                <c:pt idx="7">
                  <c:v>16092.440865567334</c:v>
                </c:pt>
                <c:pt idx="8">
                  <c:v>16092.440125662646</c:v>
                </c:pt>
                <c:pt idx="9">
                  <c:v>16092.434946331727</c:v>
                </c:pt>
                <c:pt idx="10">
                  <c:v>16092.379453709695</c:v>
                </c:pt>
                <c:pt idx="11">
                  <c:v>16091.827507930855</c:v>
                </c:pt>
                <c:pt idx="12">
                  <c:v>16086.350056350484</c:v>
                </c:pt>
                <c:pt idx="13">
                  <c:v>16035.603070625559</c:v>
                </c:pt>
                <c:pt idx="14">
                  <c:v>15752.63573101051</c:v>
                </c:pt>
                <c:pt idx="15">
                  <c:v>15415.017186422874</c:v>
                </c:pt>
                <c:pt idx="16">
                  <c:v>15038.50049478815</c:v>
                </c:pt>
                <c:pt idx="17">
                  <c:v>14564.612344740712</c:v>
                </c:pt>
                <c:pt idx="18">
                  <c:v>13953.526941310351</c:v>
                </c:pt>
                <c:pt idx="19">
                  <c:v>13135.241876472131</c:v>
                </c:pt>
                <c:pt idx="20">
                  <c:v>12230.394066791228</c:v>
                </c:pt>
                <c:pt idx="21">
                  <c:v>11378.84448484476</c:v>
                </c:pt>
                <c:pt idx="22">
                  <c:v>10587.047551935821</c:v>
                </c:pt>
                <c:pt idx="23">
                  <c:v>9801.8909023777596</c:v>
                </c:pt>
                <c:pt idx="24">
                  <c:v>8946.1920035306266</c:v>
                </c:pt>
                <c:pt idx="25">
                  <c:v>7866.6911418158297</c:v>
                </c:pt>
                <c:pt idx="26">
                  <c:v>6570.354530323275</c:v>
                </c:pt>
                <c:pt idx="27">
                  <c:v>5061.6914616756339</c:v>
                </c:pt>
                <c:pt idx="28">
                  <c:v>3402.9082225929769</c:v>
                </c:pt>
                <c:pt idx="29">
                  <c:v>2061.7623897781828</c:v>
                </c:pt>
                <c:pt idx="30">
                  <c:v>1191.8509946524368</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16072.533968152502</c:v>
                </c:pt>
                <c:pt idx="1">
                  <c:v>16072.838799024626</c:v>
                </c:pt>
                <c:pt idx="2">
                  <c:v>16072.779012881552</c:v>
                </c:pt>
                <c:pt idx="3">
                  <c:v>16072.761298554202</c:v>
                </c:pt>
                <c:pt idx="4">
                  <c:v>16072.75613188275</c:v>
                </c:pt>
                <c:pt idx="5">
                  <c:v>16072.753917596001</c:v>
                </c:pt>
                <c:pt idx="6">
                  <c:v>16072.748012834318</c:v>
                </c:pt>
                <c:pt idx="7">
                  <c:v>16072.698560625551</c:v>
                </c:pt>
                <c:pt idx="8">
                  <c:v>16072.20331722929</c:v>
                </c:pt>
                <c:pt idx="9">
                  <c:v>16067.282802585838</c:v>
                </c:pt>
                <c:pt idx="10">
                  <c:v>16021.345925806061</c:v>
                </c:pt>
                <c:pt idx="11">
                  <c:v>15750.577101144985</c:v>
                </c:pt>
                <c:pt idx="12">
                  <c:v>15414.329468960936</c:v>
                </c:pt>
                <c:pt idx="13">
                  <c:v>15044.278751056645</c:v>
                </c:pt>
                <c:pt idx="14">
                  <c:v>14604.852975657423</c:v>
                </c:pt>
                <c:pt idx="15">
                  <c:v>14137.950771897777</c:v>
                </c:pt>
                <c:pt idx="16">
                  <c:v>13577.813635274942</c:v>
                </c:pt>
                <c:pt idx="17">
                  <c:v>12826.28041825694</c:v>
                </c:pt>
                <c:pt idx="18">
                  <c:v>11926.850919475015</c:v>
                </c:pt>
                <c:pt idx="19">
                  <c:v>11002.794709856304</c:v>
                </c:pt>
                <c:pt idx="20">
                  <c:v>10087.98800786102</c:v>
                </c:pt>
                <c:pt idx="21">
                  <c:v>9150.8251285945844</c:v>
                </c:pt>
                <c:pt idx="22">
                  <c:v>8018.6797665317845</c:v>
                </c:pt>
                <c:pt idx="23">
                  <c:v>6689.9833612468101</c:v>
                </c:pt>
                <c:pt idx="24">
                  <c:v>5165.4917288375409</c:v>
                </c:pt>
                <c:pt idx="25">
                  <c:v>3489.8682145993753</c:v>
                </c:pt>
                <c:pt idx="26">
                  <c:v>2123.7147581671393</c:v>
                </c:pt>
                <c:pt idx="27">
                  <c:v>1229.6211807658719</c:v>
                </c:pt>
                <c:pt idx="28">
                  <c:v>699.20824455219883</c:v>
                </c:pt>
                <c:pt idx="29">
                  <c:v>486.08617218999899</c:v>
                </c:pt>
                <c:pt idx="30">
                  <c:v>425.20519704257879</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16048.212130586779</c:v>
                </c:pt>
                <c:pt idx="1">
                  <c:v>16048.505737386653</c:v>
                </c:pt>
                <c:pt idx="2">
                  <c:v>16048.314413440525</c:v>
                </c:pt>
                <c:pt idx="3">
                  <c:v>16046.982630837694</c:v>
                </c:pt>
                <c:pt idx="4">
                  <c:v>16034.075066591802</c:v>
                </c:pt>
                <c:pt idx="5">
                  <c:v>15926.170278881345</c:v>
                </c:pt>
                <c:pt idx="6">
                  <c:v>15586.082803692263</c:v>
                </c:pt>
                <c:pt idx="7">
                  <c:v>15238.367248133734</c:v>
                </c:pt>
                <c:pt idx="8">
                  <c:v>14839.292581244064</c:v>
                </c:pt>
                <c:pt idx="9">
                  <c:v>14370.951625939731</c:v>
                </c:pt>
                <c:pt idx="10">
                  <c:v>13892.69890643422</c:v>
                </c:pt>
                <c:pt idx="11">
                  <c:v>13291.14849383756</c:v>
                </c:pt>
                <c:pt idx="12">
                  <c:v>12632.280276372638</c:v>
                </c:pt>
                <c:pt idx="13">
                  <c:v>11985.35854902099</c:v>
                </c:pt>
                <c:pt idx="14">
                  <c:v>11285.311902160602</c:v>
                </c:pt>
                <c:pt idx="15">
                  <c:v>10526.559562431972</c:v>
                </c:pt>
                <c:pt idx="16">
                  <c:v>9473.3120019609214</c:v>
                </c:pt>
                <c:pt idx="17">
                  <c:v>8062.7670287655337</c:v>
                </c:pt>
                <c:pt idx="18">
                  <c:v>6454.1791086336079</c:v>
                </c:pt>
                <c:pt idx="19">
                  <c:v>4696.31468915187</c:v>
                </c:pt>
                <c:pt idx="20">
                  <c:v>3010.0748063790879</c:v>
                </c:pt>
                <c:pt idx="21">
                  <c:v>1762.9989438125185</c:v>
                </c:pt>
                <c:pt idx="22">
                  <c:v>996.80566504595549</c:v>
                </c:pt>
                <c:pt idx="23">
                  <c:v>586.35884725871381</c:v>
                </c:pt>
                <c:pt idx="24">
                  <c:v>456.44387575884605</c:v>
                </c:pt>
                <c:pt idx="25">
                  <c:v>412.96601917370549</c:v>
                </c:pt>
                <c:pt idx="26">
                  <c:v>385.86898815151778</c:v>
                </c:pt>
                <c:pt idx="27">
                  <c:v>385.49781028432375</c:v>
                </c:pt>
                <c:pt idx="28">
                  <c:v>385.426665391455</c:v>
                </c:pt>
                <c:pt idx="29">
                  <c:v>385.36791498748556</c:v>
                </c:pt>
                <c:pt idx="30">
                  <c:v>385.3145908683436</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14658.194565252397</c:v>
                </c:pt>
                <c:pt idx="1">
                  <c:v>14061.361531907398</c:v>
                </c:pt>
                <c:pt idx="2">
                  <c:v>13501.233646293213</c:v>
                </c:pt>
                <c:pt idx="3">
                  <c:v>12859.946220439759</c:v>
                </c:pt>
                <c:pt idx="4">
                  <c:v>12208.633973851756</c:v>
                </c:pt>
                <c:pt idx="5">
                  <c:v>11536.163053051483</c:v>
                </c:pt>
                <c:pt idx="6">
                  <c:v>10813.5570367863</c:v>
                </c:pt>
                <c:pt idx="7">
                  <c:v>9970.6364755794184</c:v>
                </c:pt>
                <c:pt idx="8">
                  <c:v>8862.152534305962</c:v>
                </c:pt>
                <c:pt idx="9">
                  <c:v>7499.0309645058651</c:v>
                </c:pt>
                <c:pt idx="10">
                  <c:v>5876.8655291058731</c:v>
                </c:pt>
                <c:pt idx="11">
                  <c:v>4048.4699947010149</c:v>
                </c:pt>
                <c:pt idx="12">
                  <c:v>2515.9800676870523</c:v>
                </c:pt>
                <c:pt idx="13">
                  <c:v>1472.6914614611371</c:v>
                </c:pt>
                <c:pt idx="14">
                  <c:v>833.17715229238104</c:v>
                </c:pt>
                <c:pt idx="15">
                  <c:v>577.50976338005967</c:v>
                </c:pt>
                <c:pt idx="16">
                  <c:v>491.10844649699709</c:v>
                </c:pt>
                <c:pt idx="17">
                  <c:v>434.33825098960557</c:v>
                </c:pt>
                <c:pt idx="18">
                  <c:v>414.76707297407143</c:v>
                </c:pt>
                <c:pt idx="19">
                  <c:v>404.5295333662836</c:v>
                </c:pt>
                <c:pt idx="20">
                  <c:v>397.85681581072066</c:v>
                </c:pt>
                <c:pt idx="21">
                  <c:v>393.00195565633163</c:v>
                </c:pt>
                <c:pt idx="22">
                  <c:v>389.56593717365507</c:v>
                </c:pt>
                <c:pt idx="23">
                  <c:v>387.22050202894684</c:v>
                </c:pt>
                <c:pt idx="24">
                  <c:v>386.64951371587779</c:v>
                </c:pt>
                <c:pt idx="25">
                  <c:v>385.91998074898817</c:v>
                </c:pt>
                <c:pt idx="26">
                  <c:v>385.22994066974627</c:v>
                </c:pt>
                <c:pt idx="27">
                  <c:v>384.67074338522389</c:v>
                </c:pt>
                <c:pt idx="28">
                  <c:v>384.6408131772755</c:v>
                </c:pt>
                <c:pt idx="29">
                  <c:v>384.62640352784615</c:v>
                </c:pt>
                <c:pt idx="30">
                  <c:v>384.6163102304609</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13762.873398552052</c:v>
                </c:pt>
                <c:pt idx="1">
                  <c:v>12996.428767038085</c:v>
                </c:pt>
                <c:pt idx="2">
                  <c:v>12323.037658358075</c:v>
                </c:pt>
                <c:pt idx="3">
                  <c:v>11659.950146717152</c:v>
                </c:pt>
                <c:pt idx="4">
                  <c:v>10939.561765531496</c:v>
                </c:pt>
                <c:pt idx="5">
                  <c:v>10142.758749817465</c:v>
                </c:pt>
                <c:pt idx="6">
                  <c:v>9083.5481138284849</c:v>
                </c:pt>
                <c:pt idx="7">
                  <c:v>7770.213043701232</c:v>
                </c:pt>
                <c:pt idx="8">
                  <c:v>6212.7654543827603</c:v>
                </c:pt>
                <c:pt idx="9">
                  <c:v>4412.1821205572542</c:v>
                </c:pt>
                <c:pt idx="10">
                  <c:v>2820.2868876401731</c:v>
                </c:pt>
                <c:pt idx="11">
                  <c:v>1686.8375487724975</c:v>
                </c:pt>
                <c:pt idx="12">
                  <c:v>970.08189819417305</c:v>
                </c:pt>
                <c:pt idx="13">
                  <c:v>637.92573090021654</c:v>
                </c:pt>
                <c:pt idx="14">
                  <c:v>530.43319539443348</c:v>
                </c:pt>
                <c:pt idx="15">
                  <c:v>467.52880224544191</c:v>
                </c:pt>
                <c:pt idx="16">
                  <c:v>435.63962277292933</c:v>
                </c:pt>
                <c:pt idx="17">
                  <c:v>419.79526081375803</c:v>
                </c:pt>
                <c:pt idx="18">
                  <c:v>408.26105275524833</c:v>
                </c:pt>
                <c:pt idx="19">
                  <c:v>400.51744106980908</c:v>
                </c:pt>
                <c:pt idx="20">
                  <c:v>394.86606425147778</c:v>
                </c:pt>
                <c:pt idx="21">
                  <c:v>390.84542198681265</c:v>
                </c:pt>
                <c:pt idx="22">
                  <c:v>388.07253088907657</c:v>
                </c:pt>
                <c:pt idx="23">
                  <c:v>386.23610772173595</c:v>
                </c:pt>
                <c:pt idx="24">
                  <c:v>386.21189972712028</c:v>
                </c:pt>
                <c:pt idx="25">
                  <c:v>385.58580238703394</c:v>
                </c:pt>
                <c:pt idx="26">
                  <c:v>384.92225648201378</c:v>
                </c:pt>
                <c:pt idx="27">
                  <c:v>384.4034431433754</c:v>
                </c:pt>
                <c:pt idx="28">
                  <c:v>384.37479556065557</c:v>
                </c:pt>
                <c:pt idx="29">
                  <c:v>384.3632085603968</c:v>
                </c:pt>
                <c:pt idx="30">
                  <c:v>384.35704599602968</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79598928"/>
        <c:axId val="4795993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79598928"/>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9320"/>
        <c:crosses val="autoZero"/>
        <c:crossBetween val="midCat"/>
      </c:valAx>
      <c:valAx>
        <c:axId val="479599320"/>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8928"/>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18868.788525551143</c:v>
                </c:pt>
                <c:pt idx="1">
                  <c:v>18871.364508460858</c:v>
                </c:pt>
                <c:pt idx="2">
                  <c:v>18871.300405566886</c:v>
                </c:pt>
                <c:pt idx="3">
                  <c:v>18871.290027044066</c:v>
                </c:pt>
                <c:pt idx="4">
                  <c:v>18871.288195541227</c:v>
                </c:pt>
                <c:pt idx="5">
                  <c:v>18871.285753537995</c:v>
                </c:pt>
                <c:pt idx="6">
                  <c:v>18871.284532536614</c:v>
                </c:pt>
                <c:pt idx="7">
                  <c:v>18871.285753537988</c:v>
                </c:pt>
                <c:pt idx="8">
                  <c:v>18871.285753537988</c:v>
                </c:pt>
                <c:pt idx="9">
                  <c:v>18871.285753537988</c:v>
                </c:pt>
                <c:pt idx="10">
                  <c:v>18871.285753537988</c:v>
                </c:pt>
                <c:pt idx="11">
                  <c:v>18871.286974539533</c:v>
                </c:pt>
                <c:pt idx="12">
                  <c:v>18871.288195541223</c:v>
                </c:pt>
                <c:pt idx="13">
                  <c:v>18871.296132056101</c:v>
                </c:pt>
                <c:pt idx="14">
                  <c:v>18871.380381625688</c:v>
                </c:pt>
                <c:pt idx="15">
                  <c:v>18872.226582066036</c:v>
                </c:pt>
                <c:pt idx="16">
                  <c:v>18880.533875038498</c:v>
                </c:pt>
                <c:pt idx="17">
                  <c:v>18948.720031827786</c:v>
                </c:pt>
                <c:pt idx="18">
                  <c:v>19118.564685664354</c:v>
                </c:pt>
                <c:pt idx="19">
                  <c:v>19295.884784293998</c:v>
                </c:pt>
                <c:pt idx="20">
                  <c:v>19283.18176642276</c:v>
                </c:pt>
                <c:pt idx="21">
                  <c:v>18651.906294101758</c:v>
                </c:pt>
                <c:pt idx="22">
                  <c:v>17649.447935858225</c:v>
                </c:pt>
                <c:pt idx="23">
                  <c:v>16815.420682429347</c:v>
                </c:pt>
                <c:pt idx="24">
                  <c:v>16179.214664618288</c:v>
                </c:pt>
                <c:pt idx="25">
                  <c:v>15717.836983127349</c:v>
                </c:pt>
                <c:pt idx="26">
                  <c:v>15355.245356200901</c:v>
                </c:pt>
                <c:pt idx="27">
                  <c:v>15008.202411423625</c:v>
                </c:pt>
                <c:pt idx="28">
                  <c:v>14583.043495343869</c:v>
                </c:pt>
                <c:pt idx="29">
                  <c:v>14012.345997811763</c:v>
                </c:pt>
                <c:pt idx="30">
                  <c:v>13392.356125248529</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18779.802809280354</c:v>
                </c:pt>
                <c:pt idx="1">
                  <c:v>18782.392651005717</c:v>
                </c:pt>
                <c:pt idx="2">
                  <c:v>18782.332779683817</c:v>
                </c:pt>
                <c:pt idx="3">
                  <c:v>18782.319474997461</c:v>
                </c:pt>
                <c:pt idx="4">
                  <c:v>18782.318265481463</c:v>
                </c:pt>
                <c:pt idx="5">
                  <c:v>18782.31826548147</c:v>
                </c:pt>
                <c:pt idx="6">
                  <c:v>18782.317660723515</c:v>
                </c:pt>
                <c:pt idx="7">
                  <c:v>18782.318265481459</c:v>
                </c:pt>
                <c:pt idx="8">
                  <c:v>18782.31584644991</c:v>
                </c:pt>
                <c:pt idx="9">
                  <c:v>18782.31584644991</c:v>
                </c:pt>
                <c:pt idx="10">
                  <c:v>18782.315846449907</c:v>
                </c:pt>
                <c:pt idx="11">
                  <c:v>18782.321289271767</c:v>
                </c:pt>
                <c:pt idx="12">
                  <c:v>18782.349712948275</c:v>
                </c:pt>
                <c:pt idx="13">
                  <c:v>18782.642421344921</c:v>
                </c:pt>
                <c:pt idx="14">
                  <c:v>18785.556092929808</c:v>
                </c:pt>
                <c:pt idx="15">
                  <c:v>18812.624337337409</c:v>
                </c:pt>
                <c:pt idx="16">
                  <c:v>18945.60662208495</c:v>
                </c:pt>
                <c:pt idx="17">
                  <c:v>19112.275642088352</c:v>
                </c:pt>
                <c:pt idx="18">
                  <c:v>19181.062876400953</c:v>
                </c:pt>
                <c:pt idx="19">
                  <c:v>18753.707875957185</c:v>
                </c:pt>
                <c:pt idx="20">
                  <c:v>17835.205917847718</c:v>
                </c:pt>
                <c:pt idx="21">
                  <c:v>16961.469115224347</c:v>
                </c:pt>
                <c:pt idx="22">
                  <c:v>16327.621278305334</c:v>
                </c:pt>
                <c:pt idx="23">
                  <c:v>15851.283439924156</c:v>
                </c:pt>
                <c:pt idx="24">
                  <c:v>15487.425338994295</c:v>
                </c:pt>
                <c:pt idx="25">
                  <c:v>15155.550070689824</c:v>
                </c:pt>
                <c:pt idx="26">
                  <c:v>14780.926607842799</c:v>
                </c:pt>
                <c:pt idx="27">
                  <c:v>14269.699605699665</c:v>
                </c:pt>
                <c:pt idx="28">
                  <c:v>13639.283505835199</c:v>
                </c:pt>
                <c:pt idx="29">
                  <c:v>13128.624320851572</c:v>
                </c:pt>
                <c:pt idx="30">
                  <c:v>14021.161859170812</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18723.496222400907</c:v>
                </c:pt>
                <c:pt idx="1">
                  <c:v>18726.093399740123</c:v>
                </c:pt>
                <c:pt idx="2">
                  <c:v>18726.034487941026</c:v>
                </c:pt>
                <c:pt idx="3">
                  <c:v>18726.021262894224</c:v>
                </c:pt>
                <c:pt idx="4">
                  <c:v>18726.020060618161</c:v>
                </c:pt>
                <c:pt idx="5">
                  <c:v>18726.0170549287</c:v>
                </c:pt>
                <c:pt idx="6">
                  <c:v>18726.019459480198</c:v>
                </c:pt>
                <c:pt idx="7">
                  <c:v>18726.017656066506</c:v>
                </c:pt>
                <c:pt idx="8">
                  <c:v>18726.017054928692</c:v>
                </c:pt>
                <c:pt idx="9">
                  <c:v>18726.021262894217</c:v>
                </c:pt>
                <c:pt idx="10">
                  <c:v>18726.047111866774</c:v>
                </c:pt>
                <c:pt idx="11">
                  <c:v>18726.314021709637</c:v>
                </c:pt>
                <c:pt idx="12">
                  <c:v>18728.965498848247</c:v>
                </c:pt>
                <c:pt idx="13">
                  <c:v>18753.713302211381</c:v>
                </c:pt>
                <c:pt idx="14">
                  <c:v>18880.347491608816</c:v>
                </c:pt>
                <c:pt idx="15">
                  <c:v>19056.575793806016</c:v>
                </c:pt>
                <c:pt idx="16">
                  <c:v>19269.921900438017</c:v>
                </c:pt>
                <c:pt idx="17">
                  <c:v>19441.854141411004</c:v>
                </c:pt>
                <c:pt idx="18">
                  <c:v>19075.329194401118</c:v>
                </c:pt>
                <c:pt idx="19">
                  <c:v>18108.254456363815</c:v>
                </c:pt>
                <c:pt idx="20">
                  <c:v>17091.457757778491</c:v>
                </c:pt>
                <c:pt idx="21">
                  <c:v>16308.12781714172</c:v>
                </c:pt>
                <c:pt idx="22">
                  <c:v>15731.589949545645</c:v>
                </c:pt>
                <c:pt idx="23">
                  <c:v>15295.270833360655</c:v>
                </c:pt>
                <c:pt idx="24">
                  <c:v>14899.034563844589</c:v>
                </c:pt>
                <c:pt idx="25">
                  <c:v>14421.532749343662</c:v>
                </c:pt>
                <c:pt idx="26">
                  <c:v>13828.897813137615</c:v>
                </c:pt>
                <c:pt idx="27">
                  <c:v>13353.098971948728</c:v>
                </c:pt>
                <c:pt idx="28">
                  <c:v>14308.864276007014</c:v>
                </c:pt>
                <c:pt idx="29">
                  <c:v>28243.116748975397</c:v>
                </c:pt>
                <c:pt idx="30">
                  <c:v>-15374.647206756053</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18666.649941348311</c:v>
                </c:pt>
                <c:pt idx="1">
                  <c:v>18669.257660921885</c:v>
                </c:pt>
                <c:pt idx="2">
                  <c:v>18669.199703682465</c:v>
                </c:pt>
                <c:pt idx="3">
                  <c:v>18669.186558791618</c:v>
                </c:pt>
                <c:pt idx="4">
                  <c:v>18669.185363802473</c:v>
                </c:pt>
                <c:pt idx="5">
                  <c:v>18669.184766307942</c:v>
                </c:pt>
                <c:pt idx="6">
                  <c:v>18669.185363802462</c:v>
                </c:pt>
                <c:pt idx="7">
                  <c:v>18669.209861110783</c:v>
                </c:pt>
                <c:pt idx="8">
                  <c:v>18669.442289990799</c:v>
                </c:pt>
                <c:pt idx="9">
                  <c:v>18671.742393118806</c:v>
                </c:pt>
                <c:pt idx="10">
                  <c:v>18693.372167692403</c:v>
                </c:pt>
                <c:pt idx="11">
                  <c:v>18810.164445336726</c:v>
                </c:pt>
                <c:pt idx="12">
                  <c:v>18979.94755525967</c:v>
                </c:pt>
                <c:pt idx="13">
                  <c:v>19196.640767765603</c:v>
                </c:pt>
                <c:pt idx="14">
                  <c:v>19500.733963053262</c:v>
                </c:pt>
                <c:pt idx="15">
                  <c:v>19883.049267616963</c:v>
                </c:pt>
                <c:pt idx="16">
                  <c:v>20315.074028710202</c:v>
                </c:pt>
                <c:pt idx="17">
                  <c:v>20247.585157293637</c:v>
                </c:pt>
                <c:pt idx="18">
                  <c:v>19077.707317445413</c:v>
                </c:pt>
                <c:pt idx="19">
                  <c:v>17613.609542912749</c:v>
                </c:pt>
                <c:pt idx="20">
                  <c:v>16453.151765752249</c:v>
                </c:pt>
                <c:pt idx="21">
                  <c:v>15627.280606263477</c:v>
                </c:pt>
                <c:pt idx="22">
                  <c:v>15030.817685500569</c:v>
                </c:pt>
                <c:pt idx="23">
                  <c:v>14510.301173738246</c:v>
                </c:pt>
                <c:pt idx="24">
                  <c:v>14214.308561611075</c:v>
                </c:pt>
                <c:pt idx="25">
                  <c:v>15697.726726976471</c:v>
                </c:pt>
                <c:pt idx="26">
                  <c:v>36104.039877015442</c:v>
                </c:pt>
                <c:pt idx="27">
                  <c:v>-13587.837410266889</c:v>
                </c:pt>
                <c:pt idx="28">
                  <c:v>-3330.4463121587378</c:v>
                </c:pt>
                <c:pt idx="29">
                  <c:v>-1786.8228451937523</c:v>
                </c:pt>
                <c:pt idx="30">
                  <c:v>-1472.3001244261891</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18597.725938086842</c:v>
                </c:pt>
                <c:pt idx="1">
                  <c:v>18600.3517996138</c:v>
                </c:pt>
                <c:pt idx="2">
                  <c:v>18600.35357890412</c:v>
                </c:pt>
                <c:pt idx="3">
                  <c:v>18600.927714360827</c:v>
                </c:pt>
                <c:pt idx="4">
                  <c:v>18606.708409487917</c:v>
                </c:pt>
                <c:pt idx="5">
                  <c:v>18655.928016005801</c:v>
                </c:pt>
                <c:pt idx="6">
                  <c:v>18800.684564080409</c:v>
                </c:pt>
                <c:pt idx="7">
                  <c:v>18979.84257207538</c:v>
                </c:pt>
                <c:pt idx="8">
                  <c:v>19220.391697744119</c:v>
                </c:pt>
                <c:pt idx="9">
                  <c:v>19560.27124261664</c:v>
                </c:pt>
                <c:pt idx="10">
                  <c:v>19987.546045595358</c:v>
                </c:pt>
                <c:pt idx="11">
                  <c:v>20668.842564304166</c:v>
                </c:pt>
                <c:pt idx="12">
                  <c:v>21678.58524313927</c:v>
                </c:pt>
                <c:pt idx="13">
                  <c:v>23067.48974106348</c:v>
                </c:pt>
                <c:pt idx="14">
                  <c:v>25232.361209757648</c:v>
                </c:pt>
                <c:pt idx="15">
                  <c:v>28364.407757649318</c:v>
                </c:pt>
                <c:pt idx="16">
                  <c:v>31171.975432208354</c:v>
                </c:pt>
                <c:pt idx="17">
                  <c:v>30483.086372431768</c:v>
                </c:pt>
                <c:pt idx="18">
                  <c:v>29715.300255279948</c:v>
                </c:pt>
                <c:pt idx="19">
                  <c:v>39390.673549005092</c:v>
                </c:pt>
                <c:pt idx="20">
                  <c:v>-100288.88930914762</c:v>
                </c:pt>
                <c:pt idx="21">
                  <c:v>-9677.1910266448958</c:v>
                </c:pt>
                <c:pt idx="22">
                  <c:v>-3404.6460773127037</c:v>
                </c:pt>
                <c:pt idx="23">
                  <c:v>-1620.30960876004</c:v>
                </c:pt>
                <c:pt idx="24">
                  <c:v>-1274.3170179612785</c:v>
                </c:pt>
                <c:pt idx="25">
                  <c:v>-1222.5153231817048</c:v>
                </c:pt>
                <c:pt idx="26">
                  <c:v>-1174.3938257217701</c:v>
                </c:pt>
                <c:pt idx="27">
                  <c:v>-1172.9702085675094</c:v>
                </c:pt>
                <c:pt idx="28">
                  <c:v>-1178.3820229001365</c:v>
                </c:pt>
                <c:pt idx="29">
                  <c:v>-1182.88364659641</c:v>
                </c:pt>
                <c:pt idx="30">
                  <c:v>-1186.9994931851288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19182.996192175262</c:v>
                </c:pt>
                <c:pt idx="1">
                  <c:v>19625.065699112787</c:v>
                </c:pt>
                <c:pt idx="2">
                  <c:v>20160.459981054919</c:v>
                </c:pt>
                <c:pt idx="3">
                  <c:v>20973.224742364902</c:v>
                </c:pt>
                <c:pt idx="4">
                  <c:v>22115.821949687881</c:v>
                </c:pt>
                <c:pt idx="5">
                  <c:v>23803.36893841259</c:v>
                </c:pt>
                <c:pt idx="6">
                  <c:v>26602.771370310296</c:v>
                </c:pt>
                <c:pt idx="7">
                  <c:v>32488.27614143609</c:v>
                </c:pt>
                <c:pt idx="8">
                  <c:v>55891.784562401474</c:v>
                </c:pt>
                <c:pt idx="9">
                  <c:v>-125452.21041418209</c:v>
                </c:pt>
                <c:pt idx="10">
                  <c:v>-15013.200678407917</c:v>
                </c:pt>
                <c:pt idx="11">
                  <c:v>-4459.4119297041279</c:v>
                </c:pt>
                <c:pt idx="12">
                  <c:v>-1666.4033749334276</c:v>
                </c:pt>
                <c:pt idx="13">
                  <c:v>-748.42715894185017</c:v>
                </c:pt>
                <c:pt idx="14">
                  <c:v>-387.56477383906753</c:v>
                </c:pt>
                <c:pt idx="15">
                  <c:v>-286.9797986884268</c:v>
                </c:pt>
                <c:pt idx="16">
                  <c:v>-299.5158155689432</c:v>
                </c:pt>
                <c:pt idx="17">
                  <c:v>-343.00242468413995</c:v>
                </c:pt>
                <c:pt idx="18">
                  <c:v>-446.48678556022952</c:v>
                </c:pt>
                <c:pt idx="19">
                  <c:v>-582.90154901090352</c:v>
                </c:pt>
                <c:pt idx="20">
                  <c:v>-730.95114683833287</c:v>
                </c:pt>
                <c:pt idx="21">
                  <c:v>-892.80095561332928</c:v>
                </c:pt>
                <c:pt idx="22">
                  <c:v>-1048.7351415205135</c:v>
                </c:pt>
                <c:pt idx="23">
                  <c:v>-1175.441336241712</c:v>
                </c:pt>
                <c:pt idx="24">
                  <c:v>-1207.7500978708922</c:v>
                </c:pt>
                <c:pt idx="25">
                  <c:v>-1247.1729262275853</c:v>
                </c:pt>
                <c:pt idx="26">
                  <c:v>-1278.3129891647243</c:v>
                </c:pt>
                <c:pt idx="27">
                  <c:v>-1294.2956029154343</c:v>
                </c:pt>
                <c:pt idx="28">
                  <c:v>-1294.8417573888285</c:v>
                </c:pt>
                <c:pt idx="29">
                  <c:v>-1294.9292826169442</c:v>
                </c:pt>
                <c:pt idx="30">
                  <c:v>-1294.8384520702036</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19725.603331530423</c:v>
                </c:pt>
                <c:pt idx="1">
                  <c:v>20548.498124949547</c:v>
                </c:pt>
                <c:pt idx="2">
                  <c:v>21580.87160330953</c:v>
                </c:pt>
                <c:pt idx="3">
                  <c:v>23027.095983844181</c:v>
                </c:pt>
                <c:pt idx="4">
                  <c:v>25398.88771739545</c:v>
                </c:pt>
                <c:pt idx="5">
                  <c:v>29875.423750876511</c:v>
                </c:pt>
                <c:pt idx="6">
                  <c:v>44624.967312211462</c:v>
                </c:pt>
                <c:pt idx="7">
                  <c:v>1949773.826236272</c:v>
                </c:pt>
                <c:pt idx="8">
                  <c:v>-21112.176170131828</c:v>
                </c:pt>
                <c:pt idx="9">
                  <c:v>-5776.2884415709104</c:v>
                </c:pt>
                <c:pt idx="10">
                  <c:v>-2078.9091177437581</c:v>
                </c:pt>
                <c:pt idx="11">
                  <c:v>-878.07330045525862</c:v>
                </c:pt>
                <c:pt idx="12">
                  <c:v>-417.20769564627085</c:v>
                </c:pt>
                <c:pt idx="13">
                  <c:v>-262.96642552119516</c:v>
                </c:pt>
                <c:pt idx="14">
                  <c:v>-238.73416868465253</c:v>
                </c:pt>
                <c:pt idx="15">
                  <c:v>-251.81162274676265</c:v>
                </c:pt>
                <c:pt idx="16">
                  <c:v>-307.3591654836851</c:v>
                </c:pt>
                <c:pt idx="17">
                  <c:v>-401.8141241843515</c:v>
                </c:pt>
                <c:pt idx="18">
                  <c:v>-524.93336758298562</c:v>
                </c:pt>
                <c:pt idx="19">
                  <c:v>-665.42206124331733</c:v>
                </c:pt>
                <c:pt idx="20">
                  <c:v>-825.37343195555366</c:v>
                </c:pt>
                <c:pt idx="21">
                  <c:v>-987.77381548774645</c:v>
                </c:pt>
                <c:pt idx="22">
                  <c:v>-1129.4617450016162</c:v>
                </c:pt>
                <c:pt idx="23">
                  <c:v>-1229.5365595670069</c:v>
                </c:pt>
                <c:pt idx="24">
                  <c:v>-1230.488408974971</c:v>
                </c:pt>
                <c:pt idx="25">
                  <c:v>-1261.3650341035277</c:v>
                </c:pt>
                <c:pt idx="26">
                  <c:v>-1287.3091619337808</c:v>
                </c:pt>
                <c:pt idx="27">
                  <c:v>-1298.2741448296031</c:v>
                </c:pt>
                <c:pt idx="28">
                  <c:v>-1298.7730565150696</c:v>
                </c:pt>
                <c:pt idx="29">
                  <c:v>-1298.7789844795204</c:v>
                </c:pt>
                <c:pt idx="30">
                  <c:v>-1298.5716824554424</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84779768"/>
        <c:axId val="48478016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847797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0160"/>
        <c:crosses val="autoZero"/>
        <c:crossBetween val="midCat"/>
        <c:majorUnit val="10000"/>
      </c:valAx>
      <c:valAx>
        <c:axId val="48478016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9768"/>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0.35742661346429722</c:v>
                </c:pt>
                <c:pt idx="1">
                  <c:v>0.35744341900801085</c:v>
                </c:pt>
                <c:pt idx="2">
                  <c:v>0.35744347387202313</c:v>
                </c:pt>
                <c:pt idx="3">
                  <c:v>0.35744354668332945</c:v>
                </c:pt>
                <c:pt idx="4">
                  <c:v>0.35744357886893852</c:v>
                </c:pt>
                <c:pt idx="5">
                  <c:v>0.35744358014499261</c:v>
                </c:pt>
                <c:pt idx="6">
                  <c:v>0.35744357749580352</c:v>
                </c:pt>
                <c:pt idx="7">
                  <c:v>0.35744358671942456</c:v>
                </c:pt>
                <c:pt idx="8">
                  <c:v>0.35744358671942456</c:v>
                </c:pt>
                <c:pt idx="9">
                  <c:v>0.35744358671942456</c:v>
                </c:pt>
                <c:pt idx="10">
                  <c:v>0.35744358671942456</c:v>
                </c:pt>
                <c:pt idx="11">
                  <c:v>0.35744359594304564</c:v>
                </c:pt>
                <c:pt idx="12">
                  <c:v>0.35744361831552712</c:v>
                </c:pt>
                <c:pt idx="13">
                  <c:v>0.35744382290630256</c:v>
                </c:pt>
                <c:pt idx="14">
                  <c:v>0.35744589253679038</c:v>
                </c:pt>
                <c:pt idx="15">
                  <c:v>0.357466581357681</c:v>
                </c:pt>
                <c:pt idx="16">
                  <c:v>0.35766899493070486</c:v>
                </c:pt>
                <c:pt idx="17">
                  <c:v>0.35930143866107478</c:v>
                </c:pt>
                <c:pt idx="18">
                  <c:v>0.36357164383720897</c:v>
                </c:pt>
                <c:pt idx="19">
                  <c:v>0.36794344176999549</c:v>
                </c:pt>
                <c:pt idx="20">
                  <c:v>0.37194682117823258</c:v>
                </c:pt>
                <c:pt idx="21">
                  <c:v>0.37376306921742675</c:v>
                </c:pt>
                <c:pt idx="22">
                  <c:v>0.37400417568145877</c:v>
                </c:pt>
                <c:pt idx="23">
                  <c:v>0.3763864326598505</c:v>
                </c:pt>
                <c:pt idx="24">
                  <c:v>0.38014321052794647</c:v>
                </c:pt>
                <c:pt idx="25">
                  <c:v>0.38462562434904785</c:v>
                </c:pt>
                <c:pt idx="26">
                  <c:v>0.39011878704520608</c:v>
                </c:pt>
                <c:pt idx="27">
                  <c:v>0.39605041350890891</c:v>
                </c:pt>
                <c:pt idx="28">
                  <c:v>0.40384261782116176</c:v>
                </c:pt>
                <c:pt idx="29">
                  <c:v>0.41380031704869863</c:v>
                </c:pt>
                <c:pt idx="30">
                  <c:v>0.42685795119474496</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0.35701473328664396</c:v>
                </c:pt>
                <c:pt idx="1">
                  <c:v>0.35703176392049729</c:v>
                </c:pt>
                <c:pt idx="2">
                  <c:v>0.35703184127609444</c:v>
                </c:pt>
                <c:pt idx="3">
                  <c:v>0.35703189795387291</c:v>
                </c:pt>
                <c:pt idx="4">
                  <c:v>0.35703193481621098</c:v>
                </c:pt>
                <c:pt idx="5">
                  <c:v>0.35703194797877325</c:v>
                </c:pt>
                <c:pt idx="6">
                  <c:v>0.3570319499567311</c:v>
                </c:pt>
                <c:pt idx="7">
                  <c:v>0.35703195456005338</c:v>
                </c:pt>
                <c:pt idx="8">
                  <c:v>0.35703194272804467</c:v>
                </c:pt>
                <c:pt idx="9">
                  <c:v>0.35703194272804467</c:v>
                </c:pt>
                <c:pt idx="10">
                  <c:v>0.35703194930932447</c:v>
                </c:pt>
                <c:pt idx="11">
                  <c:v>0.35703203680814971</c:v>
                </c:pt>
                <c:pt idx="12">
                  <c:v>0.35703277966334201</c:v>
                </c:pt>
                <c:pt idx="13">
                  <c:v>0.35704024603571133</c:v>
                </c:pt>
                <c:pt idx="14">
                  <c:v>0.35711434648119955</c:v>
                </c:pt>
                <c:pt idx="15">
                  <c:v>0.35779790268103578</c:v>
                </c:pt>
                <c:pt idx="16">
                  <c:v>0.36135174249544172</c:v>
                </c:pt>
                <c:pt idx="17">
                  <c:v>0.36554998970306268</c:v>
                </c:pt>
                <c:pt idx="18">
                  <c:v>0.36963665238848264</c:v>
                </c:pt>
                <c:pt idx="19">
                  <c:v>0.37213145848472479</c:v>
                </c:pt>
                <c:pt idx="20">
                  <c:v>0.37257781090320979</c:v>
                </c:pt>
                <c:pt idx="21">
                  <c:v>0.37407685419392078</c:v>
                </c:pt>
                <c:pt idx="22">
                  <c:v>0.37775170704520222</c:v>
                </c:pt>
                <c:pt idx="23">
                  <c:v>0.38220333099246911</c:v>
                </c:pt>
                <c:pt idx="24">
                  <c:v>0.38738156253420752</c:v>
                </c:pt>
                <c:pt idx="25">
                  <c:v>0.39314569458470305</c:v>
                </c:pt>
                <c:pt idx="26">
                  <c:v>0.39988352424079121</c:v>
                </c:pt>
                <c:pt idx="27">
                  <c:v>0.40878649134094247</c:v>
                </c:pt>
                <c:pt idx="28">
                  <c:v>0.42034641358072472</c:v>
                </c:pt>
                <c:pt idx="29">
                  <c:v>0.43639015797331526</c:v>
                </c:pt>
                <c:pt idx="30">
                  <c:v>0.46008770696984719</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0.35675553374778324</c:v>
                </c:pt>
                <c:pt idx="1">
                  <c:v>0.3567727007848463</c:v>
                </c:pt>
                <c:pt idx="2">
                  <c:v>0.35677278361099046</c:v>
                </c:pt>
                <c:pt idx="3">
                  <c:v>0.35677284050714025</c:v>
                </c:pt>
                <c:pt idx="4">
                  <c:v>0.35677287740895841</c:v>
                </c:pt>
                <c:pt idx="5">
                  <c:v>0.35677287417581988</c:v>
                </c:pt>
                <c:pt idx="6">
                  <c:v>0.35677289256718175</c:v>
                </c:pt>
                <c:pt idx="7">
                  <c:v>0.35677288535901452</c:v>
                </c:pt>
                <c:pt idx="8">
                  <c:v>0.35677288734652812</c:v>
                </c:pt>
                <c:pt idx="9">
                  <c:v>0.35677296562885791</c:v>
                </c:pt>
                <c:pt idx="10">
                  <c:v>0.35677365723461657</c:v>
                </c:pt>
                <c:pt idx="11">
                  <c:v>0.35678061105818432</c:v>
                </c:pt>
                <c:pt idx="12">
                  <c:v>0.35684962990134428</c:v>
                </c:pt>
                <c:pt idx="13">
                  <c:v>0.35748952920935495</c:v>
                </c:pt>
                <c:pt idx="14">
                  <c:v>0.36094327502877782</c:v>
                </c:pt>
                <c:pt idx="15">
                  <c:v>0.36518199497805165</c:v>
                </c:pt>
                <c:pt idx="16">
                  <c:v>0.36993114128426302</c:v>
                </c:pt>
                <c:pt idx="17">
                  <c:v>0.37514383282921049</c:v>
                </c:pt>
                <c:pt idx="18">
                  <c:v>0.37808400055112451</c:v>
                </c:pt>
                <c:pt idx="19">
                  <c:v>0.37910447223461313</c:v>
                </c:pt>
                <c:pt idx="20">
                  <c:v>0.38073580147344799</c:v>
                </c:pt>
                <c:pt idx="21">
                  <c:v>0.38370988368057507</c:v>
                </c:pt>
                <c:pt idx="22">
                  <c:v>0.38783664391318573</c:v>
                </c:pt>
                <c:pt idx="23">
                  <c:v>0.39319257556613768</c:v>
                </c:pt>
                <c:pt idx="24">
                  <c:v>0.39992425387033348</c:v>
                </c:pt>
                <c:pt idx="25">
                  <c:v>0.4090862800029138</c:v>
                </c:pt>
                <c:pt idx="26">
                  <c:v>0.42081371175171361</c:v>
                </c:pt>
                <c:pt idx="27">
                  <c:v>0.43682251248307119</c:v>
                </c:pt>
                <c:pt idx="28">
                  <c:v>0.46036363477266623</c:v>
                </c:pt>
                <c:pt idx="29">
                  <c:v>0.48783324560043478</c:v>
                </c:pt>
                <c:pt idx="30">
                  <c:v>0.51292009044310194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0.356495103846938</c:v>
                </c:pt>
                <c:pt idx="1">
                  <c:v>0.35651242726638627</c:v>
                </c:pt>
                <c:pt idx="2">
                  <c:v>0.35651251555156177</c:v>
                </c:pt>
                <c:pt idx="3">
                  <c:v>0.35651257266495379</c:v>
                </c:pt>
                <c:pt idx="4">
                  <c:v>0.35651260960529035</c:v>
                </c:pt>
                <c:pt idx="5">
                  <c:v>0.35651262478082502</c:v>
                </c:pt>
                <c:pt idx="6">
                  <c:v>0.35651268208701414</c:v>
                </c:pt>
                <c:pt idx="7">
                  <c:v>0.35651331184520685</c:v>
                </c:pt>
                <c:pt idx="8">
                  <c:v>0.35651951936948467</c:v>
                </c:pt>
                <c:pt idx="9">
                  <c:v>0.35658111542474297</c:v>
                </c:pt>
                <c:pt idx="10">
                  <c:v>0.35715662765316347</c:v>
                </c:pt>
                <c:pt idx="11">
                  <c:v>0.360442677619708</c:v>
                </c:pt>
                <c:pt idx="12">
                  <c:v>0.36464372970400755</c:v>
                </c:pt>
                <c:pt idx="13">
                  <c:v>0.369384450009968</c:v>
                </c:pt>
                <c:pt idx="14">
                  <c:v>0.37517689502244495</c:v>
                </c:pt>
                <c:pt idx="15">
                  <c:v>0.38149075642601166</c:v>
                </c:pt>
                <c:pt idx="16">
                  <c:v>0.38860641432985388</c:v>
                </c:pt>
                <c:pt idx="17">
                  <c:v>0.39442131560697397</c:v>
                </c:pt>
                <c:pt idx="18">
                  <c:v>0.39580464499728235</c:v>
                </c:pt>
                <c:pt idx="19">
                  <c:v>0.39588737539334995</c:v>
                </c:pt>
                <c:pt idx="20">
                  <c:v>0.39781098730619824</c:v>
                </c:pt>
                <c:pt idx="21">
                  <c:v>0.40240544341277462</c:v>
                </c:pt>
                <c:pt idx="22">
                  <c:v>0.41108623258437255</c:v>
                </c:pt>
                <c:pt idx="23">
                  <c:v>0.42315822989997837</c:v>
                </c:pt>
                <c:pt idx="24">
                  <c:v>0.43943319265879138</c:v>
                </c:pt>
                <c:pt idx="25">
                  <c:v>0.46294720168407089</c:v>
                </c:pt>
                <c:pt idx="26">
                  <c:v>0.49019631983289891</c:v>
                </c:pt>
                <c:pt idx="27">
                  <c:v>0.51508237530912238</c:v>
                </c:pt>
                <c:pt idx="28">
                  <c:v>0.53499071791066666</c:v>
                </c:pt>
                <c:pt idx="29">
                  <c:v>0.54533989603366739</c:v>
                </c:pt>
                <c:pt idx="30">
                  <c:v>0.54813389041045524</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0.35618123255129486</c:v>
                </c:pt>
                <c:pt idx="1">
                  <c:v>0.35619890499669771</c:v>
                </c:pt>
                <c:pt idx="2">
                  <c:v>0.35620063309224786</c:v>
                </c:pt>
                <c:pt idx="3">
                  <c:v>0.35621700453817834</c:v>
                </c:pt>
                <c:pt idx="4">
                  <c:v>0.35637729223137143</c:v>
                </c:pt>
                <c:pt idx="5">
                  <c:v>0.35772019966685181</c:v>
                </c:pt>
                <c:pt idx="6">
                  <c:v>0.36183053822172867</c:v>
                </c:pt>
                <c:pt idx="7">
                  <c:v>0.36618814855579462</c:v>
                </c:pt>
                <c:pt idx="8">
                  <c:v>0.37132335963279961</c:v>
                </c:pt>
                <c:pt idx="9">
                  <c:v>0.3775498266555285</c:v>
                </c:pt>
                <c:pt idx="10">
                  <c:v>0.38415537292786922</c:v>
                </c:pt>
                <c:pt idx="11">
                  <c:v>0.39282460259940688</c:v>
                </c:pt>
                <c:pt idx="12">
                  <c:v>0.40288203669893974</c:v>
                </c:pt>
                <c:pt idx="13">
                  <c:v>0.41340367848460691</c:v>
                </c:pt>
                <c:pt idx="14">
                  <c:v>0.42545741948639326</c:v>
                </c:pt>
                <c:pt idx="15">
                  <c:v>0.43814689843945259</c:v>
                </c:pt>
                <c:pt idx="16">
                  <c:v>0.44934920511874987</c:v>
                </c:pt>
                <c:pt idx="17">
                  <c:v>0.45591671760607699</c:v>
                </c:pt>
                <c:pt idx="18">
                  <c:v>0.46379991085856631</c:v>
                </c:pt>
                <c:pt idx="19">
                  <c:v>0.48012932899243571</c:v>
                </c:pt>
                <c:pt idx="20">
                  <c:v>0.50500234011815659</c:v>
                </c:pt>
                <c:pt idx="21">
                  <c:v>0.53036347598110389</c:v>
                </c:pt>
                <c:pt idx="22">
                  <c:v>0.54879634291937607</c:v>
                </c:pt>
                <c:pt idx="23">
                  <c:v>0.56031345738787863</c:v>
                </c:pt>
                <c:pt idx="24">
                  <c:v>0.55969784458725058</c:v>
                </c:pt>
                <c:pt idx="25">
                  <c:v>0.55630004676191225</c:v>
                </c:pt>
                <c:pt idx="26">
                  <c:v>0.55476144085288237</c:v>
                </c:pt>
                <c:pt idx="27">
                  <c:v>0.55477516357883649</c:v>
                </c:pt>
                <c:pt idx="28">
                  <c:v>0.55451354171811429</c:v>
                </c:pt>
                <c:pt idx="29">
                  <c:v>0.55429780521191163</c:v>
                </c:pt>
                <c:pt idx="30">
                  <c:v>0.55410204372180083</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0.3726459410684459</c:v>
                </c:pt>
                <c:pt idx="1">
                  <c:v>0.38058331670075135</c:v>
                </c:pt>
                <c:pt idx="2">
                  <c:v>0.38838520500871077</c:v>
                </c:pt>
                <c:pt idx="3">
                  <c:v>0.39780663696680457</c:v>
                </c:pt>
                <c:pt idx="4">
                  <c:v>0.40799472280052385</c:v>
                </c:pt>
                <c:pt idx="5">
                  <c:v>0.41922597817351359</c:v>
                </c:pt>
                <c:pt idx="6">
                  <c:v>0.4322529415810249</c:v>
                </c:pt>
                <c:pt idx="7">
                  <c:v>0.44885007937338817</c:v>
                </c:pt>
                <c:pt idx="8">
                  <c:v>0.47357347892989043</c:v>
                </c:pt>
                <c:pt idx="9">
                  <c:v>0.50996266618147224</c:v>
                </c:pt>
                <c:pt idx="10">
                  <c:v>0.56524109076840645</c:v>
                </c:pt>
                <c:pt idx="11">
                  <c:v>0.65130806701716915</c:v>
                </c:pt>
                <c:pt idx="12">
                  <c:v>0.75163775925377463</c:v>
                </c:pt>
                <c:pt idx="13">
                  <c:v>0.82795252547651055</c:v>
                </c:pt>
                <c:pt idx="14">
                  <c:v>0.85829587229993787</c:v>
                </c:pt>
                <c:pt idx="15">
                  <c:v>0.83539513119008801</c:v>
                </c:pt>
                <c:pt idx="16">
                  <c:v>0.77327908409116641</c:v>
                </c:pt>
                <c:pt idx="17">
                  <c:v>0.71104722091958672</c:v>
                </c:pt>
                <c:pt idx="18">
                  <c:v>0.65482618462927267</c:v>
                </c:pt>
                <c:pt idx="19">
                  <c:v>0.61566548246232133</c:v>
                </c:pt>
                <c:pt idx="20">
                  <c:v>0.59071669096984492</c:v>
                </c:pt>
                <c:pt idx="21">
                  <c:v>0.57336498189310858</c:v>
                </c:pt>
                <c:pt idx="22">
                  <c:v>0.56191044204113683</c:v>
                </c:pt>
                <c:pt idx="23">
                  <c:v>0.55490427156875721</c:v>
                </c:pt>
                <c:pt idx="24">
                  <c:v>0.55335672150465165</c:v>
                </c:pt>
                <c:pt idx="25">
                  <c:v>0.55157263715309424</c:v>
                </c:pt>
                <c:pt idx="26">
                  <c:v>0.55022634570394002</c:v>
                </c:pt>
                <c:pt idx="27">
                  <c:v>0.54953411756927129</c:v>
                </c:pt>
                <c:pt idx="28">
                  <c:v>0.54950937196023864</c:v>
                </c:pt>
                <c:pt idx="29">
                  <c:v>0.54950417096015058</c:v>
                </c:pt>
                <c:pt idx="30">
                  <c:v>0.54950634441636736</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0.38371396329229329</c:v>
                </c:pt>
                <c:pt idx="1">
                  <c:v>0.39458735874506484</c:v>
                </c:pt>
                <c:pt idx="2">
                  <c:v>0.40483055330298245</c:v>
                </c:pt>
                <c:pt idx="3">
                  <c:v>0.41560702983058323</c:v>
                </c:pt>
                <c:pt idx="4">
                  <c:v>0.4282149551373261</c:v>
                </c:pt>
                <c:pt idx="5">
                  <c:v>0.44341637441756293</c:v>
                </c:pt>
                <c:pt idx="6">
                  <c:v>0.46607449199802997</c:v>
                </c:pt>
                <c:pt idx="7">
                  <c:v>0.49933580218902446</c:v>
                </c:pt>
                <c:pt idx="8">
                  <c:v>0.54904567396177273</c:v>
                </c:pt>
                <c:pt idx="9">
                  <c:v>0.62730730021500691</c:v>
                </c:pt>
                <c:pt idx="10">
                  <c:v>0.72610310888281582</c:v>
                </c:pt>
                <c:pt idx="11">
                  <c:v>0.82017781581141258</c:v>
                </c:pt>
                <c:pt idx="12">
                  <c:v>0.88752956393876303</c:v>
                </c:pt>
                <c:pt idx="13">
                  <c:v>0.90431380142658779</c:v>
                </c:pt>
                <c:pt idx="14">
                  <c:v>0.87030950807261731</c:v>
                </c:pt>
                <c:pt idx="15">
                  <c:v>0.80944348871167726</c:v>
                </c:pt>
                <c:pt idx="16">
                  <c:v>0.73622722843234112</c:v>
                </c:pt>
                <c:pt idx="17">
                  <c:v>0.67412498115719</c:v>
                </c:pt>
                <c:pt idx="18">
                  <c:v>0.6296231350387238</c:v>
                </c:pt>
                <c:pt idx="19">
                  <c:v>0.60031664222289649</c:v>
                </c:pt>
                <c:pt idx="20">
                  <c:v>0.57973483051502384</c:v>
                </c:pt>
                <c:pt idx="21">
                  <c:v>0.56594718613016004</c:v>
                </c:pt>
                <c:pt idx="22">
                  <c:v>0.55726511361222497</c:v>
                </c:pt>
                <c:pt idx="23">
                  <c:v>0.55235524240365719</c:v>
                </c:pt>
                <c:pt idx="24">
                  <c:v>0.55231146387485341</c:v>
                </c:pt>
                <c:pt idx="25">
                  <c:v>0.55094821773263492</c:v>
                </c:pt>
                <c:pt idx="26">
                  <c:v>0.54983551062224867</c:v>
                </c:pt>
                <c:pt idx="27">
                  <c:v>0.54934800618116342</c:v>
                </c:pt>
                <c:pt idx="28">
                  <c:v>0.54932537336328136</c:v>
                </c:pt>
                <c:pt idx="29">
                  <c:v>0.54932366132004984</c:v>
                </c:pt>
                <c:pt idx="30">
                  <c:v>0.54933074433355589</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84776240"/>
        <c:axId val="48477859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477624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4778592"/>
        <c:crosses val="autoZero"/>
        <c:crossBetween val="midCat"/>
        <c:majorUnit val="10000"/>
      </c:valAx>
      <c:valAx>
        <c:axId val="48477859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84776240"/>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84780944"/>
        <c:axId val="4847825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8478094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2512"/>
        <c:crosses val="autoZero"/>
        <c:crossBetween val="midCat"/>
        <c:majorUnit val="10000"/>
      </c:valAx>
      <c:valAx>
        <c:axId val="48478251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0944"/>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1.7608901402286426E-2</c:v>
                </c:pt>
                <c:pt idx="1">
                  <c:v>2.4308089531265113E-2</c:v>
                </c:pt>
                <c:pt idx="2">
                  <c:v>6.8368771486465533E-3</c:v>
                </c:pt>
                <c:pt idx="3">
                  <c:v>1.1888761125565372E-3</c:v>
                </c:pt>
                <c:pt idx="4">
                  <c:v>1.7638625543586089E-4</c:v>
                </c:pt>
                <c:pt idx="5">
                  <c:v>2.2713361112321592E-5</c:v>
                </c:pt>
                <c:pt idx="6">
                  <c:v>4.8888368242617648E-6</c:v>
                </c:pt>
                <c:pt idx="7">
                  <c:v>1.5210061341049746E-5</c:v>
                </c:pt>
                <c:pt idx="8">
                  <c:v>4.0295938784902476E-5</c:v>
                </c:pt>
                <c:pt idx="9">
                  <c:v>7.8649627343029262E-5</c:v>
                </c:pt>
                <c:pt idx="10">
                  <c:v>1.3174875028454169E-4</c:v>
                </c:pt>
                <c:pt idx="11">
                  <c:v>2.0175001278844234E-4</c:v>
                </c:pt>
                <c:pt idx="12">
                  <c:v>8.3259070935924002E-5</c:v>
                </c:pt>
                <c:pt idx="13">
                  <c:v>1.7178183580498479E-4</c:v>
                </c:pt>
                <c:pt idx="14">
                  <c:v>6.5721524649871169E-4</c:v>
                </c:pt>
                <c:pt idx="15">
                  <c:v>7.2623451696388465E-4</c:v>
                </c:pt>
                <c:pt idx="16">
                  <c:v>3.4580116824336219E-4</c:v>
                </c:pt>
                <c:pt idx="17">
                  <c:v>2.7970823704934832E-5</c:v>
                </c:pt>
                <c:pt idx="18">
                  <c:v>1.5961759109867134E-4</c:v>
                </c:pt>
                <c:pt idx="19">
                  <c:v>2.1438209244754228E-5</c:v>
                </c:pt>
                <c:pt idx="20">
                  <c:v>1.5059004847149451E-6</c:v>
                </c:pt>
                <c:pt idx="21">
                  <c:v>3.6654656719657332E-5</c:v>
                </c:pt>
                <c:pt idx="22">
                  <c:v>2.1887999679470434E-4</c:v>
                </c:pt>
                <c:pt idx="23">
                  <c:v>1.3589745239004261E-5</c:v>
                </c:pt>
                <c:pt idx="24">
                  <c:v>1.4722742201845869E-4</c:v>
                </c:pt>
                <c:pt idx="25">
                  <c:v>5.9057592592391022E-4</c:v>
                </c:pt>
                <c:pt idx="26">
                  <c:v>1.5952050635773575E-3</c:v>
                </c:pt>
                <c:pt idx="27">
                  <c:v>2.62018305070446E-3</c:v>
                </c:pt>
                <c:pt idx="28">
                  <c:v>2.5667703714809193E-3</c:v>
                </c:pt>
                <c:pt idx="29">
                  <c:v>1.4665434862699534E-3</c:v>
                </c:pt>
                <c:pt idx="30">
                  <c:v>9.2646434261294854E-3</c:v>
                </c:pt>
              </c:numCache>
            </c:numRef>
          </c:yVal>
          <c:smooth val="1"/>
        </c:ser>
        <c:dLbls>
          <c:showLegendKey val="0"/>
          <c:showVal val="0"/>
          <c:showCatName val="0"/>
          <c:showSerName val="0"/>
          <c:showPercent val="0"/>
          <c:showBubbleSize val="0"/>
        </c:dLbls>
        <c:axId val="484781728"/>
        <c:axId val="484780552"/>
      </c:scatterChart>
      <c:valAx>
        <c:axId val="484781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0552"/>
        <c:crossesAt val="-1.5000000000000005E-3"/>
        <c:crossBetween val="midCat"/>
      </c:valAx>
      <c:valAx>
        <c:axId val="4847805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81728"/>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4885.5922092797246</c:v>
                </c:pt>
                <c:pt idx="1">
                  <c:v>4772.8623946058215</c:v>
                </c:pt>
                <c:pt idx="2">
                  <c:v>4355.9653991772811</c:v>
                </c:pt>
                <c:pt idx="3">
                  <c:v>4123.2531828827105</c:v>
                </c:pt>
                <c:pt idx="4">
                  <c:v>3829.1267493918258</c:v>
                </c:pt>
                <c:pt idx="5">
                  <c:v>3513.5354239182893</c:v>
                </c:pt>
                <c:pt idx="6">
                  <c:v>3097.9300749696163</c:v>
                </c:pt>
                <c:pt idx="7">
                  <c:v>2591.1789897032727</c:v>
                </c:pt>
                <c:pt idx="8">
                  <c:v>2005.4333800594313</c:v>
                </c:pt>
                <c:pt idx="9">
                  <c:v>1355.5629915427751</c:v>
                </c:pt>
                <c:pt idx="10">
                  <c:v>817.05966532285424</c:v>
                </c:pt>
                <c:pt idx="11">
                  <c:v>463.27815189958272</c:v>
                </c:pt>
                <c:pt idx="12">
                  <c:v>256.99270751746047</c:v>
                </c:pt>
                <c:pt idx="13">
                  <c:v>167.5236808333278</c:v>
                </c:pt>
                <c:pt idx="14">
                  <c:v>141.71039186915954</c:v>
                </c:pt>
                <c:pt idx="15">
                  <c:v>129.28514781426784</c:v>
                </c:pt>
                <c:pt idx="16">
                  <c:v>125.41243765530886</c:v>
                </c:pt>
                <c:pt idx="17">
                  <c:v>125.3740083683485</c:v>
                </c:pt>
                <c:pt idx="18">
                  <c:v>125.28240720862303</c:v>
                </c:pt>
                <c:pt idx="19">
                  <c:v>125.1396182727226</c:v>
                </c:pt>
                <c:pt idx="20">
                  <c:v>124.97840206946204</c:v>
                </c:pt>
                <c:pt idx="21">
                  <c:v>124.79063762293249</c:v>
                </c:pt>
                <c:pt idx="22">
                  <c:v>124.57339029280159</c:v>
                </c:pt>
                <c:pt idx="23">
                  <c:v>124.40157005344746</c:v>
                </c:pt>
                <c:pt idx="24">
                  <c:v>124.38065675971271</c:v>
                </c:pt>
                <c:pt idx="25">
                  <c:v>124.37988440495162</c:v>
                </c:pt>
                <c:pt idx="26">
                  <c:v>124.37974345414476</c:v>
                </c:pt>
                <c:pt idx="27">
                  <c:v>124.37833494867728</c:v>
                </c:pt>
                <c:pt idx="28">
                  <c:v>124.36425686390869</c:v>
                </c:pt>
                <c:pt idx="29">
                  <c:v>124.22417069145793</c:v>
                </c:pt>
                <c:pt idx="30">
                  <c:v>122.89051786045701</c:v>
                </c:pt>
              </c:numCache>
            </c:numRef>
          </c:yVal>
          <c:smooth val="1"/>
        </c:ser>
        <c:dLbls>
          <c:showLegendKey val="0"/>
          <c:showVal val="0"/>
          <c:showCatName val="0"/>
          <c:showSerName val="0"/>
          <c:showPercent val="0"/>
          <c:showBubbleSize val="0"/>
        </c:dLbls>
        <c:axId val="484775456"/>
        <c:axId val="484779376"/>
      </c:scatterChart>
      <c:valAx>
        <c:axId val="4847754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9376"/>
        <c:crosses val="autoZero"/>
        <c:crossBetween val="midCat"/>
      </c:valAx>
      <c:valAx>
        <c:axId val="48477937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545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2.5368871215235961E-3</c:v>
                </c:pt>
                <c:pt idx="11">
                  <c:v>2.5370055121378987E-3</c:v>
                </c:pt>
                <c:pt idx="12">
                  <c:v>2.538148747805283E-3</c:v>
                </c:pt>
                <c:pt idx="13">
                  <c:v>2.5495026809752631E-3</c:v>
                </c:pt>
                <c:pt idx="14">
                  <c:v>2.6630684674188729E-3</c:v>
                </c:pt>
                <c:pt idx="15">
                  <c:v>3.7941625622957154E-3</c:v>
                </c:pt>
                <c:pt idx="16">
                  <c:v>1.4661902960420166E-2</c:v>
                </c:pt>
                <c:pt idx="17">
                  <c:v>8.875445649525425E-2</c:v>
                </c:pt>
                <c:pt idx="18">
                  <c:v>0.14611523183775624</c:v>
                </c:pt>
                <c:pt idx="19">
                  <c:v>0.12321354527447745</c:v>
                </c:pt>
                <c:pt idx="20">
                  <c:v>9.2577764086681474E-2</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1.0331035653548587E-3</c:v>
                </c:pt>
                <c:pt idx="1">
                  <c:v>1.0269020356697782E-3</c:v>
                </c:pt>
                <c:pt idx="2">
                  <c:v>1.0306905448779734E-3</c:v>
                </c:pt>
                <c:pt idx="3">
                  <c:v>1.0318342184147528E-3</c:v>
                </c:pt>
                <c:pt idx="4">
                  <c:v>1.0321658413829109E-3</c:v>
                </c:pt>
                <c:pt idx="5">
                  <c:v>1.0321407098881159E-3</c:v>
                </c:pt>
                <c:pt idx="6">
                  <c:v>1.0308083751358506E-3</c:v>
                </c:pt>
                <c:pt idx="7">
                  <c:v>1.0169301556496556E-3</c:v>
                </c:pt>
                <c:pt idx="8">
                  <c:v>8.7821678715202403E-4</c:v>
                </c:pt>
                <c:pt idx="9">
                  <c:v>5.0225146396059921E-4</c:v>
                </c:pt>
                <c:pt idx="10">
                  <c:v>1.3667955606837404E-2</c:v>
                </c:pt>
                <c:pt idx="11">
                  <c:v>9.5066407351242069E-2</c:v>
                </c:pt>
                <c:pt idx="12">
                  <c:v>0.13244208164691371</c:v>
                </c:pt>
                <c:pt idx="13">
                  <c:v>0.10801975068165492</c:v>
                </c:pt>
                <c:pt idx="14">
                  <c:v>7.7322594166790923E-2</c:v>
                </c:pt>
                <c:pt idx="15">
                  <c:v>4.2755050731160746E-2</c:v>
                </c:pt>
                <c:pt idx="16">
                  <c:v>1.0203667340105461E-3</c:v>
                </c:pt>
                <c:pt idx="17">
                  <c:v>3.5065988499504097E-2</c:v>
                </c:pt>
                <c:pt idx="18">
                  <c:v>1.6022774599939615E-2</c:v>
                </c:pt>
                <c:pt idx="19">
                  <c:v>4.3388504270403583E-2</c:v>
                </c:pt>
                <c:pt idx="20">
                  <c:v>5.7091196855631285E-2</c:v>
                </c:pt>
                <c:pt idx="21">
                  <c:v>7.1727701056872747E-2</c:v>
                </c:pt>
                <c:pt idx="22">
                  <c:v>8.2185085440585448E-2</c:v>
                </c:pt>
                <c:pt idx="23">
                  <c:v>9.0554894742338507E-2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2.4970574276270297E-2</c:v>
                </c:pt>
                <c:pt idx="11">
                  <c:v>1.3824091439075595E-2</c:v>
                </c:pt>
                <c:pt idx="12">
                  <c:v>2.3456559732941385E-4</c:v>
                </c:pt>
                <c:pt idx="13">
                  <c:v>8.4473554952576822E-3</c:v>
                </c:pt>
                <c:pt idx="14">
                  <c:v>3.8120319828736289E-3</c:v>
                </c:pt>
                <c:pt idx="15">
                  <c:v>6.6421646820028872E-3</c:v>
                </c:pt>
                <c:pt idx="16">
                  <c:v>1.3188924797221209E-3</c:v>
                </c:pt>
                <c:pt idx="17">
                  <c:v>6.6241582252014207E-3</c:v>
                </c:pt>
                <c:pt idx="18">
                  <c:v>1.0308533572025051E-2</c:v>
                </c:pt>
                <c:pt idx="19">
                  <c:v>2.8095473299463228E-3</c:v>
                </c:pt>
                <c:pt idx="20">
                  <c:v>2.2801662761603229E-2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8.5799857372670428E-5</c:v>
                </c:pt>
                <c:pt idx="11">
                  <c:v>2.4960972022065701E-4</c:v>
                </c:pt>
                <c:pt idx="12">
                  <c:v>3.895521770070254E-5</c:v>
                </c:pt>
                <c:pt idx="13">
                  <c:v>1.5634993129271584E-4</c:v>
                </c:pt>
                <c:pt idx="14">
                  <c:v>6.6608963471470682E-4</c:v>
                </c:pt>
                <c:pt idx="15">
                  <c:v>7.2271373135782775E-4</c:v>
                </c:pt>
                <c:pt idx="16">
                  <c:v>3.4589012345961786E-4</c:v>
                </c:pt>
                <c:pt idx="17">
                  <c:v>2.8007024903847544E-5</c:v>
                </c:pt>
                <c:pt idx="18">
                  <c:v>1.5954576545053101E-4</c:v>
                </c:pt>
                <c:pt idx="19">
                  <c:v>2.1363920969180528E-5</c:v>
                </c:pt>
                <c:pt idx="20">
                  <c:v>1.6065233501970298E-6</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484777416"/>
        <c:axId val="484777808"/>
      </c:scatterChart>
      <c:valAx>
        <c:axId val="4847774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7808"/>
        <c:crossesAt val="1.0000000000000005E-9"/>
        <c:crossBetween val="midCat"/>
      </c:valAx>
      <c:valAx>
        <c:axId val="484777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741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-50.877186227047318</c:v>
                </c:pt>
                <c:pt idx="1">
                  <c:v>-47.53503258872334</c:v>
                </c:pt>
                <c:pt idx="2">
                  <c:v>-43.17223321865707</c:v>
                </c:pt>
                <c:pt idx="3">
                  <c:v>-36.73447871701795</c:v>
                </c:pt>
                <c:pt idx="4">
                  <c:v>-23.798541942982897</c:v>
                </c:pt>
                <c:pt idx="5">
                  <c:v>-4.1694131014593321</c:v>
                </c:pt>
                <c:pt idx="6">
                  <c:v>0</c:v>
                </c:pt>
              </c:numCache>
            </c:numRef>
          </c:yVal>
          <c:smooth val="0"/>
        </c:ser>
        <c:dLbls>
          <c:showLegendKey val="0"/>
          <c:showVal val="0"/>
          <c:showCatName val="0"/>
          <c:showSerName val="0"/>
          <c:showPercent val="0"/>
          <c:showBubbleSize val="0"/>
        </c:dLbls>
        <c:axId val="484778984"/>
        <c:axId val="479596968"/>
      </c:scatterChart>
      <c:valAx>
        <c:axId val="484778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79596968"/>
        <c:crossesAt val="-100"/>
        <c:crossBetween val="midCat"/>
      </c:valAx>
      <c:valAx>
        <c:axId val="479596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4778984"/>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0"/>
        </c:ser>
        <c:dLbls>
          <c:showLegendKey val="0"/>
          <c:showVal val="0"/>
          <c:showCatName val="0"/>
          <c:showSerName val="0"/>
          <c:showPercent val="0"/>
          <c:showBubbleSize val="0"/>
        </c:dLbls>
        <c:axId val="486288280"/>
        <c:axId val="486288672"/>
      </c:scatterChart>
      <c:valAx>
        <c:axId val="48628828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8672"/>
        <c:crosses val="autoZero"/>
        <c:crossBetween val="midCat"/>
      </c:valAx>
      <c:valAx>
        <c:axId val="48628867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8280"/>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8.0226670126500902E-38</c:v>
                </c:pt>
                <c:pt idx="1">
                  <c:v>8.0226670126500902E-37</c:v>
                </c:pt>
                <c:pt idx="2">
                  <c:v>8.0226670126500902E-36</c:v>
                </c:pt>
                <c:pt idx="3">
                  <c:v>8.0226670126500897E-35</c:v>
                </c:pt>
                <c:pt idx="4">
                  <c:v>8.0226670126500882E-34</c:v>
                </c:pt>
                <c:pt idx="5">
                  <c:v>8.0226670126500899E-33</c:v>
                </c:pt>
                <c:pt idx="6">
                  <c:v>8.0226670126500896E-32</c:v>
                </c:pt>
                <c:pt idx="7">
                  <c:v>8.0226670126500905E-31</c:v>
                </c:pt>
                <c:pt idx="8">
                  <c:v>8.0226670126500894E-30</c:v>
                </c:pt>
                <c:pt idx="9">
                  <c:v>8.0226670126500894E-29</c:v>
                </c:pt>
                <c:pt idx="10">
                  <c:v>8.0226670126500903E-28</c:v>
                </c:pt>
                <c:pt idx="11">
                  <c:v>8.0226670126500893E-27</c:v>
                </c:pt>
                <c:pt idx="12">
                  <c:v>8.0226670126500895E-26</c:v>
                </c:pt>
                <c:pt idx="13">
                  <c:v>8.02266701265009E-25</c:v>
                </c:pt>
                <c:pt idx="14">
                  <c:v>8.0226670126500895E-24</c:v>
                </c:pt>
                <c:pt idx="15">
                  <c:v>8.0226670126500889E-23</c:v>
                </c:pt>
                <c:pt idx="16">
                  <c:v>8.0226670126500891E-22</c:v>
                </c:pt>
                <c:pt idx="17">
                  <c:v>8.0226670126500889E-21</c:v>
                </c:pt>
                <c:pt idx="18">
                  <c:v>8.0226670126500895E-20</c:v>
                </c:pt>
                <c:pt idx="19">
                  <c:v>8.0226670126500895E-19</c:v>
                </c:pt>
                <c:pt idx="20">
                  <c:v>8.0226670126500891E-18</c:v>
                </c:pt>
                <c:pt idx="21">
                  <c:v>8.0226670126500891E-17</c:v>
                </c:pt>
                <c:pt idx="22">
                  <c:v>8.0226670126500899E-16</c:v>
                </c:pt>
                <c:pt idx="23">
                  <c:v>8.0226670126500895E-15</c:v>
                </c:pt>
                <c:pt idx="24">
                  <c:v>8.0226670126500898E-14</c:v>
                </c:pt>
                <c:pt idx="25">
                  <c:v>8.0226670126500895E-13</c:v>
                </c:pt>
                <c:pt idx="26">
                  <c:v>8.0226670126500893E-12</c:v>
                </c:pt>
                <c:pt idx="27">
                  <c:v>8.0226670126500893E-11</c:v>
                </c:pt>
                <c:pt idx="28">
                  <c:v>8.0226670126500891E-10</c:v>
                </c:pt>
                <c:pt idx="29">
                  <c:v>8.0226670126500895E-9</c:v>
                </c:pt>
                <c:pt idx="30">
                  <c:v>8.0226670126500892E-8</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2.2688075024710524E-36</c:v>
                </c:pt>
                <c:pt idx="1">
                  <c:v>2.2688075024710524E-35</c:v>
                </c:pt>
                <c:pt idx="2">
                  <c:v>2.2688075024710522E-34</c:v>
                </c:pt>
                <c:pt idx="3">
                  <c:v>2.2688075024710523E-33</c:v>
                </c:pt>
                <c:pt idx="4">
                  <c:v>2.2688075024710521E-32</c:v>
                </c:pt>
                <c:pt idx="5">
                  <c:v>2.2688075024710522E-31</c:v>
                </c:pt>
                <c:pt idx="6">
                  <c:v>2.2688075024710525E-30</c:v>
                </c:pt>
                <c:pt idx="7">
                  <c:v>2.2688075024710523E-29</c:v>
                </c:pt>
                <c:pt idx="8">
                  <c:v>2.2688075024710521E-28</c:v>
                </c:pt>
                <c:pt idx="9">
                  <c:v>2.2688075024710524E-27</c:v>
                </c:pt>
                <c:pt idx="10">
                  <c:v>2.2688075024710526E-26</c:v>
                </c:pt>
                <c:pt idx="11">
                  <c:v>2.2688075024710524E-25</c:v>
                </c:pt>
                <c:pt idx="12">
                  <c:v>2.2688075024710523E-24</c:v>
                </c:pt>
                <c:pt idx="13">
                  <c:v>2.2688075024710522E-23</c:v>
                </c:pt>
                <c:pt idx="14">
                  <c:v>2.2688075024710524E-22</c:v>
                </c:pt>
                <c:pt idx="15">
                  <c:v>2.2688075024710524E-21</c:v>
                </c:pt>
                <c:pt idx="16">
                  <c:v>2.2688075024710524E-20</c:v>
                </c:pt>
                <c:pt idx="17">
                  <c:v>2.2688075024710522E-19</c:v>
                </c:pt>
                <c:pt idx="18">
                  <c:v>2.2688075024710525E-18</c:v>
                </c:pt>
                <c:pt idx="19">
                  <c:v>2.2688075024710523E-17</c:v>
                </c:pt>
                <c:pt idx="20">
                  <c:v>2.2688075024710522E-16</c:v>
                </c:pt>
                <c:pt idx="21">
                  <c:v>2.2688075024710523E-15</c:v>
                </c:pt>
                <c:pt idx="22">
                  <c:v>2.2688075024710524E-14</c:v>
                </c:pt>
                <c:pt idx="23">
                  <c:v>2.2688075024710523E-13</c:v>
                </c:pt>
                <c:pt idx="24">
                  <c:v>2.2688075024710523E-12</c:v>
                </c:pt>
                <c:pt idx="25">
                  <c:v>2.2688075024710523E-11</c:v>
                </c:pt>
                <c:pt idx="26">
                  <c:v>2.2688075024710522E-10</c:v>
                </c:pt>
                <c:pt idx="27">
                  <c:v>2.2688075024710521E-9</c:v>
                </c:pt>
                <c:pt idx="28">
                  <c:v>2.2688075024710524E-8</c:v>
                </c:pt>
                <c:pt idx="29">
                  <c:v>2.2688075024710524E-7</c:v>
                </c:pt>
                <c:pt idx="30">
                  <c:v>2.2688075024710525E-6</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1.7804809923632087E-34</c:v>
                </c:pt>
                <c:pt idx="1">
                  <c:v>1.7804809923632084E-33</c:v>
                </c:pt>
                <c:pt idx="2">
                  <c:v>1.7804809923632087E-32</c:v>
                </c:pt>
                <c:pt idx="3">
                  <c:v>1.7804809923632086E-31</c:v>
                </c:pt>
                <c:pt idx="4">
                  <c:v>1.7804809923632084E-30</c:v>
                </c:pt>
                <c:pt idx="5">
                  <c:v>1.7804809923632086E-29</c:v>
                </c:pt>
                <c:pt idx="6">
                  <c:v>1.7804809923632087E-28</c:v>
                </c:pt>
                <c:pt idx="7">
                  <c:v>1.7804809923632086E-27</c:v>
                </c:pt>
                <c:pt idx="8">
                  <c:v>1.7804809923632085E-26</c:v>
                </c:pt>
                <c:pt idx="9">
                  <c:v>1.7804809923632084E-25</c:v>
                </c:pt>
                <c:pt idx="10">
                  <c:v>1.7804809923632086E-24</c:v>
                </c:pt>
                <c:pt idx="11">
                  <c:v>1.7804809923632086E-23</c:v>
                </c:pt>
                <c:pt idx="12">
                  <c:v>1.7804809923632086E-22</c:v>
                </c:pt>
                <c:pt idx="13">
                  <c:v>1.7804809923632087E-21</c:v>
                </c:pt>
                <c:pt idx="14">
                  <c:v>1.7804809923632087E-20</c:v>
                </c:pt>
                <c:pt idx="15">
                  <c:v>1.7804809923632085E-19</c:v>
                </c:pt>
                <c:pt idx="16">
                  <c:v>1.7804809923632085E-18</c:v>
                </c:pt>
                <c:pt idx="17">
                  <c:v>1.7804809923632087E-17</c:v>
                </c:pt>
                <c:pt idx="18">
                  <c:v>1.7804809923632084E-16</c:v>
                </c:pt>
                <c:pt idx="19">
                  <c:v>1.7804809923632087E-15</c:v>
                </c:pt>
                <c:pt idx="20">
                  <c:v>1.7804809923632085E-14</c:v>
                </c:pt>
                <c:pt idx="21">
                  <c:v>1.7804809923632084E-13</c:v>
                </c:pt>
                <c:pt idx="22">
                  <c:v>1.7804809923632086E-12</c:v>
                </c:pt>
                <c:pt idx="23">
                  <c:v>1.7804809923632085E-11</c:v>
                </c:pt>
                <c:pt idx="24">
                  <c:v>1.7804809923632086E-10</c:v>
                </c:pt>
                <c:pt idx="25">
                  <c:v>1.7804809923632086E-9</c:v>
                </c:pt>
                <c:pt idx="26">
                  <c:v>1.7804809923632084E-8</c:v>
                </c:pt>
                <c:pt idx="27">
                  <c:v>1.7804809923632086E-7</c:v>
                </c:pt>
                <c:pt idx="28">
                  <c:v>1.7804809923632086E-6</c:v>
                </c:pt>
                <c:pt idx="29">
                  <c:v>1.7804809923632086E-5</c:v>
                </c:pt>
                <c:pt idx="30">
                  <c:v>1.7804809923632086E-4</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1.1128037938306444E-31</c:v>
                </c:pt>
                <c:pt idx="1">
                  <c:v>1.1128037938306443E-30</c:v>
                </c:pt>
                <c:pt idx="2">
                  <c:v>1.1128037938306443E-29</c:v>
                </c:pt>
                <c:pt idx="3">
                  <c:v>1.1128037938306442E-28</c:v>
                </c:pt>
                <c:pt idx="4">
                  <c:v>1.1128037938306442E-27</c:v>
                </c:pt>
                <c:pt idx="5">
                  <c:v>1.1128037938306444E-26</c:v>
                </c:pt>
                <c:pt idx="6">
                  <c:v>1.1128037938306445E-25</c:v>
                </c:pt>
                <c:pt idx="7">
                  <c:v>1.1128037938306444E-24</c:v>
                </c:pt>
                <c:pt idx="8">
                  <c:v>1.1128037938306443E-23</c:v>
                </c:pt>
                <c:pt idx="9">
                  <c:v>1.1128037938306444E-22</c:v>
                </c:pt>
                <c:pt idx="10">
                  <c:v>1.1128037938306444E-21</c:v>
                </c:pt>
                <c:pt idx="11">
                  <c:v>1.1128037938306444E-20</c:v>
                </c:pt>
                <c:pt idx="12">
                  <c:v>1.1128037938306443E-19</c:v>
                </c:pt>
                <c:pt idx="13">
                  <c:v>1.1128037938306444E-18</c:v>
                </c:pt>
                <c:pt idx="14">
                  <c:v>1.1128037938306444E-17</c:v>
                </c:pt>
                <c:pt idx="15">
                  <c:v>1.1128037938306444E-16</c:v>
                </c:pt>
                <c:pt idx="16">
                  <c:v>1.1128037938306442E-15</c:v>
                </c:pt>
                <c:pt idx="17">
                  <c:v>1.1128037938306444E-14</c:v>
                </c:pt>
                <c:pt idx="18">
                  <c:v>1.1128037938306443E-13</c:v>
                </c:pt>
                <c:pt idx="19">
                  <c:v>1.1128037938306443E-12</c:v>
                </c:pt>
                <c:pt idx="20">
                  <c:v>1.1128037938306443E-11</c:v>
                </c:pt>
                <c:pt idx="21">
                  <c:v>1.1128037938306443E-10</c:v>
                </c:pt>
                <c:pt idx="22">
                  <c:v>1.1128037938306443E-9</c:v>
                </c:pt>
                <c:pt idx="23">
                  <c:v>1.1128037938306444E-8</c:v>
                </c:pt>
                <c:pt idx="24">
                  <c:v>1.1128037938306443E-7</c:v>
                </c:pt>
                <c:pt idx="25">
                  <c:v>1.1128037938306444E-6</c:v>
                </c:pt>
                <c:pt idx="26">
                  <c:v>1.1128037938306443E-5</c:v>
                </c:pt>
                <c:pt idx="27">
                  <c:v>1.1128037938306444E-4</c:v>
                </c:pt>
                <c:pt idx="28">
                  <c:v>1.1128037938306443E-3</c:v>
                </c:pt>
                <c:pt idx="29">
                  <c:v>1.1128037938306443E-2</c:v>
                </c:pt>
                <c:pt idx="30">
                  <c:v>0.11128037938306443</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4.6176876906921467E-26</c:v>
                </c:pt>
                <c:pt idx="1">
                  <c:v>4.6176876906921463E-25</c:v>
                </c:pt>
                <c:pt idx="2">
                  <c:v>4.6176876906921465E-24</c:v>
                </c:pt>
                <c:pt idx="3">
                  <c:v>4.6176876906921465E-23</c:v>
                </c:pt>
                <c:pt idx="4">
                  <c:v>4.6176876906921458E-22</c:v>
                </c:pt>
                <c:pt idx="5">
                  <c:v>4.6176876906921462E-21</c:v>
                </c:pt>
                <c:pt idx="6">
                  <c:v>4.6176876906921465E-20</c:v>
                </c:pt>
                <c:pt idx="7">
                  <c:v>4.6176876906921465E-19</c:v>
                </c:pt>
                <c:pt idx="8">
                  <c:v>4.6176876906921459E-18</c:v>
                </c:pt>
                <c:pt idx="9">
                  <c:v>4.6176876906921461E-17</c:v>
                </c:pt>
                <c:pt idx="10">
                  <c:v>4.6176876906921467E-16</c:v>
                </c:pt>
                <c:pt idx="11">
                  <c:v>4.6176876906921465E-15</c:v>
                </c:pt>
                <c:pt idx="12">
                  <c:v>4.6176876906921462E-14</c:v>
                </c:pt>
                <c:pt idx="13">
                  <c:v>4.6176876906921463E-13</c:v>
                </c:pt>
                <c:pt idx="14">
                  <c:v>4.6176876906921467E-12</c:v>
                </c:pt>
                <c:pt idx="15">
                  <c:v>4.6176876906921465E-11</c:v>
                </c:pt>
                <c:pt idx="16">
                  <c:v>4.6176876906921465E-10</c:v>
                </c:pt>
                <c:pt idx="17">
                  <c:v>4.6176876906921461E-9</c:v>
                </c:pt>
                <c:pt idx="18">
                  <c:v>4.6176876906921463E-8</c:v>
                </c:pt>
                <c:pt idx="19">
                  <c:v>4.6176876906921463E-7</c:v>
                </c:pt>
                <c:pt idx="20">
                  <c:v>4.6176876906921461E-6</c:v>
                </c:pt>
                <c:pt idx="21">
                  <c:v>4.6176876906921466E-5</c:v>
                </c:pt>
                <c:pt idx="22">
                  <c:v>4.6176876906921466E-4</c:v>
                </c:pt>
                <c:pt idx="23">
                  <c:v>4.6176876906921464E-3</c:v>
                </c:pt>
                <c:pt idx="24">
                  <c:v>4.617687690692146E-2</c:v>
                </c:pt>
                <c:pt idx="25">
                  <c:v>0.46176876906921466</c:v>
                </c:pt>
                <c:pt idx="26">
                  <c:v>4.6176876906921462</c:v>
                </c:pt>
                <c:pt idx="27">
                  <c:v>46.176876906921464</c:v>
                </c:pt>
                <c:pt idx="28">
                  <c:v>461.76876906921461</c:v>
                </c:pt>
                <c:pt idx="29">
                  <c:v>4617.6876906921461</c:v>
                </c:pt>
                <c:pt idx="30">
                  <c:v>46176.876906921461</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1.546133169461167E-17</c:v>
                </c:pt>
                <c:pt idx="1">
                  <c:v>1.5461331694611668E-16</c:v>
                </c:pt>
                <c:pt idx="2">
                  <c:v>1.5461331694611669E-15</c:v>
                </c:pt>
                <c:pt idx="3">
                  <c:v>1.5461331694611668E-14</c:v>
                </c:pt>
                <c:pt idx="4">
                  <c:v>1.5461331694611667E-13</c:v>
                </c:pt>
                <c:pt idx="5">
                  <c:v>1.5461331694611669E-12</c:v>
                </c:pt>
                <c:pt idx="6">
                  <c:v>1.5461331694611668E-11</c:v>
                </c:pt>
                <c:pt idx="7">
                  <c:v>1.546133169461167E-10</c:v>
                </c:pt>
                <c:pt idx="8">
                  <c:v>1.5461331694611667E-9</c:v>
                </c:pt>
                <c:pt idx="9">
                  <c:v>1.5461331694611666E-8</c:v>
                </c:pt>
                <c:pt idx="10">
                  <c:v>1.5461331694611668E-7</c:v>
                </c:pt>
                <c:pt idx="11">
                  <c:v>1.5461331694611669E-6</c:v>
                </c:pt>
                <c:pt idx="12">
                  <c:v>1.5461331694611668E-5</c:v>
                </c:pt>
                <c:pt idx="13">
                  <c:v>1.5461331694611668E-4</c:v>
                </c:pt>
                <c:pt idx="14">
                  <c:v>1.546133169461167E-3</c:v>
                </c:pt>
                <c:pt idx="15">
                  <c:v>1.5461331694611669E-2</c:v>
                </c:pt>
                <c:pt idx="16">
                  <c:v>0.15461331694611669</c:v>
                </c:pt>
                <c:pt idx="17">
                  <c:v>1.5461331694611669</c:v>
                </c:pt>
                <c:pt idx="18">
                  <c:v>15.461331694611669</c:v>
                </c:pt>
                <c:pt idx="19">
                  <c:v>154.61331694611667</c:v>
                </c:pt>
                <c:pt idx="20">
                  <c:v>1546.1331694611667</c:v>
                </c:pt>
                <c:pt idx="21">
                  <c:v>15461.331694611668</c:v>
                </c:pt>
                <c:pt idx="22">
                  <c:v>154613.31694611668</c:v>
                </c:pt>
                <c:pt idx="23">
                  <c:v>1546133.1694611667</c:v>
                </c:pt>
                <c:pt idx="24">
                  <c:v>15461331.694611669</c:v>
                </c:pt>
                <c:pt idx="25">
                  <c:v>154613316.94611669</c:v>
                </c:pt>
                <c:pt idx="26">
                  <c:v>1546133169.4611669</c:v>
                </c:pt>
                <c:pt idx="27">
                  <c:v>15461331694.611668</c:v>
                </c:pt>
                <c:pt idx="28">
                  <c:v>154613316946.11667</c:v>
                </c:pt>
                <c:pt idx="29">
                  <c:v>1546133169461.1667</c:v>
                </c:pt>
                <c:pt idx="30">
                  <c:v>15461331694611.668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486292592"/>
        <c:axId val="486289064"/>
      </c:scatterChart>
      <c:valAx>
        <c:axId val="48629259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9064"/>
        <c:crosses val="autoZero"/>
        <c:crossBetween val="midCat"/>
      </c:valAx>
      <c:valAx>
        <c:axId val="4862890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2592"/>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8.0226670126500902E-38</c:v>
                </c:pt>
                <c:pt idx="1">
                  <c:v>8.0226670126500902E-37</c:v>
                </c:pt>
                <c:pt idx="2">
                  <c:v>8.0226670126500902E-36</c:v>
                </c:pt>
                <c:pt idx="3">
                  <c:v>8.0226670126500897E-35</c:v>
                </c:pt>
                <c:pt idx="4">
                  <c:v>8.0226670126500882E-34</c:v>
                </c:pt>
                <c:pt idx="5">
                  <c:v>8.0226670126500899E-33</c:v>
                </c:pt>
                <c:pt idx="6">
                  <c:v>8.0226670126500896E-32</c:v>
                </c:pt>
                <c:pt idx="7">
                  <c:v>8.0226670126500905E-31</c:v>
                </c:pt>
                <c:pt idx="8">
                  <c:v>8.0226670126500894E-30</c:v>
                </c:pt>
                <c:pt idx="9">
                  <c:v>8.0226670126500894E-29</c:v>
                </c:pt>
                <c:pt idx="10">
                  <c:v>8.0226670126500903E-28</c:v>
                </c:pt>
                <c:pt idx="11">
                  <c:v>8.0226670126500893E-27</c:v>
                </c:pt>
                <c:pt idx="12">
                  <c:v>8.0226670126500895E-26</c:v>
                </c:pt>
                <c:pt idx="13">
                  <c:v>8.02266701265009E-25</c:v>
                </c:pt>
                <c:pt idx="14">
                  <c:v>8.0226670126500895E-24</c:v>
                </c:pt>
                <c:pt idx="15">
                  <c:v>8.0226670126500889E-23</c:v>
                </c:pt>
                <c:pt idx="16">
                  <c:v>8.0226670126500891E-22</c:v>
                </c:pt>
                <c:pt idx="17">
                  <c:v>8.0226670126500889E-21</c:v>
                </c:pt>
                <c:pt idx="18">
                  <c:v>8.0226670126500895E-20</c:v>
                </c:pt>
                <c:pt idx="19">
                  <c:v>8.0226670126500895E-19</c:v>
                </c:pt>
                <c:pt idx="20">
                  <c:v>8.0226670126500891E-18</c:v>
                </c:pt>
                <c:pt idx="21">
                  <c:v>8.0226670126500891E-17</c:v>
                </c:pt>
                <c:pt idx="22">
                  <c:v>8.0226670126500899E-16</c:v>
                </c:pt>
                <c:pt idx="23">
                  <c:v>8.0226670126500895E-15</c:v>
                </c:pt>
                <c:pt idx="24">
                  <c:v>8.0226670126500898E-14</c:v>
                </c:pt>
                <c:pt idx="25">
                  <c:v>8.0226670126500895E-13</c:v>
                </c:pt>
                <c:pt idx="26">
                  <c:v>8.0226670126500893E-12</c:v>
                </c:pt>
                <c:pt idx="27">
                  <c:v>8.0226670126500893E-11</c:v>
                </c:pt>
                <c:pt idx="28">
                  <c:v>8.0226670126500891E-10</c:v>
                </c:pt>
                <c:pt idx="29">
                  <c:v>8.0226670126500895E-9</c:v>
                </c:pt>
                <c:pt idx="30">
                  <c:v>8.0226670126500892E-8</c:v>
                </c:pt>
              </c:numCache>
            </c:numRef>
          </c:xVal>
          <c:yVal>
            <c:numRef>
              <c:f>'Mastercurve bestimmen'!$J$404:$J$434</c:f>
              <c:numCache>
                <c:formatCode>0.00E+00</c:formatCode>
                <c:ptCount val="31"/>
                <c:pt idx="0">
                  <c:v>5945.4862308501361</c:v>
                </c:pt>
                <c:pt idx="1">
                  <c:v>5945.5233978276192</c:v>
                </c:pt>
                <c:pt idx="2">
                  <c:v>5945.5006733975988</c:v>
                </c:pt>
                <c:pt idx="3">
                  <c:v>5945.4940479964844</c:v>
                </c:pt>
                <c:pt idx="4">
                  <c:v>5945.491987661344</c:v>
                </c:pt>
                <c:pt idx="5">
                  <c:v>5945.4911594878167</c:v>
                </c:pt>
                <c:pt idx="6">
                  <c:v>5945.4908968962591</c:v>
                </c:pt>
                <c:pt idx="7">
                  <c:v>5945.4908564975603</c:v>
                </c:pt>
                <c:pt idx="8">
                  <c:v>5945.4908564975603</c:v>
                </c:pt>
                <c:pt idx="9">
                  <c:v>5945.4908564975603</c:v>
                </c:pt>
                <c:pt idx="10">
                  <c:v>5945.4908564975603</c:v>
                </c:pt>
                <c:pt idx="11">
                  <c:v>5945.4908160988625</c:v>
                </c:pt>
                <c:pt idx="12">
                  <c:v>5945.4901697197583</c:v>
                </c:pt>
                <c:pt idx="13">
                  <c:v>5945.4832413525728</c:v>
                </c:pt>
                <c:pt idx="14">
                  <c:v>5945.4144029430536</c:v>
                </c:pt>
                <c:pt idx="15">
                  <c:v>5944.7274999078909</c:v>
                </c:pt>
                <c:pt idx="16">
                  <c:v>5938.0129605513939</c:v>
                </c:pt>
                <c:pt idx="17">
                  <c:v>5884.0318384088569</c:v>
                </c:pt>
                <c:pt idx="18">
                  <c:v>5738.5639340162998</c:v>
                </c:pt>
                <c:pt idx="19">
                  <c:v>5588.2751906456833</c:v>
                </c:pt>
                <c:pt idx="20">
                  <c:v>5399.4936644871386</c:v>
                </c:pt>
                <c:pt idx="21">
                  <c:v>5141.8460502498219</c:v>
                </c:pt>
                <c:pt idx="22">
                  <c:v>4855.3493085479013</c:v>
                </c:pt>
                <c:pt idx="23">
                  <c:v>4530.5898566513597</c:v>
                </c:pt>
                <c:pt idx="24">
                  <c:v>4215.1902304511941</c:v>
                </c:pt>
                <c:pt idx="25">
                  <c:v>3929.081471457625</c:v>
                </c:pt>
                <c:pt idx="26">
                  <c:v>3641.242030569621</c:v>
                </c:pt>
                <c:pt idx="27">
                  <c:v>3352.5216988135498</c:v>
                </c:pt>
                <c:pt idx="28">
                  <c:v>2996.6335305209523</c:v>
                </c:pt>
                <c:pt idx="29">
                  <c:v>2563.0064610610193</c:v>
                </c:pt>
                <c:pt idx="30">
                  <c:v>2059.5134179476377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2.2688075024710524E-36</c:v>
                </c:pt>
                <c:pt idx="1">
                  <c:v>2.2688075024710524E-35</c:v>
                </c:pt>
                <c:pt idx="2">
                  <c:v>2.2688075024710522E-34</c:v>
                </c:pt>
                <c:pt idx="3">
                  <c:v>2.2688075024710523E-33</c:v>
                </c:pt>
                <c:pt idx="4">
                  <c:v>2.2688075024710521E-32</c:v>
                </c:pt>
                <c:pt idx="5">
                  <c:v>2.2688075024710522E-31</c:v>
                </c:pt>
                <c:pt idx="6">
                  <c:v>2.2688075024710525E-30</c:v>
                </c:pt>
                <c:pt idx="7">
                  <c:v>2.2688075024710523E-29</c:v>
                </c:pt>
                <c:pt idx="8">
                  <c:v>2.2688075024710521E-28</c:v>
                </c:pt>
                <c:pt idx="9">
                  <c:v>2.2688075024710524E-27</c:v>
                </c:pt>
                <c:pt idx="10">
                  <c:v>2.2688075024710526E-26</c:v>
                </c:pt>
                <c:pt idx="11">
                  <c:v>2.2688075024710524E-25</c:v>
                </c:pt>
                <c:pt idx="12">
                  <c:v>2.2688075024710523E-24</c:v>
                </c:pt>
                <c:pt idx="13">
                  <c:v>2.2688075024710522E-23</c:v>
                </c:pt>
                <c:pt idx="14">
                  <c:v>2.2688075024710524E-22</c:v>
                </c:pt>
                <c:pt idx="15">
                  <c:v>2.2688075024710524E-21</c:v>
                </c:pt>
                <c:pt idx="16">
                  <c:v>2.2688075024710524E-20</c:v>
                </c:pt>
                <c:pt idx="17">
                  <c:v>2.2688075024710522E-19</c:v>
                </c:pt>
                <c:pt idx="18">
                  <c:v>2.2688075024710525E-18</c:v>
                </c:pt>
                <c:pt idx="19">
                  <c:v>2.2688075024710523E-17</c:v>
                </c:pt>
                <c:pt idx="20">
                  <c:v>2.2688075024710522E-16</c:v>
                </c:pt>
                <c:pt idx="21">
                  <c:v>2.2688075024710523E-15</c:v>
                </c:pt>
                <c:pt idx="22">
                  <c:v>2.2688075024710524E-14</c:v>
                </c:pt>
                <c:pt idx="23">
                  <c:v>2.2688075024710523E-13</c:v>
                </c:pt>
                <c:pt idx="24">
                  <c:v>2.2688075024710523E-12</c:v>
                </c:pt>
                <c:pt idx="25">
                  <c:v>2.2688075024710523E-11</c:v>
                </c:pt>
                <c:pt idx="26">
                  <c:v>2.2688075024710522E-10</c:v>
                </c:pt>
                <c:pt idx="27">
                  <c:v>2.2688075024710521E-9</c:v>
                </c:pt>
                <c:pt idx="28">
                  <c:v>2.2688075024710524E-8</c:v>
                </c:pt>
                <c:pt idx="29">
                  <c:v>2.2688075024710524E-7</c:v>
                </c:pt>
                <c:pt idx="30">
                  <c:v>2.2688075024710525E-6</c:v>
                </c:pt>
              </c:numCache>
            </c:numRef>
          </c:xVal>
          <c:yVal>
            <c:numRef>
              <c:f>'Mastercurve bestimmen'!$K$404:$K$434</c:f>
              <c:numCache>
                <c:formatCode>0.00E+00</c:formatCode>
                <c:ptCount val="31"/>
                <c:pt idx="0">
                  <c:v>5936.3433151657146</c:v>
                </c:pt>
                <c:pt idx="1">
                  <c:v>5936.3803075081632</c:v>
                </c:pt>
                <c:pt idx="2">
                  <c:v>5936.3578341520697</c:v>
                </c:pt>
                <c:pt idx="3">
                  <c:v>5936.3510277390824</c:v>
                </c:pt>
                <c:pt idx="4">
                  <c:v>5936.3489535985827</c:v>
                </c:pt>
                <c:pt idx="5">
                  <c:v>5936.3483494802622</c:v>
                </c:pt>
                <c:pt idx="6">
                  <c:v>5936.3480675584215</c:v>
                </c:pt>
                <c:pt idx="7">
                  <c:v>5936.3480474211492</c:v>
                </c:pt>
                <c:pt idx="8">
                  <c:v>5936.3478259111525</c:v>
                </c:pt>
                <c:pt idx="9">
                  <c:v>5936.3478259111525</c:v>
                </c:pt>
                <c:pt idx="10">
                  <c:v>5936.3475238520905</c:v>
                </c:pt>
                <c:pt idx="11">
                  <c:v>5936.3452282042372</c:v>
                </c:pt>
                <c:pt idx="12">
                  <c:v>5936.3201171545998</c:v>
                </c:pt>
                <c:pt idx="13">
                  <c:v>5936.0699445696901</c:v>
                </c:pt>
                <c:pt idx="14">
                  <c:v>5933.5894562136173</c:v>
                </c:pt>
                <c:pt idx="15">
                  <c:v>5910.7352387881974</c:v>
                </c:pt>
                <c:pt idx="16">
                  <c:v>5788.6039225333288</c:v>
                </c:pt>
                <c:pt idx="17">
                  <c:v>5645.2982525424422</c:v>
                </c:pt>
                <c:pt idx="18">
                  <c:v>5477.0166152184411</c:v>
                </c:pt>
                <c:pt idx="19">
                  <c:v>5242.9581566849647</c:v>
                </c:pt>
                <c:pt idx="20">
                  <c:v>4967.1522364522052</c:v>
                </c:pt>
                <c:pt idx="21">
                  <c:v>4663.1486629646943</c:v>
                </c:pt>
                <c:pt idx="22">
                  <c:v>4346.263159926043</c:v>
                </c:pt>
                <c:pt idx="23">
                  <c:v>4052.7215067045913</c:v>
                </c:pt>
                <c:pt idx="24">
                  <c:v>3771.4995408899726</c:v>
                </c:pt>
                <c:pt idx="25">
                  <c:v>3487.2930712528305</c:v>
                </c:pt>
                <c:pt idx="26">
                  <c:v>3171.2944430186703</c:v>
                </c:pt>
                <c:pt idx="27">
                  <c:v>2771.7245513357993</c:v>
                </c:pt>
                <c:pt idx="28">
                  <c:v>2294.6891766146468</c:v>
                </c:pt>
                <c:pt idx="29">
                  <c:v>1744.1842965326991</c:v>
                </c:pt>
                <c:pt idx="30">
                  <c:v>1149.8282974544306</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1.7804809923632087E-34</c:v>
                </c:pt>
                <c:pt idx="1">
                  <c:v>1.7804809923632084E-33</c:v>
                </c:pt>
                <c:pt idx="2">
                  <c:v>1.7804809923632087E-32</c:v>
                </c:pt>
                <c:pt idx="3">
                  <c:v>1.7804809923632086E-31</c:v>
                </c:pt>
                <c:pt idx="4">
                  <c:v>1.7804809923632084E-30</c:v>
                </c:pt>
                <c:pt idx="5">
                  <c:v>1.7804809923632086E-29</c:v>
                </c:pt>
                <c:pt idx="6">
                  <c:v>1.7804809923632087E-28</c:v>
                </c:pt>
                <c:pt idx="7">
                  <c:v>1.7804809923632086E-27</c:v>
                </c:pt>
                <c:pt idx="8">
                  <c:v>1.7804809923632085E-26</c:v>
                </c:pt>
                <c:pt idx="9">
                  <c:v>1.7804809923632084E-25</c:v>
                </c:pt>
                <c:pt idx="10">
                  <c:v>1.7804809923632086E-24</c:v>
                </c:pt>
                <c:pt idx="11">
                  <c:v>1.7804809923632086E-23</c:v>
                </c:pt>
                <c:pt idx="12">
                  <c:v>1.7804809923632086E-22</c:v>
                </c:pt>
                <c:pt idx="13">
                  <c:v>1.7804809923632087E-21</c:v>
                </c:pt>
                <c:pt idx="14">
                  <c:v>1.7804809923632087E-20</c:v>
                </c:pt>
                <c:pt idx="15">
                  <c:v>1.7804809923632085E-19</c:v>
                </c:pt>
                <c:pt idx="16">
                  <c:v>1.7804809923632085E-18</c:v>
                </c:pt>
                <c:pt idx="17">
                  <c:v>1.7804809923632087E-17</c:v>
                </c:pt>
                <c:pt idx="18">
                  <c:v>1.7804809923632084E-16</c:v>
                </c:pt>
                <c:pt idx="19">
                  <c:v>1.7804809923632087E-15</c:v>
                </c:pt>
                <c:pt idx="20">
                  <c:v>1.7804809923632085E-14</c:v>
                </c:pt>
                <c:pt idx="21">
                  <c:v>1.7804809923632084E-13</c:v>
                </c:pt>
                <c:pt idx="22">
                  <c:v>1.7804809923632086E-12</c:v>
                </c:pt>
                <c:pt idx="23">
                  <c:v>1.7804809923632085E-11</c:v>
                </c:pt>
                <c:pt idx="24">
                  <c:v>1.7804809923632086E-10</c:v>
                </c:pt>
                <c:pt idx="25">
                  <c:v>1.7804809923632086E-9</c:v>
                </c:pt>
                <c:pt idx="26">
                  <c:v>1.7804809923632084E-8</c:v>
                </c:pt>
                <c:pt idx="27">
                  <c:v>1.7804809923632086E-7</c:v>
                </c:pt>
                <c:pt idx="28">
                  <c:v>1.7804809923632086E-6</c:v>
                </c:pt>
                <c:pt idx="29">
                  <c:v>1.7804809923632086E-5</c:v>
                </c:pt>
                <c:pt idx="30">
                  <c:v>1.7804809923632086E-4</c:v>
                </c:pt>
              </c:numCache>
            </c:numRef>
          </c:xVal>
          <c:yVal>
            <c:numRef>
              <c:f>'Mastercurve bestimmen'!$L$404:$L$434</c:f>
              <c:numCache>
                <c:formatCode>0.00E+00</c:formatCode>
                <c:ptCount val="31"/>
                <c:pt idx="0">
                  <c:v>5930.406376183163</c:v>
                </c:pt>
                <c:pt idx="1">
                  <c:v>5930.4431337924134</c:v>
                </c:pt>
                <c:pt idx="2">
                  <c:v>5930.4206852693951</c:v>
                </c:pt>
                <c:pt idx="3">
                  <c:v>5930.413892464232</c:v>
                </c:pt>
                <c:pt idx="4">
                  <c:v>5930.4118224704844</c:v>
                </c:pt>
                <c:pt idx="5">
                  <c:v>5930.4110185898089</c:v>
                </c:pt>
                <c:pt idx="6">
                  <c:v>5930.4109382017532</c:v>
                </c:pt>
                <c:pt idx="7">
                  <c:v>5930.4106970375988</c:v>
                </c:pt>
                <c:pt idx="8">
                  <c:v>5930.4104156794438</c:v>
                </c:pt>
                <c:pt idx="9">
                  <c:v>5930.408164815165</c:v>
                </c:pt>
                <c:pt idx="10">
                  <c:v>5930.384691618081</c:v>
                </c:pt>
                <c:pt idx="11">
                  <c:v>5930.150894248286</c:v>
                </c:pt>
                <c:pt idx="12">
                  <c:v>5927.8308007940832</c:v>
                </c:pt>
                <c:pt idx="13">
                  <c:v>5906.3450308766669</c:v>
                </c:pt>
                <c:pt idx="14">
                  <c:v>5787.3961464989843</c:v>
                </c:pt>
                <c:pt idx="15">
                  <c:v>5645.7736928586964</c:v>
                </c:pt>
                <c:pt idx="16">
                  <c:v>5488.7797063617654</c:v>
                </c:pt>
                <c:pt idx="17">
                  <c:v>5295.6687137139643</c:v>
                </c:pt>
                <c:pt idx="18">
                  <c:v>5062.6547205141496</c:v>
                </c:pt>
                <c:pt idx="19">
                  <c:v>4762.2359802766141</c:v>
                </c:pt>
                <c:pt idx="20">
                  <c:v>4428.9407335348296</c:v>
                </c:pt>
                <c:pt idx="21">
                  <c:v>4111.7161259908762</c:v>
                </c:pt>
                <c:pt idx="22">
                  <c:v>3814.2268394370481</c:v>
                </c:pt>
                <c:pt idx="23">
                  <c:v>3517.7803393025779</c:v>
                </c:pt>
                <c:pt idx="24">
                  <c:v>3195.2414492417452</c:v>
                </c:pt>
                <c:pt idx="25">
                  <c:v>2791.4157044377589</c:v>
                </c:pt>
                <c:pt idx="26">
                  <c:v>2312.1801528163464</c:v>
                </c:pt>
                <c:pt idx="27">
                  <c:v>1761.4184833894965</c:v>
                </c:pt>
                <c:pt idx="28">
                  <c:v>1165.0893454090649</c:v>
                </c:pt>
                <c:pt idx="29">
                  <c:v>692.87414966525068</c:v>
                </c:pt>
                <c:pt idx="30">
                  <c:v>393.89092728068977</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1.1128037938306444E-31</c:v>
                </c:pt>
                <c:pt idx="1">
                  <c:v>1.1128037938306443E-30</c:v>
                </c:pt>
                <c:pt idx="2">
                  <c:v>1.1128037938306443E-29</c:v>
                </c:pt>
                <c:pt idx="3">
                  <c:v>1.1128037938306442E-28</c:v>
                </c:pt>
                <c:pt idx="4">
                  <c:v>1.1128037938306442E-27</c:v>
                </c:pt>
                <c:pt idx="5">
                  <c:v>1.1128037938306444E-26</c:v>
                </c:pt>
                <c:pt idx="6">
                  <c:v>1.1128037938306445E-25</c:v>
                </c:pt>
                <c:pt idx="7">
                  <c:v>1.1128037938306444E-24</c:v>
                </c:pt>
                <c:pt idx="8">
                  <c:v>1.1128037938306443E-23</c:v>
                </c:pt>
                <c:pt idx="9">
                  <c:v>1.1128037938306444E-22</c:v>
                </c:pt>
                <c:pt idx="10">
                  <c:v>1.1128037938306444E-21</c:v>
                </c:pt>
                <c:pt idx="11">
                  <c:v>1.1128037938306444E-20</c:v>
                </c:pt>
                <c:pt idx="12">
                  <c:v>1.1128037938306443E-19</c:v>
                </c:pt>
                <c:pt idx="13">
                  <c:v>1.1128037938306444E-18</c:v>
                </c:pt>
                <c:pt idx="14">
                  <c:v>1.1128037938306444E-17</c:v>
                </c:pt>
                <c:pt idx="15">
                  <c:v>1.1128037938306444E-16</c:v>
                </c:pt>
                <c:pt idx="16">
                  <c:v>1.1128037938306442E-15</c:v>
                </c:pt>
                <c:pt idx="17">
                  <c:v>1.1128037938306444E-14</c:v>
                </c:pt>
                <c:pt idx="18">
                  <c:v>1.1128037938306443E-13</c:v>
                </c:pt>
                <c:pt idx="19">
                  <c:v>1.1128037938306443E-12</c:v>
                </c:pt>
                <c:pt idx="20">
                  <c:v>1.1128037938306443E-11</c:v>
                </c:pt>
                <c:pt idx="21">
                  <c:v>1.1128037938306443E-10</c:v>
                </c:pt>
                <c:pt idx="22">
                  <c:v>1.1128037938306443E-9</c:v>
                </c:pt>
                <c:pt idx="23">
                  <c:v>1.1128037938306444E-8</c:v>
                </c:pt>
                <c:pt idx="24">
                  <c:v>1.1128037938306443E-7</c:v>
                </c:pt>
                <c:pt idx="25">
                  <c:v>1.1128037938306444E-6</c:v>
                </c:pt>
                <c:pt idx="26">
                  <c:v>1.1128037938306443E-5</c:v>
                </c:pt>
                <c:pt idx="27">
                  <c:v>1.1128037938306444E-4</c:v>
                </c:pt>
                <c:pt idx="28">
                  <c:v>1.1128037938306443E-3</c:v>
                </c:pt>
                <c:pt idx="29">
                  <c:v>1.1128037938306443E-2</c:v>
                </c:pt>
                <c:pt idx="30">
                  <c:v>0.11128037938306443</c:v>
                </c:pt>
              </c:numCache>
            </c:numRef>
          </c:xVal>
          <c:yVal>
            <c:numRef>
              <c:f>'Mastercurve bestimmen'!$M$404:$M$434</c:f>
              <c:numCache>
                <c:formatCode>0.00E+00</c:formatCode>
                <c:ptCount val="31"/>
                <c:pt idx="0">
                  <c:v>5924.2874974527258</c:v>
                </c:pt>
                <c:pt idx="1">
                  <c:v>5924.3241993050724</c:v>
                </c:pt>
                <c:pt idx="2">
                  <c:v>5924.3017770264787</c:v>
                </c:pt>
                <c:pt idx="3">
                  <c:v>5924.2949982314785</c:v>
                </c:pt>
                <c:pt idx="4">
                  <c:v>5924.2929325070927</c:v>
                </c:pt>
                <c:pt idx="5">
                  <c:v>5924.292050062164</c:v>
                </c:pt>
                <c:pt idx="6">
                  <c:v>5924.2896233399624</c:v>
                </c:pt>
                <c:pt idx="7">
                  <c:v>5924.2686453119095</c:v>
                </c:pt>
                <c:pt idx="8">
                  <c:v>5924.0589935262078</c:v>
                </c:pt>
                <c:pt idx="9">
                  <c:v>5921.976437640149</c:v>
                </c:pt>
                <c:pt idx="10">
                  <c:v>5902.5412392933085</c:v>
                </c:pt>
                <c:pt idx="11">
                  <c:v>5788.7691117948852</c:v>
                </c:pt>
                <c:pt idx="12">
                  <c:v>5647.748615055857</c:v>
                </c:pt>
                <c:pt idx="13">
                  <c:v>5493.0807600988655</c:v>
                </c:pt>
                <c:pt idx="14">
                  <c:v>5310.1724689095536</c:v>
                </c:pt>
                <c:pt idx="15">
                  <c:v>5116.9183384452708</c:v>
                </c:pt>
                <c:pt idx="16">
                  <c:v>4889.0072432178858</c:v>
                </c:pt>
                <c:pt idx="17">
                  <c:v>4599.1409750767552</c:v>
                </c:pt>
                <c:pt idx="18">
                  <c:v>4272.3926167684576</c:v>
                </c:pt>
                <c:pt idx="19">
                  <c:v>3941.1470093551798</c:v>
                </c:pt>
                <c:pt idx="20">
                  <c:v>3608.495032401398</c:v>
                </c:pt>
                <c:pt idx="21">
                  <c:v>3262.5462100054015</c:v>
                </c:pt>
                <c:pt idx="22">
                  <c:v>2841.314577864513</c:v>
                </c:pt>
                <c:pt idx="23">
                  <c:v>2350.4004054830193</c:v>
                </c:pt>
                <c:pt idx="24">
                  <c:v>1794.2797745605371</c:v>
                </c:pt>
                <c:pt idx="25">
                  <c:v>1192.7526197056241</c:v>
                </c:pt>
                <c:pt idx="26">
                  <c:v>712.56207316539314</c:v>
                </c:pt>
                <c:pt idx="27">
                  <c:v>405.79350694215293</c:v>
                </c:pt>
                <c:pt idx="28">
                  <c:v>227.75650575396227</c:v>
                </c:pt>
                <c:pt idx="29">
                  <c:v>157.27484077697326</c:v>
                </c:pt>
                <c:pt idx="30">
                  <c:v>137.32830205333357</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4.6176876906921467E-26</c:v>
                </c:pt>
                <c:pt idx="1">
                  <c:v>4.6176876906921463E-25</c:v>
                </c:pt>
                <c:pt idx="2">
                  <c:v>4.6176876906921465E-24</c:v>
                </c:pt>
                <c:pt idx="3">
                  <c:v>4.6176876906921465E-23</c:v>
                </c:pt>
                <c:pt idx="4">
                  <c:v>4.6176876906921458E-22</c:v>
                </c:pt>
                <c:pt idx="5">
                  <c:v>4.6176876906921462E-21</c:v>
                </c:pt>
                <c:pt idx="6">
                  <c:v>4.6176876906921465E-20</c:v>
                </c:pt>
                <c:pt idx="7">
                  <c:v>4.6176876906921465E-19</c:v>
                </c:pt>
                <c:pt idx="8">
                  <c:v>4.6176876906921459E-18</c:v>
                </c:pt>
                <c:pt idx="9">
                  <c:v>4.6176876906921461E-17</c:v>
                </c:pt>
                <c:pt idx="10">
                  <c:v>4.6176876906921467E-16</c:v>
                </c:pt>
                <c:pt idx="11">
                  <c:v>4.6176876906921465E-15</c:v>
                </c:pt>
                <c:pt idx="12">
                  <c:v>4.6176876906921462E-14</c:v>
                </c:pt>
                <c:pt idx="13">
                  <c:v>4.6176876906921463E-13</c:v>
                </c:pt>
                <c:pt idx="14">
                  <c:v>4.6176876906921467E-12</c:v>
                </c:pt>
                <c:pt idx="15">
                  <c:v>4.6176876906921465E-11</c:v>
                </c:pt>
                <c:pt idx="16">
                  <c:v>4.6176876906921465E-10</c:v>
                </c:pt>
                <c:pt idx="17">
                  <c:v>4.6176876906921461E-9</c:v>
                </c:pt>
                <c:pt idx="18">
                  <c:v>4.6176876906921463E-8</c:v>
                </c:pt>
                <c:pt idx="19">
                  <c:v>4.6176876906921463E-7</c:v>
                </c:pt>
                <c:pt idx="20">
                  <c:v>4.6176876906921461E-6</c:v>
                </c:pt>
                <c:pt idx="21">
                  <c:v>4.6176876906921466E-5</c:v>
                </c:pt>
                <c:pt idx="22">
                  <c:v>4.6176876906921466E-4</c:v>
                </c:pt>
                <c:pt idx="23">
                  <c:v>4.6176876906921464E-3</c:v>
                </c:pt>
                <c:pt idx="24">
                  <c:v>4.617687690692146E-2</c:v>
                </c:pt>
                <c:pt idx="25">
                  <c:v>0.46176876906921466</c:v>
                </c:pt>
                <c:pt idx="26">
                  <c:v>4.6176876906921462</c:v>
                </c:pt>
                <c:pt idx="27">
                  <c:v>46.176876906921464</c:v>
                </c:pt>
                <c:pt idx="28">
                  <c:v>461.76876906921461</c:v>
                </c:pt>
                <c:pt idx="29">
                  <c:v>4617.6876906921461</c:v>
                </c:pt>
                <c:pt idx="30">
                  <c:v>46176.876906921461</c:v>
                </c:pt>
              </c:numCache>
            </c:numRef>
          </c:xVal>
          <c:yVal>
            <c:numRef>
              <c:f>'Mastercurve bestimmen'!$N$404:$N$434</c:f>
              <c:numCache>
                <c:formatCode>0.00E+00</c:formatCode>
                <c:ptCount val="31"/>
                <c:pt idx="0">
                  <c:v>5916.6915694579875</c:v>
                </c:pt>
                <c:pt idx="1">
                  <c:v>5916.7227160627044</c:v>
                </c:pt>
                <c:pt idx="2">
                  <c:v>5916.6446401256508</c:v>
                </c:pt>
                <c:pt idx="3">
                  <c:v>5916.0822262002403</c:v>
                </c:pt>
                <c:pt idx="4">
                  <c:v>5910.6250002955303</c:v>
                </c:pt>
                <c:pt idx="5">
                  <c:v>5865.0413696390469</c:v>
                </c:pt>
                <c:pt idx="6">
                  <c:v>5722.4751414535358</c:v>
                </c:pt>
                <c:pt idx="7">
                  <c:v>5576.9650996615301</c:v>
                </c:pt>
                <c:pt idx="8">
                  <c:v>5410.5738362167167</c:v>
                </c:pt>
                <c:pt idx="9">
                  <c:v>5216.1277029195053</c:v>
                </c:pt>
                <c:pt idx="10">
                  <c:v>5018.4752297884525</c:v>
                </c:pt>
                <c:pt idx="11">
                  <c:v>4771.2929786824907</c:v>
                </c:pt>
                <c:pt idx="12">
                  <c:v>4502.260327638488</c:v>
                </c:pt>
                <c:pt idx="13">
                  <c:v>4239.8922301770135</c:v>
                </c:pt>
                <c:pt idx="14">
                  <c:v>3958.4879028609685</c:v>
                </c:pt>
                <c:pt idx="15">
                  <c:v>3659.7650677599231</c:v>
                </c:pt>
                <c:pt idx="16">
                  <c:v>3268.126124643903</c:v>
                </c:pt>
                <c:pt idx="17">
                  <c:v>2768.9657420868534</c:v>
                </c:pt>
                <c:pt idx="18">
                  <c:v>2204.5974524100161</c:v>
                </c:pt>
                <c:pt idx="19">
                  <c:v>1586.454168957242</c:v>
                </c:pt>
                <c:pt idx="20">
                  <c:v>1000.0232976856266</c:v>
                </c:pt>
                <c:pt idx="21">
                  <c:v>576.00660610456418</c:v>
                </c:pt>
                <c:pt idx="22">
                  <c:v>321.80010935687142</c:v>
                </c:pt>
                <c:pt idx="23">
                  <c:v>187.89777287454069</c:v>
                </c:pt>
                <c:pt idx="24">
                  <c:v>146.32445551645827</c:v>
                </c:pt>
                <c:pt idx="25">
                  <c:v>132.67557886184474</c:v>
                </c:pt>
                <c:pt idx="26">
                  <c:v>124.09266721325585</c:v>
                </c:pt>
                <c:pt idx="27">
                  <c:v>123.97220489326934</c:v>
                </c:pt>
                <c:pt idx="28">
                  <c:v>123.97018586453261</c:v>
                </c:pt>
                <c:pt idx="29">
                  <c:v>123.96849358445334</c:v>
                </c:pt>
                <c:pt idx="30">
                  <c:v>123.96695327212331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1.546133169461167E-17</c:v>
                </c:pt>
                <c:pt idx="1">
                  <c:v>1.5461331694611668E-16</c:v>
                </c:pt>
                <c:pt idx="2">
                  <c:v>1.5461331694611669E-15</c:v>
                </c:pt>
                <c:pt idx="3">
                  <c:v>1.5461331694611668E-14</c:v>
                </c:pt>
                <c:pt idx="4">
                  <c:v>1.5461331694611667E-13</c:v>
                </c:pt>
                <c:pt idx="5">
                  <c:v>1.5461331694611669E-12</c:v>
                </c:pt>
                <c:pt idx="6">
                  <c:v>1.5461331694611668E-11</c:v>
                </c:pt>
                <c:pt idx="7">
                  <c:v>1.546133169461167E-10</c:v>
                </c:pt>
                <c:pt idx="8">
                  <c:v>1.5461331694611667E-9</c:v>
                </c:pt>
                <c:pt idx="9">
                  <c:v>1.5461331694611666E-8</c:v>
                </c:pt>
                <c:pt idx="10">
                  <c:v>1.5461331694611668E-7</c:v>
                </c:pt>
                <c:pt idx="11">
                  <c:v>1.5461331694611669E-6</c:v>
                </c:pt>
                <c:pt idx="12">
                  <c:v>1.5461331694611668E-5</c:v>
                </c:pt>
                <c:pt idx="13">
                  <c:v>1.5461331694611668E-4</c:v>
                </c:pt>
                <c:pt idx="14">
                  <c:v>1.546133169461167E-3</c:v>
                </c:pt>
                <c:pt idx="15">
                  <c:v>1.5461331694611669E-2</c:v>
                </c:pt>
                <c:pt idx="16">
                  <c:v>0.15461331694611669</c:v>
                </c:pt>
                <c:pt idx="17">
                  <c:v>1.5461331694611669</c:v>
                </c:pt>
                <c:pt idx="18">
                  <c:v>15.461331694611669</c:v>
                </c:pt>
                <c:pt idx="19">
                  <c:v>154.61331694611667</c:v>
                </c:pt>
                <c:pt idx="20">
                  <c:v>1546.1331694611667</c:v>
                </c:pt>
                <c:pt idx="21">
                  <c:v>15461.331694611668</c:v>
                </c:pt>
                <c:pt idx="22">
                  <c:v>154613.31694611668</c:v>
                </c:pt>
                <c:pt idx="23">
                  <c:v>1546133.1694611667</c:v>
                </c:pt>
                <c:pt idx="24">
                  <c:v>15461331.694611669</c:v>
                </c:pt>
                <c:pt idx="25">
                  <c:v>154613316.94611669</c:v>
                </c:pt>
                <c:pt idx="26">
                  <c:v>1546133169.4611669</c:v>
                </c:pt>
                <c:pt idx="27">
                  <c:v>15461331694.611668</c:v>
                </c:pt>
                <c:pt idx="28">
                  <c:v>154613316946.11667</c:v>
                </c:pt>
                <c:pt idx="29">
                  <c:v>1546133169461.1667</c:v>
                </c:pt>
                <c:pt idx="30">
                  <c:v>15461331694611.668</c:v>
                </c:pt>
              </c:numCache>
            </c:numRef>
          </c:xVal>
          <c:yVal>
            <c:numRef>
              <c:f>'Mastercurve bestimmen'!$O$404:$O$434</c:f>
              <c:numCache>
                <c:formatCode>0.00E+00</c:formatCode>
                <c:ptCount val="31"/>
                <c:pt idx="0">
                  <c:v>5339.3938402799959</c:v>
                </c:pt>
                <c:pt idx="1">
                  <c:v>5092.5436233397832</c:v>
                </c:pt>
                <c:pt idx="2">
                  <c:v>4862.2074038193541</c:v>
                </c:pt>
                <c:pt idx="3">
                  <c:v>4600.0447702643005</c:v>
                </c:pt>
                <c:pt idx="4">
                  <c:v>4335.4686548713016</c:v>
                </c:pt>
                <c:pt idx="5">
                  <c:v>4064.2446060274551</c:v>
                </c:pt>
                <c:pt idx="6">
                  <c:v>3775.0165221687416</c:v>
                </c:pt>
                <c:pt idx="7">
                  <c:v>3440.8792936987693</c:v>
                </c:pt>
                <c:pt idx="8">
                  <c:v>3007.0276986600152</c:v>
                </c:pt>
                <c:pt idx="9">
                  <c:v>2483.1842311274095</c:v>
                </c:pt>
                <c:pt idx="10">
                  <c:v>1877.3036191571002</c:v>
                </c:pt>
                <c:pt idx="11">
                  <c:v>1225.8372848665197</c:v>
                </c:pt>
                <c:pt idx="12">
                  <c:v>718.17933085631228</c:v>
                </c:pt>
                <c:pt idx="13">
                  <c:v>402.8254128419544</c:v>
                </c:pt>
                <c:pt idx="14">
                  <c:v>224.17774389747507</c:v>
                </c:pt>
                <c:pt idx="15">
                  <c:v>157.32573154577258</c:v>
                </c:pt>
                <c:pt idx="16">
                  <c:v>138.47466281617423</c:v>
                </c:pt>
                <c:pt idx="17">
                  <c:v>126.92176045152465</c:v>
                </c:pt>
                <c:pt idx="18">
                  <c:v>125.32043450442224</c:v>
                </c:pt>
                <c:pt idx="19">
                  <c:v>125.18975547765271</c:v>
                </c:pt>
                <c:pt idx="20">
                  <c:v>125.05583743141311</c:v>
                </c:pt>
                <c:pt idx="21">
                  <c:v>124.89217701523481</c:v>
                </c:pt>
                <c:pt idx="22">
                  <c:v>124.70815441395035</c:v>
                </c:pt>
                <c:pt idx="23">
                  <c:v>124.51586541667818</c:v>
                </c:pt>
                <c:pt idx="24">
                  <c:v>124.45612407089325</c:v>
                </c:pt>
                <c:pt idx="25">
                  <c:v>124.36413594438419</c:v>
                </c:pt>
                <c:pt idx="26">
                  <c:v>124.24957869452857</c:v>
                </c:pt>
                <c:pt idx="27">
                  <c:v>124.12464463468883</c:v>
                </c:pt>
                <c:pt idx="28">
                  <c:v>124.11696893794122</c:v>
                </c:pt>
                <c:pt idx="29">
                  <c:v>124.11273578228328</c:v>
                </c:pt>
                <c:pt idx="30">
                  <c:v>124.10930475258213</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bestimmen'!$P$404:$P$434</c:f>
              <c:numCache>
                <c:formatCode>0.00E+00</c:formatCode>
                <c:ptCount val="31"/>
                <c:pt idx="0">
                  <c:v>4973.1641667493986</c:v>
                </c:pt>
                <c:pt idx="1">
                  <c:v>4659.596505568883</c:v>
                </c:pt>
                <c:pt idx="2">
                  <c:v>4385.9516115251872</c:v>
                </c:pt>
                <c:pt idx="3">
                  <c:v>4118.3569666620651</c:v>
                </c:pt>
                <c:pt idx="4">
                  <c:v>3829.8022738739742</c:v>
                </c:pt>
                <c:pt idx="5">
                  <c:v>3513.4556215320054</c:v>
                </c:pt>
                <c:pt idx="6">
                  <c:v>3097.9149297690292</c:v>
                </c:pt>
                <c:pt idx="7">
                  <c:v>2591.2184022941196</c:v>
                </c:pt>
                <c:pt idx="8">
                  <c:v>2005.3525724949279</c:v>
                </c:pt>
                <c:pt idx="9">
                  <c:v>1355.6696144527521</c:v>
                </c:pt>
                <c:pt idx="10">
                  <c:v>816.95203291347548</c:v>
                </c:pt>
                <c:pt idx="11">
                  <c:v>463.37163713330017</c:v>
                </c:pt>
                <c:pt idx="12">
                  <c:v>256.97131232473913</c:v>
                </c:pt>
                <c:pt idx="13">
                  <c:v>167.49490825050054</c:v>
                </c:pt>
                <c:pt idx="14">
                  <c:v>141.80358734877336</c:v>
                </c:pt>
                <c:pt idx="15">
                  <c:v>129.19132461504012</c:v>
                </c:pt>
                <c:pt idx="16">
                  <c:v>125.45582042457461</c:v>
                </c:pt>
                <c:pt idx="17">
                  <c:v>125.37751528072498</c:v>
                </c:pt>
                <c:pt idx="18">
                  <c:v>125.26241312398497</c:v>
                </c:pt>
                <c:pt idx="19">
                  <c:v>125.1369355609138</c:v>
                </c:pt>
                <c:pt idx="20">
                  <c:v>124.97859027478171</c:v>
                </c:pt>
                <c:pt idx="21">
                  <c:v>124.79521194858673</c:v>
                </c:pt>
                <c:pt idx="22">
                  <c:v>124.60066288549459</c:v>
                </c:pt>
                <c:pt idx="23">
                  <c:v>124.40326066206676</c:v>
                </c:pt>
                <c:pt idx="24">
                  <c:v>124.39897169961779</c:v>
                </c:pt>
                <c:pt idx="25">
                  <c:v>124.30647199515475</c:v>
                </c:pt>
                <c:pt idx="26">
                  <c:v>124.18164826003697</c:v>
                </c:pt>
                <c:pt idx="27">
                  <c:v>124.05329261398603</c:v>
                </c:pt>
                <c:pt idx="28">
                  <c:v>124.04585962671396</c:v>
                </c:pt>
                <c:pt idx="29">
                  <c:v>124.04225732695286</c:v>
                </c:pt>
                <c:pt idx="30">
                  <c:v>124.03970146521578</c:v>
                </c:pt>
              </c:numCache>
            </c:numRef>
          </c:yVal>
          <c:smooth val="1"/>
        </c:ser>
        <c:dLbls>
          <c:showLegendKey val="0"/>
          <c:showVal val="0"/>
          <c:showCatName val="0"/>
          <c:showSerName val="0"/>
          <c:showPercent val="0"/>
          <c:showBubbleSize val="0"/>
        </c:dLbls>
        <c:axId val="486290632"/>
        <c:axId val="486291808"/>
      </c:scatterChart>
      <c:valAx>
        <c:axId val="486290632"/>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1808"/>
        <c:crosses val="autoZero"/>
        <c:crossBetween val="midCat"/>
      </c:valAx>
      <c:valAx>
        <c:axId val="486291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0632"/>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-50.877186227047318</c:v>
                </c:pt>
                <c:pt idx="1">
                  <c:v>-50.821032244799198</c:v>
                </c:pt>
                <c:pt idx="2">
                  <c:v>-50.764775448822334</c:v>
                </c:pt>
                <c:pt idx="3">
                  <c:v>-50.70831302538798</c:v>
                </c:pt>
                <c:pt idx="4">
                  <c:v>-50.651542160767406</c:v>
                </c:pt>
                <c:pt idx="5">
                  <c:v>-50.594360041231845</c:v>
                </c:pt>
                <c:pt idx="6">
                  <c:v>-50.53666385305258</c:v>
                </c:pt>
                <c:pt idx="7">
                  <c:v>-50.478350782500861</c:v>
                </c:pt>
                <c:pt idx="8">
                  <c:v>-50.419318015847935</c:v>
                </c:pt>
                <c:pt idx="9">
                  <c:v>-50.359462739365071</c:v>
                </c:pt>
                <c:pt idx="10">
                  <c:v>-50.298682139323525</c:v>
                </c:pt>
                <c:pt idx="11">
                  <c:v>-50.236873401994544</c:v>
                </c:pt>
                <c:pt idx="12">
                  <c:v>-50.173933713649376</c:v>
                </c:pt>
                <c:pt idx="13">
                  <c:v>-50.109760260559312</c:v>
                </c:pt>
                <c:pt idx="14">
                  <c:v>-50.044250228995594</c:v>
                </c:pt>
                <c:pt idx="15">
                  <c:v>-49.977300805229468</c:v>
                </c:pt>
                <c:pt idx="16">
                  <c:v>-49.908809175532198</c:v>
                </c:pt>
                <c:pt idx="17">
                  <c:v>-49.838672526175046</c:v>
                </c:pt>
                <c:pt idx="18">
                  <c:v>-49.766788043429258</c:v>
                </c:pt>
                <c:pt idx="19">
                  <c:v>-49.693052913566106</c:v>
                </c:pt>
                <c:pt idx="20">
                  <c:v>-49.617364322856837</c:v>
                </c:pt>
                <c:pt idx="21">
                  <c:v>-49.539619457572712</c:v>
                </c:pt>
                <c:pt idx="22">
                  <c:v>-49.459715503984981</c:v>
                </c:pt>
                <c:pt idx="23">
                  <c:v>-49.377549648364912</c:v>
                </c:pt>
                <c:pt idx="24">
                  <c:v>-49.293019076983754</c:v>
                </c:pt>
                <c:pt idx="25">
                  <c:v>-49.206020976112768</c:v>
                </c:pt>
                <c:pt idx="26">
                  <c:v>-49.116452532023203</c:v>
                </c:pt>
                <c:pt idx="27">
                  <c:v>-49.024210930986335</c:v>
                </c:pt>
                <c:pt idx="28">
                  <c:v>-48.929193359273405</c:v>
                </c:pt>
                <c:pt idx="29">
                  <c:v>-48.831297003155676</c:v>
                </c:pt>
                <c:pt idx="30">
                  <c:v>-48.730419048904402</c:v>
                </c:pt>
                <c:pt idx="31">
                  <c:v>-48.626456682790845</c:v>
                </c:pt>
                <c:pt idx="32">
                  <c:v>-48.519307091086247</c:v>
                </c:pt>
                <c:pt idx="33">
                  <c:v>-48.408867460061884</c:v>
                </c:pt>
                <c:pt idx="34">
                  <c:v>-48.295034975989012</c:v>
                </c:pt>
                <c:pt idx="35">
                  <c:v>-48.177706825138877</c:v>
                </c:pt>
                <c:pt idx="36">
                  <c:v>-48.056780193782743</c:v>
                </c:pt>
                <c:pt idx="37">
                  <c:v>-47.932152268191864</c:v>
                </c:pt>
                <c:pt idx="38">
                  <c:v>-47.803720234637495</c:v>
                </c:pt>
                <c:pt idx="39">
                  <c:v>-47.6713812793909</c:v>
                </c:pt>
                <c:pt idx="40">
                  <c:v>-47.535032588723332</c:v>
                </c:pt>
                <c:pt idx="41">
                  <c:v>-47.400429464281466</c:v>
                </c:pt>
                <c:pt idx="42">
                  <c:v>-47.261804576645979</c:v>
                </c:pt>
                <c:pt idx="43">
                  <c:v>-47.119248711773018</c:v>
                </c:pt>
                <c:pt idx="44">
                  <c:v>-46.972852655618674</c:v>
                </c:pt>
                <c:pt idx="45">
                  <c:v>-46.82270719413907</c:v>
                </c:pt>
                <c:pt idx="46">
                  <c:v>-46.668903113290312</c:v>
                </c:pt>
                <c:pt idx="47">
                  <c:v>-46.511531199028532</c:v>
                </c:pt>
                <c:pt idx="48">
                  <c:v>-46.350682237309833</c:v>
                </c:pt>
                <c:pt idx="49">
                  <c:v>-46.186447014090319</c:v>
                </c:pt>
                <c:pt idx="50">
                  <c:v>-46.018916315326123</c:v>
                </c:pt>
                <c:pt idx="51">
                  <c:v>-45.848180926973335</c:v>
                </c:pt>
                <c:pt idx="52">
                  <c:v>-45.674331634988079</c:v>
                </c:pt>
                <c:pt idx="53">
                  <c:v>-45.49745922532648</c:v>
                </c:pt>
                <c:pt idx="54">
                  <c:v>-45.317654483944636</c:v>
                </c:pt>
                <c:pt idx="55">
                  <c:v>-45.135008196798665</c:v>
                </c:pt>
                <c:pt idx="56">
                  <c:v>-44.949611149844685</c:v>
                </c:pt>
                <c:pt idx="57">
                  <c:v>-44.761554129038814</c:v>
                </c:pt>
                <c:pt idx="58">
                  <c:v>-44.570927920337148</c:v>
                </c:pt>
                <c:pt idx="59">
                  <c:v>-44.377823309695813</c:v>
                </c:pt>
                <c:pt idx="60">
                  <c:v>-44.182331083070927</c:v>
                </c:pt>
                <c:pt idx="61">
                  <c:v>-43.984542026418588</c:v>
                </c:pt>
                <c:pt idx="62">
                  <c:v>-43.784546925694919</c:v>
                </c:pt>
                <c:pt idx="63">
                  <c:v>-43.582436566856039</c:v>
                </c:pt>
                <c:pt idx="64">
                  <c:v>-43.378301735858045</c:v>
                </c:pt>
                <c:pt idx="65">
                  <c:v>-43.17223321865707</c:v>
                </c:pt>
                <c:pt idx="66">
                  <c:v>-42.964262720090673</c:v>
                </c:pt>
                <c:pt idx="67">
                  <c:v>-42.754185620522236</c:v>
                </c:pt>
                <c:pt idx="68">
                  <c:v>-42.541738219196603</c:v>
                </c:pt>
                <c:pt idx="69">
                  <c:v>-42.326656815358611</c:v>
                </c:pt>
                <c:pt idx="70">
                  <c:v>-42.108677708253104</c:v>
                </c:pt>
                <c:pt idx="71">
                  <c:v>-41.887537197124921</c:v>
                </c:pt>
                <c:pt idx="72">
                  <c:v>-41.662971581218898</c:v>
                </c:pt>
                <c:pt idx="73">
                  <c:v>-41.434717159779879</c:v>
                </c:pt>
                <c:pt idx="74">
                  <c:v>-41.202510232052703</c:v>
                </c:pt>
                <c:pt idx="75">
                  <c:v>-40.966087097282212</c:v>
                </c:pt>
                <c:pt idx="76">
                  <c:v>-40.725184054713246</c:v>
                </c:pt>
                <c:pt idx="77">
                  <c:v>-40.479537403590641</c:v>
                </c:pt>
                <c:pt idx="78">
                  <c:v>-40.228883443159233</c:v>
                </c:pt>
                <c:pt idx="79">
                  <c:v>-39.972958472663876</c:v>
                </c:pt>
                <c:pt idx="80">
                  <c:v>-39.711498791349399</c:v>
                </c:pt>
                <c:pt idx="81">
                  <c:v>-39.444240698460639</c:v>
                </c:pt>
                <c:pt idx="82">
                  <c:v>-39.170920493242448</c:v>
                </c:pt>
                <c:pt idx="83">
                  <c:v>-38.891274474939657</c:v>
                </c:pt>
                <c:pt idx="84">
                  <c:v>-38.605038942797108</c:v>
                </c:pt>
                <c:pt idx="85">
                  <c:v>-38.311950196059641</c:v>
                </c:pt>
                <c:pt idx="86">
                  <c:v>-38.011744533972099</c:v>
                </c:pt>
                <c:pt idx="87">
                  <c:v>-37.704158255779312</c:v>
                </c:pt>
                <c:pt idx="88">
                  <c:v>-37.388927660726139</c:v>
                </c:pt>
                <c:pt idx="89">
                  <c:v>-37.065789048057404</c:v>
                </c:pt>
                <c:pt idx="90">
                  <c:v>-36.734478717017943</c:v>
                </c:pt>
                <c:pt idx="91">
                  <c:v>-36.394811158628357</c:v>
                </c:pt>
                <c:pt idx="92">
                  <c:v>-36.04691363101221</c:v>
                </c:pt>
                <c:pt idx="93">
                  <c:v>-35.690991584068797</c:v>
                </c:pt>
                <c:pt idx="94">
                  <c:v>-35.327250467697461</c:v>
                </c:pt>
                <c:pt idx="95">
                  <c:v>-34.955895731797483</c:v>
                </c:pt>
                <c:pt idx="96">
                  <c:v>-34.577132826268191</c:v>
                </c:pt>
                <c:pt idx="97">
                  <c:v>-34.191167201008895</c:v>
                </c:pt>
                <c:pt idx="98">
                  <c:v>-33.798204305918908</c:v>
                </c:pt>
                <c:pt idx="99">
                  <c:v>-33.398449590897549</c:v>
                </c:pt>
                <c:pt idx="100">
                  <c:v>-32.992108505844122</c:v>
                </c:pt>
                <c:pt idx="101">
                  <c:v>-32.57938650065794</c:v>
                </c:pt>
                <c:pt idx="102">
                  <c:v>-32.16048902523832</c:v>
                </c:pt>
                <c:pt idx="103">
                  <c:v>-31.735621529484561</c:v>
                </c:pt>
                <c:pt idx="104">
                  <c:v>-31.304989463295996</c:v>
                </c:pt>
                <c:pt idx="105">
                  <c:v>-30.868798276571923</c:v>
                </c:pt>
                <c:pt idx="106">
                  <c:v>-30.427253419211659</c:v>
                </c:pt>
                <c:pt idx="107">
                  <c:v>-29.980560341114522</c:v>
                </c:pt>
                <c:pt idx="108">
                  <c:v>-29.528924492179812</c:v>
                </c:pt>
                <c:pt idx="109">
                  <c:v>-29.072551322306854</c:v>
                </c:pt>
                <c:pt idx="110">
                  <c:v>-28.61164628139495</c:v>
                </c:pt>
                <c:pt idx="111">
                  <c:v>-28.14641481934342</c:v>
                </c:pt>
                <c:pt idx="112">
                  <c:v>-27.677062386051574</c:v>
                </c:pt>
                <c:pt idx="113">
                  <c:v>-27.203794431418721</c:v>
                </c:pt>
                <c:pt idx="114">
                  <c:v>-26.726816405344177</c:v>
                </c:pt>
                <c:pt idx="115">
                  <c:v>-26.246333757727257</c:v>
                </c:pt>
                <c:pt idx="116">
                  <c:v>-25.762551938467265</c:v>
                </c:pt>
                <c:pt idx="117">
                  <c:v>-25.275676397463524</c:v>
                </c:pt>
                <c:pt idx="118">
                  <c:v>-24.785912584615343</c:v>
                </c:pt>
                <c:pt idx="119">
                  <c:v>-24.293465949822025</c:v>
                </c:pt>
                <c:pt idx="120">
                  <c:v>-23.798541942982897</c:v>
                </c:pt>
                <c:pt idx="121">
                  <c:v>-23.301366591900319</c:v>
                </c:pt>
                <c:pt idx="122">
                  <c:v>-22.802248235988909</c:v>
                </c:pt>
                <c:pt idx="123">
                  <c:v>-22.301515792566338</c:v>
                </c:pt>
                <c:pt idx="124">
                  <c:v>-21.79949817895027</c:v>
                </c:pt>
                <c:pt idx="125">
                  <c:v>-21.296524312458381</c:v>
                </c:pt>
                <c:pt idx="126">
                  <c:v>-20.792923110408331</c:v>
                </c:pt>
                <c:pt idx="127">
                  <c:v>-20.289023490117803</c:v>
                </c:pt>
                <c:pt idx="128">
                  <c:v>-19.785154368904461</c:v>
                </c:pt>
                <c:pt idx="129">
                  <c:v>-19.281644664085974</c:v>
                </c:pt>
                <c:pt idx="130">
                  <c:v>-18.778823292980018</c:v>
                </c:pt>
                <c:pt idx="131">
                  <c:v>-18.27701917290425</c:v>
                </c:pt>
                <c:pt idx="132">
                  <c:v>-17.776561221176355</c:v>
                </c:pt>
                <c:pt idx="133">
                  <c:v>-17.277778355113991</c:v>
                </c:pt>
                <c:pt idx="134">
                  <c:v>-16.780999492034837</c:v>
                </c:pt>
                <c:pt idx="135">
                  <c:v>-16.28655354925656</c:v>
                </c:pt>
                <c:pt idx="136">
                  <c:v>-15.794769444096827</c:v>
                </c:pt>
                <c:pt idx="137">
                  <c:v>-15.305976093873312</c:v>
                </c:pt>
                <c:pt idx="138">
                  <c:v>-14.820502415903684</c:v>
                </c:pt>
                <c:pt idx="139">
                  <c:v>-14.338677327505614</c:v>
                </c:pt>
                <c:pt idx="140">
                  <c:v>-13.860829745996767</c:v>
                </c:pt>
                <c:pt idx="141">
                  <c:v>-13.387288588694821</c:v>
                </c:pt>
                <c:pt idx="142">
                  <c:v>-12.918382772917441</c:v>
                </c:pt>
                <c:pt idx="143">
                  <c:v>-12.454441215982296</c:v>
                </c:pt>
                <c:pt idx="144">
                  <c:v>-11.995792835207061</c:v>
                </c:pt>
                <c:pt idx="145">
                  <c:v>-11.542766547909405</c:v>
                </c:pt>
                <c:pt idx="146">
                  <c:v>-11.095691271406992</c:v>
                </c:pt>
                <c:pt idx="147">
                  <c:v>-10.654895923017499</c:v>
                </c:pt>
                <c:pt idx="148">
                  <c:v>-10.22070942005859</c:v>
                </c:pt>
                <c:pt idx="149">
                  <c:v>-9.7934606798479411</c:v>
                </c:pt>
                <c:pt idx="150">
                  <c:v>-9.3734786197032189</c:v>
                </c:pt>
                <c:pt idx="151">
                  <c:v>-8.9610921569420938</c:v>
                </c:pt>
                <c:pt idx="152">
                  <c:v>-8.5566302088822379</c:v>
                </c:pt>
                <c:pt idx="153">
                  <c:v>-8.160421692841318</c:v>
                </c:pt>
                <c:pt idx="154">
                  <c:v>-7.7727955261370072</c:v>
                </c:pt>
                <c:pt idx="155">
                  <c:v>-7.394080626086974</c:v>
                </c:pt>
                <c:pt idx="156">
                  <c:v>-7.024605910008888</c:v>
                </c:pt>
                <c:pt idx="157">
                  <c:v>-6.6647002952204204</c:v>
                </c:pt>
                <c:pt idx="158">
                  <c:v>-6.3146926990392398</c:v>
                </c:pt>
                <c:pt idx="159">
                  <c:v>-5.9749120387830192</c:v>
                </c:pt>
                <c:pt idx="160">
                  <c:v>-5.6456872317694256</c:v>
                </c:pt>
                <c:pt idx="161">
                  <c:v>-5.3273471953161291</c:v>
                </c:pt>
                <c:pt idx="162">
                  <c:v>-5.0202208467408029</c:v>
                </c:pt>
                <c:pt idx="163">
                  <c:v>-4.7246371033611139</c:v>
                </c:pt>
                <c:pt idx="164">
                  <c:v>-4.440924882494734</c:v>
                </c:pt>
                <c:pt idx="165">
                  <c:v>-4.1694131014593312</c:v>
                </c:pt>
                <c:pt idx="166">
                  <c:v>-3.9103161944141638</c:v>
                </c:pt>
                <c:pt idx="167">
                  <c:v>-3.6633906628848258</c:v>
                </c:pt>
                <c:pt idx="168">
                  <c:v>-3.4282785252384986</c:v>
                </c:pt>
                <c:pt idx="169">
                  <c:v>-3.2046217998423643</c:v>
                </c:pt>
                <c:pt idx="170">
                  <c:v>-2.9920625050636049</c:v>
                </c:pt>
                <c:pt idx="171">
                  <c:v>-2.790242659269401</c:v>
                </c:pt>
                <c:pt idx="172">
                  <c:v>-2.5988042808269345</c:v>
                </c:pt>
                <c:pt idx="173">
                  <c:v>-2.4173893881033868</c:v>
                </c:pt>
                <c:pt idx="174">
                  <c:v>-2.2456399994659395</c:v>
                </c:pt>
                <c:pt idx="175">
                  <c:v>-2.0831981332817739</c:v>
                </c:pt>
                <c:pt idx="176">
                  <c:v>-1.9297058079180713</c:v>
                </c:pt>
                <c:pt idx="177">
                  <c:v>-1.7848050417420134</c:v>
                </c:pt>
                <c:pt idx="178">
                  <c:v>-1.6481378531207818</c:v>
                </c:pt>
                <c:pt idx="179">
                  <c:v>-1.5193462604215577</c:v>
                </c:pt>
                <c:pt idx="180">
                  <c:v>-1.3980722820115228</c:v>
                </c:pt>
                <c:pt idx="181">
                  <c:v>-1.2839579362578584</c:v>
                </c:pt>
                <c:pt idx="182">
                  <c:v>-1.176645241527746</c:v>
                </c:pt>
                <c:pt idx="183">
                  <c:v>-1.0757762161883673</c:v>
                </c:pt>
                <c:pt idx="184">
                  <c:v>-0.98099287860690343</c:v>
                </c:pt>
                <c:pt idx="185">
                  <c:v>-0.89193724715053602</c:v>
                </c:pt>
                <c:pt idx="186">
                  <c:v>-0.80825134018644662</c:v>
                </c:pt>
                <c:pt idx="187">
                  <c:v>-0.72957717608181638</c:v>
                </c:pt>
                <c:pt idx="188">
                  <c:v>-0.65555677320382721</c:v>
                </c:pt>
                <c:pt idx="189">
                  <c:v>-0.58583214991966037</c:v>
                </c:pt>
                <c:pt idx="190">
                  <c:v>-0.52004532459649733</c:v>
                </c:pt>
                <c:pt idx="191">
                  <c:v>-0.4578383156015195</c:v>
                </c:pt>
                <c:pt idx="192">
                  <c:v>-0.39885314130190846</c:v>
                </c:pt>
                <c:pt idx="193">
                  <c:v>-0.3427318200648457</c:v>
                </c:pt>
                <c:pt idx="194">
                  <c:v>-0.28911637025751258</c:v>
                </c:pt>
                <c:pt idx="195">
                  <c:v>-0.23764881024709064</c:v>
                </c:pt>
                <c:pt idx="196">
                  <c:v>-0.18797115840076134</c:v>
                </c:pt>
                <c:pt idx="197">
                  <c:v>-0.13972543308570615</c:v>
                </c:pt>
                <c:pt idx="198">
                  <c:v>-9.2553652669106548E-2</c:v>
                </c:pt>
                <c:pt idx="199">
                  <c:v>-4.6097835518144011E-2</c:v>
                </c:pt>
                <c:pt idx="200">
                  <c:v>0</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-50.877186227047318</c:v>
                </c:pt>
                <c:pt idx="1">
                  <c:v>-47.53503258872334</c:v>
                </c:pt>
                <c:pt idx="2">
                  <c:v>-43.17223321865707</c:v>
                </c:pt>
                <c:pt idx="3">
                  <c:v>-36.73447871701795</c:v>
                </c:pt>
                <c:pt idx="4">
                  <c:v>-23.798541942982897</c:v>
                </c:pt>
                <c:pt idx="5">
                  <c:v>-4.1694131014593321</c:v>
                </c:pt>
                <c:pt idx="6">
                  <c:v>0</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-200</c:v>
                </c:pt>
                <c:pt idx="1">
                  <c:v>-199</c:v>
                </c:pt>
                <c:pt idx="2">
                  <c:v>-198</c:v>
                </c:pt>
                <c:pt idx="3">
                  <c:v>-197</c:v>
                </c:pt>
                <c:pt idx="4">
                  <c:v>-196</c:v>
                </c:pt>
                <c:pt idx="5">
                  <c:v>-195</c:v>
                </c:pt>
                <c:pt idx="6">
                  <c:v>-194</c:v>
                </c:pt>
                <c:pt idx="7">
                  <c:v>-193</c:v>
                </c:pt>
                <c:pt idx="8">
                  <c:v>-192</c:v>
                </c:pt>
                <c:pt idx="9">
                  <c:v>-191</c:v>
                </c:pt>
                <c:pt idx="10">
                  <c:v>-190</c:v>
                </c:pt>
                <c:pt idx="11">
                  <c:v>-189</c:v>
                </c:pt>
                <c:pt idx="12">
                  <c:v>-188</c:v>
                </c:pt>
                <c:pt idx="13">
                  <c:v>-187</c:v>
                </c:pt>
                <c:pt idx="14">
                  <c:v>-186</c:v>
                </c:pt>
                <c:pt idx="15">
                  <c:v>-185</c:v>
                </c:pt>
                <c:pt idx="16">
                  <c:v>-184</c:v>
                </c:pt>
                <c:pt idx="17">
                  <c:v>-183</c:v>
                </c:pt>
                <c:pt idx="18">
                  <c:v>-182</c:v>
                </c:pt>
                <c:pt idx="19">
                  <c:v>-181</c:v>
                </c:pt>
                <c:pt idx="20">
                  <c:v>-180</c:v>
                </c:pt>
                <c:pt idx="21">
                  <c:v>-179</c:v>
                </c:pt>
                <c:pt idx="22">
                  <c:v>-178</c:v>
                </c:pt>
                <c:pt idx="23">
                  <c:v>-177</c:v>
                </c:pt>
                <c:pt idx="24">
                  <c:v>-176</c:v>
                </c:pt>
                <c:pt idx="25">
                  <c:v>-175</c:v>
                </c:pt>
                <c:pt idx="26">
                  <c:v>-174</c:v>
                </c:pt>
                <c:pt idx="27">
                  <c:v>-173</c:v>
                </c:pt>
                <c:pt idx="28">
                  <c:v>-172</c:v>
                </c:pt>
                <c:pt idx="29">
                  <c:v>-171</c:v>
                </c:pt>
                <c:pt idx="30">
                  <c:v>-170</c:v>
                </c:pt>
                <c:pt idx="31">
                  <c:v>-169</c:v>
                </c:pt>
                <c:pt idx="32">
                  <c:v>-168</c:v>
                </c:pt>
                <c:pt idx="33">
                  <c:v>-167</c:v>
                </c:pt>
                <c:pt idx="34">
                  <c:v>-166</c:v>
                </c:pt>
                <c:pt idx="35">
                  <c:v>-165</c:v>
                </c:pt>
                <c:pt idx="36">
                  <c:v>-164</c:v>
                </c:pt>
                <c:pt idx="37">
                  <c:v>-163</c:v>
                </c:pt>
                <c:pt idx="38">
                  <c:v>-162</c:v>
                </c:pt>
                <c:pt idx="39">
                  <c:v>-161</c:v>
                </c:pt>
                <c:pt idx="40">
                  <c:v>-160</c:v>
                </c:pt>
                <c:pt idx="41">
                  <c:v>-159</c:v>
                </c:pt>
                <c:pt idx="42">
                  <c:v>-158</c:v>
                </c:pt>
                <c:pt idx="43">
                  <c:v>-157</c:v>
                </c:pt>
                <c:pt idx="44">
                  <c:v>-156</c:v>
                </c:pt>
                <c:pt idx="45">
                  <c:v>-155</c:v>
                </c:pt>
                <c:pt idx="46">
                  <c:v>-154</c:v>
                </c:pt>
                <c:pt idx="47">
                  <c:v>-153</c:v>
                </c:pt>
                <c:pt idx="48">
                  <c:v>-152</c:v>
                </c:pt>
                <c:pt idx="49">
                  <c:v>-151</c:v>
                </c:pt>
                <c:pt idx="50">
                  <c:v>-150</c:v>
                </c:pt>
                <c:pt idx="51">
                  <c:v>-149</c:v>
                </c:pt>
                <c:pt idx="52">
                  <c:v>-148</c:v>
                </c:pt>
                <c:pt idx="53">
                  <c:v>-147</c:v>
                </c:pt>
                <c:pt idx="54">
                  <c:v>-146</c:v>
                </c:pt>
                <c:pt idx="55">
                  <c:v>-145</c:v>
                </c:pt>
                <c:pt idx="56">
                  <c:v>-144</c:v>
                </c:pt>
                <c:pt idx="57">
                  <c:v>-143</c:v>
                </c:pt>
                <c:pt idx="58">
                  <c:v>-142</c:v>
                </c:pt>
                <c:pt idx="59">
                  <c:v>-141</c:v>
                </c:pt>
                <c:pt idx="60">
                  <c:v>-140</c:v>
                </c:pt>
                <c:pt idx="61">
                  <c:v>-139</c:v>
                </c:pt>
                <c:pt idx="62">
                  <c:v>-138</c:v>
                </c:pt>
                <c:pt idx="63">
                  <c:v>-137</c:v>
                </c:pt>
                <c:pt idx="64">
                  <c:v>-136</c:v>
                </c:pt>
                <c:pt idx="65">
                  <c:v>-135</c:v>
                </c:pt>
                <c:pt idx="66">
                  <c:v>-134</c:v>
                </c:pt>
                <c:pt idx="67">
                  <c:v>-133</c:v>
                </c:pt>
                <c:pt idx="68">
                  <c:v>-132</c:v>
                </c:pt>
                <c:pt idx="69">
                  <c:v>-131</c:v>
                </c:pt>
                <c:pt idx="70">
                  <c:v>-130</c:v>
                </c:pt>
                <c:pt idx="71">
                  <c:v>-129</c:v>
                </c:pt>
                <c:pt idx="72">
                  <c:v>-128</c:v>
                </c:pt>
                <c:pt idx="73">
                  <c:v>-127</c:v>
                </c:pt>
                <c:pt idx="74">
                  <c:v>-126</c:v>
                </c:pt>
                <c:pt idx="75">
                  <c:v>-125</c:v>
                </c:pt>
                <c:pt idx="76">
                  <c:v>-124</c:v>
                </c:pt>
                <c:pt idx="77">
                  <c:v>-123</c:v>
                </c:pt>
                <c:pt idx="78">
                  <c:v>-122</c:v>
                </c:pt>
                <c:pt idx="79">
                  <c:v>-121</c:v>
                </c:pt>
                <c:pt idx="80">
                  <c:v>-120</c:v>
                </c:pt>
                <c:pt idx="81">
                  <c:v>-119</c:v>
                </c:pt>
                <c:pt idx="82">
                  <c:v>-118</c:v>
                </c:pt>
                <c:pt idx="83">
                  <c:v>-117</c:v>
                </c:pt>
                <c:pt idx="84">
                  <c:v>-116</c:v>
                </c:pt>
                <c:pt idx="85">
                  <c:v>-115</c:v>
                </c:pt>
                <c:pt idx="86">
                  <c:v>-114</c:v>
                </c:pt>
                <c:pt idx="87">
                  <c:v>-113</c:v>
                </c:pt>
                <c:pt idx="88">
                  <c:v>-112</c:v>
                </c:pt>
                <c:pt idx="89">
                  <c:v>-111</c:v>
                </c:pt>
                <c:pt idx="90">
                  <c:v>-110</c:v>
                </c:pt>
                <c:pt idx="91">
                  <c:v>-109</c:v>
                </c:pt>
                <c:pt idx="92">
                  <c:v>-108</c:v>
                </c:pt>
                <c:pt idx="93">
                  <c:v>-107</c:v>
                </c:pt>
                <c:pt idx="94">
                  <c:v>-106</c:v>
                </c:pt>
                <c:pt idx="95">
                  <c:v>-105</c:v>
                </c:pt>
                <c:pt idx="96">
                  <c:v>-104</c:v>
                </c:pt>
                <c:pt idx="97">
                  <c:v>-103</c:v>
                </c:pt>
                <c:pt idx="98">
                  <c:v>-102</c:v>
                </c:pt>
                <c:pt idx="99">
                  <c:v>-101</c:v>
                </c:pt>
                <c:pt idx="100">
                  <c:v>-100</c:v>
                </c:pt>
                <c:pt idx="101">
                  <c:v>-99</c:v>
                </c:pt>
                <c:pt idx="102">
                  <c:v>-98</c:v>
                </c:pt>
                <c:pt idx="103">
                  <c:v>-97</c:v>
                </c:pt>
                <c:pt idx="104">
                  <c:v>-96</c:v>
                </c:pt>
                <c:pt idx="105">
                  <c:v>-95</c:v>
                </c:pt>
                <c:pt idx="106">
                  <c:v>-94</c:v>
                </c:pt>
                <c:pt idx="107">
                  <c:v>-93</c:v>
                </c:pt>
                <c:pt idx="108">
                  <c:v>-92</c:v>
                </c:pt>
                <c:pt idx="109">
                  <c:v>-91</c:v>
                </c:pt>
                <c:pt idx="110">
                  <c:v>-90</c:v>
                </c:pt>
                <c:pt idx="111">
                  <c:v>-89</c:v>
                </c:pt>
                <c:pt idx="112">
                  <c:v>-88</c:v>
                </c:pt>
                <c:pt idx="113">
                  <c:v>-87</c:v>
                </c:pt>
                <c:pt idx="114">
                  <c:v>-86</c:v>
                </c:pt>
                <c:pt idx="115">
                  <c:v>-85</c:v>
                </c:pt>
                <c:pt idx="116">
                  <c:v>-84</c:v>
                </c:pt>
                <c:pt idx="117">
                  <c:v>-83</c:v>
                </c:pt>
                <c:pt idx="118">
                  <c:v>-82</c:v>
                </c:pt>
                <c:pt idx="119">
                  <c:v>-81</c:v>
                </c:pt>
                <c:pt idx="120">
                  <c:v>-80</c:v>
                </c:pt>
                <c:pt idx="121">
                  <c:v>-79</c:v>
                </c:pt>
                <c:pt idx="122">
                  <c:v>-78</c:v>
                </c:pt>
                <c:pt idx="123">
                  <c:v>-77</c:v>
                </c:pt>
                <c:pt idx="124">
                  <c:v>-76</c:v>
                </c:pt>
                <c:pt idx="125">
                  <c:v>-75</c:v>
                </c:pt>
                <c:pt idx="126">
                  <c:v>-74</c:v>
                </c:pt>
                <c:pt idx="127">
                  <c:v>-73</c:v>
                </c:pt>
                <c:pt idx="128">
                  <c:v>-72</c:v>
                </c:pt>
                <c:pt idx="129">
                  <c:v>-71</c:v>
                </c:pt>
                <c:pt idx="130">
                  <c:v>-70</c:v>
                </c:pt>
                <c:pt idx="131">
                  <c:v>-69</c:v>
                </c:pt>
                <c:pt idx="132">
                  <c:v>-68</c:v>
                </c:pt>
                <c:pt idx="133">
                  <c:v>-67</c:v>
                </c:pt>
                <c:pt idx="134">
                  <c:v>-66</c:v>
                </c:pt>
                <c:pt idx="135">
                  <c:v>-65</c:v>
                </c:pt>
                <c:pt idx="136">
                  <c:v>-64</c:v>
                </c:pt>
                <c:pt idx="137">
                  <c:v>-63</c:v>
                </c:pt>
                <c:pt idx="138">
                  <c:v>-62</c:v>
                </c:pt>
                <c:pt idx="139">
                  <c:v>-61</c:v>
                </c:pt>
                <c:pt idx="140">
                  <c:v>-60</c:v>
                </c:pt>
                <c:pt idx="141">
                  <c:v>-59</c:v>
                </c:pt>
                <c:pt idx="142">
                  <c:v>-58</c:v>
                </c:pt>
                <c:pt idx="143">
                  <c:v>-57</c:v>
                </c:pt>
                <c:pt idx="144">
                  <c:v>-56</c:v>
                </c:pt>
                <c:pt idx="145">
                  <c:v>-55</c:v>
                </c:pt>
                <c:pt idx="146">
                  <c:v>-54</c:v>
                </c:pt>
                <c:pt idx="147">
                  <c:v>-53</c:v>
                </c:pt>
                <c:pt idx="148">
                  <c:v>-52</c:v>
                </c:pt>
                <c:pt idx="149">
                  <c:v>-51</c:v>
                </c:pt>
                <c:pt idx="150">
                  <c:v>-50</c:v>
                </c:pt>
                <c:pt idx="151">
                  <c:v>-49</c:v>
                </c:pt>
                <c:pt idx="152">
                  <c:v>-48</c:v>
                </c:pt>
                <c:pt idx="153">
                  <c:v>-47</c:v>
                </c:pt>
                <c:pt idx="154">
                  <c:v>-46</c:v>
                </c:pt>
                <c:pt idx="155">
                  <c:v>-45</c:v>
                </c:pt>
                <c:pt idx="156">
                  <c:v>-44</c:v>
                </c:pt>
                <c:pt idx="157">
                  <c:v>-43</c:v>
                </c:pt>
                <c:pt idx="158">
                  <c:v>-42</c:v>
                </c:pt>
                <c:pt idx="159">
                  <c:v>-41</c:v>
                </c:pt>
                <c:pt idx="160">
                  <c:v>-40</c:v>
                </c:pt>
                <c:pt idx="161">
                  <c:v>-39</c:v>
                </c:pt>
                <c:pt idx="162">
                  <c:v>-38</c:v>
                </c:pt>
                <c:pt idx="163">
                  <c:v>-37</c:v>
                </c:pt>
                <c:pt idx="164">
                  <c:v>-36</c:v>
                </c:pt>
                <c:pt idx="165">
                  <c:v>-35</c:v>
                </c:pt>
                <c:pt idx="166">
                  <c:v>-34</c:v>
                </c:pt>
                <c:pt idx="167">
                  <c:v>-33</c:v>
                </c:pt>
                <c:pt idx="168">
                  <c:v>-32</c:v>
                </c:pt>
                <c:pt idx="169">
                  <c:v>-31</c:v>
                </c:pt>
                <c:pt idx="170">
                  <c:v>-30</c:v>
                </c:pt>
                <c:pt idx="171">
                  <c:v>-29</c:v>
                </c:pt>
                <c:pt idx="172">
                  <c:v>-28</c:v>
                </c:pt>
                <c:pt idx="173">
                  <c:v>-27</c:v>
                </c:pt>
                <c:pt idx="174">
                  <c:v>-26</c:v>
                </c:pt>
                <c:pt idx="175">
                  <c:v>-25</c:v>
                </c:pt>
                <c:pt idx="176">
                  <c:v>-24</c:v>
                </c:pt>
                <c:pt idx="177">
                  <c:v>-23</c:v>
                </c:pt>
                <c:pt idx="178">
                  <c:v>-22</c:v>
                </c:pt>
                <c:pt idx="179">
                  <c:v>-21</c:v>
                </c:pt>
                <c:pt idx="180">
                  <c:v>-20</c:v>
                </c:pt>
                <c:pt idx="181">
                  <c:v>-19</c:v>
                </c:pt>
                <c:pt idx="182">
                  <c:v>-18</c:v>
                </c:pt>
                <c:pt idx="183">
                  <c:v>-17</c:v>
                </c:pt>
                <c:pt idx="184">
                  <c:v>-16</c:v>
                </c:pt>
                <c:pt idx="185">
                  <c:v>-15</c:v>
                </c:pt>
                <c:pt idx="186">
                  <c:v>-14</c:v>
                </c:pt>
                <c:pt idx="187">
                  <c:v>-13</c:v>
                </c:pt>
                <c:pt idx="188">
                  <c:v>-12</c:v>
                </c:pt>
                <c:pt idx="189">
                  <c:v>-11</c:v>
                </c:pt>
                <c:pt idx="190">
                  <c:v>-10</c:v>
                </c:pt>
                <c:pt idx="191">
                  <c:v>-9</c:v>
                </c:pt>
                <c:pt idx="192">
                  <c:v>-8</c:v>
                </c:pt>
                <c:pt idx="193">
                  <c:v>-7</c:v>
                </c:pt>
                <c:pt idx="194">
                  <c:v>-6</c:v>
                </c:pt>
                <c:pt idx="195">
                  <c:v>-5</c:v>
                </c:pt>
                <c:pt idx="196">
                  <c:v>-4</c:v>
                </c:pt>
                <c:pt idx="197">
                  <c:v>-3</c:v>
                </c:pt>
                <c:pt idx="198">
                  <c:v>-2</c:v>
                </c:pt>
                <c:pt idx="199">
                  <c:v>-1</c:v>
                </c:pt>
                <c:pt idx="200">
                  <c:v>0</c:v>
                </c:pt>
              </c:numCache>
            </c:numRef>
          </c:xVal>
          <c:yVal>
            <c:numRef>
              <c:f>'Shiftfunktion bestimmen'!$F$222:$F$422</c:f>
              <c:numCache>
                <c:formatCode>General</c:formatCode>
                <c:ptCount val="201"/>
                <c:pt idx="0">
                  <c:v>-50.949776756003757</c:v>
                </c:pt>
                <c:pt idx="1">
                  <c:v>-50.854992948803556</c:v>
                </c:pt>
                <c:pt idx="2">
                  <c:v>-50.769572433322992</c:v>
                </c:pt>
                <c:pt idx="3">
                  <c:v>-50.692047185707452</c:v>
                </c:pt>
                <c:pt idx="4">
                  <c:v>-50.621072548027314</c:v>
                </c:pt>
                <c:pt idx="5">
                  <c:v>-50.555420203713311</c:v>
                </c:pt>
                <c:pt idx="6">
                  <c:v>-50.493971408505786</c:v>
                </c:pt>
                <c:pt idx="7">
                  <c:v>-50.43571047154046</c:v>
                </c:pt>
                <c:pt idx="8">
                  <c:v>-50.379718481268355</c:v>
                </c:pt>
                <c:pt idx="9">
                  <c:v>-50.325167270796101</c:v>
                </c:pt>
                <c:pt idx="10">
                  <c:v>-50.27131361751799</c:v>
                </c:pt>
                <c:pt idx="11">
                  <c:v>-50.217493671740158</c:v>
                </c:pt>
                <c:pt idx="12">
                  <c:v>-50.163117609212804</c:v>
                </c:pt>
                <c:pt idx="13">
                  <c:v>-50.107664502447733</c:v>
                </c:pt>
                <c:pt idx="14">
                  <c:v>-50.050677405762599</c:v>
                </c:pt>
                <c:pt idx="15">
                  <c:v>-49.991758649100348</c:v>
                </c:pt>
                <c:pt idx="16">
                  <c:v>-49.93056533562617</c:v>
                </c:pt>
                <c:pt idx="17">
                  <c:v>-49.866805038261646</c:v>
                </c:pt>
                <c:pt idx="18">
                  <c:v>-49.800231690265036</c:v>
                </c:pt>
                <c:pt idx="19">
                  <c:v>-49.730641665115627</c:v>
                </c:pt>
                <c:pt idx="20">
                  <c:v>-49.657870040939542</c:v>
                </c:pt>
                <c:pt idx="21">
                  <c:v>-49.581787044778821</c:v>
                </c:pt>
                <c:pt idx="22">
                  <c:v>-49.502294672104199</c:v>
                </c:pt>
                <c:pt idx="23">
                  <c:v>-49.419323476947739</c:v>
                </c:pt>
                <c:pt idx="24">
                  <c:v>-49.332829528158527</c:v>
                </c:pt>
                <c:pt idx="25">
                  <c:v>-49.242791527267627</c:v>
                </c:pt>
                <c:pt idx="26">
                  <c:v>-49.149208083556687</c:v>
                </c:pt>
                <c:pt idx="27">
                  <c:v>-49.052095141941891</c:v>
                </c:pt>
                <c:pt idx="28">
                  <c:v>-48.951483559341909</c:v>
                </c:pt>
                <c:pt idx="29">
                  <c:v>-48.847416825252708</c:v>
                </c:pt>
                <c:pt idx="30">
                  <c:v>-48.739948922328495</c:v>
                </c:pt>
                <c:pt idx="31">
                  <c:v>-48.629142322752273</c:v>
                </c:pt>
                <c:pt idx="32">
                  <c:v>-48.515066116313392</c:v>
                </c:pt>
                <c:pt idx="33">
                  <c:v>-48.397794266098344</c:v>
                </c:pt>
                <c:pt idx="34">
                  <c:v>-48.277403987783714</c:v>
                </c:pt>
                <c:pt idx="35">
                  <c:v>-48.153974248561099</c:v>
                </c:pt>
                <c:pt idx="36">
                  <c:v>-48.027584381776023</c:v>
                </c:pt>
                <c:pt idx="37">
                  <c:v>-47.898312813415146</c:v>
                </c:pt>
                <c:pt idx="38">
                  <c:v>-47.766235896632111</c:v>
                </c:pt>
                <c:pt idx="39">
                  <c:v>-47.631426850538674</c:v>
                </c:pt>
                <c:pt idx="40">
                  <c:v>-47.493954799563198</c:v>
                </c:pt>
                <c:pt idx="41">
                  <c:v>-47.35388390970104</c:v>
                </c:pt>
                <c:pt idx="42">
                  <c:v>-47.211272618058047</c:v>
                </c:pt>
                <c:pt idx="43">
                  <c:v>-47.066172952126863</c:v>
                </c:pt>
                <c:pt idx="44">
                  <c:v>-46.918629935289232</c:v>
                </c:pt>
                <c:pt idx="45">
                  <c:v>-46.768681075084885</c:v>
                </c:pt>
                <c:pt idx="46">
                  <c:v>-46.616355930849238</c:v>
                </c:pt>
                <c:pt idx="47">
                  <c:v>-46.46167575736456</c:v>
                </c:pt>
                <c:pt idx="48">
                  <c:v>-46.304653221223418</c:v>
                </c:pt>
                <c:pt idx="49">
                  <c:v>-46.145292186653137</c:v>
                </c:pt>
                <c:pt idx="50">
                  <c:v>-45.983587567603877</c:v>
                </c:pt>
                <c:pt idx="51">
                  <c:v>-45.819525242955308</c:v>
                </c:pt>
                <c:pt idx="52">
                  <c:v>-45.653082031736403</c:v>
                </c:pt>
                <c:pt idx="53">
                  <c:v>-45.484225725327974</c:v>
                </c:pt>
                <c:pt idx="54">
                  <c:v>-45.312915173644342</c:v>
                </c:pt>
                <c:pt idx="55">
                  <c:v>-45.139100422349543</c:v>
                </c:pt>
                <c:pt idx="56">
                  <c:v>-44.962722898226588</c:v>
                </c:pt>
                <c:pt idx="57">
                  <c:v>-44.783715639857263</c:v>
                </c:pt>
                <c:pt idx="58">
                  <c:v>-44.602003570816606</c:v>
                </c:pt>
                <c:pt idx="59">
                  <c:v>-44.417503812654502</c:v>
                </c:pt>
                <c:pt idx="60">
                  <c:v>-44.230126034976138</c:v>
                </c:pt>
                <c:pt idx="61">
                  <c:v>-44.039772839981936</c:v>
                </c:pt>
                <c:pt idx="62">
                  <c:v>-43.846340178893882</c:v>
                </c:pt>
                <c:pt idx="63">
                  <c:v>-43.649717797723099</c:v>
                </c:pt>
                <c:pt idx="64">
                  <c:v>-43.449789709913773</c:v>
                </c:pt>
                <c:pt idx="65">
                  <c:v>-43.246434693419133</c:v>
                </c:pt>
                <c:pt idx="66">
                  <c:v>-43.039526809843807</c:v>
                </c:pt>
                <c:pt idx="67">
                  <c:v>-42.828935943319195</c:v>
                </c:pt>
                <c:pt idx="68">
                  <c:v>-42.614528356837738</c:v>
                </c:pt>
                <c:pt idx="69">
                  <c:v>-42.396167263823742</c:v>
                </c:pt>
                <c:pt idx="70">
                  <c:v>-42.173713412769047</c:v>
                </c:pt>
                <c:pt idx="71">
                  <c:v>-41.947025682806967</c:v>
                </c:pt>
                <c:pt idx="72">
                  <c:v>-41.715961688162224</c:v>
                </c:pt>
                <c:pt idx="73">
                  <c:v>-41.480378389450578</c:v>
                </c:pt>
                <c:pt idx="74">
                  <c:v>-41.240132709868163</c:v>
                </c:pt>
                <c:pt idx="75">
                  <c:v>-40.99508215434679</c:v>
                </c:pt>
                <c:pt idx="76">
                  <c:v>-40.745085429817919</c:v>
                </c:pt>
                <c:pt idx="77">
                  <c:v>-40.490003064766697</c:v>
                </c:pt>
                <c:pt idx="78">
                  <c:v>-40.22969802631571</c:v>
                </c:pt>
                <c:pt idx="79">
                  <c:v>-39.964036333128163</c:v>
                </c:pt>
                <c:pt idx="80">
                  <c:v>-39.692887662470106</c:v>
                </c:pt>
                <c:pt idx="81">
                  <c:v>-39.416125949824206</c:v>
                </c:pt>
                <c:pt idx="82">
                  <c:v>-39.133629979497783</c:v>
                </c:pt>
                <c:pt idx="83">
                  <c:v>-38.845283964718597</c:v>
                </c:pt>
                <c:pt idx="84">
                  <c:v>-38.550978115767172</c:v>
                </c:pt>
                <c:pt idx="85">
                  <c:v>-38.250609194738722</c:v>
                </c:pt>
                <c:pt idx="86">
                  <c:v>-37.944081055586281</c:v>
                </c:pt>
                <c:pt idx="87">
                  <c:v>-37.631305168142305</c:v>
                </c:pt>
                <c:pt idx="88">
                  <c:v>-37.312201124872502</c:v>
                </c:pt>
                <c:pt idx="89">
                  <c:v>-36.986697129160071</c:v>
                </c:pt>
                <c:pt idx="90">
                  <c:v>-36.654730463978709</c:v>
                </c:pt>
                <c:pt idx="91">
                  <c:v>-36.316247939855145</c:v>
                </c:pt>
                <c:pt idx="92">
                  <c:v>-35.971206321080942</c:v>
                </c:pt>
                <c:pt idx="93">
                  <c:v>-35.619572729177321</c:v>
                </c:pt>
                <c:pt idx="94">
                  <c:v>-35.2613250226755</c:v>
                </c:pt>
                <c:pt idx="95">
                  <c:v>-34.896452152320208</c:v>
                </c:pt>
                <c:pt idx="96">
                  <c:v>-34.524954490859002</c:v>
                </c:pt>
                <c:pt idx="97">
                  <c:v>-34.146844136629085</c:v>
                </c:pt>
                <c:pt idx="98">
                  <c:v>-33.762145190207413</c:v>
                </c:pt>
                <c:pt idx="99">
                  <c:v>-33.370894003437392</c:v>
                </c:pt>
                <c:pt idx="100">
                  <c:v>-32.973139400200481</c:v>
                </c:pt>
                <c:pt idx="101">
                  <c:v>-32.568942868349687</c:v>
                </c:pt>
                <c:pt idx="102">
                  <c:v>-32.15837872227501</c:v>
                </c:pt>
                <c:pt idx="103">
                  <c:v>-31.741534235620296</c:v>
                </c:pt>
                <c:pt idx="104">
                  <c:v>-31.31850974372492</c:v>
                </c:pt>
                <c:pt idx="105">
                  <c:v>-30.88941871541245</c:v>
                </c:pt>
                <c:pt idx="106">
                  <c:v>-30.45438779380067</c:v>
                </c:pt>
                <c:pt idx="107">
                  <c:v>-30.01355680585992</c:v>
                </c:pt>
                <c:pt idx="108">
                  <c:v>-29.567078740495564</c:v>
                </c:pt>
                <c:pt idx="109">
                  <c:v>-29.115119694984141</c:v>
                </c:pt>
                <c:pt idx="110">
                  <c:v>-28.657858789642084</c:v>
                </c:pt>
                <c:pt idx="111">
                  <c:v>-28.195488050658717</c:v>
                </c:pt>
                <c:pt idx="112">
                  <c:v>-27.728212261075477</c:v>
                </c:pt>
                <c:pt idx="113">
                  <c:v>-27.256248779945281</c:v>
                </c:pt>
                <c:pt idx="114">
                  <c:v>-26.779827329757101</c:v>
                </c:pt>
                <c:pt idx="115">
                  <c:v>-26.29918975226142</c:v>
                </c:pt>
                <c:pt idx="116">
                  <c:v>-25.81458973288532</c:v>
                </c:pt>
                <c:pt idx="117">
                  <c:v>-25.326292493974879</c:v>
                </c:pt>
                <c:pt idx="118">
                  <c:v>-24.834574457155984</c:v>
                </c:pt>
                <c:pt idx="119">
                  <c:v>-24.339722875154667</c:v>
                </c:pt>
                <c:pt idx="120">
                  <c:v>-23.842035433469938</c:v>
                </c:pt>
                <c:pt idx="121">
                  <c:v>-23.341819822343254</c:v>
                </c:pt>
                <c:pt idx="122">
                  <c:v>-22.839393279520028</c:v>
                </c:pt>
                <c:pt idx="123">
                  <c:v>-22.335082104350032</c:v>
                </c:pt>
                <c:pt idx="124">
                  <c:v>-21.829221143824608</c:v>
                </c:pt>
                <c:pt idx="125">
                  <c:v>-21.322153251200358</c:v>
                </c:pt>
                <c:pt idx="126">
                  <c:v>-20.814228717909664</c:v>
                </c:pt>
                <c:pt idx="127">
                  <c:v>-20.305804679510203</c:v>
                </c:pt>
                <c:pt idx="128">
                  <c:v>-19.797244496476885</c:v>
                </c:pt>
                <c:pt idx="129">
                  <c:v>-19.288917110690559</c:v>
                </c:pt>
                <c:pt idx="130">
                  <c:v>-18.781196378529557</c:v>
                </c:pt>
                <c:pt idx="131">
                  <c:v>-18.274460381521415</c:v>
                </c:pt>
                <c:pt idx="132">
                  <c:v>-17.769090715563063</c:v>
                </c:pt>
                <c:pt idx="133">
                  <c:v>-17.265471759769547</c:v>
                </c:pt>
                <c:pt idx="134">
                  <c:v>-16.763989926062333</c:v>
                </c:pt>
                <c:pt idx="135">
                  <c:v>-16.265032890659629</c:v>
                </c:pt>
                <c:pt idx="136">
                  <c:v>-15.768988808682668</c:v>
                </c:pt>
                <c:pt idx="137">
                  <c:v>-15.276245513142783</c:v>
                </c:pt>
                <c:pt idx="138">
                  <c:v>-14.787189699625911</c:v>
                </c:pt>
                <c:pt idx="139">
                  <c:v>-14.30220609804204</c:v>
                </c:pt>
                <c:pt idx="140">
                  <c:v>-13.821676632858694</c:v>
                </c:pt>
                <c:pt idx="141">
                  <c:v>-13.345979573288769</c:v>
                </c:pt>
                <c:pt idx="142">
                  <c:v>-12.875488674954308</c:v>
                </c:pt>
                <c:pt idx="143">
                  <c:v>-12.41057231459917</c:v>
                </c:pt>
                <c:pt idx="144">
                  <c:v>-11.951592619474855</c:v>
                </c:pt>
                <c:pt idx="145">
                  <c:v>-11.498904593074972</c:v>
                </c:pt>
                <c:pt idx="146">
                  <c:v>-11.052855238945261</c:v>
                </c:pt>
                <c:pt idx="147">
                  <c:v>-10.613782684347321</c:v>
                </c:pt>
                <c:pt idx="148">
                  <c:v>-10.182015305605486</c:v>
                </c:pt>
                <c:pt idx="149">
                  <c:v>-9.7578708570177053</c:v>
                </c:pt>
                <c:pt idx="150">
                  <c:v>-9.3416556052624209</c:v>
                </c:pt>
                <c:pt idx="151">
                  <c:v>-8.9336634712849268</c:v>
                </c:pt>
                <c:pt idx="152">
                  <c:v>-8.5341751816978402</c:v>
                </c:pt>
                <c:pt idx="153">
                  <c:v>-8.1434574317817976</c:v>
                </c:pt>
                <c:pt idx="154">
                  <c:v>-7.7617620622235863</c:v>
                </c:pt>
                <c:pt idx="155">
                  <c:v>-7.38932525178042</c:v>
                </c:pt>
                <c:pt idx="156">
                  <c:v>-7.0263667281102986</c:v>
                </c:pt>
                <c:pt idx="157">
                  <c:v>-6.673088999059642</c:v>
                </c:pt>
                <c:pt idx="158">
                  <c:v>-6.3296766067508061</c:v>
                </c:pt>
                <c:pt idx="159">
                  <c:v>-5.9962954068633696</c:v>
                </c:pt>
                <c:pt idx="160">
                  <c:v>-5.673091875554257</c:v>
                </c:pt>
                <c:pt idx="161">
                  <c:v>-5.3601924465133175</c:v>
                </c:pt>
                <c:pt idx="162">
                  <c:v>-5.0577028807020472</c:v>
                </c:pt>
                <c:pt idx="163">
                  <c:v>-4.7657076713746012</c:v>
                </c:pt>
                <c:pt idx="164">
                  <c:v>-4.4842694870314954</c:v>
                </c:pt>
                <c:pt idx="165">
                  <c:v>-4.2134286550077045</c:v>
                </c:pt>
                <c:pt idx="166">
                  <c:v>-3.9532026884481861</c:v>
                </c:pt>
                <c:pt idx="167">
                  <c:v>-3.7035858594751598</c:v>
                </c:pt>
                <c:pt idx="168">
                  <c:v>-3.4645488214027962</c:v>
                </c:pt>
                <c:pt idx="169">
                  <c:v>-3.2360382829062364</c:v>
                </c:pt>
                <c:pt idx="170">
                  <c:v>-3.0179767371032242</c:v>
                </c:pt>
                <c:pt idx="171">
                  <c:v>-2.8102622485579123</c:v>
                </c:pt>
                <c:pt idx="172">
                  <c:v>-2.6127683012677014</c:v>
                </c:pt>
                <c:pt idx="173">
                  <c:v>-2.4253437107453104</c:v>
                </c:pt>
                <c:pt idx="174">
                  <c:v>-2.2478126033595673</c:v>
                </c:pt>
                <c:pt idx="175">
                  <c:v>-2.079974466149709</c:v>
                </c:pt>
                <c:pt idx="176">
                  <c:v>-1.9216042703793026</c:v>
                </c:pt>
                <c:pt idx="177">
                  <c:v>-1.7724526721472131</c:v>
                </c:pt>
                <c:pt idx="178">
                  <c:v>-1.6322462934243249</c:v>
                </c:pt>
                <c:pt idx="179">
                  <c:v>-1.5006880869360646</c:v>
                </c:pt>
                <c:pt idx="180">
                  <c:v>-1.3774577883620536</c:v>
                </c:pt>
                <c:pt idx="181">
                  <c:v>-1.2622124593755473</c:v>
                </c:pt>
                <c:pt idx="182">
                  <c:v>-1.1545871250966189</c:v>
                </c:pt>
                <c:pt idx="183">
                  <c:v>-1.0541955095843458</c:v>
                </c:pt>
                <c:pt idx="184">
                  <c:v>-0.96063087304458183</c:v>
                </c:pt>
                <c:pt idx="185">
                  <c:v>-0.87346695448118961</c:v>
                </c:pt>
                <c:pt idx="186">
                  <c:v>-0.79225902356993216</c:v>
                </c:pt>
                <c:pt idx="187">
                  <c:v>-0.71654504558551491</c:v>
                </c:pt>
                <c:pt idx="188">
                  <c:v>-0.64584696326359226</c:v>
                </c:pt>
                <c:pt idx="189">
                  <c:v>-0.57967209953084819</c:v>
                </c:pt>
                <c:pt idx="190">
                  <c:v>-0.51751468508758247</c:v>
                </c:pt>
                <c:pt idx="191">
                  <c:v>-0.45885751487852805</c:v>
                </c:pt>
                <c:pt idx="192">
                  <c:v>-0.40317373753894437</c:v>
                </c:pt>
                <c:pt idx="193">
                  <c:v>-0.3499287819543358</c:v>
                </c:pt>
                <c:pt idx="194">
                  <c:v>-0.29858242512345118</c:v>
                </c:pt>
                <c:pt idx="195">
                  <c:v>-0.24859100556553165</c:v>
                </c:pt>
                <c:pt idx="196">
                  <c:v>-0.19940978656408065</c:v>
                </c:pt>
                <c:pt idx="197">
                  <c:v>-0.150495473590739</c:v>
                </c:pt>
                <c:pt idx="198">
                  <c:v>-0.10130889030415569</c:v>
                </c:pt>
                <c:pt idx="199">
                  <c:v>-5.1317817570053811E-2</c:v>
                </c:pt>
                <c:pt idx="200">
                  <c:v>0</c:v>
                </c:pt>
              </c:numCache>
            </c:numRef>
          </c:yVal>
          <c:smooth val="1"/>
        </c:ser>
        <c:dLbls>
          <c:showLegendKey val="0"/>
          <c:showVal val="0"/>
          <c:showCatName val="0"/>
          <c:showSerName val="0"/>
          <c:showPercent val="0"/>
          <c:showBubbleSize val="0"/>
        </c:dLbls>
        <c:axId val="486287104"/>
        <c:axId val="486292984"/>
      </c:scatterChart>
      <c:valAx>
        <c:axId val="48628710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92984"/>
        <c:crossesAt val="-1000"/>
        <c:crossBetween val="midCat"/>
      </c:valAx>
      <c:valAx>
        <c:axId val="48629298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8628710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37"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85</v>
      </c>
    </row>
    <row r="22" spans="1:2" s="11" customFormat="1" x14ac:dyDescent="0.25">
      <c r="A22" s="61" t="s">
        <v>157</v>
      </c>
      <c r="B22" s="99">
        <f>CTE!N8-0.5</f>
        <v>95</v>
      </c>
    </row>
    <row r="23" spans="1:2" s="11" customFormat="1" x14ac:dyDescent="0.25">
      <c r="A23" s="61" t="s">
        <v>158</v>
      </c>
      <c r="B23" s="99">
        <f>CTE!N9</f>
        <v>180.5</v>
      </c>
    </row>
    <row r="24" spans="1:2" s="11" customFormat="1" x14ac:dyDescent="0.25"/>
    <row r="25" spans="1:2" s="11" customFormat="1" x14ac:dyDescent="0.25">
      <c r="A25" s="61" t="s">
        <v>147</v>
      </c>
      <c r="B25" s="53">
        <f>CTE!O5</f>
        <v>2.5181388285714289E-5</v>
      </c>
    </row>
    <row r="26" spans="1:2" s="11" customFormat="1" x14ac:dyDescent="0.25">
      <c r="A26" s="61" t="s">
        <v>148</v>
      </c>
      <c r="B26" s="53">
        <f>CTE!O6</f>
        <v>2.7886904000000003E-5</v>
      </c>
    </row>
    <row r="27" spans="1:2" s="11" customFormat="1" x14ac:dyDescent="0.25">
      <c r="A27" s="61" t="s">
        <v>149</v>
      </c>
      <c r="B27" s="53">
        <f>CTE!O8</f>
        <v>7.1150880000000002E-5</v>
      </c>
    </row>
    <row r="28" spans="1:2" s="11" customFormat="1" x14ac:dyDescent="0.25">
      <c r="A28" s="61" t="s">
        <v>150</v>
      </c>
      <c r="B28" s="53">
        <f>CTE!O9</f>
        <v>7.0799597142857145E-5</v>
      </c>
    </row>
    <row r="29" spans="1:2" s="11" customFormat="1" x14ac:dyDescent="0.25">
      <c r="A29" s="61"/>
    </row>
    <row r="30" spans="1:2" s="11" customFormat="1" x14ac:dyDescent="0.25">
      <c r="A30" s="61" t="s">
        <v>151</v>
      </c>
      <c r="B30" s="52">
        <f>CTE!P5</f>
        <v>2.503583894736842E-5</v>
      </c>
    </row>
    <row r="31" spans="1:2" s="11" customFormat="1" x14ac:dyDescent="0.25">
      <c r="A31" s="61" t="s">
        <v>152</v>
      </c>
      <c r="B31" s="52">
        <f>CTE!P6</f>
        <v>2.7577463157894738E-5</v>
      </c>
    </row>
    <row r="32" spans="1:2" s="11" customFormat="1" x14ac:dyDescent="0.25">
      <c r="A32" s="61" t="s">
        <v>153</v>
      </c>
      <c r="B32" s="52">
        <f>CTE!P8</f>
        <v>6.5041527368421044E-5</v>
      </c>
    </row>
    <row r="33" spans="1:2" s="11" customFormat="1" x14ac:dyDescent="0.25">
      <c r="A33" s="61" t="s">
        <v>154</v>
      </c>
      <c r="B33" s="52">
        <f>CTE!P9</f>
        <v>6.6264183157894736E-5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433.15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5.2152154304594453E-2</v>
      </c>
      <c r="D59" s="55">
        <v>1</v>
      </c>
    </row>
    <row r="60" spans="1:4" s="11" customFormat="1" x14ac:dyDescent="0.25">
      <c r="A60" s="54">
        <v>2</v>
      </c>
      <c r="B60" s="56">
        <f>'Shiftfunktion bestimmen'!N2</f>
        <v>9.186153299304919E-4</v>
      </c>
      <c r="D60" s="55">
        <v>2</v>
      </c>
    </row>
    <row r="61" spans="1:4" s="11" customFormat="1" x14ac:dyDescent="0.25">
      <c r="A61" s="54">
        <v>3</v>
      </c>
      <c r="B61" s="56">
        <f>'Shiftfunktion bestimmen'!N3</f>
        <v>8.3620905634611238E-5</v>
      </c>
      <c r="D61" s="55">
        <v>3</v>
      </c>
    </row>
    <row r="62" spans="1:4" s="11" customFormat="1" x14ac:dyDescent="0.25">
      <c r="A62" s="54">
        <v>4</v>
      </c>
      <c r="B62" s="56">
        <f>'Shiftfunktion bestimmen'!N4</f>
        <v>-6.8614198806741529E-7</v>
      </c>
      <c r="D62" s="55">
        <v>4</v>
      </c>
    </row>
    <row r="63" spans="1:4" s="11" customFormat="1" x14ac:dyDescent="0.25">
      <c r="A63" s="54">
        <v>5</v>
      </c>
      <c r="B63" s="56">
        <f>'Shiftfunktion bestimmen'!N5</f>
        <v>-2.8703120339600652E-8</v>
      </c>
      <c r="D63" s="55">
        <v>5</v>
      </c>
    </row>
    <row r="64" spans="1:4" s="11" customFormat="1" x14ac:dyDescent="0.25">
      <c r="A64" s="54">
        <v>6</v>
      </c>
      <c r="B64" s="56">
        <f>'Shiftfunktion bestimmen'!N6</f>
        <v>-2.5181423490787961E-10</v>
      </c>
      <c r="D64" s="55">
        <v>6</v>
      </c>
    </row>
    <row r="65" spans="1:5" s="11" customFormat="1" x14ac:dyDescent="0.25">
      <c r="A65" s="54">
        <v>7</v>
      </c>
      <c r="B65" s="56">
        <f>'Shiftfunktion bestimmen'!N7</f>
        <v>-9.2799343990824399E-13</v>
      </c>
      <c r="D65" s="55">
        <v>7</v>
      </c>
    </row>
    <row r="66" spans="1:5" x14ac:dyDescent="0.25">
      <c r="A66" s="54">
        <v>8</v>
      </c>
      <c r="B66" s="56">
        <f>'Shiftfunktion bestimmen'!N8</f>
        <v>-1.2725285306644477E-15</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0.17379452430407935</v>
      </c>
      <c r="D74" s="51">
        <v>1</v>
      </c>
      <c r="E74" s="56">
        <f>'Mastercurve bestimmen'!A18</f>
        <v>1.0000000000000001E-20</v>
      </c>
    </row>
    <row r="75" spans="1:5" x14ac:dyDescent="0.25">
      <c r="A75" s="50">
        <f>A74+1</f>
        <v>2</v>
      </c>
      <c r="B75" s="56">
        <f>'Mastercurve bestimmen'!C19</f>
        <v>9.0899647473980161E-2</v>
      </c>
      <c r="D75" s="51">
        <v>2</v>
      </c>
      <c r="E75" s="56">
        <f>'Mastercurve bestimmen'!A19</f>
        <v>3.9038946506297401E-14</v>
      </c>
    </row>
    <row r="76" spans="1:5" x14ac:dyDescent="0.25">
      <c r="A76" s="50">
        <f t="shared" ref="A76:A104" si="0">A75+1</f>
        <v>3</v>
      </c>
      <c r="B76" s="56">
        <f>'Mastercurve bestimmen'!C20</f>
        <v>3.1881256705136286E-2</v>
      </c>
      <c r="D76" s="51">
        <v>3</v>
      </c>
      <c r="E76" s="56">
        <f>'Mastercurve bestimmen'!A20</f>
        <v>4.3276437088188502E-13</v>
      </c>
    </row>
    <row r="77" spans="1:5" x14ac:dyDescent="0.25">
      <c r="A77" s="50">
        <f t="shared" si="0"/>
        <v>4</v>
      </c>
      <c r="B77" s="56">
        <f>'Mastercurve bestimmen'!C21</f>
        <v>5.4295186308030693E-2</v>
      </c>
      <c r="D77" s="51">
        <v>4</v>
      </c>
      <c r="E77" s="56">
        <f>'Mastercurve bestimmen'!A21</f>
        <v>4.7973886968128502E-12</v>
      </c>
    </row>
    <row r="78" spans="1:5" x14ac:dyDescent="0.25">
      <c r="A78" s="50">
        <f t="shared" si="0"/>
        <v>5</v>
      </c>
      <c r="B78" s="56">
        <f>'Mastercurve bestimmen'!C22</f>
        <v>5.1307510130975835E-2</v>
      </c>
      <c r="D78" s="51">
        <v>5</v>
      </c>
      <c r="E78" s="56">
        <f>'Mastercurve bestimmen'!A22</f>
        <v>5.31812225239524E-11</v>
      </c>
    </row>
    <row r="79" spans="1:5" x14ac:dyDescent="0.25">
      <c r="A79" s="50">
        <f t="shared" si="0"/>
        <v>6</v>
      </c>
      <c r="B79" s="56">
        <f>'Mastercurve bestimmen'!C23</f>
        <v>7.4663981933644916E-2</v>
      </c>
      <c r="D79" s="51">
        <v>6</v>
      </c>
      <c r="E79" s="56">
        <f>'Mastercurve bestimmen'!A23</f>
        <v>5.8953789402578301E-10</v>
      </c>
    </row>
    <row r="80" spans="1:5" x14ac:dyDescent="0.25">
      <c r="A80" s="50">
        <f t="shared" si="0"/>
        <v>7</v>
      </c>
      <c r="B80" s="56">
        <f>'Mastercurve bestimmen'!C24</f>
        <v>9.0647969973627479E-2</v>
      </c>
      <c r="D80" s="51">
        <v>7</v>
      </c>
      <c r="E80" s="56">
        <f>'Mastercurve bestimmen'!A24</f>
        <v>6.5352940755699598E-9</v>
      </c>
    </row>
    <row r="81" spans="1:5" x14ac:dyDescent="0.25">
      <c r="A81" s="50">
        <f t="shared" si="0"/>
        <v>8</v>
      </c>
      <c r="B81" s="56">
        <f>'Mastercurve bestimmen'!C25</f>
        <v>0.10513898706376987</v>
      </c>
      <c r="D81" s="51">
        <v>8</v>
      </c>
      <c r="E81" s="56">
        <f>'Mastercurve bestimmen'!A25</f>
        <v>7.2446689325643296E-8</v>
      </c>
    </row>
    <row r="82" spans="1:5" x14ac:dyDescent="0.25">
      <c r="A82" s="50">
        <f t="shared" si="0"/>
        <v>9</v>
      </c>
      <c r="B82" s="56">
        <f>'Mastercurve bestimmen'!C26</f>
        <v>0.12480864845095105</v>
      </c>
      <c r="D82" s="51">
        <f>A82</f>
        <v>9</v>
      </c>
      <c r="E82" s="56">
        <f>'Mastercurve bestimmen'!A26</f>
        <v>8.03104303120212E-7</v>
      </c>
    </row>
    <row r="83" spans="1:5" x14ac:dyDescent="0.25">
      <c r="A83" s="50">
        <f t="shared" si="0"/>
        <v>10</v>
      </c>
      <c r="B83" s="56">
        <f>'Mastercurve bestimmen'!C27</f>
        <v>8.8034867704118849E-2</v>
      </c>
      <c r="C83" s="11"/>
      <c r="D83" s="51">
        <f t="shared" ref="D83:D104" si="1">A83</f>
        <v>10</v>
      </c>
      <c r="E83" s="56">
        <f>'Mastercurve bestimmen'!A27</f>
        <v>8.9027742702096099E-6</v>
      </c>
    </row>
    <row r="84" spans="1:5" x14ac:dyDescent="0.25">
      <c r="A84" s="50">
        <f t="shared" si="0"/>
        <v>11</v>
      </c>
      <c r="B84" s="56">
        <f>'Mastercurve bestimmen'!C28</f>
        <v>5.3040160566801761E-2</v>
      </c>
      <c r="C84" s="11"/>
      <c r="D84" s="51">
        <f t="shared" si="1"/>
        <v>11</v>
      </c>
      <c r="E84" s="56">
        <f>'Mastercurve bestimmen'!A28</f>
        <v>9.86912775817142E-5</v>
      </c>
    </row>
    <row r="85" spans="1:5" x14ac:dyDescent="0.25">
      <c r="A85" s="50">
        <f t="shared" si="0"/>
        <v>12</v>
      </c>
      <c r="B85" s="56">
        <f>'Mastercurve bestimmen'!C29</f>
        <v>2.9418988584786216E-2</v>
      </c>
      <c r="C85" s="11"/>
      <c r="D85" s="51">
        <f t="shared" si="1"/>
        <v>12</v>
      </c>
      <c r="E85" s="56">
        <f>'Mastercurve bestimmen'!A29</f>
        <v>1.0940374286813801E-3</v>
      </c>
    </row>
    <row r="86" spans="1:5" x14ac:dyDescent="0.25">
      <c r="A86" s="50">
        <f t="shared" si="0"/>
        <v>13</v>
      </c>
      <c r="B86" s="56">
        <f>'Mastercurve bestimmen'!C30</f>
        <v>6.3753391533418529E-3</v>
      </c>
      <c r="C86" s="11"/>
      <c r="D86" s="51">
        <f t="shared" si="1"/>
        <v>13</v>
      </c>
      <c r="E86" s="56">
        <f>'Mastercurve bestimmen'!A30</f>
        <v>1.2127899493091E-2</v>
      </c>
    </row>
    <row r="87" spans="1:5" x14ac:dyDescent="0.25">
      <c r="A87" s="50">
        <f t="shared" si="0"/>
        <v>14</v>
      </c>
      <c r="B87" s="56">
        <f>'Mastercurve bestimmen'!C31</f>
        <v>3.2709514210797811E-3</v>
      </c>
      <c r="C87" s="11"/>
      <c r="D87" s="51">
        <f t="shared" si="1"/>
        <v>14</v>
      </c>
      <c r="E87" s="56">
        <f>'Mastercurve bestimmen'!A31</f>
        <v>0.13444324870292301</v>
      </c>
    </row>
    <row r="88" spans="1:5" x14ac:dyDescent="0.25">
      <c r="A88" s="50">
        <f t="shared" si="0"/>
        <v>15</v>
      </c>
      <c r="B88" s="56">
        <f>'Mastercurve bestimmen'!C32</f>
        <v>1.2755053961347703E-3</v>
      </c>
      <c r="C88" s="11"/>
      <c r="D88" s="51">
        <f t="shared" si="1"/>
        <v>15</v>
      </c>
      <c r="E88" s="56">
        <f>'Mastercurve bestimmen'!A32</f>
        <v>1.49036419143257</v>
      </c>
    </row>
    <row r="89" spans="1:5" x14ac:dyDescent="0.25">
      <c r="A89" s="50">
        <f t="shared" si="0"/>
        <v>16</v>
      </c>
      <c r="B89" s="56">
        <f>'Mastercurve bestimmen'!C33</f>
        <v>0</v>
      </c>
      <c r="C89" s="11"/>
      <c r="D89" s="51">
        <f t="shared" si="1"/>
        <v>16</v>
      </c>
      <c r="E89" s="56">
        <f>'Mastercurve bestimmen'!A33</f>
        <v>16.521360830937301</v>
      </c>
    </row>
    <row r="90" spans="1:5" x14ac:dyDescent="0.25">
      <c r="A90" s="50">
        <f t="shared" si="0"/>
        <v>17</v>
      </c>
      <c r="B90" s="56">
        <f>'Mastercurve bestimmen'!C34</f>
        <v>1.0163894385292978E-5</v>
      </c>
      <c r="C90" s="11"/>
      <c r="D90" s="51">
        <f t="shared" si="1"/>
        <v>17</v>
      </c>
      <c r="E90" s="56">
        <f>'Mastercurve bestimmen'!A34</f>
        <v>183.146753843879</v>
      </c>
    </row>
    <row r="91" spans="1:5" x14ac:dyDescent="0.25">
      <c r="A91" s="50">
        <f t="shared" si="0"/>
        <v>18</v>
      </c>
      <c r="B91" s="56">
        <f>'Mastercurve bestimmen'!C35</f>
        <v>2.5019775067814324E-5</v>
      </c>
      <c r="C91" s="11"/>
      <c r="D91" s="51">
        <f t="shared" si="1"/>
        <v>18</v>
      </c>
      <c r="E91" s="56">
        <f>'Mastercurve bestimmen'!A35</f>
        <v>2030.26456396616</v>
      </c>
    </row>
    <row r="92" spans="1:5" x14ac:dyDescent="0.25">
      <c r="A92" s="50">
        <f t="shared" si="0"/>
        <v>19</v>
      </c>
      <c r="B92" s="56">
        <f>'Mastercurve bestimmen'!C36</f>
        <v>2.3706614690246962E-5</v>
      </c>
      <c r="C92" s="11"/>
      <c r="D92" s="51">
        <f t="shared" si="1"/>
        <v>19</v>
      </c>
      <c r="E92" s="56">
        <f>'Mastercurve bestimmen'!A36</f>
        <v>22506.400540467101</v>
      </c>
    </row>
    <row r="93" spans="1:5" x14ac:dyDescent="0.25">
      <c r="A93" s="50">
        <f t="shared" si="0"/>
        <v>20</v>
      </c>
      <c r="B93" s="56">
        <f>'Mastercurve bestimmen'!C37</f>
        <v>3.9478614411466939E-5</v>
      </c>
      <c r="C93" s="11"/>
      <c r="D93" s="51">
        <f t="shared" si="1"/>
        <v>20</v>
      </c>
      <c r="E93" s="56">
        <f>'Mastercurve bestimmen'!A37</f>
        <v>249493.62476110301</v>
      </c>
    </row>
    <row r="94" spans="1:5" x14ac:dyDescent="0.25">
      <c r="A94" s="50">
        <f t="shared" si="0"/>
        <v>21</v>
      </c>
      <c r="B94" s="56">
        <f>'Mastercurve bestimmen'!C38</f>
        <v>0</v>
      </c>
      <c r="C94" s="11"/>
      <c r="D94" s="51">
        <f t="shared" si="1"/>
        <v>21</v>
      </c>
      <c r="E94" s="56">
        <f>'Mastercurve bestimmen'!A38</f>
        <v>2765749.6224023802</v>
      </c>
    </row>
    <row r="95" spans="1:5" x14ac:dyDescent="0.25">
      <c r="A95" s="50">
        <f t="shared" si="0"/>
        <v>22</v>
      </c>
      <c r="B95" s="56">
        <f>'Mastercurve bestimmen'!C39</f>
        <v>6.5441532530599776E-5</v>
      </c>
      <c r="C95" s="11"/>
      <c r="D95" s="51">
        <f t="shared" si="1"/>
        <v>22</v>
      </c>
      <c r="E95" s="56">
        <f>'Mastercurve bestimmen'!A39</f>
        <v>10000000</v>
      </c>
    </row>
    <row r="96" spans="1:5" x14ac:dyDescent="0.25">
      <c r="A96" s="50">
        <f t="shared" si="0"/>
        <v>23</v>
      </c>
      <c r="B96" s="56">
        <f>'Mastercurve bestimmen'!C40</f>
        <v>9.072554140189839E-6</v>
      </c>
      <c r="C96" s="11"/>
      <c r="D96" s="51">
        <f t="shared" si="1"/>
        <v>23</v>
      </c>
      <c r="E96" s="56">
        <f>'Mastercurve bestimmen'!A40</f>
        <v>100000000</v>
      </c>
    </row>
    <row r="97" spans="1:5" x14ac:dyDescent="0.25">
      <c r="A97" s="50">
        <f t="shared" si="0"/>
        <v>24</v>
      </c>
      <c r="B97" s="56">
        <f>'Mastercurve bestimmen'!C41</f>
        <v>3.4648583404177175E-7</v>
      </c>
      <c r="C97" s="11"/>
      <c r="D97" s="51">
        <f t="shared" si="1"/>
        <v>24</v>
      </c>
      <c r="E97" s="56">
        <f>'Mastercurve bestimmen'!A41</f>
        <v>1000000000</v>
      </c>
    </row>
    <row r="98" spans="1:5" x14ac:dyDescent="0.25">
      <c r="A98" s="50">
        <f t="shared" si="0"/>
        <v>25</v>
      </c>
      <c r="B98" s="56">
        <f>'Mastercurve bestimmen'!C42</f>
        <v>0</v>
      </c>
      <c r="C98" s="11"/>
      <c r="D98" s="51">
        <f t="shared" si="1"/>
        <v>25</v>
      </c>
      <c r="E98" s="56">
        <f>'Mastercurve bestimmen'!A42</f>
        <v>10000000000</v>
      </c>
    </row>
    <row r="99" spans="1:5" x14ac:dyDescent="0.25">
      <c r="A99" s="50">
        <f t="shared" si="0"/>
        <v>26</v>
      </c>
      <c r="B99" s="56">
        <f>'Mastercurve bestimmen'!C43</f>
        <v>0</v>
      </c>
      <c r="C99" s="11"/>
      <c r="D99" s="51">
        <f t="shared" si="1"/>
        <v>26</v>
      </c>
      <c r="E99" s="56">
        <f>'Mastercurve bestimmen'!A43</f>
        <v>100000000000</v>
      </c>
    </row>
    <row r="100" spans="1:5" x14ac:dyDescent="0.25">
      <c r="A100" s="50">
        <f t="shared" si="0"/>
        <v>27</v>
      </c>
      <c r="B100" s="56">
        <f>'Mastercurve bestimmen'!C44</f>
        <v>0</v>
      </c>
      <c r="C100" s="11"/>
      <c r="D100" s="51">
        <f t="shared" si="1"/>
        <v>27</v>
      </c>
      <c r="E100" s="56">
        <f>'Mastercurve bestimmen'!A44</f>
        <v>1000000000000</v>
      </c>
    </row>
    <row r="101" spans="1:5" x14ac:dyDescent="0.25">
      <c r="A101" s="50">
        <f t="shared" si="0"/>
        <v>28</v>
      </c>
      <c r="B101" s="56">
        <f>'Mastercurve bestimmen'!C45</f>
        <v>0</v>
      </c>
      <c r="C101" s="11"/>
      <c r="D101" s="51">
        <f t="shared" si="1"/>
        <v>28</v>
      </c>
      <c r="E101" s="56">
        <f>'Mastercurve bestimmen'!A45</f>
        <v>10000000000000</v>
      </c>
    </row>
    <row r="102" spans="1:5" x14ac:dyDescent="0.25">
      <c r="A102" s="50">
        <f t="shared" si="0"/>
        <v>29</v>
      </c>
      <c r="B102" s="56">
        <f>'Mastercurve bestimmen'!C46</f>
        <v>0</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2.6390969703261771E-3</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16092.433999999999</v>
      </c>
    </row>
    <row r="108" spans="1:5" s="11" customFormat="1" x14ac:dyDescent="0.25">
      <c r="A108" s="61" t="str">
        <f>STUTT!B3</f>
        <v>mp,PRXY,MatID,</v>
      </c>
      <c r="B108" s="52">
        <f>STUTT!C3</f>
        <v>0.31931748999999998</v>
      </c>
    </row>
    <row r="109" spans="1:5" s="11" customFormat="1" x14ac:dyDescent="0.25">
      <c r="A109" s="61" t="str">
        <f>STUTT!B4</f>
        <v>mp,ey,MatID,</v>
      </c>
      <c r="B109" s="52">
        <f>STUTT!C4</f>
        <v>17332.542000000001</v>
      </c>
    </row>
    <row r="110" spans="1:5" s="11" customFormat="1" x14ac:dyDescent="0.25">
      <c r="A110" s="61" t="str">
        <f>STUTT!B5</f>
        <v>mp,PRYZ,MatID,</v>
      </c>
      <c r="B110" s="52">
        <f>STUTT!C5</f>
        <v>0.34394524999999998</v>
      </c>
    </row>
    <row r="111" spans="1:5" s="11" customFormat="1" x14ac:dyDescent="0.25">
      <c r="A111" s="61" t="str">
        <f>STUTT!B6</f>
        <v>mp,ez,MatID,</v>
      </c>
      <c r="B111" s="52">
        <f>STUTT!C6</f>
        <v>16092.433999999999</v>
      </c>
    </row>
    <row r="112" spans="1:5" s="11" customFormat="1" x14ac:dyDescent="0.25">
      <c r="A112" s="61" t="str">
        <f>STUTT!B7</f>
        <v>mp,PRXZ,MatID,</v>
      </c>
      <c r="B112" s="52">
        <f>STUTT!C7</f>
        <v>0.35677292999999999</v>
      </c>
    </row>
    <row r="113" spans="1:4" s="11" customFormat="1" x14ac:dyDescent="0.25">
      <c r="A113" s="61" t="str">
        <f>STUTT!B8</f>
        <v>MP,GXZ,</v>
      </c>
      <c r="B113" s="52" t="str">
        <f>STUTT!C8</f>
        <v>MatID,</v>
      </c>
      <c r="C113" s="112">
        <f>STUTT!D8</f>
        <v>5930.4079000000002</v>
      </c>
      <c r="D113" s="112"/>
    </row>
    <row r="114" spans="1:4" s="11" customFormat="1" x14ac:dyDescent="0.25">
      <c r="A114" s="61" t="str">
        <f>STUTT!B9</f>
        <v>MP,GXY,</v>
      </c>
      <c r="B114" s="52" t="str">
        <f>STUTT!C9</f>
        <v>MatID,</v>
      </c>
      <c r="C114" s="112">
        <f>STUTT!D9</f>
        <v>6613.9741000000004</v>
      </c>
      <c r="D114" s="112"/>
    </row>
    <row r="115" spans="1:4" x14ac:dyDescent="0.25">
      <c r="A115" s="61" t="str">
        <f>STUTT!B10</f>
        <v>MP,GYZ,</v>
      </c>
      <c r="B115" s="52" t="str">
        <f>STUTT!C10</f>
        <v>MatID,</v>
      </c>
      <c r="C115" s="112">
        <f>STUTT!D10</f>
        <v>6613.9741000000004</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1.236E-7</v>
      </c>
      <c r="C3" s="3">
        <v>1.327E-6</v>
      </c>
      <c r="D3" s="3">
        <v>1.236E-7</v>
      </c>
      <c r="E3" s="3">
        <v>-1.415E-5</v>
      </c>
      <c r="F3" s="3">
        <v>-1.415E-5</v>
      </c>
      <c r="G3" s="3">
        <v>-1.415E-5</v>
      </c>
      <c r="H3" s="3">
        <v>-4.4104515000000002E-6</v>
      </c>
      <c r="I3" s="3">
        <v>-1.1860229E-6</v>
      </c>
      <c r="J3" s="3">
        <v>-4.4104515000000002E-6</v>
      </c>
      <c r="L3" s="48">
        <f>ABS(H3/(-0.5)/$L$1)</f>
        <v>2.5202580000000004E-5</v>
      </c>
      <c r="R3">
        <f>ABS(I3/(-0.5)/$R$1)</f>
        <v>2.4968903157894736E-5</v>
      </c>
    </row>
    <row r="4" spans="1:18" x14ac:dyDescent="0.25">
      <c r="A4">
        <v>-39</v>
      </c>
      <c r="B4" s="3">
        <v>-1.2380000000000001E-7</v>
      </c>
      <c r="C4" s="3">
        <v>-1.327E-6</v>
      </c>
      <c r="D4" s="3">
        <v>-1.2380000000000001E-7</v>
      </c>
      <c r="E4" s="3">
        <v>1.415E-5</v>
      </c>
      <c r="F4" s="3">
        <v>1.415E-5</v>
      </c>
      <c r="G4" s="3">
        <v>1.415E-5</v>
      </c>
      <c r="H4" s="3">
        <v>4.4103614999999998E-6</v>
      </c>
      <c r="I4" s="3">
        <v>1.1861000999999999E-6</v>
      </c>
      <c r="J4" s="3">
        <v>4.4103614999999998E-6</v>
      </c>
      <c r="L4" s="48">
        <f t="shared" ref="L4:L14" si="0">ABS(H4/(-0.5)/$L$1)</f>
        <v>2.5202065714285715E-5</v>
      </c>
      <c r="N4" s="39" t="s">
        <v>27</v>
      </c>
      <c r="O4" s="39" t="s">
        <v>131</v>
      </c>
      <c r="P4" s="85" t="s">
        <v>132</v>
      </c>
      <c r="R4" s="11">
        <f t="shared" ref="R4:R14" si="1">ABS(I4/(-0.5)/$R$1)</f>
        <v>2.4970528421052628E-5</v>
      </c>
    </row>
    <row r="5" spans="1:18" x14ac:dyDescent="0.25">
      <c r="A5">
        <v>0</v>
      </c>
      <c r="B5" s="3">
        <v>1.3260000000000001E-7</v>
      </c>
      <c r="C5" s="3">
        <v>1.2979999999999999E-6</v>
      </c>
      <c r="D5" s="3">
        <v>1.3260000000000001E-7</v>
      </c>
      <c r="E5" s="3">
        <v>-1.415E-5</v>
      </c>
      <c r="F5" s="3">
        <v>-1.415E-5</v>
      </c>
      <c r="G5" s="3">
        <v>-1.415E-5</v>
      </c>
      <c r="H5" s="3">
        <v>-4.4067895000000003E-6</v>
      </c>
      <c r="I5" s="3">
        <v>-1.1891624E-6</v>
      </c>
      <c r="J5" s="3">
        <v>-4.4067895000000003E-6</v>
      </c>
      <c r="L5" s="48">
        <f t="shared" si="0"/>
        <v>2.518165428571429E-5</v>
      </c>
      <c r="M5" s="48"/>
      <c r="N5" s="10">
        <f>(INDEX(A:A,ROW(A2)*2+1)+INDEX(A:A,ROW(A2)*2+2))/2</f>
        <v>0.5</v>
      </c>
      <c r="O5" s="89">
        <f>(INDEX(L:L,ROW(L2)*2+1)+INDEX(L:L,ROW(L2)*2+2))/2</f>
        <v>2.5181388285714289E-5</v>
      </c>
      <c r="P5" s="89">
        <f>(INDEX(R:R,ROW(M2)*2+1)+INDEX(R:R,ROW(R2)*2+2))/2</f>
        <v>2.503583894736842E-5</v>
      </c>
      <c r="R5" s="11">
        <f t="shared" si="1"/>
        <v>2.5034997894736842E-5</v>
      </c>
    </row>
    <row r="6" spans="1:18" x14ac:dyDescent="0.25">
      <c r="A6">
        <v>1</v>
      </c>
      <c r="B6" s="3">
        <v>-1.328E-7</v>
      </c>
      <c r="C6" s="3">
        <v>-1.2979999999999999E-6</v>
      </c>
      <c r="D6" s="3">
        <v>-1.328E-7</v>
      </c>
      <c r="E6" s="3">
        <v>1.415E-5</v>
      </c>
      <c r="F6" s="3">
        <v>1.415E-5</v>
      </c>
      <c r="G6" s="3">
        <v>1.415E-5</v>
      </c>
      <c r="H6" s="3">
        <v>4.4066964000000002E-6</v>
      </c>
      <c r="I6" s="3">
        <v>1.1892422999999999E-6</v>
      </c>
      <c r="J6" s="3">
        <v>4.4066964000000002E-6</v>
      </c>
      <c r="L6" s="48">
        <f t="shared" si="0"/>
        <v>2.5181122285714288E-5</v>
      </c>
      <c r="M6" s="49"/>
      <c r="N6" s="10">
        <f>(INDEX(A:A,ROW(A3)*2+1)+INDEX(A:A,ROW(A3)*2+2))/2</f>
        <v>85.5</v>
      </c>
      <c r="O6" s="89">
        <f t="shared" ref="O6:O7" si="2">(INDEX(L:L,ROW(L3)*2+1)+INDEX(L:L,ROW(L3)*2+2))/2</f>
        <v>2.7886904000000003E-5</v>
      </c>
      <c r="P6" s="89">
        <f t="shared" ref="P6:P9" si="3">(INDEX(R:R,ROW(M3)*2+1)+INDEX(R:R,ROW(R3)*2+2))/2</f>
        <v>2.7577463157894738E-5</v>
      </c>
      <c r="R6" s="11">
        <f t="shared" si="1"/>
        <v>2.5036679999999999E-5</v>
      </c>
    </row>
    <row r="7" spans="1:18" x14ac:dyDescent="0.25">
      <c r="A7">
        <v>85</v>
      </c>
      <c r="B7" s="3">
        <v>1.525E-7</v>
      </c>
      <c r="C7" s="3">
        <v>1.57E-6</v>
      </c>
      <c r="D7" s="3">
        <v>1.525E-7</v>
      </c>
      <c r="E7" s="3">
        <v>-1.525E-5</v>
      </c>
      <c r="F7" s="3">
        <v>-1.525E-5</v>
      </c>
      <c r="G7" s="3">
        <v>-1.525E-5</v>
      </c>
      <c r="H7" s="3">
        <v>-4.6795758000000004E-6</v>
      </c>
      <c r="I7" s="3">
        <v>-1.2625096000000001E-6</v>
      </c>
      <c r="J7" s="3">
        <v>-4.6795758000000004E-6</v>
      </c>
      <c r="L7" s="48">
        <f t="shared" si="0"/>
        <v>2.6740433142857147E-5</v>
      </c>
      <c r="M7" s="48"/>
      <c r="N7" s="10">
        <f>(INDEX(A:A,ROW(A4)*2+1)+INDEX(A:A,ROW(A4)*2+2))/2</f>
        <v>90.5</v>
      </c>
      <c r="O7" s="89">
        <f t="shared" si="2"/>
        <v>5.0859113714285718E-5</v>
      </c>
      <c r="P7" s="89">
        <f t="shared" si="3"/>
        <v>4.7508056842105268E-5</v>
      </c>
      <c r="R7" s="11">
        <f t="shared" si="1"/>
        <v>2.6579149473684211E-5</v>
      </c>
    </row>
    <row r="8" spans="1:18" x14ac:dyDescent="0.25">
      <c r="A8">
        <v>86</v>
      </c>
      <c r="B8" s="3">
        <v>-1.525E-7</v>
      </c>
      <c r="C8" s="3">
        <v>-2.0499999999999999E-6</v>
      </c>
      <c r="D8" s="3">
        <v>-1.525E-7</v>
      </c>
      <c r="E8" s="3">
        <v>1.681E-5</v>
      </c>
      <c r="F8" s="3">
        <v>1.681E-5</v>
      </c>
      <c r="G8" s="3">
        <v>1.681E-5</v>
      </c>
      <c r="H8" s="3">
        <v>5.0808405999999996E-6</v>
      </c>
      <c r="I8" s="3">
        <v>1.3573494E-6</v>
      </c>
      <c r="J8" s="3">
        <v>5.0808405999999996E-6</v>
      </c>
      <c r="L8" s="48">
        <f t="shared" si="0"/>
        <v>2.9033374857142856E-5</v>
      </c>
      <c r="M8" s="49"/>
      <c r="N8" s="10">
        <f>(INDEX(A:A,ROW(A5)*2+1)+INDEX(A:A,ROW(A5)*2+2))/2</f>
        <v>95.5</v>
      </c>
      <c r="O8" s="89">
        <f t="shared" ref="O8:O9" si="4">(INDEX(L:L,ROW(L5)*2+1)+INDEX(L:L,ROW(L5)*2+2))/2</f>
        <v>7.1150880000000002E-5</v>
      </c>
      <c r="P8" s="89">
        <f t="shared" si="3"/>
        <v>6.5041527368421044E-5</v>
      </c>
      <c r="R8" s="11">
        <f t="shared" si="1"/>
        <v>2.8575776842105261E-5</v>
      </c>
    </row>
    <row r="9" spans="1:18" x14ac:dyDescent="0.25">
      <c r="A9">
        <v>90</v>
      </c>
      <c r="B9" s="3">
        <v>1.5230000000000001E-7</v>
      </c>
      <c r="C9" s="3">
        <v>6.3740000000000003E-6</v>
      </c>
      <c r="D9" s="3">
        <v>1.5230000000000001E-7</v>
      </c>
      <c r="E9" s="3">
        <v>-3.0899999999999999E-5</v>
      </c>
      <c r="F9" s="3">
        <v>-3.0899999999999999E-5</v>
      </c>
      <c r="G9" s="3">
        <v>-3.0899999999999999E-5</v>
      </c>
      <c r="H9" s="3">
        <v>-8.6983006000000007E-6</v>
      </c>
      <c r="I9" s="3">
        <v>-2.2094638000000002E-6</v>
      </c>
      <c r="J9" s="3">
        <v>-8.6983006000000007E-6</v>
      </c>
      <c r="L9" s="48">
        <f t="shared" si="0"/>
        <v>4.9704574857142862E-5</v>
      </c>
      <c r="M9" s="48"/>
      <c r="N9" s="10">
        <f>(INDEX(A:A,ROW(A6)*2+1)+INDEX(A:A,ROW(A6)*2+2))/2</f>
        <v>180.5</v>
      </c>
      <c r="O9" s="89">
        <f t="shared" si="4"/>
        <v>7.0799597142857145E-5</v>
      </c>
      <c r="P9" s="89">
        <f t="shared" si="3"/>
        <v>6.6264183157894736E-5</v>
      </c>
      <c r="R9" s="11">
        <f t="shared" si="1"/>
        <v>4.6515027368421058E-5</v>
      </c>
    </row>
    <row r="10" spans="1:18" x14ac:dyDescent="0.25">
      <c r="A10">
        <v>91</v>
      </c>
      <c r="B10" s="3">
        <v>-1.5090000000000001E-7</v>
      </c>
      <c r="C10" s="3">
        <v>-6.8560000000000001E-6</v>
      </c>
      <c r="D10" s="3">
        <v>-1.5090000000000001E-7</v>
      </c>
      <c r="E10" s="3">
        <v>3.2459999999999998E-5</v>
      </c>
      <c r="F10" s="3">
        <v>3.2459999999999998E-5</v>
      </c>
      <c r="G10" s="3">
        <v>3.2459999999999998E-5</v>
      </c>
      <c r="H10" s="3">
        <v>9.1023891999999992E-6</v>
      </c>
      <c r="I10" s="3">
        <v>2.3038016000000002E-6</v>
      </c>
      <c r="J10" s="3">
        <v>9.1023891999999992E-6</v>
      </c>
      <c r="L10" s="48">
        <f t="shared" si="0"/>
        <v>5.2013652571428567E-5</v>
      </c>
      <c r="M10" s="49"/>
      <c r="N10" s="10"/>
      <c r="O10" s="3"/>
      <c r="R10" s="11">
        <f t="shared" si="1"/>
        <v>4.8501086315789479E-5</v>
      </c>
    </row>
    <row r="11" spans="1:18" x14ac:dyDescent="0.25">
      <c r="A11">
        <v>95</v>
      </c>
      <c r="B11" s="3">
        <v>1.3610000000000001E-7</v>
      </c>
      <c r="C11" s="3">
        <v>1.0849999999999999E-5</v>
      </c>
      <c r="D11" s="3">
        <v>1.3610000000000001E-7</v>
      </c>
      <c r="E11" s="3">
        <v>-4.545E-5</v>
      </c>
      <c r="F11" s="3">
        <v>-4.545E-5</v>
      </c>
      <c r="G11" s="3">
        <v>-4.545E-5</v>
      </c>
      <c r="H11" s="3">
        <v>-1.2451768000000001E-5</v>
      </c>
      <c r="I11" s="3">
        <v>-3.0891478E-6</v>
      </c>
      <c r="J11" s="3">
        <v>-1.2451768000000001E-5</v>
      </c>
      <c r="L11" s="48">
        <f t="shared" si="0"/>
        <v>7.1152960000000012E-5</v>
      </c>
      <c r="M11" s="48"/>
      <c r="N11" s="10"/>
      <c r="O11" s="3"/>
      <c r="R11" s="11">
        <f t="shared" si="1"/>
        <v>6.5034690526315789E-5</v>
      </c>
    </row>
    <row r="12" spans="1:18" x14ac:dyDescent="0.25">
      <c r="A12">
        <v>96</v>
      </c>
      <c r="B12" s="3">
        <v>-1.378E-7</v>
      </c>
      <c r="C12" s="3">
        <v>-1.084E-5</v>
      </c>
      <c r="D12" s="3">
        <v>-1.378E-7</v>
      </c>
      <c r="E12" s="3">
        <v>4.545E-5</v>
      </c>
      <c r="F12" s="3">
        <v>4.545E-5</v>
      </c>
      <c r="G12" s="3">
        <v>4.545E-5</v>
      </c>
      <c r="H12" s="3">
        <v>1.2451039999999999E-5</v>
      </c>
      <c r="I12" s="3">
        <v>3.0897973E-6</v>
      </c>
      <c r="J12" s="3">
        <v>1.2451039999999999E-5</v>
      </c>
      <c r="L12" s="48">
        <f t="shared" si="0"/>
        <v>7.1148800000000006E-5</v>
      </c>
      <c r="M12" s="49"/>
      <c r="N12" s="10"/>
      <c r="O12" s="3"/>
      <c r="R12" s="11">
        <f t="shared" si="1"/>
        <v>6.5048364210526312E-5</v>
      </c>
    </row>
    <row r="13" spans="1:18" x14ac:dyDescent="0.25">
      <c r="A13">
        <v>180</v>
      </c>
      <c r="B13" s="3">
        <v>2.9989999999999998E-7</v>
      </c>
      <c r="C13" s="3">
        <v>1.031E-5</v>
      </c>
      <c r="D13" s="3">
        <v>2.9989999999999998E-7</v>
      </c>
      <c r="E13" s="3">
        <v>-4.545E-5</v>
      </c>
      <c r="F13" s="3">
        <v>-4.545E-5</v>
      </c>
      <c r="G13" s="3">
        <v>-4.545E-5</v>
      </c>
      <c r="H13" s="3">
        <v>-1.2390254E-5</v>
      </c>
      <c r="I13" s="3">
        <v>-3.1472086E-6</v>
      </c>
      <c r="J13" s="3">
        <v>-1.2390254E-5</v>
      </c>
      <c r="L13" s="48">
        <f t="shared" si="0"/>
        <v>7.0801451428571433E-5</v>
      </c>
      <c r="M13" s="48"/>
      <c r="N13" s="10"/>
      <c r="O13" s="3"/>
      <c r="R13" s="11">
        <f t="shared" si="1"/>
        <v>6.6257023157894736E-5</v>
      </c>
    </row>
    <row r="14" spans="1:18" x14ac:dyDescent="0.25">
      <c r="A14" s="11">
        <v>181</v>
      </c>
      <c r="B14" s="3">
        <v>-3.016E-7</v>
      </c>
      <c r="C14" s="3">
        <v>-1.03E-5</v>
      </c>
      <c r="D14" s="3">
        <v>-3.016E-7</v>
      </c>
      <c r="E14" s="3">
        <v>4.545E-5</v>
      </c>
      <c r="F14" s="3">
        <v>4.545E-5</v>
      </c>
      <c r="G14" s="3">
        <v>4.545E-5</v>
      </c>
      <c r="H14" s="3">
        <v>1.2389604999999999E-5</v>
      </c>
      <c r="I14" s="3">
        <v>3.1478888E-6</v>
      </c>
      <c r="J14" s="3">
        <v>1.2389604999999999E-5</v>
      </c>
      <c r="L14" s="48">
        <f t="shared" si="0"/>
        <v>7.0797742857142858E-5</v>
      </c>
      <c r="M14" s="49"/>
      <c r="N14" s="10"/>
      <c r="O14" s="3"/>
      <c r="R14" s="11">
        <f t="shared" si="1"/>
        <v>6.6271343157894735E-5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16092.433999999999</v>
      </c>
    </row>
    <row r="3" spans="2:4" x14ac:dyDescent="0.25">
      <c r="B3" t="s">
        <v>119</v>
      </c>
      <c r="C3" s="3">
        <v>0.31931748999999998</v>
      </c>
    </row>
    <row r="4" spans="2:4" x14ac:dyDescent="0.25">
      <c r="B4" t="s">
        <v>120</v>
      </c>
      <c r="C4" s="3">
        <v>17332.542000000001</v>
      </c>
    </row>
    <row r="5" spans="2:4" x14ac:dyDescent="0.25">
      <c r="B5" t="s">
        <v>121</v>
      </c>
      <c r="C5" s="3">
        <v>0.34394524999999998</v>
      </c>
    </row>
    <row r="6" spans="2:4" x14ac:dyDescent="0.25">
      <c r="B6" t="s">
        <v>122</v>
      </c>
      <c r="C6" s="3">
        <v>16092.433999999999</v>
      </c>
    </row>
    <row r="7" spans="2:4" x14ac:dyDescent="0.25">
      <c r="B7" t="s">
        <v>123</v>
      </c>
      <c r="C7" s="3">
        <v>0.35677292999999999</v>
      </c>
    </row>
    <row r="8" spans="2:4" x14ac:dyDescent="0.25">
      <c r="B8" t="s">
        <v>124</v>
      </c>
      <c r="C8" t="s">
        <v>125</v>
      </c>
      <c r="D8" s="3">
        <v>5930.4079000000002</v>
      </c>
    </row>
    <row r="9" spans="2:4" x14ac:dyDescent="0.25">
      <c r="B9" t="s">
        <v>126</v>
      </c>
      <c r="C9" t="s">
        <v>125</v>
      </c>
      <c r="D9" s="3">
        <v>6613.9741000000004</v>
      </c>
    </row>
    <row r="10" spans="2:4" x14ac:dyDescent="0.25">
      <c r="B10" t="s">
        <v>127</v>
      </c>
      <c r="C10" t="s">
        <v>125</v>
      </c>
      <c r="D10" s="3">
        <v>6613.9741000000004</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-6.1953560000000004E-4</v>
      </c>
      <c r="C3" s="2">
        <f>IF('Modell einstellen'!$B$2="Ja",creep_res0!O3,creep_res0!C3)</f>
        <v>-6.206781142857143E-4</v>
      </c>
      <c r="D3" s="2">
        <f>IF('Modell einstellen'!$B$2="Ja",creep_res25!O3,creep_res25!C3)</f>
        <v>-6.2141817142857142E-4</v>
      </c>
      <c r="E3" s="2">
        <f>IF('Modell einstellen'!$B$2="Ja",creep_res50!O3,creep_res50!C3)</f>
        <v>-6.2217942857142861E-4</v>
      </c>
      <c r="F3" s="2">
        <f>IF('Modell einstellen'!$B$2="Ja",creep_res80!O3,creep_res80!C3)</f>
        <v>-6.2312237142857143E-4</v>
      </c>
      <c r="G3" s="2">
        <f>IF('Modell einstellen'!$B$2="Ja",creep_res125!O3,creep_res125!C3)</f>
        <v>-6.8221225714285721E-4</v>
      </c>
      <c r="H3" s="2">
        <f>IF('Modell einstellen'!$B$2="Ja",creep_res160!O3,creep_res160!C3)</f>
        <v>-7.2659245714285707E-4</v>
      </c>
      <c r="M3" s="9">
        <v>-10</v>
      </c>
      <c r="N3" s="2">
        <f t="shared" ref="N3:N33" si="4">A3</f>
        <v>1.0000000000000001E-15</v>
      </c>
      <c r="O3" s="2">
        <f t="shared" ref="O3:O33" si="5">$M$3/B3</f>
        <v>16141.122479483018</v>
      </c>
      <c r="P3" s="2">
        <f t="shared" ref="P3:P33" si="6">$M$3/C3</f>
        <v>16111.410681055107</v>
      </c>
      <c r="Q3" s="2">
        <f t="shared" ref="Q3:Q33" si="7">$M$3/D3</f>
        <v>16092.223336519288</v>
      </c>
      <c r="R3" s="2">
        <f t="shared" ref="R3:R33" si="8">$M$3/E3</f>
        <v>16072.533968152502</v>
      </c>
      <c r="S3" s="2">
        <f t="shared" ref="S3:S33" si="9">$M$3/F3</f>
        <v>16048.212130586779</v>
      </c>
      <c r="T3" s="2">
        <f t="shared" ref="T3:T33" si="10">$M$3/G3</f>
        <v>14658.194565252397</v>
      </c>
      <c r="U3" s="2">
        <f t="shared" ref="U3:U33" si="11">$M$3/H3</f>
        <v>13762.873398552052</v>
      </c>
      <c r="Z3" s="2">
        <v>1.0000000000000001E-15</v>
      </c>
      <c r="AA3" s="3">
        <f>IF('Modell einstellen'!$B$2="Ja",'creep_res-40'!P3,'creep_res-40'!L3)</f>
        <v>0.35742661346429722</v>
      </c>
      <c r="AB3" s="2">
        <f>IF('Modell einstellen'!$B$2="Ja",creep_res0!P3,creep_res0!L3)</f>
        <v>0.35701473328664396</v>
      </c>
      <c r="AC3" s="2">
        <f>IF('Modell einstellen'!$B$2="Ja",creep_res25!P3,creep_res25!L3)</f>
        <v>0.35675553374778324</v>
      </c>
      <c r="AD3" s="2">
        <f>IF('Modell einstellen'!$B$2="Ja",creep_res50!P3,creep_res50!L3)</f>
        <v>0.356495103846938</v>
      </c>
      <c r="AE3" s="2">
        <f>IF('Modell einstellen'!$B$2="Ja",creep_res80!P3,creep_res80!L3)</f>
        <v>0.35618123255129486</v>
      </c>
      <c r="AF3" s="2">
        <f>IF('Modell einstellen'!$B$2="Ja",creep_res125!P3,creep_res125!L3)</f>
        <v>0.3726459410684459</v>
      </c>
      <c r="AG3" s="2">
        <f>IF('Modell einstellen'!$B$2="Ja",creep_res160!P3,creep_res160!L3)</f>
        <v>0.38371396329229329</v>
      </c>
      <c r="AL3" s="2">
        <f t="shared" ref="AL3:AL33" si="12">Z3</f>
        <v>1.0000000000000001E-15</v>
      </c>
      <c r="AM3" s="2">
        <f t="shared" ref="AM3:AM33" si="13">O3/(2*(1+AA3))</f>
        <v>5945.4862308501361</v>
      </c>
      <c r="AN3" s="2">
        <f t="shared" ref="AN3:AN33" si="14">P3/(2*(1+AB3))</f>
        <v>5936.3433151657146</v>
      </c>
      <c r="AO3" s="2">
        <f t="shared" ref="AO3:AO33" si="15">Q3/(2*(1+AC3))</f>
        <v>5930.406376183163</v>
      </c>
      <c r="AP3" s="2">
        <f t="shared" ref="AP3:AP33" si="16">R3/(2*(1+AD3))</f>
        <v>5924.2874974527258</v>
      </c>
      <c r="AQ3" s="2">
        <f t="shared" ref="AQ3:AQ33" si="17">S3/(2*(1+AE3))</f>
        <v>5916.6915694579875</v>
      </c>
      <c r="AR3" s="2">
        <f t="shared" ref="AR3:AR33" si="18">T3/(2*(1+AF3))</f>
        <v>5339.3938402799959</v>
      </c>
      <c r="AS3" s="2">
        <f t="shared" ref="AS3:AS33" si="19">U3/(2*(1+AG3))</f>
        <v>4973.1641667493986</v>
      </c>
      <c r="AX3" s="2">
        <f>AL3</f>
        <v>1.0000000000000001E-15</v>
      </c>
      <c r="AY3" s="37">
        <f t="shared" ref="AY3:AY33" si="20">O3/(3*(1-(2*AA3)))</f>
        <v>18868.788525551143</v>
      </c>
      <c r="AZ3" s="37">
        <f t="shared" ref="AZ3:AZ33" si="21">P3/(3*(1-(2*AB3)))</f>
        <v>18779.802809280354</v>
      </c>
      <c r="BA3" s="37">
        <f t="shared" ref="BA3:BA33" si="22">Q3/(3*(1-(2*AC3)))</f>
        <v>18723.496222400907</v>
      </c>
      <c r="BB3" s="37">
        <f t="shared" ref="BB3:BB33" si="23">R3/(3*(1-(2*AD3)))</f>
        <v>18666.649941348311</v>
      </c>
      <c r="BC3" s="37">
        <f t="shared" ref="BC3:BC33" si="24">S3/(3*(1-(2*AE3)))</f>
        <v>18597.725938086842</v>
      </c>
      <c r="BD3" s="37">
        <f t="shared" ref="BD3:BD33" si="25">T3/(3*(1-(2*AF3)))</f>
        <v>19182.996192175262</v>
      </c>
      <c r="BE3" s="37">
        <f t="shared" ref="BE3:BE33" si="26">U3/(3*(1-(2*AG3)))</f>
        <v>19725.603331530423</v>
      </c>
    </row>
    <row r="4" spans="1:308" x14ac:dyDescent="0.25">
      <c r="A4" s="2">
        <f>'creep_res-40'!A4</f>
        <v>1E-14</v>
      </c>
      <c r="B4" s="3">
        <f>'creep_res-40'!O4</f>
        <v>-6.1952405714285716E-4</v>
      </c>
      <c r="C4" s="2">
        <f>IF('Modell einstellen'!$B$2="Ja",creep_res0!O4,creep_res0!C4)</f>
        <v>-6.2066645714285718E-4</v>
      </c>
      <c r="D4" s="2">
        <f>IF('Modell einstellen'!$B$2="Ja",creep_res25!O4,creep_res25!C4)</f>
        <v>-6.2140645714285723E-4</v>
      </c>
      <c r="E4" s="2">
        <f>IF('Modell einstellen'!$B$2="Ja",creep_res50!O4,creep_res50!C4)</f>
        <v>-6.221676285714286E-4</v>
      </c>
      <c r="F4" s="2">
        <f>IF('Modell einstellen'!$B$2="Ja",creep_res80!O4,creep_res80!C4)</f>
        <v>-6.2311097142857144E-4</v>
      </c>
      <c r="G4" s="2">
        <f>IF('Modell einstellen'!$B$2="Ja",creep_res125!O4,creep_res125!C4)</f>
        <v>-7.1116868571428579E-4</v>
      </c>
      <c r="H4" s="2">
        <f>IF('Modell einstellen'!$B$2="Ja",creep_res160!O4,creep_res160!C4)</f>
        <v>-7.6944214285714285E-4</v>
      </c>
      <c r="M4" s="9">
        <f t="shared" ref="M4:M31" si="27">M3</f>
        <v>-10</v>
      </c>
      <c r="N4" s="2">
        <f t="shared" si="4"/>
        <v>1E-14</v>
      </c>
      <c r="O4" s="2">
        <f t="shared" si="5"/>
        <v>16141.423217878499</v>
      </c>
      <c r="P4" s="2">
        <f t="shared" si="6"/>
        <v>16111.713280001413</v>
      </c>
      <c r="Q4" s="2">
        <f t="shared" si="7"/>
        <v>16092.526694972959</v>
      </c>
      <c r="R4" s="2">
        <f t="shared" si="8"/>
        <v>16072.838799024626</v>
      </c>
      <c r="S4" s="2">
        <f t="shared" si="9"/>
        <v>16048.505737386653</v>
      </c>
      <c r="T4" s="2">
        <f t="shared" si="10"/>
        <v>14061.361531907398</v>
      </c>
      <c r="U4" s="2">
        <f t="shared" si="11"/>
        <v>12996.428767038085</v>
      </c>
      <c r="Z4" s="2">
        <v>1E-14</v>
      </c>
      <c r="AA4" s="3">
        <f>IF('Modell einstellen'!$B$2="Ja",'creep_res-40'!P4,'creep_res-40'!L4)</f>
        <v>0.35744341900801085</v>
      </c>
      <c r="AB4" s="2">
        <f>IF('Modell einstellen'!$B$2="Ja",creep_res0!P4,creep_res0!L4)</f>
        <v>0.35703176392049729</v>
      </c>
      <c r="AC4" s="2">
        <f>IF('Modell einstellen'!$B$2="Ja",creep_res25!P4,creep_res25!L4)</f>
        <v>0.3567727007848463</v>
      </c>
      <c r="AD4" s="2">
        <f>IF('Modell einstellen'!$B$2="Ja",creep_res50!P4,creep_res50!L4)</f>
        <v>0.35651242726638627</v>
      </c>
      <c r="AE4" s="2">
        <f>IF('Modell einstellen'!$B$2="Ja",creep_res80!P4,creep_res80!L4)</f>
        <v>0.35619890499669771</v>
      </c>
      <c r="AF4" s="2">
        <f>IF('Modell einstellen'!$B$2="Ja",creep_res125!P4,creep_res125!L4)</f>
        <v>0.38058331670075135</v>
      </c>
      <c r="AG4" s="2">
        <f>IF('Modell einstellen'!$B$2="Ja",creep_res160!P4,creep_res160!L4)</f>
        <v>0.39458735874506484</v>
      </c>
      <c r="AL4" s="2">
        <f t="shared" si="12"/>
        <v>1E-14</v>
      </c>
      <c r="AM4" s="2">
        <f t="shared" si="13"/>
        <v>5945.5233978276192</v>
      </c>
      <c r="AN4" s="2">
        <f t="shared" si="14"/>
        <v>5936.3803075081632</v>
      </c>
      <c r="AO4" s="2">
        <f t="shared" si="15"/>
        <v>5930.4431337924134</v>
      </c>
      <c r="AP4" s="2">
        <f t="shared" si="16"/>
        <v>5924.3241993050724</v>
      </c>
      <c r="AQ4" s="2">
        <f t="shared" si="17"/>
        <v>5916.7227160627044</v>
      </c>
      <c r="AR4" s="2">
        <f t="shared" si="18"/>
        <v>5092.5436233397832</v>
      </c>
      <c r="AS4" s="2">
        <f t="shared" si="19"/>
        <v>4659.596505568883</v>
      </c>
      <c r="AX4" s="2">
        <f t="shared" ref="AX4:AX32" si="28">AL4</f>
        <v>1E-14</v>
      </c>
      <c r="AY4" s="37">
        <f t="shared" si="20"/>
        <v>18871.364508460858</v>
      </c>
      <c r="AZ4" s="37">
        <f t="shared" si="21"/>
        <v>18782.392651005717</v>
      </c>
      <c r="BA4" s="37">
        <f t="shared" si="22"/>
        <v>18726.093399740123</v>
      </c>
      <c r="BB4" s="37">
        <f t="shared" si="23"/>
        <v>18669.257660921885</v>
      </c>
      <c r="BC4" s="37">
        <f t="shared" si="24"/>
        <v>18600.3517996138</v>
      </c>
      <c r="BD4" s="37">
        <f t="shared" si="25"/>
        <v>19625.065699112787</v>
      </c>
      <c r="BE4" s="37">
        <f t="shared" si="26"/>
        <v>20548.498124949547</v>
      </c>
      <c r="BF4" s="5"/>
      <c r="BG4" s="5"/>
    </row>
    <row r="5" spans="1:308" x14ac:dyDescent="0.25">
      <c r="A5" s="2">
        <f>'creep_res-40'!A5</f>
        <v>1E-13</v>
      </c>
      <c r="B5" s="3">
        <f>'creep_res-40'!O5</f>
        <v>-6.1952640000000005E-4</v>
      </c>
      <c r="C5" s="2">
        <f>IF('Modell einstellen'!$B$2="Ja",creep_res0!O5,creep_res0!C5)</f>
        <v>-6.2066877142857152E-4</v>
      </c>
      <c r="D5" s="2">
        <f>IF('Modell einstellen'!$B$2="Ja",creep_res25!O5,creep_res25!C5)</f>
        <v>-6.2140877142857146E-4</v>
      </c>
      <c r="E5" s="2">
        <f>IF('Modell einstellen'!$B$2="Ja",creep_res50!O5,creep_res50!C5)</f>
        <v>-6.2216994285714284E-4</v>
      </c>
      <c r="F5" s="2">
        <f>IF('Modell einstellen'!$B$2="Ja",creep_res80!O5,creep_res80!C5)</f>
        <v>-6.2311840000000012E-4</v>
      </c>
      <c r="G5" s="2">
        <f>IF('Modell einstellen'!$B$2="Ja",creep_res125!O5,creep_res125!C5)</f>
        <v>-7.4067305714285725E-4</v>
      </c>
      <c r="H5" s="2">
        <f>IF('Modell einstellen'!$B$2="Ja",creep_res160!O5,creep_res160!C5)</f>
        <v>-8.1148822857142868E-4</v>
      </c>
      <c r="M5" s="9">
        <f t="shared" si="27"/>
        <v>-10</v>
      </c>
      <c r="N5" s="2">
        <f t="shared" si="4"/>
        <v>1E-13</v>
      </c>
      <c r="O5" s="2">
        <f t="shared" si="5"/>
        <v>16141.362176010578</v>
      </c>
      <c r="P5" s="2">
        <f t="shared" si="6"/>
        <v>16111.653204306302</v>
      </c>
      <c r="Q5" s="2">
        <f t="shared" si="7"/>
        <v>16092.466762274309</v>
      </c>
      <c r="R5" s="2">
        <f t="shared" si="8"/>
        <v>16072.779012881552</v>
      </c>
      <c r="S5" s="2">
        <f t="shared" si="9"/>
        <v>16048.314413440525</v>
      </c>
      <c r="T5" s="2">
        <f t="shared" si="10"/>
        <v>13501.233646293213</v>
      </c>
      <c r="U5" s="2">
        <f t="shared" si="11"/>
        <v>12323.037658358075</v>
      </c>
      <c r="Z5" s="2">
        <v>1E-13</v>
      </c>
      <c r="AA5" s="3">
        <f>IF('Modell einstellen'!$B$2="Ja",'creep_res-40'!P5,'creep_res-40'!L5)</f>
        <v>0.35744347387202313</v>
      </c>
      <c r="AB5" s="2">
        <f>IF('Modell einstellen'!$B$2="Ja",creep_res0!P5,creep_res0!L5)</f>
        <v>0.35703184127609444</v>
      </c>
      <c r="AC5" s="2">
        <f>IF('Modell einstellen'!$B$2="Ja",creep_res25!P5,creep_res25!L5)</f>
        <v>0.35677278361099046</v>
      </c>
      <c r="AD5" s="2">
        <f>IF('Modell einstellen'!$B$2="Ja",creep_res50!P5,creep_res50!L5)</f>
        <v>0.35651251555156177</v>
      </c>
      <c r="AE5" s="2">
        <f>IF('Modell einstellen'!$B$2="Ja",creep_res80!P5,creep_res80!L5)</f>
        <v>0.35620063309224786</v>
      </c>
      <c r="AF5" s="2">
        <f>IF('Modell einstellen'!$B$2="Ja",creep_res125!P5,creep_res125!L5)</f>
        <v>0.38838520500871077</v>
      </c>
      <c r="AG5" s="2">
        <f>IF('Modell einstellen'!$B$2="Ja",creep_res160!P5,creep_res160!L5)</f>
        <v>0.40483055330298245</v>
      </c>
      <c r="AL5" s="2">
        <f t="shared" si="12"/>
        <v>1E-13</v>
      </c>
      <c r="AM5" s="2">
        <f t="shared" si="13"/>
        <v>5945.5006733975988</v>
      </c>
      <c r="AN5" s="2">
        <f t="shared" si="14"/>
        <v>5936.3578341520697</v>
      </c>
      <c r="AO5" s="2">
        <f t="shared" si="15"/>
        <v>5930.4206852693951</v>
      </c>
      <c r="AP5" s="2">
        <f t="shared" si="16"/>
        <v>5924.3017770264787</v>
      </c>
      <c r="AQ5" s="2">
        <f t="shared" si="17"/>
        <v>5916.6446401256508</v>
      </c>
      <c r="AR5" s="2">
        <f t="shared" si="18"/>
        <v>4862.2074038193541</v>
      </c>
      <c r="AS5" s="2">
        <f t="shared" si="19"/>
        <v>4385.9516115251872</v>
      </c>
      <c r="AX5" s="2">
        <f t="shared" si="28"/>
        <v>1E-13</v>
      </c>
      <c r="AY5" s="37">
        <f t="shared" si="20"/>
        <v>18871.300405566886</v>
      </c>
      <c r="AZ5" s="37">
        <f t="shared" si="21"/>
        <v>18782.332779683817</v>
      </c>
      <c r="BA5" s="37">
        <f t="shared" si="22"/>
        <v>18726.034487941026</v>
      </c>
      <c r="BB5" s="37">
        <f t="shared" si="23"/>
        <v>18669.199703682465</v>
      </c>
      <c r="BC5" s="37">
        <f t="shared" si="24"/>
        <v>18600.35357890412</v>
      </c>
      <c r="BD5" s="37">
        <f t="shared" si="25"/>
        <v>20160.459981054919</v>
      </c>
      <c r="BE5" s="37">
        <f t="shared" si="26"/>
        <v>21580.87160330953</v>
      </c>
    </row>
    <row r="6" spans="1:308" x14ac:dyDescent="0.25">
      <c r="A6" s="2">
        <f>'creep_res-40'!A6</f>
        <v>9.9999999999999998E-13</v>
      </c>
      <c r="B6" s="3">
        <f>'creep_res-40'!O6</f>
        <v>-6.1952705714285721E-4</v>
      </c>
      <c r="C6" s="2">
        <f>IF('Modell einstellen'!$B$2="Ja",creep_res0!O6,creep_res0!C6)</f>
        <v>-6.2066945714285722E-4</v>
      </c>
      <c r="D6" s="2">
        <f>IF('Modell einstellen'!$B$2="Ja",creep_res25!O6,creep_res25!C6)</f>
        <v>-6.2140945714285716E-4</v>
      </c>
      <c r="E6" s="2">
        <f>IF('Modell einstellen'!$B$2="Ja",creep_res50!O6,creep_res50!C6)</f>
        <v>-6.2217062857142865E-4</v>
      </c>
      <c r="F6" s="2">
        <f>IF('Modell einstellen'!$B$2="Ja",creep_res80!O6,creep_res80!C6)</f>
        <v>-6.2317011428571439E-4</v>
      </c>
      <c r="G6" s="2">
        <f>IF('Modell einstellen'!$B$2="Ja",creep_res125!O6,creep_res125!C6)</f>
        <v>-7.7760822857142866E-4</v>
      </c>
      <c r="H6" s="2">
        <f>IF('Modell einstellen'!$B$2="Ja",creep_res160!O6,creep_res160!C6)</f>
        <v>-8.5763660000000004E-4</v>
      </c>
      <c r="M6" s="9">
        <f t="shared" si="27"/>
        <v>-10</v>
      </c>
      <c r="N6" s="2">
        <f t="shared" si="4"/>
        <v>9.9999999999999998E-13</v>
      </c>
      <c r="O6" s="2">
        <f t="shared" si="5"/>
        <v>16141.345054593947</v>
      </c>
      <c r="P6" s="2">
        <f t="shared" si="6"/>
        <v>16111.635404186381</v>
      </c>
      <c r="Q6" s="2">
        <f t="shared" si="7"/>
        <v>16092.449004523403</v>
      </c>
      <c r="R6" s="2">
        <f t="shared" si="8"/>
        <v>16072.761298554202</v>
      </c>
      <c r="S6" s="2">
        <f t="shared" si="9"/>
        <v>16046.982630837694</v>
      </c>
      <c r="T6" s="2">
        <f t="shared" si="10"/>
        <v>12859.946220439759</v>
      </c>
      <c r="U6" s="2">
        <f t="shared" si="11"/>
        <v>11659.950146717152</v>
      </c>
      <c r="Z6" s="2">
        <v>9.9999999999999998E-13</v>
      </c>
      <c r="AA6" s="3">
        <f>IF('Modell einstellen'!$B$2="Ja",'creep_res-40'!P6,'creep_res-40'!L6)</f>
        <v>0.35744354668332945</v>
      </c>
      <c r="AB6" s="2">
        <f>IF('Modell einstellen'!$B$2="Ja",creep_res0!P6,creep_res0!L6)</f>
        <v>0.35703189795387291</v>
      </c>
      <c r="AC6" s="2">
        <f>IF('Modell einstellen'!$B$2="Ja",creep_res25!P6,creep_res25!L6)</f>
        <v>0.35677284050714025</v>
      </c>
      <c r="AD6" s="2">
        <f>IF('Modell einstellen'!$B$2="Ja",creep_res50!P6,creep_res50!L6)</f>
        <v>0.35651257266495379</v>
      </c>
      <c r="AE6" s="2">
        <f>IF('Modell einstellen'!$B$2="Ja",creep_res80!P6,creep_res80!L6)</f>
        <v>0.35621700453817834</v>
      </c>
      <c r="AF6" s="2">
        <f>IF('Modell einstellen'!$B$2="Ja",creep_res125!P6,creep_res125!L6)</f>
        <v>0.39780663696680457</v>
      </c>
      <c r="AG6" s="2">
        <f>IF('Modell einstellen'!$B$2="Ja",creep_res160!P6,creep_res160!L6)</f>
        <v>0.41560702983058323</v>
      </c>
      <c r="AL6" s="2">
        <f t="shared" si="12"/>
        <v>9.9999999999999998E-13</v>
      </c>
      <c r="AM6" s="2">
        <f t="shared" si="13"/>
        <v>5945.4940479964844</v>
      </c>
      <c r="AN6" s="2">
        <f t="shared" si="14"/>
        <v>5936.3510277390824</v>
      </c>
      <c r="AO6" s="2">
        <f t="shared" si="15"/>
        <v>5930.413892464232</v>
      </c>
      <c r="AP6" s="2">
        <f t="shared" si="16"/>
        <v>5924.2949982314785</v>
      </c>
      <c r="AQ6" s="2">
        <f t="shared" si="17"/>
        <v>5916.0822262002403</v>
      </c>
      <c r="AR6" s="2">
        <f t="shared" si="18"/>
        <v>4600.0447702643005</v>
      </c>
      <c r="AS6" s="2">
        <f t="shared" si="19"/>
        <v>4118.3569666620651</v>
      </c>
      <c r="AX6" s="2">
        <f t="shared" si="28"/>
        <v>9.9999999999999998E-13</v>
      </c>
      <c r="AY6" s="37">
        <f t="shared" si="20"/>
        <v>18871.290027044066</v>
      </c>
      <c r="AZ6" s="37">
        <f t="shared" si="21"/>
        <v>18782.319474997461</v>
      </c>
      <c r="BA6" s="37">
        <f t="shared" si="22"/>
        <v>18726.021262894224</v>
      </c>
      <c r="BB6" s="37">
        <f t="shared" si="23"/>
        <v>18669.186558791618</v>
      </c>
      <c r="BC6" s="37">
        <f t="shared" si="24"/>
        <v>18600.927714360827</v>
      </c>
      <c r="BD6" s="37">
        <f t="shared" si="25"/>
        <v>20973.224742364902</v>
      </c>
      <c r="BE6" s="37">
        <f t="shared" si="26"/>
        <v>23027.095983844181</v>
      </c>
    </row>
    <row r="7" spans="1:308" x14ac:dyDescent="0.25">
      <c r="A7" s="2">
        <f>'creep_res-40'!A7</f>
        <v>9.9999999999999994E-12</v>
      </c>
      <c r="B7" s="3">
        <f>'creep_res-40'!O7</f>
        <v>-6.1952725714285717E-4</v>
      </c>
      <c r="C7" s="2">
        <f>IF('Modell einstellen'!$B$2="Ja",creep_res0!O7,creep_res0!C7)</f>
        <v>-6.2066965714285718E-4</v>
      </c>
      <c r="D7" s="2">
        <f>IF('Modell einstellen'!$B$2="Ja",creep_res25!O7,creep_res25!C7)</f>
        <v>-6.2140965714285723E-4</v>
      </c>
      <c r="E7" s="2">
        <f>IF('Modell einstellen'!$B$2="Ja",creep_res50!O7,creep_res50!C7)</f>
        <v>-6.2217082857142861E-4</v>
      </c>
      <c r="F7" s="2">
        <f>IF('Modell einstellen'!$B$2="Ja",creep_res80!O7,creep_res80!C7)</f>
        <v>-6.2367177142857153E-4</v>
      </c>
      <c r="G7" s="2">
        <f>IF('Modell einstellen'!$B$2="Ja",creep_res125!O7,creep_res125!C7)</f>
        <v>-8.190924571428572E-4</v>
      </c>
      <c r="H7" s="2">
        <f>IF('Modell einstellen'!$B$2="Ja",creep_res160!O7,creep_res160!C7)</f>
        <v>-9.1411340000000006E-4</v>
      </c>
      <c r="M7" s="9">
        <f t="shared" si="27"/>
        <v>-10</v>
      </c>
      <c r="N7" s="2">
        <f t="shared" si="4"/>
        <v>9.9999999999999994E-12</v>
      </c>
      <c r="O7" s="2">
        <f t="shared" si="5"/>
        <v>16141.339843735226</v>
      </c>
      <c r="P7" s="2">
        <f t="shared" si="6"/>
        <v>16111.630212492148</v>
      </c>
      <c r="Q7" s="2">
        <f t="shared" si="7"/>
        <v>16092.443825186769</v>
      </c>
      <c r="R7" s="2">
        <f t="shared" si="8"/>
        <v>16072.75613188275</v>
      </c>
      <c r="S7" s="2">
        <f t="shared" si="9"/>
        <v>16034.075066591802</v>
      </c>
      <c r="T7" s="2">
        <f t="shared" si="10"/>
        <v>12208.633973851756</v>
      </c>
      <c r="U7" s="2">
        <f t="shared" si="11"/>
        <v>10939.561765531496</v>
      </c>
      <c r="Z7" s="2">
        <v>9.9999999999999994E-12</v>
      </c>
      <c r="AA7" s="3">
        <f>IF('Modell einstellen'!$B$2="Ja",'creep_res-40'!P7,'creep_res-40'!L7)</f>
        <v>0.35744357886893852</v>
      </c>
      <c r="AB7" s="2">
        <f>IF('Modell einstellen'!$B$2="Ja",creep_res0!P7,creep_res0!L7)</f>
        <v>0.35703193481621098</v>
      </c>
      <c r="AC7" s="2">
        <f>IF('Modell einstellen'!$B$2="Ja",creep_res25!P7,creep_res25!L7)</f>
        <v>0.35677287740895841</v>
      </c>
      <c r="AD7" s="2">
        <f>IF('Modell einstellen'!$B$2="Ja",creep_res50!P7,creep_res50!L7)</f>
        <v>0.35651260960529035</v>
      </c>
      <c r="AE7" s="2">
        <f>IF('Modell einstellen'!$B$2="Ja",creep_res80!P7,creep_res80!L7)</f>
        <v>0.35637729223137143</v>
      </c>
      <c r="AF7" s="2">
        <f>IF('Modell einstellen'!$B$2="Ja",creep_res125!P7,creep_res125!L7)</f>
        <v>0.40799472280052385</v>
      </c>
      <c r="AG7" s="2">
        <f>IF('Modell einstellen'!$B$2="Ja",creep_res160!P7,creep_res160!L7)</f>
        <v>0.4282149551373261</v>
      </c>
      <c r="AL7" s="2">
        <f t="shared" si="12"/>
        <v>9.9999999999999994E-12</v>
      </c>
      <c r="AM7" s="2">
        <f t="shared" si="13"/>
        <v>5945.491987661344</v>
      </c>
      <c r="AN7" s="2">
        <f t="shared" si="14"/>
        <v>5936.3489535985827</v>
      </c>
      <c r="AO7" s="2">
        <f t="shared" si="15"/>
        <v>5930.4118224704844</v>
      </c>
      <c r="AP7" s="2">
        <f t="shared" si="16"/>
        <v>5924.2929325070927</v>
      </c>
      <c r="AQ7" s="2">
        <f t="shared" si="17"/>
        <v>5910.6250002955303</v>
      </c>
      <c r="AR7" s="2">
        <f t="shared" si="18"/>
        <v>4335.4686548713016</v>
      </c>
      <c r="AS7" s="2">
        <f t="shared" si="19"/>
        <v>3829.8022738739742</v>
      </c>
      <c r="AX7" s="2">
        <f t="shared" si="28"/>
        <v>9.9999999999999994E-12</v>
      </c>
      <c r="AY7" s="37">
        <f t="shared" si="20"/>
        <v>18871.288195541227</v>
      </c>
      <c r="AZ7" s="37">
        <f t="shared" si="21"/>
        <v>18782.318265481463</v>
      </c>
      <c r="BA7" s="37">
        <f t="shared" si="22"/>
        <v>18726.020060618161</v>
      </c>
      <c r="BB7" s="37">
        <f t="shared" si="23"/>
        <v>18669.185363802473</v>
      </c>
      <c r="BC7" s="37">
        <f t="shared" si="24"/>
        <v>18606.708409487917</v>
      </c>
      <c r="BD7" s="37">
        <f t="shared" si="25"/>
        <v>22115.821949687881</v>
      </c>
      <c r="BE7" s="37">
        <f t="shared" si="26"/>
        <v>25398.88771739545</v>
      </c>
    </row>
    <row r="8" spans="1:308" x14ac:dyDescent="0.25">
      <c r="A8" s="2">
        <f>'creep_res-40'!A8</f>
        <v>1E-10</v>
      </c>
      <c r="B8" s="3">
        <f>'creep_res-40'!O8</f>
        <v>-6.1952734285714288E-4</v>
      </c>
      <c r="C8" s="2">
        <f>IF('Modell einstellen'!$B$2="Ja",creep_res0!O8,creep_res0!C8)</f>
        <v>-6.2066971428571425E-4</v>
      </c>
      <c r="D8" s="2">
        <f>IF('Modell einstellen'!$B$2="Ja",creep_res25!O8,creep_res25!C8)</f>
        <v>-6.2140974285714284E-4</v>
      </c>
      <c r="E8" s="2">
        <f>IF('Modell einstellen'!$B$2="Ja",creep_res50!O8,creep_res50!C8)</f>
        <v>-6.2217091428571432E-4</v>
      </c>
      <c r="F8" s="2">
        <f>IF('Modell einstellen'!$B$2="Ja",creep_res80!O8,creep_res80!C8)</f>
        <v>-6.2789734285714294E-4</v>
      </c>
      <c r="G8" s="2">
        <f>IF('Modell einstellen'!$B$2="Ja",creep_res125!O8,creep_res125!C8)</f>
        <v>-8.6683934285714296E-4</v>
      </c>
      <c r="H8" s="2">
        <f>IF('Modell einstellen'!$B$2="Ja",creep_res160!O8,creep_res160!C8)</f>
        <v>-9.859250571428572E-4</v>
      </c>
      <c r="M8" s="9">
        <f t="shared" si="27"/>
        <v>-10</v>
      </c>
      <c r="N8" s="2">
        <f t="shared" si="4"/>
        <v>1E-10</v>
      </c>
      <c r="O8" s="2">
        <f t="shared" si="5"/>
        <v>16141.337610511091</v>
      </c>
      <c r="P8" s="2">
        <f t="shared" si="6"/>
        <v>16111.628729151553</v>
      </c>
      <c r="Q8" s="2">
        <f t="shared" si="7"/>
        <v>16092.441605472093</v>
      </c>
      <c r="R8" s="2">
        <f t="shared" si="8"/>
        <v>16072.753917596001</v>
      </c>
      <c r="S8" s="2">
        <f t="shared" si="9"/>
        <v>15926.170278881345</v>
      </c>
      <c r="T8" s="2">
        <f t="shared" si="10"/>
        <v>11536.163053051483</v>
      </c>
      <c r="U8" s="2">
        <f t="shared" si="11"/>
        <v>10142.758749817465</v>
      </c>
      <c r="Z8" s="2">
        <v>1E-10</v>
      </c>
      <c r="AA8" s="3">
        <f>IF('Modell einstellen'!$B$2="Ja",'creep_res-40'!P8,'creep_res-40'!L8)</f>
        <v>0.35744358014499261</v>
      </c>
      <c r="AB8" s="2">
        <f>IF('Modell einstellen'!$B$2="Ja",creep_res0!P8,creep_res0!L8)</f>
        <v>0.35703194797877325</v>
      </c>
      <c r="AC8" s="2">
        <f>IF('Modell einstellen'!$B$2="Ja",creep_res25!P8,creep_res25!L8)</f>
        <v>0.35677287417581988</v>
      </c>
      <c r="AD8" s="2">
        <f>IF('Modell einstellen'!$B$2="Ja",creep_res50!P8,creep_res50!L8)</f>
        <v>0.35651262478082502</v>
      </c>
      <c r="AE8" s="2">
        <f>IF('Modell einstellen'!$B$2="Ja",creep_res80!P8,creep_res80!L8)</f>
        <v>0.35772019966685181</v>
      </c>
      <c r="AF8" s="2">
        <f>IF('Modell einstellen'!$B$2="Ja",creep_res125!P8,creep_res125!L8)</f>
        <v>0.41922597817351359</v>
      </c>
      <c r="AG8" s="2">
        <f>IF('Modell einstellen'!$B$2="Ja",creep_res160!P8,creep_res160!L8)</f>
        <v>0.44341637441756293</v>
      </c>
      <c r="AL8" s="2">
        <f t="shared" si="12"/>
        <v>1E-10</v>
      </c>
      <c r="AM8" s="2">
        <f t="shared" si="13"/>
        <v>5945.4911594878167</v>
      </c>
      <c r="AN8" s="2">
        <f t="shared" si="14"/>
        <v>5936.3483494802622</v>
      </c>
      <c r="AO8" s="2">
        <f t="shared" si="15"/>
        <v>5930.4110185898089</v>
      </c>
      <c r="AP8" s="2">
        <f t="shared" si="16"/>
        <v>5924.292050062164</v>
      </c>
      <c r="AQ8" s="2">
        <f t="shared" si="17"/>
        <v>5865.0413696390469</v>
      </c>
      <c r="AR8" s="2">
        <f t="shared" si="18"/>
        <v>4064.2446060274551</v>
      </c>
      <c r="AS8" s="2">
        <f t="shared" si="19"/>
        <v>3513.4556215320054</v>
      </c>
      <c r="AX8" s="2">
        <f t="shared" si="28"/>
        <v>1E-10</v>
      </c>
      <c r="AY8" s="37">
        <f t="shared" si="20"/>
        <v>18871.285753537995</v>
      </c>
      <c r="AZ8" s="37">
        <f t="shared" si="21"/>
        <v>18782.31826548147</v>
      </c>
      <c r="BA8" s="37">
        <f t="shared" si="22"/>
        <v>18726.0170549287</v>
      </c>
      <c r="BB8" s="37">
        <f t="shared" si="23"/>
        <v>18669.184766307942</v>
      </c>
      <c r="BC8" s="37">
        <f t="shared" si="24"/>
        <v>18655.928016005801</v>
      </c>
      <c r="BD8" s="37">
        <f t="shared" si="25"/>
        <v>23803.36893841259</v>
      </c>
      <c r="BE8" s="37">
        <f t="shared" si="26"/>
        <v>29875.423750876511</v>
      </c>
    </row>
    <row r="9" spans="1:308" x14ac:dyDescent="0.25">
      <c r="A9" s="2">
        <f>'creep_res-40'!A9</f>
        <v>1.0000000000000001E-9</v>
      </c>
      <c r="B9" s="3">
        <f>'creep_res-40'!O9</f>
        <v>-6.1952737142857142E-4</v>
      </c>
      <c r="C9" s="2">
        <f>IF('Modell einstellen'!$B$2="Ja",creep_res0!O9,creep_res0!C9)</f>
        <v>-6.2066974285714289E-4</v>
      </c>
      <c r="D9" s="2">
        <f>IF('Modell einstellen'!$B$2="Ja",creep_res25!O9,creep_res25!C9)</f>
        <v>-6.2140974285714284E-4</v>
      </c>
      <c r="E9" s="2">
        <f>IF('Modell einstellen'!$B$2="Ja",creep_res50!O9,creep_res50!C9)</f>
        <v>-6.2217114285714292E-4</v>
      </c>
      <c r="F9" s="2">
        <f>IF('Modell einstellen'!$B$2="Ja",creep_res80!O9,creep_res80!C9)</f>
        <v>-6.4159802857142859E-4</v>
      </c>
      <c r="G9" s="2">
        <f>IF('Modell einstellen'!$B$2="Ja",creep_res125!O9,creep_res125!C9)</f>
        <v>-9.2476508571428574E-4</v>
      </c>
      <c r="H9" s="2">
        <f>IF('Modell einstellen'!$B$2="Ja",creep_res160!O9,creep_res160!C9)</f>
        <v>-1.1008914E-3</v>
      </c>
      <c r="M9" s="9">
        <f t="shared" si="27"/>
        <v>-10</v>
      </c>
      <c r="N9" s="2">
        <f t="shared" si="4"/>
        <v>1.0000000000000001E-9</v>
      </c>
      <c r="O9" s="2">
        <f t="shared" si="5"/>
        <v>16141.336866103184</v>
      </c>
      <c r="P9" s="2">
        <f t="shared" si="6"/>
        <v>16111.627987481355</v>
      </c>
      <c r="Q9" s="2">
        <f t="shared" si="7"/>
        <v>16092.441605472093</v>
      </c>
      <c r="R9" s="2">
        <f t="shared" si="8"/>
        <v>16072.748012834318</v>
      </c>
      <c r="S9" s="2">
        <f t="shared" si="9"/>
        <v>15586.082803692263</v>
      </c>
      <c r="T9" s="2">
        <f t="shared" si="10"/>
        <v>10813.5570367863</v>
      </c>
      <c r="U9" s="2">
        <f t="shared" si="11"/>
        <v>9083.5481138284849</v>
      </c>
      <c r="Z9" s="2">
        <v>1.0000000000000001E-9</v>
      </c>
      <c r="AA9" s="3">
        <f>IF('Modell einstellen'!$B$2="Ja",'creep_res-40'!P9,'creep_res-40'!L9)</f>
        <v>0.35744357749580352</v>
      </c>
      <c r="AB9" s="2">
        <f>IF('Modell einstellen'!$B$2="Ja",creep_res0!P9,creep_res0!L9)</f>
        <v>0.3570319499567311</v>
      </c>
      <c r="AC9" s="2">
        <f>IF('Modell einstellen'!$B$2="Ja",creep_res25!P9,creep_res25!L9)</f>
        <v>0.35677289256718175</v>
      </c>
      <c r="AD9" s="2">
        <f>IF('Modell einstellen'!$B$2="Ja",creep_res50!P9,creep_res50!L9)</f>
        <v>0.35651268208701414</v>
      </c>
      <c r="AE9" s="2">
        <f>IF('Modell einstellen'!$B$2="Ja",creep_res80!P9,creep_res80!L9)</f>
        <v>0.36183053822172867</v>
      </c>
      <c r="AF9" s="2">
        <f>IF('Modell einstellen'!$B$2="Ja",creep_res125!P9,creep_res125!L9)</f>
        <v>0.4322529415810249</v>
      </c>
      <c r="AG9" s="2">
        <f>IF('Modell einstellen'!$B$2="Ja",creep_res160!P9,creep_res160!L9)</f>
        <v>0.46607449199802997</v>
      </c>
      <c r="AL9" s="2">
        <f t="shared" si="12"/>
        <v>1.0000000000000001E-9</v>
      </c>
      <c r="AM9" s="2">
        <f t="shared" si="13"/>
        <v>5945.4908968962591</v>
      </c>
      <c r="AN9" s="2">
        <f t="shared" si="14"/>
        <v>5936.3480675584215</v>
      </c>
      <c r="AO9" s="2">
        <f t="shared" si="15"/>
        <v>5930.4109382017532</v>
      </c>
      <c r="AP9" s="2">
        <f t="shared" si="16"/>
        <v>5924.2896233399624</v>
      </c>
      <c r="AQ9" s="2">
        <f t="shared" si="17"/>
        <v>5722.4751414535358</v>
      </c>
      <c r="AR9" s="2">
        <f t="shared" si="18"/>
        <v>3775.0165221687416</v>
      </c>
      <c r="AS9" s="2">
        <f t="shared" si="19"/>
        <v>3097.9149297690292</v>
      </c>
      <c r="AX9" s="2">
        <f t="shared" si="28"/>
        <v>1.0000000000000001E-9</v>
      </c>
      <c r="AY9" s="37">
        <f t="shared" si="20"/>
        <v>18871.284532536614</v>
      </c>
      <c r="AZ9" s="37">
        <f t="shared" si="21"/>
        <v>18782.317660723515</v>
      </c>
      <c r="BA9" s="37">
        <f t="shared" si="22"/>
        <v>18726.019459480198</v>
      </c>
      <c r="BB9" s="37">
        <f t="shared" si="23"/>
        <v>18669.185363802462</v>
      </c>
      <c r="BC9" s="37">
        <f t="shared" si="24"/>
        <v>18800.684564080409</v>
      </c>
      <c r="BD9" s="37">
        <f t="shared" si="25"/>
        <v>26602.771370310296</v>
      </c>
      <c r="BE9" s="37">
        <f t="shared" si="26"/>
        <v>44624.967312211462</v>
      </c>
    </row>
    <row r="10" spans="1:308" x14ac:dyDescent="0.25">
      <c r="A10" s="2">
        <f>'creep_res-40'!A10</f>
        <v>1E-8</v>
      </c>
      <c r="B10" s="3">
        <f>'creep_res-40'!O10</f>
        <v>-6.1952737142857142E-4</v>
      </c>
      <c r="C10" s="2">
        <f>IF('Modell einstellen'!$B$2="Ja",creep_res0!O10,creep_res0!C10)</f>
        <v>-6.2066974285714289E-4</v>
      </c>
      <c r="D10" s="2">
        <f>IF('Modell einstellen'!$B$2="Ja",creep_res25!O10,creep_res25!C10)</f>
        <v>-6.2140977142857148E-4</v>
      </c>
      <c r="E10" s="2">
        <f>IF('Modell einstellen'!$B$2="Ja",creep_res50!O10,creep_res50!C10)</f>
        <v>-6.2217305714285724E-4</v>
      </c>
      <c r="F10" s="2">
        <f>IF('Modell einstellen'!$B$2="Ja",creep_res80!O10,creep_res80!C10)</f>
        <v>-6.5623828571428574E-4</v>
      </c>
      <c r="G10" s="2">
        <f>IF('Modell einstellen'!$B$2="Ja",creep_res125!O10,creep_res125!C10)</f>
        <v>-1.0029450000000001E-3</v>
      </c>
      <c r="H10" s="2">
        <f>IF('Modell einstellen'!$B$2="Ja",creep_res160!O10,creep_res160!C10)</f>
        <v>-1.2869660000000001E-3</v>
      </c>
      <c r="M10" s="9">
        <f t="shared" si="27"/>
        <v>-10</v>
      </c>
      <c r="N10" s="2">
        <f t="shared" si="4"/>
        <v>1E-8</v>
      </c>
      <c r="O10" s="2">
        <f t="shared" si="5"/>
        <v>16141.336866103184</v>
      </c>
      <c r="P10" s="2">
        <f t="shared" si="6"/>
        <v>16111.627987481355</v>
      </c>
      <c r="Q10" s="2">
        <f t="shared" si="7"/>
        <v>16092.440865567334</v>
      </c>
      <c r="R10" s="2">
        <f t="shared" si="8"/>
        <v>16072.698560625551</v>
      </c>
      <c r="S10" s="2">
        <f t="shared" si="9"/>
        <v>15238.367248133734</v>
      </c>
      <c r="T10" s="2">
        <f t="shared" si="10"/>
        <v>9970.6364755794184</v>
      </c>
      <c r="U10" s="2">
        <f t="shared" si="11"/>
        <v>7770.213043701232</v>
      </c>
      <c r="Z10" s="2">
        <v>1E-8</v>
      </c>
      <c r="AA10" s="3">
        <f>IF('Modell einstellen'!$B$2="Ja",'creep_res-40'!P10,'creep_res-40'!L10)</f>
        <v>0.35744358671942456</v>
      </c>
      <c r="AB10" s="2">
        <f>IF('Modell einstellen'!$B$2="Ja",creep_res0!P10,creep_res0!L10)</f>
        <v>0.35703195456005338</v>
      </c>
      <c r="AC10" s="2">
        <f>IF('Modell einstellen'!$B$2="Ja",creep_res25!P10,creep_res25!L10)</f>
        <v>0.35677288535901452</v>
      </c>
      <c r="AD10" s="2">
        <f>IF('Modell einstellen'!$B$2="Ja",creep_res50!P10,creep_res50!L10)</f>
        <v>0.35651331184520685</v>
      </c>
      <c r="AE10" s="2">
        <f>IF('Modell einstellen'!$B$2="Ja",creep_res80!P10,creep_res80!L10)</f>
        <v>0.36618814855579462</v>
      </c>
      <c r="AF10" s="2">
        <f>IF('Modell einstellen'!$B$2="Ja",creep_res125!P10,creep_res125!L10)</f>
        <v>0.44885007937338817</v>
      </c>
      <c r="AG10" s="2">
        <f>IF('Modell einstellen'!$B$2="Ja",creep_res160!P10,creep_res160!L10)</f>
        <v>0.49933580218902446</v>
      </c>
      <c r="AL10" s="2">
        <f t="shared" si="12"/>
        <v>1E-8</v>
      </c>
      <c r="AM10" s="2">
        <f t="shared" si="13"/>
        <v>5945.4908564975603</v>
      </c>
      <c r="AN10" s="2">
        <f t="shared" si="14"/>
        <v>5936.3480474211492</v>
      </c>
      <c r="AO10" s="2">
        <f t="shared" si="15"/>
        <v>5930.4106970375988</v>
      </c>
      <c r="AP10" s="2">
        <f t="shared" si="16"/>
        <v>5924.2686453119095</v>
      </c>
      <c r="AQ10" s="2">
        <f t="shared" si="17"/>
        <v>5576.9650996615301</v>
      </c>
      <c r="AR10" s="2">
        <f t="shared" si="18"/>
        <v>3440.8792936987693</v>
      </c>
      <c r="AS10" s="2">
        <f t="shared" si="19"/>
        <v>2591.2184022941196</v>
      </c>
      <c r="AX10" s="2">
        <f t="shared" si="28"/>
        <v>1E-8</v>
      </c>
      <c r="AY10" s="37">
        <f t="shared" si="20"/>
        <v>18871.285753537988</v>
      </c>
      <c r="AZ10" s="37">
        <f t="shared" si="21"/>
        <v>18782.318265481459</v>
      </c>
      <c r="BA10" s="37">
        <f t="shared" si="22"/>
        <v>18726.017656066506</v>
      </c>
      <c r="BB10" s="37">
        <f t="shared" si="23"/>
        <v>18669.209861110783</v>
      </c>
      <c r="BC10" s="37">
        <f t="shared" si="24"/>
        <v>18979.84257207538</v>
      </c>
      <c r="BD10" s="37">
        <f t="shared" si="25"/>
        <v>32488.27614143609</v>
      </c>
      <c r="BE10" s="37">
        <f t="shared" si="26"/>
        <v>1949773.826236272</v>
      </c>
    </row>
    <row r="11" spans="1:308" x14ac:dyDescent="0.25">
      <c r="A11" s="2">
        <f>'creep_res-40'!A11</f>
        <v>9.9999999999999995E-8</v>
      </c>
      <c r="B11" s="3">
        <f>'creep_res-40'!O11</f>
        <v>-6.1952737142857142E-4</v>
      </c>
      <c r="C11" s="2">
        <f>IF('Modell einstellen'!$B$2="Ja",creep_res0!O11,creep_res0!C11)</f>
        <v>-6.2066977142857143E-4</v>
      </c>
      <c r="D11" s="2">
        <f>IF('Modell einstellen'!$B$2="Ja",creep_res25!O11,creep_res25!C11)</f>
        <v>-6.2140980000000001E-4</v>
      </c>
      <c r="E11" s="2">
        <f>IF('Modell einstellen'!$B$2="Ja",creep_res50!O11,creep_res50!C11)</f>
        <v>-6.2219222857142864E-4</v>
      </c>
      <c r="F11" s="2">
        <f>IF('Modell einstellen'!$B$2="Ja",creep_res80!O11,creep_res80!C11)</f>
        <v>-6.7388657142857151E-4</v>
      </c>
      <c r="G11" s="2">
        <f>IF('Modell einstellen'!$B$2="Ja",creep_res125!O11,creep_res125!C11)</f>
        <v>-1.1283940285714287E-3</v>
      </c>
      <c r="H11" s="2">
        <f>IF('Modell einstellen'!$B$2="Ja",creep_res160!O11,creep_res160!C11)</f>
        <v>-1.6095891714285717E-3</v>
      </c>
      <c r="M11" s="9">
        <f t="shared" si="27"/>
        <v>-10</v>
      </c>
      <c r="N11" s="2">
        <f t="shared" si="4"/>
        <v>9.9999999999999995E-8</v>
      </c>
      <c r="O11" s="2">
        <f t="shared" si="5"/>
        <v>16141.336866103184</v>
      </c>
      <c r="P11" s="2">
        <f t="shared" si="6"/>
        <v>16111.627245811231</v>
      </c>
      <c r="Q11" s="2">
        <f t="shared" si="7"/>
        <v>16092.440125662646</v>
      </c>
      <c r="R11" s="2">
        <f t="shared" si="8"/>
        <v>16072.20331722929</v>
      </c>
      <c r="S11" s="2">
        <f t="shared" si="9"/>
        <v>14839.292581244064</v>
      </c>
      <c r="T11" s="2">
        <f t="shared" si="10"/>
        <v>8862.152534305962</v>
      </c>
      <c r="U11" s="2">
        <f t="shared" si="11"/>
        <v>6212.7654543827603</v>
      </c>
      <c r="Z11" s="2">
        <v>9.9999999999999995E-8</v>
      </c>
      <c r="AA11" s="3">
        <f>IF('Modell einstellen'!$B$2="Ja",'creep_res-40'!P11,'creep_res-40'!L11)</f>
        <v>0.35744358671942456</v>
      </c>
      <c r="AB11" s="2">
        <f>IF('Modell einstellen'!$B$2="Ja",creep_res0!P11,creep_res0!L11)</f>
        <v>0.35703194272804467</v>
      </c>
      <c r="AC11" s="2">
        <f>IF('Modell einstellen'!$B$2="Ja",creep_res25!P11,creep_res25!L11)</f>
        <v>0.35677288734652812</v>
      </c>
      <c r="AD11" s="2">
        <f>IF('Modell einstellen'!$B$2="Ja",creep_res50!P11,creep_res50!L11)</f>
        <v>0.35651951936948467</v>
      </c>
      <c r="AE11" s="2">
        <f>IF('Modell einstellen'!$B$2="Ja",creep_res80!P11,creep_res80!L11)</f>
        <v>0.37132335963279961</v>
      </c>
      <c r="AF11" s="2">
        <f>IF('Modell einstellen'!$B$2="Ja",creep_res125!P11,creep_res125!L11)</f>
        <v>0.47357347892989043</v>
      </c>
      <c r="AG11" s="2">
        <f>IF('Modell einstellen'!$B$2="Ja",creep_res160!P11,creep_res160!L11)</f>
        <v>0.54904567396177273</v>
      </c>
      <c r="AL11" s="2">
        <f t="shared" si="12"/>
        <v>9.9999999999999995E-8</v>
      </c>
      <c r="AM11" s="2">
        <f t="shared" si="13"/>
        <v>5945.4908564975603</v>
      </c>
      <c r="AN11" s="2">
        <f t="shared" si="14"/>
        <v>5936.3478259111525</v>
      </c>
      <c r="AO11" s="2">
        <f t="shared" si="15"/>
        <v>5930.4104156794438</v>
      </c>
      <c r="AP11" s="2">
        <f t="shared" si="16"/>
        <v>5924.0589935262078</v>
      </c>
      <c r="AQ11" s="2">
        <f t="shared" si="17"/>
        <v>5410.5738362167167</v>
      </c>
      <c r="AR11" s="2">
        <f t="shared" si="18"/>
        <v>3007.0276986600152</v>
      </c>
      <c r="AS11" s="2">
        <f t="shared" si="19"/>
        <v>2005.3525724949279</v>
      </c>
      <c r="AX11" s="2">
        <f t="shared" si="28"/>
        <v>9.9999999999999995E-8</v>
      </c>
      <c r="AY11" s="37">
        <f t="shared" si="20"/>
        <v>18871.285753537988</v>
      </c>
      <c r="AZ11" s="37">
        <f t="shared" si="21"/>
        <v>18782.31584644991</v>
      </c>
      <c r="BA11" s="37">
        <f t="shared" si="22"/>
        <v>18726.017054928692</v>
      </c>
      <c r="BB11" s="37">
        <f t="shared" si="23"/>
        <v>18669.442289990799</v>
      </c>
      <c r="BC11" s="37">
        <f t="shared" si="24"/>
        <v>19220.391697744119</v>
      </c>
      <c r="BD11" s="37">
        <f t="shared" si="25"/>
        <v>55891.784562401474</v>
      </c>
      <c r="BE11" s="37">
        <f t="shared" si="26"/>
        <v>-21112.176170131828</v>
      </c>
    </row>
    <row r="12" spans="1:308" x14ac:dyDescent="0.25">
      <c r="A12" s="2">
        <f>'creep_res-40'!A12</f>
        <v>9.9999999999999995E-7</v>
      </c>
      <c r="B12" s="3">
        <f>'creep_res-40'!O12</f>
        <v>-6.1952737142857142E-4</v>
      </c>
      <c r="C12" s="2">
        <f>IF('Modell einstellen'!$B$2="Ja",creep_res0!O12,creep_res0!C12)</f>
        <v>-6.2066977142857143E-4</v>
      </c>
      <c r="D12" s="2">
        <f>IF('Modell einstellen'!$B$2="Ja",creep_res25!O12,creep_res25!C12)</f>
        <v>-6.2141000000000008E-4</v>
      </c>
      <c r="E12" s="2">
        <f>IF('Modell einstellen'!$B$2="Ja",creep_res50!O12,creep_res50!C12)</f>
        <v>-6.2238277142857151E-4</v>
      </c>
      <c r="F12" s="2">
        <f>IF('Modell einstellen'!$B$2="Ja",creep_res80!O12,creep_res80!C12)</f>
        <v>-6.9584814285714289E-4</v>
      </c>
      <c r="G12" s="2">
        <f>IF('Modell einstellen'!$B$2="Ja",creep_res125!O12,creep_res125!C12)</f>
        <v>-1.3335056285714287E-3</v>
      </c>
      <c r="H12" s="2">
        <f>IF('Modell einstellen'!$B$2="Ja",creep_res160!O12,creep_res160!C12)</f>
        <v>-2.2664522285714287E-3</v>
      </c>
      <c r="M12" s="9">
        <f t="shared" si="27"/>
        <v>-10</v>
      </c>
      <c r="N12" s="2">
        <f t="shared" si="4"/>
        <v>9.9999999999999995E-7</v>
      </c>
      <c r="O12" s="2">
        <f t="shared" si="5"/>
        <v>16141.336866103184</v>
      </c>
      <c r="P12" s="2">
        <f t="shared" si="6"/>
        <v>16111.627245811231</v>
      </c>
      <c r="Q12" s="2">
        <f t="shared" si="7"/>
        <v>16092.434946331727</v>
      </c>
      <c r="R12" s="2">
        <f t="shared" si="8"/>
        <v>16067.282802585838</v>
      </c>
      <c r="S12" s="2">
        <f t="shared" si="9"/>
        <v>14370.951625939731</v>
      </c>
      <c r="T12" s="2">
        <f t="shared" si="10"/>
        <v>7499.0309645058651</v>
      </c>
      <c r="U12" s="2">
        <f t="shared" si="11"/>
        <v>4412.1821205572542</v>
      </c>
      <c r="Z12" s="2">
        <v>9.9999999999999995E-7</v>
      </c>
      <c r="AA12" s="3">
        <f>IF('Modell einstellen'!$B$2="Ja",'creep_res-40'!P12,'creep_res-40'!L12)</f>
        <v>0.35744358671942456</v>
      </c>
      <c r="AB12" s="2">
        <f>IF('Modell einstellen'!$B$2="Ja",creep_res0!P12,creep_res0!L12)</f>
        <v>0.35703194272804467</v>
      </c>
      <c r="AC12" s="2">
        <f>IF('Modell einstellen'!$B$2="Ja",creep_res25!P12,creep_res25!L12)</f>
        <v>0.35677296562885791</v>
      </c>
      <c r="AD12" s="2">
        <f>IF('Modell einstellen'!$B$2="Ja",creep_res50!P12,creep_res50!L12)</f>
        <v>0.35658111542474297</v>
      </c>
      <c r="AE12" s="2">
        <f>IF('Modell einstellen'!$B$2="Ja",creep_res80!P12,creep_res80!L12)</f>
        <v>0.3775498266555285</v>
      </c>
      <c r="AF12" s="2">
        <f>IF('Modell einstellen'!$B$2="Ja",creep_res125!P12,creep_res125!L12)</f>
        <v>0.50996266618147224</v>
      </c>
      <c r="AG12" s="2">
        <f>IF('Modell einstellen'!$B$2="Ja",creep_res160!P12,creep_res160!L12)</f>
        <v>0.62730730021500691</v>
      </c>
      <c r="AL12" s="2">
        <f t="shared" si="12"/>
        <v>9.9999999999999995E-7</v>
      </c>
      <c r="AM12" s="2">
        <f t="shared" si="13"/>
        <v>5945.4908564975603</v>
      </c>
      <c r="AN12" s="2">
        <f t="shared" si="14"/>
        <v>5936.3478259111525</v>
      </c>
      <c r="AO12" s="2">
        <f t="shared" si="15"/>
        <v>5930.408164815165</v>
      </c>
      <c r="AP12" s="2">
        <f t="shared" si="16"/>
        <v>5921.976437640149</v>
      </c>
      <c r="AQ12" s="2">
        <f t="shared" si="17"/>
        <v>5216.1277029195053</v>
      </c>
      <c r="AR12" s="2">
        <f t="shared" si="18"/>
        <v>2483.1842311274095</v>
      </c>
      <c r="AS12" s="2">
        <f t="shared" si="19"/>
        <v>1355.6696144527521</v>
      </c>
      <c r="AX12" s="2">
        <f t="shared" si="28"/>
        <v>9.9999999999999995E-7</v>
      </c>
      <c r="AY12" s="37">
        <f t="shared" si="20"/>
        <v>18871.285753537988</v>
      </c>
      <c r="AZ12" s="37">
        <f t="shared" si="21"/>
        <v>18782.31584644991</v>
      </c>
      <c r="BA12" s="37">
        <f t="shared" si="22"/>
        <v>18726.021262894217</v>
      </c>
      <c r="BB12" s="37">
        <f t="shared" si="23"/>
        <v>18671.742393118806</v>
      </c>
      <c r="BC12" s="37">
        <f t="shared" si="24"/>
        <v>19560.27124261664</v>
      </c>
      <c r="BD12" s="37">
        <f t="shared" si="25"/>
        <v>-125452.21041418209</v>
      </c>
      <c r="BE12" s="37">
        <f t="shared" si="26"/>
        <v>-5776.2884415709104</v>
      </c>
    </row>
    <row r="13" spans="1:308" x14ac:dyDescent="0.25">
      <c r="A13" s="2">
        <f>'creep_res-40'!A13</f>
        <v>1.0000000000000001E-5</v>
      </c>
      <c r="B13" s="3">
        <f>'creep_res-40'!O13</f>
        <v>-6.1952737142857142E-4</v>
      </c>
      <c r="C13" s="2">
        <f>IF('Modell einstellen'!$B$2="Ja",creep_res0!O13,creep_res0!C13)</f>
        <v>-6.2066980000000007E-4</v>
      </c>
      <c r="D13" s="2">
        <f>IF('Modell einstellen'!$B$2="Ja",creep_res25!O13,creep_res25!C13)</f>
        <v>-6.214121428571429E-4</v>
      </c>
      <c r="E13" s="2">
        <f>IF('Modell einstellen'!$B$2="Ja",creep_res50!O13,creep_res50!C13)</f>
        <v>-6.241672857142858E-4</v>
      </c>
      <c r="F13" s="2">
        <f>IF('Modell einstellen'!$B$2="Ja",creep_res80!O13,creep_res80!C13)</f>
        <v>-7.1980254285714288E-4</v>
      </c>
      <c r="G13" s="2">
        <f>IF('Modell einstellen'!$B$2="Ja",creep_res125!O13,creep_res125!C13)</f>
        <v>-1.7015873428571429E-3</v>
      </c>
      <c r="H13" s="2">
        <f>IF('Modell einstellen'!$B$2="Ja",creep_res160!O13,creep_res160!C13)</f>
        <v>-3.5457385714285717E-3</v>
      </c>
      <c r="M13" s="9">
        <f t="shared" si="27"/>
        <v>-10</v>
      </c>
      <c r="N13" s="2">
        <f t="shared" si="4"/>
        <v>1.0000000000000001E-5</v>
      </c>
      <c r="O13" s="2">
        <f t="shared" si="5"/>
        <v>16141.336866103184</v>
      </c>
      <c r="P13" s="2">
        <f t="shared" si="6"/>
        <v>16111.62650414117</v>
      </c>
      <c r="Q13" s="2">
        <f t="shared" si="7"/>
        <v>16092.379453709695</v>
      </c>
      <c r="R13" s="2">
        <f t="shared" si="8"/>
        <v>16021.345925806061</v>
      </c>
      <c r="S13" s="2">
        <f t="shared" si="9"/>
        <v>13892.69890643422</v>
      </c>
      <c r="T13" s="2">
        <f t="shared" si="10"/>
        <v>5876.8655291058731</v>
      </c>
      <c r="U13" s="2">
        <f t="shared" si="11"/>
        <v>2820.2868876401731</v>
      </c>
      <c r="Z13" s="2">
        <v>1.0000000000000001E-5</v>
      </c>
      <c r="AA13" s="3">
        <f>IF('Modell einstellen'!$B$2="Ja",'creep_res-40'!P13,'creep_res-40'!L13)</f>
        <v>0.35744358671942456</v>
      </c>
      <c r="AB13" s="2">
        <f>IF('Modell einstellen'!$B$2="Ja",creep_res0!P13,creep_res0!L13)</f>
        <v>0.35703194930932447</v>
      </c>
      <c r="AC13" s="2">
        <f>IF('Modell einstellen'!$B$2="Ja",creep_res25!P13,creep_res25!L13)</f>
        <v>0.35677365723461657</v>
      </c>
      <c r="AD13" s="2">
        <f>IF('Modell einstellen'!$B$2="Ja",creep_res50!P13,creep_res50!L13)</f>
        <v>0.35715662765316347</v>
      </c>
      <c r="AE13" s="2">
        <f>IF('Modell einstellen'!$B$2="Ja",creep_res80!P13,creep_res80!L13)</f>
        <v>0.38415537292786922</v>
      </c>
      <c r="AF13" s="2">
        <f>IF('Modell einstellen'!$B$2="Ja",creep_res125!P13,creep_res125!L13)</f>
        <v>0.56524109076840645</v>
      </c>
      <c r="AG13" s="2">
        <f>IF('Modell einstellen'!$B$2="Ja",creep_res160!P13,creep_res160!L13)</f>
        <v>0.72610310888281582</v>
      </c>
      <c r="AL13" s="2">
        <f t="shared" si="12"/>
        <v>1.0000000000000001E-5</v>
      </c>
      <c r="AM13" s="2">
        <f t="shared" si="13"/>
        <v>5945.4908564975603</v>
      </c>
      <c r="AN13" s="2">
        <f t="shared" si="14"/>
        <v>5936.3475238520905</v>
      </c>
      <c r="AO13" s="2">
        <f t="shared" si="15"/>
        <v>5930.384691618081</v>
      </c>
      <c r="AP13" s="2">
        <f t="shared" si="16"/>
        <v>5902.5412392933085</v>
      </c>
      <c r="AQ13" s="2">
        <f t="shared" si="17"/>
        <v>5018.4752297884525</v>
      </c>
      <c r="AR13" s="2">
        <f t="shared" si="18"/>
        <v>1877.3036191571002</v>
      </c>
      <c r="AS13" s="2">
        <f t="shared" si="19"/>
        <v>816.95203291347548</v>
      </c>
      <c r="AX13" s="2">
        <f t="shared" si="28"/>
        <v>1.0000000000000001E-5</v>
      </c>
      <c r="AY13" s="37">
        <f t="shared" si="20"/>
        <v>18871.285753537988</v>
      </c>
      <c r="AZ13" s="37">
        <f t="shared" si="21"/>
        <v>18782.315846449907</v>
      </c>
      <c r="BA13" s="37">
        <f t="shared" si="22"/>
        <v>18726.047111866774</v>
      </c>
      <c r="BB13" s="37">
        <f t="shared" si="23"/>
        <v>18693.372167692403</v>
      </c>
      <c r="BC13" s="37">
        <f t="shared" si="24"/>
        <v>19987.546045595358</v>
      </c>
      <c r="BD13" s="37">
        <f t="shared" si="25"/>
        <v>-15013.200678407917</v>
      </c>
      <c r="BE13" s="37">
        <f t="shared" si="26"/>
        <v>-2078.9091177437581</v>
      </c>
    </row>
    <row r="14" spans="1:308" x14ac:dyDescent="0.25">
      <c r="A14" s="2">
        <f>'creep_res-40'!A14</f>
        <v>1E-4</v>
      </c>
      <c r="B14" s="3">
        <f>'creep_res-40'!O14</f>
        <v>-6.1952737142857142E-4</v>
      </c>
      <c r="C14" s="2">
        <f>IF('Modell einstellen'!$B$2="Ja",creep_res0!O14,creep_res0!C14)</f>
        <v>-6.2067000000000003E-4</v>
      </c>
      <c r="D14" s="2">
        <f>IF('Modell einstellen'!$B$2="Ja",creep_res25!O14,creep_res25!C14)</f>
        <v>-6.2143345714285722E-4</v>
      </c>
      <c r="E14" s="2">
        <f>IF('Modell einstellen'!$B$2="Ja",creep_res50!O14,creep_res50!C14)</f>
        <v>-6.3489737142857143E-4</v>
      </c>
      <c r="F14" s="2">
        <f>IF('Modell einstellen'!$B$2="Ja",creep_res80!O14,creep_res80!C14)</f>
        <v>-7.5238042857142854E-4</v>
      </c>
      <c r="G14" s="2">
        <f>IF('Modell einstellen'!$B$2="Ja",creep_res125!O14,creep_res125!C14)</f>
        <v>-2.4700689428571432E-3</v>
      </c>
      <c r="H14" s="2">
        <f>IF('Modell einstellen'!$B$2="Ja",creep_res160!O14,creep_res160!C14)</f>
        <v>-5.9282531428571442E-3</v>
      </c>
      <c r="M14" s="9">
        <f t="shared" si="27"/>
        <v>-10</v>
      </c>
      <c r="N14" s="2">
        <f t="shared" si="4"/>
        <v>1E-4</v>
      </c>
      <c r="O14" s="2">
        <f t="shared" si="5"/>
        <v>16141.336866103184</v>
      </c>
      <c r="P14" s="2">
        <f t="shared" si="6"/>
        <v>16111.621312452671</v>
      </c>
      <c r="Q14" s="2">
        <f t="shared" si="7"/>
        <v>16091.827507930855</v>
      </c>
      <c r="R14" s="2">
        <f t="shared" si="8"/>
        <v>15750.577101144985</v>
      </c>
      <c r="S14" s="2">
        <f t="shared" si="9"/>
        <v>13291.14849383756</v>
      </c>
      <c r="T14" s="2">
        <f t="shared" si="10"/>
        <v>4048.4699947010149</v>
      </c>
      <c r="U14" s="2">
        <f t="shared" si="11"/>
        <v>1686.8375487724975</v>
      </c>
      <c r="Z14" s="2">
        <v>1E-4</v>
      </c>
      <c r="AA14" s="3">
        <f>IF('Modell einstellen'!$B$2="Ja",'creep_res-40'!P14,'creep_res-40'!L14)</f>
        <v>0.35744359594304564</v>
      </c>
      <c r="AB14" s="2">
        <f>IF('Modell einstellen'!$B$2="Ja",creep_res0!P14,creep_res0!L14)</f>
        <v>0.35703203680814971</v>
      </c>
      <c r="AC14" s="2">
        <f>IF('Modell einstellen'!$B$2="Ja",creep_res25!P14,creep_res25!L14)</f>
        <v>0.35678061105818432</v>
      </c>
      <c r="AD14" s="2">
        <f>IF('Modell einstellen'!$B$2="Ja",creep_res50!P14,creep_res50!L14)</f>
        <v>0.360442677619708</v>
      </c>
      <c r="AE14" s="2">
        <f>IF('Modell einstellen'!$B$2="Ja",creep_res80!P14,creep_res80!L14)</f>
        <v>0.39282460259940688</v>
      </c>
      <c r="AF14" s="2">
        <f>IF('Modell einstellen'!$B$2="Ja",creep_res125!P14,creep_res125!L14)</f>
        <v>0.65130806701716915</v>
      </c>
      <c r="AG14" s="2">
        <f>IF('Modell einstellen'!$B$2="Ja",creep_res160!P14,creep_res160!L14)</f>
        <v>0.82017781581141258</v>
      </c>
      <c r="AL14" s="2">
        <f t="shared" si="12"/>
        <v>1E-4</v>
      </c>
      <c r="AM14" s="2">
        <f t="shared" si="13"/>
        <v>5945.4908160988625</v>
      </c>
      <c r="AN14" s="2">
        <f t="shared" si="14"/>
        <v>5936.3452282042372</v>
      </c>
      <c r="AO14" s="2">
        <f t="shared" si="15"/>
        <v>5930.150894248286</v>
      </c>
      <c r="AP14" s="2">
        <f t="shared" si="16"/>
        <v>5788.7691117948852</v>
      </c>
      <c r="AQ14" s="2">
        <f t="shared" si="17"/>
        <v>4771.2929786824907</v>
      </c>
      <c r="AR14" s="2">
        <f t="shared" si="18"/>
        <v>1225.8372848665197</v>
      </c>
      <c r="AS14" s="2">
        <f t="shared" si="19"/>
        <v>463.37163713330017</v>
      </c>
      <c r="AX14" s="2">
        <f t="shared" si="28"/>
        <v>1E-4</v>
      </c>
      <c r="AY14" s="37">
        <f t="shared" si="20"/>
        <v>18871.286974539533</v>
      </c>
      <c r="AZ14" s="37">
        <f t="shared" si="21"/>
        <v>18782.321289271767</v>
      </c>
      <c r="BA14" s="37">
        <f t="shared" si="22"/>
        <v>18726.314021709637</v>
      </c>
      <c r="BB14" s="37">
        <f t="shared" si="23"/>
        <v>18810.164445336726</v>
      </c>
      <c r="BC14" s="37">
        <f t="shared" si="24"/>
        <v>20668.842564304166</v>
      </c>
      <c r="BD14" s="37">
        <f t="shared" si="25"/>
        <v>-4459.4119297041279</v>
      </c>
      <c r="BE14" s="37">
        <f t="shared" si="26"/>
        <v>-878.07330045525862</v>
      </c>
    </row>
    <row r="15" spans="1:308" x14ac:dyDescent="0.25">
      <c r="A15" s="2">
        <f>'creep_res-40'!A15</f>
        <v>1E-3</v>
      </c>
      <c r="B15" s="3">
        <f>'creep_res-40'!O15</f>
        <v>-6.195274285714286E-4</v>
      </c>
      <c r="C15" s="2">
        <f>IF('Modell einstellen'!$B$2="Ja",creep_res0!O15,creep_res0!C15)</f>
        <v>-6.2067228571428574E-4</v>
      </c>
      <c r="D15" s="2">
        <f>IF('Modell einstellen'!$B$2="Ja",creep_res25!O15,creep_res25!C15)</f>
        <v>-6.2164505714285717E-4</v>
      </c>
      <c r="E15" s="2">
        <f>IF('Modell einstellen'!$B$2="Ja",creep_res50!O15,creep_res50!C15)</f>
        <v>-6.4874699999999997E-4</v>
      </c>
      <c r="F15" s="2">
        <f>IF('Modell einstellen'!$B$2="Ja",creep_res80!O15,creep_res80!C15)</f>
        <v>-7.9162271428571431E-4</v>
      </c>
      <c r="G15" s="2">
        <f>IF('Modell einstellen'!$B$2="Ja",creep_res125!O15,creep_res125!C15)</f>
        <v>-3.9745942857142861E-3</v>
      </c>
      <c r="H15" s="2">
        <f>IF('Modell einstellen'!$B$2="Ja",creep_res160!O15,creep_res160!C15)</f>
        <v>-1.0308408000000002E-2</v>
      </c>
      <c r="M15" s="9">
        <f t="shared" si="27"/>
        <v>-10</v>
      </c>
      <c r="N15" s="2">
        <f t="shared" si="4"/>
        <v>1E-3</v>
      </c>
      <c r="O15" s="2">
        <f t="shared" si="5"/>
        <v>16141.335377287573</v>
      </c>
      <c r="P15" s="2">
        <f t="shared" si="6"/>
        <v>16111.561979107446</v>
      </c>
      <c r="Q15" s="2">
        <f t="shared" si="7"/>
        <v>16086.350056350484</v>
      </c>
      <c r="R15" s="2">
        <f t="shared" si="8"/>
        <v>15414.329468960936</v>
      </c>
      <c r="S15" s="2">
        <f t="shared" si="9"/>
        <v>12632.280276372638</v>
      </c>
      <c r="T15" s="2">
        <f t="shared" si="10"/>
        <v>2515.9800676870523</v>
      </c>
      <c r="U15" s="2">
        <f t="shared" si="11"/>
        <v>970.08189819417305</v>
      </c>
      <c r="Z15" s="2">
        <v>1E-3</v>
      </c>
      <c r="AA15" s="3">
        <f>IF('Modell einstellen'!$B$2="Ja",'creep_res-40'!P15,'creep_res-40'!L15)</f>
        <v>0.35744361831552712</v>
      </c>
      <c r="AB15" s="2">
        <f>IF('Modell einstellen'!$B$2="Ja",creep_res0!P15,creep_res0!L15)</f>
        <v>0.35703277966334201</v>
      </c>
      <c r="AC15" s="2">
        <f>IF('Modell einstellen'!$B$2="Ja",creep_res25!P15,creep_res25!L15)</f>
        <v>0.35684962990134428</v>
      </c>
      <c r="AD15" s="2">
        <f>IF('Modell einstellen'!$B$2="Ja",creep_res50!P15,creep_res50!L15)</f>
        <v>0.36464372970400755</v>
      </c>
      <c r="AE15" s="2">
        <f>IF('Modell einstellen'!$B$2="Ja",creep_res80!P15,creep_res80!L15)</f>
        <v>0.40288203669893974</v>
      </c>
      <c r="AF15" s="2">
        <f>IF('Modell einstellen'!$B$2="Ja",creep_res125!P15,creep_res125!L15)</f>
        <v>0.75163775925377463</v>
      </c>
      <c r="AG15" s="2">
        <f>IF('Modell einstellen'!$B$2="Ja",creep_res160!P15,creep_res160!L15)</f>
        <v>0.88752956393876303</v>
      </c>
      <c r="AL15" s="2">
        <f t="shared" si="12"/>
        <v>1E-3</v>
      </c>
      <c r="AM15" s="2">
        <f t="shared" si="13"/>
        <v>5945.4901697197583</v>
      </c>
      <c r="AN15" s="2">
        <f t="shared" si="14"/>
        <v>5936.3201171545998</v>
      </c>
      <c r="AO15" s="2">
        <f t="shared" si="15"/>
        <v>5927.8308007940832</v>
      </c>
      <c r="AP15" s="2">
        <f t="shared" si="16"/>
        <v>5647.748615055857</v>
      </c>
      <c r="AQ15" s="2">
        <f t="shared" si="17"/>
        <v>4502.260327638488</v>
      </c>
      <c r="AR15" s="2">
        <f t="shared" si="18"/>
        <v>718.17933085631228</v>
      </c>
      <c r="AS15" s="2">
        <f t="shared" si="19"/>
        <v>256.97131232473913</v>
      </c>
      <c r="AX15" s="2">
        <f t="shared" si="28"/>
        <v>1E-3</v>
      </c>
      <c r="AY15" s="37">
        <f t="shared" si="20"/>
        <v>18871.288195541223</v>
      </c>
      <c r="AZ15" s="37">
        <f t="shared" si="21"/>
        <v>18782.349712948275</v>
      </c>
      <c r="BA15" s="37">
        <f t="shared" si="22"/>
        <v>18728.965498848247</v>
      </c>
      <c r="BB15" s="37">
        <f t="shared" si="23"/>
        <v>18979.94755525967</v>
      </c>
      <c r="BC15" s="37">
        <f t="shared" si="24"/>
        <v>21678.58524313927</v>
      </c>
      <c r="BD15" s="37">
        <f t="shared" si="25"/>
        <v>-1666.4033749334276</v>
      </c>
      <c r="BE15" s="37">
        <f t="shared" si="26"/>
        <v>-417.20769564627085</v>
      </c>
    </row>
    <row r="16" spans="1:308" x14ac:dyDescent="0.25">
      <c r="A16" s="2">
        <f>'creep_res-40'!A16</f>
        <v>0.01</v>
      </c>
      <c r="B16" s="3">
        <f>'creep_res-40'!O16</f>
        <v>-6.1952805714285723E-4</v>
      </c>
      <c r="C16" s="2">
        <f>IF('Modell einstellen'!$B$2="Ja",creep_res0!O16,creep_res0!C16)</f>
        <v>-6.2069502857142864E-4</v>
      </c>
      <c r="D16" s="2">
        <f>IF('Modell einstellen'!$B$2="Ja",creep_res25!O16,creep_res25!C16)</f>
        <v>-6.2361234285714291E-4</v>
      </c>
      <c r="E16" s="2">
        <f>IF('Modell einstellen'!$B$2="Ja",creep_res50!O16,creep_res50!C16)</f>
        <v>-6.6470451428571429E-4</v>
      </c>
      <c r="F16" s="2">
        <f>IF('Modell einstellen'!$B$2="Ja",creep_res80!O16,creep_res80!C16)</f>
        <v>-8.3435134285714284E-4</v>
      </c>
      <c r="G16" s="2">
        <f>IF('Modell einstellen'!$B$2="Ja",creep_res125!O16,creep_res125!C16)</f>
        <v>-6.7902885714285714E-3</v>
      </c>
      <c r="H16" s="2">
        <f>IF('Modell einstellen'!$B$2="Ja",creep_res160!O16,creep_res160!C16)</f>
        <v>-1.5675806E-2</v>
      </c>
      <c r="M16" s="9">
        <f t="shared" si="27"/>
        <v>-10</v>
      </c>
      <c r="N16" s="2">
        <f t="shared" si="4"/>
        <v>0.01</v>
      </c>
      <c r="O16" s="2">
        <f t="shared" si="5"/>
        <v>16141.319000333984</v>
      </c>
      <c r="P16" s="2">
        <f t="shared" si="6"/>
        <v>16110.971636128088</v>
      </c>
      <c r="Q16" s="2">
        <f t="shared" si="7"/>
        <v>16035.603070625559</v>
      </c>
      <c r="R16" s="2">
        <f t="shared" si="8"/>
        <v>15044.278751056645</v>
      </c>
      <c r="S16" s="2">
        <f t="shared" si="9"/>
        <v>11985.35854902099</v>
      </c>
      <c r="T16" s="2">
        <f t="shared" si="10"/>
        <v>1472.6914614611371</v>
      </c>
      <c r="U16" s="2">
        <f t="shared" si="11"/>
        <v>637.92573090021654</v>
      </c>
      <c r="Z16" s="2">
        <v>0.01</v>
      </c>
      <c r="AA16" s="3">
        <f>IF('Modell einstellen'!$B$2="Ja",'creep_res-40'!P16,'creep_res-40'!L16)</f>
        <v>0.35744382290630256</v>
      </c>
      <c r="AB16" s="2">
        <f>IF('Modell einstellen'!$B$2="Ja",creep_res0!P16,creep_res0!L16)</f>
        <v>0.35704024603571133</v>
      </c>
      <c r="AC16" s="2">
        <f>IF('Modell einstellen'!$B$2="Ja",creep_res25!P16,creep_res25!L16)</f>
        <v>0.35748952920935495</v>
      </c>
      <c r="AD16" s="2">
        <f>IF('Modell einstellen'!$B$2="Ja",creep_res50!P16,creep_res50!L16)</f>
        <v>0.369384450009968</v>
      </c>
      <c r="AE16" s="2">
        <f>IF('Modell einstellen'!$B$2="Ja",creep_res80!P16,creep_res80!L16)</f>
        <v>0.41340367848460691</v>
      </c>
      <c r="AF16" s="2">
        <f>IF('Modell einstellen'!$B$2="Ja",creep_res125!P16,creep_res125!L16)</f>
        <v>0.82795252547651055</v>
      </c>
      <c r="AG16" s="2">
        <f>IF('Modell einstellen'!$B$2="Ja",creep_res160!P16,creep_res160!L16)</f>
        <v>0.90431380142658779</v>
      </c>
      <c r="AL16" s="2">
        <f t="shared" si="12"/>
        <v>0.01</v>
      </c>
      <c r="AM16" s="2">
        <f t="shared" si="13"/>
        <v>5945.4832413525728</v>
      </c>
      <c r="AN16" s="2">
        <f t="shared" si="14"/>
        <v>5936.0699445696901</v>
      </c>
      <c r="AO16" s="2">
        <f t="shared" si="15"/>
        <v>5906.3450308766669</v>
      </c>
      <c r="AP16" s="2">
        <f t="shared" si="16"/>
        <v>5493.0807600988655</v>
      </c>
      <c r="AQ16" s="2">
        <f t="shared" si="17"/>
        <v>4239.8922301770135</v>
      </c>
      <c r="AR16" s="2">
        <f t="shared" si="18"/>
        <v>402.8254128419544</v>
      </c>
      <c r="AS16" s="2">
        <f t="shared" si="19"/>
        <v>167.49490825050054</v>
      </c>
      <c r="AX16" s="2">
        <f t="shared" si="28"/>
        <v>0.01</v>
      </c>
      <c r="AY16" s="37">
        <f t="shared" si="20"/>
        <v>18871.296132056101</v>
      </c>
      <c r="AZ16" s="37">
        <f t="shared" si="21"/>
        <v>18782.642421344921</v>
      </c>
      <c r="BA16" s="37">
        <f t="shared" si="22"/>
        <v>18753.713302211381</v>
      </c>
      <c r="BB16" s="37">
        <f t="shared" si="23"/>
        <v>19196.640767765603</v>
      </c>
      <c r="BC16" s="37">
        <f t="shared" si="24"/>
        <v>23067.48974106348</v>
      </c>
      <c r="BD16" s="37">
        <f t="shared" si="25"/>
        <v>-748.42715894185017</v>
      </c>
      <c r="BE16" s="37">
        <f t="shared" si="26"/>
        <v>-262.96642552119516</v>
      </c>
    </row>
    <row r="17" spans="1:57" x14ac:dyDescent="0.25">
      <c r="A17" s="2">
        <f>'creep_res-40'!A17</f>
        <v>0.1</v>
      </c>
      <c r="B17" s="3">
        <f>'creep_res-40'!O17</f>
        <v>-6.1953428571428571E-4</v>
      </c>
      <c r="C17" s="2">
        <f>IF('Modell einstellen'!$B$2="Ja",creep_res0!O17,creep_res0!C17)</f>
        <v>-6.2092060000000005E-4</v>
      </c>
      <c r="D17" s="2">
        <f>IF('Modell einstellen'!$B$2="Ja",creep_res25!O17,creep_res25!C17)</f>
        <v>-6.3481440000000007E-4</v>
      </c>
      <c r="E17" s="2">
        <f>IF('Modell einstellen'!$B$2="Ja",creep_res50!O17,creep_res50!C17)</f>
        <v>-6.8470391428571435E-4</v>
      </c>
      <c r="F17" s="2">
        <f>IF('Modell einstellen'!$B$2="Ja",creep_res80!O17,creep_res80!C17)</f>
        <v>-8.8610754285714283E-4</v>
      </c>
      <c r="G17" s="2">
        <f>IF('Modell einstellen'!$B$2="Ja",creep_res125!O17,creep_res125!C17)</f>
        <v>-1.2002249428571428E-2</v>
      </c>
      <c r="H17" s="2">
        <f>IF('Modell einstellen'!$B$2="Ja",creep_res160!O17,creep_res160!C17)</f>
        <v>-1.8852515428571429E-2</v>
      </c>
      <c r="M17" s="9">
        <f t="shared" si="27"/>
        <v>-10</v>
      </c>
      <c r="N17" s="2">
        <f t="shared" si="4"/>
        <v>0.1</v>
      </c>
      <c r="O17" s="2">
        <f t="shared" si="5"/>
        <v>16141.156721408246</v>
      </c>
      <c r="P17" s="2">
        <f t="shared" si="6"/>
        <v>16105.118754314157</v>
      </c>
      <c r="Q17" s="2">
        <f t="shared" si="7"/>
        <v>15752.63573101051</v>
      </c>
      <c r="R17" s="2">
        <f t="shared" si="8"/>
        <v>14604.852975657423</v>
      </c>
      <c r="S17" s="2">
        <f t="shared" si="9"/>
        <v>11285.311902160602</v>
      </c>
      <c r="T17" s="2">
        <f t="shared" si="10"/>
        <v>833.17715229238104</v>
      </c>
      <c r="U17" s="2">
        <f t="shared" si="11"/>
        <v>530.43319539443348</v>
      </c>
      <c r="Z17" s="2">
        <v>0.1</v>
      </c>
      <c r="AA17" s="3">
        <f>IF('Modell einstellen'!$B$2="Ja",'creep_res-40'!P17,'creep_res-40'!L17)</f>
        <v>0.35744589253679038</v>
      </c>
      <c r="AB17" s="2">
        <f>IF('Modell einstellen'!$B$2="Ja",creep_res0!P17,creep_res0!L17)</f>
        <v>0.35711434648119955</v>
      </c>
      <c r="AC17" s="2">
        <f>IF('Modell einstellen'!$B$2="Ja",creep_res25!P17,creep_res25!L17)</f>
        <v>0.36094327502877782</v>
      </c>
      <c r="AD17" s="2">
        <f>IF('Modell einstellen'!$B$2="Ja",creep_res50!P17,creep_res50!L17)</f>
        <v>0.37517689502244495</v>
      </c>
      <c r="AE17" s="2">
        <f>IF('Modell einstellen'!$B$2="Ja",creep_res80!P17,creep_res80!L17)</f>
        <v>0.42545741948639326</v>
      </c>
      <c r="AF17" s="2">
        <f>IF('Modell einstellen'!$B$2="Ja",creep_res125!P17,creep_res125!L17)</f>
        <v>0.85829587229993787</v>
      </c>
      <c r="AG17" s="2">
        <f>IF('Modell einstellen'!$B$2="Ja",creep_res160!P17,creep_res160!L17)</f>
        <v>0.87030950807261731</v>
      </c>
      <c r="AL17" s="2">
        <f t="shared" si="12"/>
        <v>0.1</v>
      </c>
      <c r="AM17" s="2">
        <f t="shared" si="13"/>
        <v>5945.4144029430536</v>
      </c>
      <c r="AN17" s="2">
        <f t="shared" si="14"/>
        <v>5933.5894562136173</v>
      </c>
      <c r="AO17" s="2">
        <f t="shared" si="15"/>
        <v>5787.3961464989843</v>
      </c>
      <c r="AP17" s="2">
        <f t="shared" si="16"/>
        <v>5310.1724689095536</v>
      </c>
      <c r="AQ17" s="2">
        <f t="shared" si="17"/>
        <v>3958.4879028609685</v>
      </c>
      <c r="AR17" s="2">
        <f t="shared" si="18"/>
        <v>224.17774389747507</v>
      </c>
      <c r="AS17" s="2">
        <f t="shared" si="19"/>
        <v>141.80358734877336</v>
      </c>
      <c r="AX17" s="2">
        <f t="shared" si="28"/>
        <v>0.1</v>
      </c>
      <c r="AY17" s="37">
        <f t="shared" si="20"/>
        <v>18871.380381625688</v>
      </c>
      <c r="AZ17" s="37">
        <f t="shared" si="21"/>
        <v>18785.556092929808</v>
      </c>
      <c r="BA17" s="37">
        <f t="shared" si="22"/>
        <v>18880.347491608816</v>
      </c>
      <c r="BB17" s="37">
        <f t="shared" si="23"/>
        <v>19500.733963053262</v>
      </c>
      <c r="BC17" s="37">
        <f t="shared" si="24"/>
        <v>25232.361209757648</v>
      </c>
      <c r="BD17" s="37">
        <f t="shared" si="25"/>
        <v>-387.56477383906753</v>
      </c>
      <c r="BE17" s="37">
        <f t="shared" si="26"/>
        <v>-238.73416868465253</v>
      </c>
    </row>
    <row r="18" spans="1:57" x14ac:dyDescent="0.25">
      <c r="A18" s="2">
        <f>'creep_res-40'!A18</f>
        <v>1</v>
      </c>
      <c r="B18" s="3">
        <f>'creep_res-40'!O18</f>
        <v>-6.195964285714286E-4</v>
      </c>
      <c r="C18" s="2">
        <f>IF('Modell einstellen'!$B$2="Ja",creep_res0!O18,creep_res0!C18)</f>
        <v>-6.230076285714286E-4</v>
      </c>
      <c r="D18" s="2">
        <f>IF('Modell einstellen'!$B$2="Ja",creep_res25!O18,creep_res25!C18)</f>
        <v>-6.4871805714285724E-4</v>
      </c>
      <c r="E18" s="2">
        <f>IF('Modell einstellen'!$B$2="Ja",creep_res50!O18,creep_res50!C18)</f>
        <v>-7.0731608571428576E-4</v>
      </c>
      <c r="F18" s="2">
        <f>IF('Modell einstellen'!$B$2="Ja",creep_res80!O18,creep_res80!C18)</f>
        <v>-9.4997799999999998E-4</v>
      </c>
      <c r="G18" s="2">
        <f>IF('Modell einstellen'!$B$2="Ja",creep_res125!O18,creep_res125!C18)</f>
        <v>-1.7315724571428572E-2</v>
      </c>
      <c r="H18" s="2">
        <f>IF('Modell einstellen'!$B$2="Ja",creep_res160!O18,creep_res160!C18)</f>
        <v>-2.1389056571428575E-2</v>
      </c>
      <c r="M18" s="9">
        <f t="shared" si="27"/>
        <v>-10</v>
      </c>
      <c r="N18" s="2">
        <f t="shared" si="4"/>
        <v>1</v>
      </c>
      <c r="O18" s="2">
        <f t="shared" si="5"/>
        <v>16139.537832805916</v>
      </c>
      <c r="P18" s="2">
        <f t="shared" si="6"/>
        <v>16051.167821059013</v>
      </c>
      <c r="Q18" s="2">
        <f t="shared" si="7"/>
        <v>15415.017186422874</v>
      </c>
      <c r="R18" s="2">
        <f t="shared" si="8"/>
        <v>14137.950771897777</v>
      </c>
      <c r="S18" s="2">
        <f t="shared" si="9"/>
        <v>10526.559562431972</v>
      </c>
      <c r="T18" s="2">
        <f t="shared" si="10"/>
        <v>577.50976338005967</v>
      </c>
      <c r="U18" s="2">
        <f t="shared" si="11"/>
        <v>467.52880224544191</v>
      </c>
      <c r="Z18" s="2">
        <v>1</v>
      </c>
      <c r="AA18" s="3">
        <f>IF('Modell einstellen'!$B$2="Ja",'creep_res-40'!P18,'creep_res-40'!L18)</f>
        <v>0.357466581357681</v>
      </c>
      <c r="AB18" s="2">
        <f>IF('Modell einstellen'!$B$2="Ja",creep_res0!P18,creep_res0!L18)</f>
        <v>0.35779790268103578</v>
      </c>
      <c r="AC18" s="2">
        <f>IF('Modell einstellen'!$B$2="Ja",creep_res25!P18,creep_res25!L18)</f>
        <v>0.36518199497805165</v>
      </c>
      <c r="AD18" s="2">
        <f>IF('Modell einstellen'!$B$2="Ja",creep_res50!P18,creep_res50!L18)</f>
        <v>0.38149075642601166</v>
      </c>
      <c r="AE18" s="2">
        <f>IF('Modell einstellen'!$B$2="Ja",creep_res80!P18,creep_res80!L18)</f>
        <v>0.43814689843945259</v>
      </c>
      <c r="AF18" s="2">
        <f>IF('Modell einstellen'!$B$2="Ja",creep_res125!P18,creep_res125!L18)</f>
        <v>0.83539513119008801</v>
      </c>
      <c r="AG18" s="2">
        <f>IF('Modell einstellen'!$B$2="Ja",creep_res160!P18,creep_res160!L18)</f>
        <v>0.80944348871167726</v>
      </c>
      <c r="AL18" s="2">
        <f t="shared" si="12"/>
        <v>1</v>
      </c>
      <c r="AM18" s="2">
        <f t="shared" si="13"/>
        <v>5944.7274999078909</v>
      </c>
      <c r="AN18" s="2">
        <f t="shared" si="14"/>
        <v>5910.7352387881974</v>
      </c>
      <c r="AO18" s="2">
        <f t="shared" si="15"/>
        <v>5645.7736928586964</v>
      </c>
      <c r="AP18" s="2">
        <f t="shared" si="16"/>
        <v>5116.9183384452708</v>
      </c>
      <c r="AQ18" s="2">
        <f t="shared" si="17"/>
        <v>3659.7650677599231</v>
      </c>
      <c r="AR18" s="2">
        <f t="shared" si="18"/>
        <v>157.32573154577258</v>
      </c>
      <c r="AS18" s="2">
        <f t="shared" si="19"/>
        <v>129.19132461504012</v>
      </c>
      <c r="AX18" s="2">
        <f t="shared" si="28"/>
        <v>1</v>
      </c>
      <c r="AY18" s="37">
        <f t="shared" si="20"/>
        <v>18872.226582066036</v>
      </c>
      <c r="AZ18" s="37">
        <f t="shared" si="21"/>
        <v>18812.624337337409</v>
      </c>
      <c r="BA18" s="37">
        <f t="shared" si="22"/>
        <v>19056.575793806016</v>
      </c>
      <c r="BB18" s="37">
        <f t="shared" si="23"/>
        <v>19883.049267616963</v>
      </c>
      <c r="BC18" s="37">
        <f t="shared" si="24"/>
        <v>28364.407757649318</v>
      </c>
      <c r="BD18" s="37">
        <f t="shared" si="25"/>
        <v>-286.9797986884268</v>
      </c>
      <c r="BE18" s="37">
        <f t="shared" si="26"/>
        <v>-251.81162274676265</v>
      </c>
    </row>
    <row r="19" spans="1:57" x14ac:dyDescent="0.25">
      <c r="A19" s="2">
        <f>'creep_res-40'!A19</f>
        <v>10</v>
      </c>
      <c r="B19" s="3">
        <f>'creep_res-40'!O19</f>
        <v>-6.2020457142857152E-4</v>
      </c>
      <c r="C19" s="2">
        <f>IF('Modell einstellen'!$B$2="Ja",creep_res0!O19,creep_res0!C19)</f>
        <v>-6.3449151428571432E-4</v>
      </c>
      <c r="D19" s="2">
        <f>IF('Modell einstellen'!$B$2="Ja",creep_res25!O19,creep_res25!C19)</f>
        <v>-6.6495991428571432E-4</v>
      </c>
      <c r="E19" s="2">
        <f>IF('Modell einstellen'!$B$2="Ja",creep_res50!O19,creep_res50!C19)</f>
        <v>-7.3649559999999998E-4</v>
      </c>
      <c r="F19" s="2">
        <f>IF('Modell einstellen'!$B$2="Ja",creep_res80!O19,creep_res80!C19)</f>
        <v>-1.0555970285714286E-3</v>
      </c>
      <c r="G19" s="2">
        <f>IF('Modell einstellen'!$B$2="Ja",creep_res125!O19,creep_res125!C19)</f>
        <v>-2.0362101428571429E-2</v>
      </c>
      <c r="H19" s="2">
        <f>IF('Modell einstellen'!$B$2="Ja",creep_res160!O19,creep_res160!C19)</f>
        <v>-2.2954753142857144E-2</v>
      </c>
      <c r="M19" s="9">
        <f t="shared" si="27"/>
        <v>-10</v>
      </c>
      <c r="N19" s="2">
        <f t="shared" si="4"/>
        <v>10</v>
      </c>
      <c r="O19" s="2">
        <f t="shared" si="5"/>
        <v>16123.712176074619</v>
      </c>
      <c r="P19" s="2">
        <f t="shared" si="6"/>
        <v>15760.652073113393</v>
      </c>
      <c r="Q19" s="2">
        <f t="shared" si="7"/>
        <v>15038.50049478815</v>
      </c>
      <c r="R19" s="2">
        <f t="shared" si="8"/>
        <v>13577.813635274942</v>
      </c>
      <c r="S19" s="2">
        <f t="shared" si="9"/>
        <v>9473.3120019609214</v>
      </c>
      <c r="T19" s="2">
        <f t="shared" si="10"/>
        <v>491.10844649699709</v>
      </c>
      <c r="U19" s="2">
        <f t="shared" si="11"/>
        <v>435.63962277292933</v>
      </c>
      <c r="Z19" s="2">
        <v>10</v>
      </c>
      <c r="AA19" s="3">
        <f>IF('Modell einstellen'!$B$2="Ja",'creep_res-40'!P19,'creep_res-40'!L19)</f>
        <v>0.35766899493070486</v>
      </c>
      <c r="AB19" s="2">
        <f>IF('Modell einstellen'!$B$2="Ja",creep_res0!P19,creep_res0!L19)</f>
        <v>0.36135174249544172</v>
      </c>
      <c r="AC19" s="2">
        <f>IF('Modell einstellen'!$B$2="Ja",creep_res25!P19,creep_res25!L19)</f>
        <v>0.36993114128426302</v>
      </c>
      <c r="AD19" s="2">
        <f>IF('Modell einstellen'!$B$2="Ja",creep_res50!P19,creep_res50!L19)</f>
        <v>0.38860641432985388</v>
      </c>
      <c r="AE19" s="2">
        <f>IF('Modell einstellen'!$B$2="Ja",creep_res80!P19,creep_res80!L19)</f>
        <v>0.44934920511874987</v>
      </c>
      <c r="AF19" s="2">
        <f>IF('Modell einstellen'!$B$2="Ja",creep_res125!P19,creep_res125!L19)</f>
        <v>0.77327908409116641</v>
      </c>
      <c r="AG19" s="2">
        <f>IF('Modell einstellen'!$B$2="Ja",creep_res160!P19,creep_res160!L19)</f>
        <v>0.73622722843234112</v>
      </c>
      <c r="AL19" s="2">
        <f t="shared" si="12"/>
        <v>10</v>
      </c>
      <c r="AM19" s="2">
        <f t="shared" si="13"/>
        <v>5938.0129605513939</v>
      </c>
      <c r="AN19" s="2">
        <f t="shared" si="14"/>
        <v>5788.6039225333288</v>
      </c>
      <c r="AO19" s="2">
        <f t="shared" si="15"/>
        <v>5488.7797063617654</v>
      </c>
      <c r="AP19" s="2">
        <f t="shared" si="16"/>
        <v>4889.0072432178858</v>
      </c>
      <c r="AQ19" s="2">
        <f t="shared" si="17"/>
        <v>3268.126124643903</v>
      </c>
      <c r="AR19" s="2">
        <f t="shared" si="18"/>
        <v>138.47466281617423</v>
      </c>
      <c r="AS19" s="2">
        <f t="shared" si="19"/>
        <v>125.45582042457461</v>
      </c>
      <c r="AX19" s="2">
        <f t="shared" si="28"/>
        <v>10</v>
      </c>
      <c r="AY19" s="37">
        <f t="shared" si="20"/>
        <v>18880.533875038498</v>
      </c>
      <c r="AZ19" s="37">
        <f t="shared" si="21"/>
        <v>18945.60662208495</v>
      </c>
      <c r="BA19" s="37">
        <f t="shared" si="22"/>
        <v>19269.921900438017</v>
      </c>
      <c r="BB19" s="37">
        <f t="shared" si="23"/>
        <v>20315.074028710202</v>
      </c>
      <c r="BC19" s="37">
        <f t="shared" si="24"/>
        <v>31171.975432208354</v>
      </c>
      <c r="BD19" s="37">
        <f t="shared" si="25"/>
        <v>-299.5158155689432</v>
      </c>
      <c r="BE19" s="37">
        <f t="shared" si="26"/>
        <v>-307.3591654836851</v>
      </c>
    </row>
    <row r="20" spans="1:57" x14ac:dyDescent="0.25">
      <c r="A20" s="2">
        <f>'creep_res-40'!A20</f>
        <v>100</v>
      </c>
      <c r="B20" s="3">
        <f>'creep_res-40'!O20</f>
        <v>-6.2514277142857149E-4</v>
      </c>
      <c r="C20" s="2">
        <f>IF('Modell einstellen'!$B$2="Ja",creep_res0!O20,creep_res0!C20)</f>
        <v>-6.4859785714285723E-4</v>
      </c>
      <c r="D20" s="2">
        <f>IF('Modell einstellen'!$B$2="Ja",creep_res25!O20,creep_res25!C20)</f>
        <v>-6.8659568571428572E-4</v>
      </c>
      <c r="E20" s="2">
        <f>IF('Modell einstellen'!$B$2="Ja",creep_res50!O20,creep_res50!C20)</f>
        <v>-7.7964925714285723E-4</v>
      </c>
      <c r="F20" s="2">
        <f>IF('Modell einstellen'!$B$2="Ja",creep_res80!O20,creep_res80!C20)</f>
        <v>-1.240269E-3</v>
      </c>
      <c r="G20" s="2">
        <f>IF('Modell einstellen'!$B$2="Ja",creep_res125!O20,creep_res125!C20)</f>
        <v>-2.3023530571428572E-2</v>
      </c>
      <c r="H20" s="2">
        <f>IF('Modell einstellen'!$B$2="Ja",creep_res160!O20,creep_res160!C20)</f>
        <v>-2.3821136E-2</v>
      </c>
      <c r="M20" s="9">
        <f t="shared" si="27"/>
        <v>-10</v>
      </c>
      <c r="N20" s="2">
        <f t="shared" si="4"/>
        <v>100</v>
      </c>
      <c r="O20" s="2">
        <f t="shared" si="5"/>
        <v>15996.345886153456</v>
      </c>
      <c r="P20" s="2">
        <f t="shared" si="6"/>
        <v>15417.873941260101</v>
      </c>
      <c r="Q20" s="2">
        <f t="shared" si="7"/>
        <v>14564.612344740712</v>
      </c>
      <c r="R20" s="2">
        <f t="shared" si="8"/>
        <v>12826.28041825694</v>
      </c>
      <c r="S20" s="2">
        <f t="shared" si="9"/>
        <v>8062.7670287655337</v>
      </c>
      <c r="T20" s="2">
        <f t="shared" si="10"/>
        <v>434.33825098960557</v>
      </c>
      <c r="U20" s="2">
        <f t="shared" si="11"/>
        <v>419.79526081375803</v>
      </c>
      <c r="Z20" s="2">
        <v>100</v>
      </c>
      <c r="AA20" s="3">
        <f>IF('Modell einstellen'!$B$2="Ja",'creep_res-40'!P20,'creep_res-40'!L20)</f>
        <v>0.35930143866107478</v>
      </c>
      <c r="AB20" s="2">
        <f>IF('Modell einstellen'!$B$2="Ja",creep_res0!P20,creep_res0!L20)</f>
        <v>0.36554998970306268</v>
      </c>
      <c r="AC20" s="2">
        <f>IF('Modell einstellen'!$B$2="Ja",creep_res25!P20,creep_res25!L20)</f>
        <v>0.37514383282921049</v>
      </c>
      <c r="AD20" s="2">
        <f>IF('Modell einstellen'!$B$2="Ja",creep_res50!P20,creep_res50!L20)</f>
        <v>0.39442131560697397</v>
      </c>
      <c r="AE20" s="2">
        <f>IF('Modell einstellen'!$B$2="Ja",creep_res80!P20,creep_res80!L20)</f>
        <v>0.45591671760607699</v>
      </c>
      <c r="AF20" s="2">
        <f>IF('Modell einstellen'!$B$2="Ja",creep_res125!P20,creep_res125!L20)</f>
        <v>0.71104722091958672</v>
      </c>
      <c r="AG20" s="2">
        <f>IF('Modell einstellen'!$B$2="Ja",creep_res160!P20,creep_res160!L20)</f>
        <v>0.67412498115719</v>
      </c>
      <c r="AL20" s="2">
        <f t="shared" si="12"/>
        <v>100</v>
      </c>
      <c r="AM20" s="2">
        <f t="shared" si="13"/>
        <v>5884.0318384088569</v>
      </c>
      <c r="AN20" s="2">
        <f t="shared" si="14"/>
        <v>5645.2982525424422</v>
      </c>
      <c r="AO20" s="2">
        <f t="shared" si="15"/>
        <v>5295.6687137139643</v>
      </c>
      <c r="AP20" s="2">
        <f t="shared" si="16"/>
        <v>4599.1409750767552</v>
      </c>
      <c r="AQ20" s="2">
        <f t="shared" si="17"/>
        <v>2768.9657420868534</v>
      </c>
      <c r="AR20" s="2">
        <f t="shared" si="18"/>
        <v>126.92176045152465</v>
      </c>
      <c r="AS20" s="2">
        <f t="shared" si="19"/>
        <v>125.37751528072498</v>
      </c>
      <c r="AX20" s="2">
        <f t="shared" si="28"/>
        <v>100</v>
      </c>
      <c r="AY20" s="37">
        <f t="shared" si="20"/>
        <v>18948.720031827786</v>
      </c>
      <c r="AZ20" s="37">
        <f t="shared" si="21"/>
        <v>19112.275642088352</v>
      </c>
      <c r="BA20" s="37">
        <f t="shared" si="22"/>
        <v>19441.854141411004</v>
      </c>
      <c r="BB20" s="37">
        <f t="shared" si="23"/>
        <v>20247.585157293637</v>
      </c>
      <c r="BC20" s="37">
        <f t="shared" si="24"/>
        <v>30483.086372431768</v>
      </c>
      <c r="BD20" s="37">
        <f t="shared" si="25"/>
        <v>-343.00242468413995</v>
      </c>
      <c r="BE20" s="37">
        <f t="shared" si="26"/>
        <v>-401.8141241843515</v>
      </c>
    </row>
    <row r="21" spans="1:57" x14ac:dyDescent="0.25">
      <c r="A21" s="2">
        <f>'creep_res-40'!A21</f>
        <v>1000</v>
      </c>
      <c r="B21" s="3">
        <f>'creep_res-40'!O21</f>
        <v>-6.3898228571428574E-4</v>
      </c>
      <c r="C21" s="2">
        <f>IF('Modell einstellen'!$B$2="Ja",creep_res0!O21,creep_res0!C21)</f>
        <v>-6.665313428571429E-4</v>
      </c>
      <c r="D21" s="2">
        <f>IF('Modell einstellen'!$B$2="Ja",creep_res25!O21,creep_res25!C21)</f>
        <v>-7.1666468571428569E-4</v>
      </c>
      <c r="E21" s="2">
        <f>IF('Modell einstellen'!$B$2="Ja",creep_res50!O21,creep_res50!C21)</f>
        <v>-8.3844428571428571E-4</v>
      </c>
      <c r="F21" s="2">
        <f>IF('Modell einstellen'!$B$2="Ja",creep_res80!O21,creep_res80!C21)</f>
        <v>-1.5493837142857142E-3</v>
      </c>
      <c r="G21" s="2">
        <f>IF('Modell einstellen'!$B$2="Ja",creep_res125!O21,creep_res125!C21)</f>
        <v>-2.4109917714285715E-2</v>
      </c>
      <c r="H21" s="2">
        <f>IF('Modell einstellen'!$B$2="Ja",creep_res160!O21,creep_res160!C21)</f>
        <v>-2.4494131714285713E-2</v>
      </c>
      <c r="M21" s="9">
        <f t="shared" si="27"/>
        <v>-10</v>
      </c>
      <c r="N21" s="2">
        <f t="shared" si="4"/>
        <v>1000</v>
      </c>
      <c r="O21" s="2">
        <f t="shared" si="5"/>
        <v>15649.886113543052</v>
      </c>
      <c r="P21" s="2">
        <f t="shared" si="6"/>
        <v>15003.045403887769</v>
      </c>
      <c r="Q21" s="2">
        <f t="shared" si="7"/>
        <v>13953.526941310351</v>
      </c>
      <c r="R21" s="2">
        <f t="shared" si="8"/>
        <v>11926.850919475015</v>
      </c>
      <c r="S21" s="2">
        <f t="shared" si="9"/>
        <v>6454.1791086336079</v>
      </c>
      <c r="T21" s="2">
        <f t="shared" si="10"/>
        <v>414.76707297407143</v>
      </c>
      <c r="U21" s="2">
        <f t="shared" si="11"/>
        <v>408.26105275524833</v>
      </c>
      <c r="Z21" s="2">
        <v>1000</v>
      </c>
      <c r="AA21" s="3">
        <f>IF('Modell einstellen'!$B$2="Ja",'creep_res-40'!P21,'creep_res-40'!L21)</f>
        <v>0.36357164383720897</v>
      </c>
      <c r="AB21" s="2">
        <f>IF('Modell einstellen'!$B$2="Ja",creep_res0!P21,creep_res0!L21)</f>
        <v>0.36963665238848264</v>
      </c>
      <c r="AC21" s="2">
        <f>IF('Modell einstellen'!$B$2="Ja",creep_res25!P21,creep_res25!L21)</f>
        <v>0.37808400055112451</v>
      </c>
      <c r="AD21" s="2">
        <f>IF('Modell einstellen'!$B$2="Ja",creep_res50!P21,creep_res50!L21)</f>
        <v>0.39580464499728235</v>
      </c>
      <c r="AE21" s="2">
        <f>IF('Modell einstellen'!$B$2="Ja",creep_res80!P21,creep_res80!L21)</f>
        <v>0.46379991085856631</v>
      </c>
      <c r="AF21" s="2">
        <f>IF('Modell einstellen'!$B$2="Ja",creep_res125!P21,creep_res125!L21)</f>
        <v>0.65482618462927267</v>
      </c>
      <c r="AG21" s="2">
        <f>IF('Modell einstellen'!$B$2="Ja",creep_res160!P21,creep_res160!L21)</f>
        <v>0.6296231350387238</v>
      </c>
      <c r="AL21" s="2">
        <f t="shared" si="12"/>
        <v>1000</v>
      </c>
      <c r="AM21" s="2">
        <f t="shared" si="13"/>
        <v>5738.5639340162998</v>
      </c>
      <c r="AN21" s="2">
        <f t="shared" si="14"/>
        <v>5477.0166152184411</v>
      </c>
      <c r="AO21" s="2">
        <f t="shared" si="15"/>
        <v>5062.6547205141496</v>
      </c>
      <c r="AP21" s="2">
        <f t="shared" si="16"/>
        <v>4272.3926167684576</v>
      </c>
      <c r="AQ21" s="2">
        <f t="shared" si="17"/>
        <v>2204.5974524100161</v>
      </c>
      <c r="AR21" s="2">
        <f t="shared" si="18"/>
        <v>125.32043450442224</v>
      </c>
      <c r="AS21" s="2">
        <f t="shared" si="19"/>
        <v>125.26241312398497</v>
      </c>
      <c r="AX21" s="2">
        <f t="shared" si="28"/>
        <v>1000</v>
      </c>
      <c r="AY21" s="37">
        <f t="shared" si="20"/>
        <v>19118.564685664354</v>
      </c>
      <c r="AZ21" s="37">
        <f t="shared" si="21"/>
        <v>19181.062876400953</v>
      </c>
      <c r="BA21" s="37">
        <f t="shared" si="22"/>
        <v>19075.329194401118</v>
      </c>
      <c r="BB21" s="37">
        <f t="shared" si="23"/>
        <v>19077.707317445413</v>
      </c>
      <c r="BC21" s="37">
        <f t="shared" si="24"/>
        <v>29715.300255279948</v>
      </c>
      <c r="BD21" s="37">
        <f t="shared" si="25"/>
        <v>-446.48678556022952</v>
      </c>
      <c r="BE21" s="37">
        <f t="shared" si="26"/>
        <v>-524.93336758298562</v>
      </c>
    </row>
    <row r="22" spans="1:57" x14ac:dyDescent="0.25">
      <c r="A22" s="2">
        <f>'creep_res-40'!A22</f>
        <v>10000</v>
      </c>
      <c r="B22" s="3">
        <f>'creep_res-40'!O22</f>
        <v>-6.5406977142857148E-4</v>
      </c>
      <c r="C22" s="2">
        <f>IF('Modell einstellen'!$B$2="Ja",creep_res0!O22,creep_res0!C22)</f>
        <v>-6.9502094285714292E-4</v>
      </c>
      <c r="D22" s="2">
        <f>IF('Modell einstellen'!$B$2="Ja",creep_res25!O22,creep_res25!C22)</f>
        <v>-7.6131068571428577E-4</v>
      </c>
      <c r="E22" s="2">
        <f>IF('Modell einstellen'!$B$2="Ja",creep_res50!O22,creep_res50!C22)</f>
        <v>-9.0886000000000005E-4</v>
      </c>
      <c r="F22" s="2">
        <f>IF('Modell einstellen'!$B$2="Ja",creep_res80!O22,creep_res80!C22)</f>
        <v>-2.1293292000000002E-3</v>
      </c>
      <c r="G22" s="2">
        <f>IF('Modell einstellen'!$B$2="Ja",creep_res125!O22,creep_res125!C22)</f>
        <v>-2.4720074000000002E-2</v>
      </c>
      <c r="H22" s="2">
        <f>IF('Modell einstellen'!$B$2="Ja",creep_res160!O22,creep_res160!C22)</f>
        <v>-2.4967701714285716E-2</v>
      </c>
      <c r="M22" s="9">
        <f t="shared" si="27"/>
        <v>-10</v>
      </c>
      <c r="N22" s="2">
        <f t="shared" si="4"/>
        <v>10000</v>
      </c>
      <c r="O22" s="2">
        <f t="shared" si="5"/>
        <v>15288.888795699469</v>
      </c>
      <c r="P22" s="2">
        <f t="shared" si="6"/>
        <v>14388.05564461305</v>
      </c>
      <c r="Q22" s="2">
        <f t="shared" si="7"/>
        <v>13135.241876472131</v>
      </c>
      <c r="R22" s="2">
        <f t="shared" si="8"/>
        <v>11002.794709856304</v>
      </c>
      <c r="S22" s="2">
        <f t="shared" si="9"/>
        <v>4696.31468915187</v>
      </c>
      <c r="T22" s="2">
        <f t="shared" si="10"/>
        <v>404.5295333662836</v>
      </c>
      <c r="U22" s="2">
        <f t="shared" si="11"/>
        <v>400.51744106980908</v>
      </c>
      <c r="Z22" s="2">
        <v>10000</v>
      </c>
      <c r="AA22" s="3">
        <f>IF('Modell einstellen'!$B$2="Ja",'creep_res-40'!P22,'creep_res-40'!L22)</f>
        <v>0.36794344176999549</v>
      </c>
      <c r="AB22" s="2">
        <f>IF('Modell einstellen'!$B$2="Ja",creep_res0!P22,creep_res0!L22)</f>
        <v>0.37213145848472479</v>
      </c>
      <c r="AC22" s="2">
        <f>IF('Modell einstellen'!$B$2="Ja",creep_res25!P22,creep_res25!L22)</f>
        <v>0.37910447223461313</v>
      </c>
      <c r="AD22" s="2">
        <f>IF('Modell einstellen'!$B$2="Ja",creep_res50!P22,creep_res50!L22)</f>
        <v>0.39588737539334995</v>
      </c>
      <c r="AE22" s="2">
        <f>IF('Modell einstellen'!$B$2="Ja",creep_res80!P22,creep_res80!L22)</f>
        <v>0.48012932899243571</v>
      </c>
      <c r="AF22" s="2">
        <f>IF('Modell einstellen'!$B$2="Ja",creep_res125!P22,creep_res125!L22)</f>
        <v>0.61566548246232133</v>
      </c>
      <c r="AG22" s="2">
        <f>IF('Modell einstellen'!$B$2="Ja",creep_res160!P22,creep_res160!L22)</f>
        <v>0.60031664222289649</v>
      </c>
      <c r="AL22" s="2">
        <f t="shared" si="12"/>
        <v>10000</v>
      </c>
      <c r="AM22" s="2">
        <f t="shared" si="13"/>
        <v>5588.2751906456833</v>
      </c>
      <c r="AN22" s="2">
        <f t="shared" si="14"/>
        <v>5242.9581566849647</v>
      </c>
      <c r="AO22" s="2">
        <f t="shared" si="15"/>
        <v>4762.2359802766141</v>
      </c>
      <c r="AP22" s="2">
        <f t="shared" si="16"/>
        <v>3941.1470093551798</v>
      </c>
      <c r="AQ22" s="2">
        <f t="shared" si="17"/>
        <v>1586.454168957242</v>
      </c>
      <c r="AR22" s="2">
        <f t="shared" si="18"/>
        <v>125.18975547765271</v>
      </c>
      <c r="AS22" s="2">
        <f t="shared" si="19"/>
        <v>125.1369355609138</v>
      </c>
      <c r="AX22" s="2">
        <f t="shared" si="28"/>
        <v>10000</v>
      </c>
      <c r="AY22" s="37">
        <f t="shared" si="20"/>
        <v>19295.884784293998</v>
      </c>
      <c r="AZ22" s="37">
        <f t="shared" si="21"/>
        <v>18753.707875957185</v>
      </c>
      <c r="BA22" s="37">
        <f t="shared" si="22"/>
        <v>18108.254456363815</v>
      </c>
      <c r="BB22" s="37">
        <f t="shared" si="23"/>
        <v>17613.609542912749</v>
      </c>
      <c r="BC22" s="37">
        <f t="shared" si="24"/>
        <v>39390.673549005092</v>
      </c>
      <c r="BD22" s="37">
        <f t="shared" si="25"/>
        <v>-582.90154901090352</v>
      </c>
      <c r="BE22" s="37">
        <f t="shared" si="26"/>
        <v>-665.42206124331733</v>
      </c>
    </row>
    <row r="23" spans="1:57" x14ac:dyDescent="0.25">
      <c r="A23" s="2">
        <f>'creep_res-40'!A23</f>
        <v>100000</v>
      </c>
      <c r="B23" s="3">
        <f>'creep_res-40'!O23</f>
        <v>-6.7496257142857143E-4</v>
      </c>
      <c r="C23" s="2">
        <f>IF('Modell einstellen'!$B$2="Ja",creep_res0!O23,creep_res0!C23)</f>
        <v>-7.3337408571428567E-4</v>
      </c>
      <c r="D23" s="2">
        <f>IF('Modell einstellen'!$B$2="Ja",creep_res25!O23,creep_res25!C23)</f>
        <v>-8.1763514285714293E-4</v>
      </c>
      <c r="E23" s="2">
        <f>IF('Modell einstellen'!$B$2="Ja",creep_res50!O23,creep_res50!C23)</f>
        <v>-9.9127794285714288E-4</v>
      </c>
      <c r="F23" s="2">
        <f>IF('Modell einstellen'!$B$2="Ja",creep_res80!O23,creep_res80!C23)</f>
        <v>-3.3221765714285716E-3</v>
      </c>
      <c r="G23" s="2">
        <f>IF('Modell einstellen'!$B$2="Ja",creep_res125!O23,creep_res125!C23)</f>
        <v>-2.5134670571428576E-2</v>
      </c>
      <c r="H23" s="2">
        <f>IF('Modell einstellen'!$B$2="Ja",creep_res160!O23,creep_res160!C23)</f>
        <v>-2.5325042857142856E-2</v>
      </c>
      <c r="M23" s="9">
        <f t="shared" si="27"/>
        <v>-10</v>
      </c>
      <c r="N23" s="2">
        <f t="shared" si="4"/>
        <v>100000</v>
      </c>
      <c r="O23" s="2">
        <f t="shared" si="5"/>
        <v>14815.636337930273</v>
      </c>
      <c r="P23" s="2">
        <f t="shared" si="6"/>
        <v>13635.605886265101</v>
      </c>
      <c r="Q23" s="2">
        <f t="shared" si="7"/>
        <v>12230.394066791228</v>
      </c>
      <c r="R23" s="2">
        <f t="shared" si="8"/>
        <v>10087.98800786102</v>
      </c>
      <c r="S23" s="2">
        <f t="shared" si="9"/>
        <v>3010.0748063790879</v>
      </c>
      <c r="T23" s="2">
        <f t="shared" si="10"/>
        <v>397.85681581072066</v>
      </c>
      <c r="U23" s="2">
        <f t="shared" si="11"/>
        <v>394.86606425147778</v>
      </c>
      <c r="Z23" s="2">
        <v>100000</v>
      </c>
      <c r="AA23" s="3">
        <f>IF('Modell einstellen'!$B$2="Ja",'creep_res-40'!P23,'creep_res-40'!L23)</f>
        <v>0.37194682117823258</v>
      </c>
      <c r="AB23" s="2">
        <f>IF('Modell einstellen'!$B$2="Ja",creep_res0!P23,creep_res0!L23)</f>
        <v>0.37257781090320979</v>
      </c>
      <c r="AC23" s="2">
        <f>IF('Modell einstellen'!$B$2="Ja",creep_res25!P23,creep_res25!L23)</f>
        <v>0.38073580147344799</v>
      </c>
      <c r="AD23" s="2">
        <f>IF('Modell einstellen'!$B$2="Ja",creep_res50!P23,creep_res50!L23)</f>
        <v>0.39781098730619824</v>
      </c>
      <c r="AE23" s="2">
        <f>IF('Modell einstellen'!$B$2="Ja",creep_res80!P23,creep_res80!L23)</f>
        <v>0.50500234011815659</v>
      </c>
      <c r="AF23" s="2">
        <f>IF('Modell einstellen'!$B$2="Ja",creep_res125!P23,creep_res125!L23)</f>
        <v>0.59071669096984492</v>
      </c>
      <c r="AG23" s="2">
        <f>IF('Modell einstellen'!$B$2="Ja",creep_res160!P23,creep_res160!L23)</f>
        <v>0.57973483051502384</v>
      </c>
      <c r="AL23" s="2">
        <f t="shared" si="12"/>
        <v>100000</v>
      </c>
      <c r="AM23" s="2">
        <f t="shared" si="13"/>
        <v>5399.4936644871386</v>
      </c>
      <c r="AN23" s="2">
        <f t="shared" si="14"/>
        <v>4967.1522364522052</v>
      </c>
      <c r="AO23" s="2">
        <f t="shared" si="15"/>
        <v>4428.9407335348296</v>
      </c>
      <c r="AP23" s="2">
        <f t="shared" si="16"/>
        <v>3608.495032401398</v>
      </c>
      <c r="AQ23" s="2">
        <f t="shared" si="17"/>
        <v>1000.0232976856266</v>
      </c>
      <c r="AR23" s="2">
        <f t="shared" si="18"/>
        <v>125.05583743141311</v>
      </c>
      <c r="AS23" s="2">
        <f t="shared" si="19"/>
        <v>124.97859027478171</v>
      </c>
      <c r="AX23" s="2">
        <f t="shared" si="28"/>
        <v>100000</v>
      </c>
      <c r="AY23" s="37">
        <f t="shared" si="20"/>
        <v>19283.18176642276</v>
      </c>
      <c r="AZ23" s="37">
        <f t="shared" si="21"/>
        <v>17835.205917847718</v>
      </c>
      <c r="BA23" s="37">
        <f t="shared" si="22"/>
        <v>17091.457757778491</v>
      </c>
      <c r="BB23" s="37">
        <f t="shared" si="23"/>
        <v>16453.151765752249</v>
      </c>
      <c r="BC23" s="37">
        <f t="shared" si="24"/>
        <v>-100288.88930914762</v>
      </c>
      <c r="BD23" s="37">
        <f t="shared" si="25"/>
        <v>-730.95114683833287</v>
      </c>
      <c r="BE23" s="37">
        <f t="shared" si="26"/>
        <v>-825.37343195555366</v>
      </c>
    </row>
    <row r="24" spans="1:57" x14ac:dyDescent="0.25">
      <c r="A24" s="2">
        <f>'creep_res-40'!A24</f>
        <v>1000000</v>
      </c>
      <c r="B24" s="3">
        <f>'creep_res-40'!O24</f>
        <v>-7.0784651428571431E-4</v>
      </c>
      <c r="C24" s="2">
        <f>IF('Modell einstellen'!$B$2="Ja",creep_res0!O24,creep_res0!C24)</f>
        <v>-7.8033254285714293E-4</v>
      </c>
      <c r="D24" s="2">
        <f>IF('Modell einstellen'!$B$2="Ja",creep_res25!O24,creep_res25!C24)</f>
        <v>-8.7882385714285716E-4</v>
      </c>
      <c r="E24" s="2">
        <f>IF('Modell einstellen'!$B$2="Ja",creep_res50!O24,creep_res50!C24)</f>
        <v>-1.0927976285714286E-3</v>
      </c>
      <c r="F24" s="2">
        <f>IF('Modell einstellen'!$B$2="Ja",creep_res80!O24,creep_res80!C24)</f>
        <v>-5.6721531428571429E-3</v>
      </c>
      <c r="G24" s="2">
        <f>IF('Modell einstellen'!$B$2="Ja",creep_res125!O24,creep_res125!C24)</f>
        <v>-2.5445166000000005E-2</v>
      </c>
      <c r="H24" s="2">
        <f>IF('Modell einstellen'!$B$2="Ja",creep_res160!O24,creep_res160!C24)</f>
        <v>-2.5585562571428574E-2</v>
      </c>
      <c r="M24" s="9">
        <f t="shared" si="27"/>
        <v>-10</v>
      </c>
      <c r="N24" s="2">
        <f t="shared" si="4"/>
        <v>1000000</v>
      </c>
      <c r="O24" s="2">
        <f t="shared" si="5"/>
        <v>14127.356422869396</v>
      </c>
      <c r="P24" s="2">
        <f t="shared" si="6"/>
        <v>12815.049290890231</v>
      </c>
      <c r="Q24" s="2">
        <f t="shared" si="7"/>
        <v>11378.84448484476</v>
      </c>
      <c r="R24" s="2">
        <f t="shared" si="8"/>
        <v>9150.8251285945844</v>
      </c>
      <c r="S24" s="2">
        <f t="shared" si="9"/>
        <v>1762.9989438125185</v>
      </c>
      <c r="T24" s="2">
        <f t="shared" si="10"/>
        <v>393.00195565633163</v>
      </c>
      <c r="U24" s="2">
        <f t="shared" si="11"/>
        <v>390.84542198681265</v>
      </c>
      <c r="Z24" s="2">
        <v>1000000</v>
      </c>
      <c r="AA24" s="3">
        <f>IF('Modell einstellen'!$B$2="Ja",'creep_res-40'!P24,'creep_res-40'!L24)</f>
        <v>0.37376306921742675</v>
      </c>
      <c r="AB24" s="2">
        <f>IF('Modell einstellen'!$B$2="Ja",creep_res0!P24,creep_res0!L24)</f>
        <v>0.37407685419392078</v>
      </c>
      <c r="AC24" s="2">
        <f>IF('Modell einstellen'!$B$2="Ja",creep_res25!P24,creep_res25!L24)</f>
        <v>0.38370988368057507</v>
      </c>
      <c r="AD24" s="2">
        <f>IF('Modell einstellen'!$B$2="Ja",creep_res50!P24,creep_res50!L24)</f>
        <v>0.40240544341277462</v>
      </c>
      <c r="AE24" s="2">
        <f>IF('Modell einstellen'!$B$2="Ja",creep_res80!P24,creep_res80!L24)</f>
        <v>0.53036347598110389</v>
      </c>
      <c r="AF24" s="2">
        <f>IF('Modell einstellen'!$B$2="Ja",creep_res125!P24,creep_res125!L24)</f>
        <v>0.57336498189310858</v>
      </c>
      <c r="AG24" s="2">
        <f>IF('Modell einstellen'!$B$2="Ja",creep_res160!P24,creep_res160!L24)</f>
        <v>0.56594718613016004</v>
      </c>
      <c r="AL24" s="2">
        <f t="shared" si="12"/>
        <v>1000000</v>
      </c>
      <c r="AM24" s="2">
        <f t="shared" si="13"/>
        <v>5141.8460502498219</v>
      </c>
      <c r="AN24" s="2">
        <f t="shared" si="14"/>
        <v>4663.1486629646943</v>
      </c>
      <c r="AO24" s="2">
        <f t="shared" si="15"/>
        <v>4111.7161259908762</v>
      </c>
      <c r="AP24" s="2">
        <f t="shared" si="16"/>
        <v>3262.5462100054015</v>
      </c>
      <c r="AQ24" s="2">
        <f t="shared" si="17"/>
        <v>576.00660610456418</v>
      </c>
      <c r="AR24" s="2">
        <f t="shared" si="18"/>
        <v>124.89217701523481</v>
      </c>
      <c r="AS24" s="2">
        <f t="shared" si="19"/>
        <v>124.79521194858673</v>
      </c>
      <c r="AX24" s="2">
        <f t="shared" si="28"/>
        <v>1000000</v>
      </c>
      <c r="AY24" s="37">
        <f t="shared" si="20"/>
        <v>18651.906294101758</v>
      </c>
      <c r="AZ24" s="37">
        <f t="shared" si="21"/>
        <v>16961.469115224347</v>
      </c>
      <c r="BA24" s="37">
        <f t="shared" si="22"/>
        <v>16308.12781714172</v>
      </c>
      <c r="BB24" s="37">
        <f t="shared" si="23"/>
        <v>15627.280606263477</v>
      </c>
      <c r="BC24" s="37">
        <f t="shared" si="24"/>
        <v>-9677.1910266448958</v>
      </c>
      <c r="BD24" s="37">
        <f t="shared" si="25"/>
        <v>-892.80095561332928</v>
      </c>
      <c r="BE24" s="37">
        <f t="shared" si="26"/>
        <v>-987.77381548774645</v>
      </c>
    </row>
    <row r="25" spans="1:57" x14ac:dyDescent="0.25">
      <c r="A25" s="2">
        <f>'creep_res-40'!A25</f>
        <v>10000000</v>
      </c>
      <c r="B25" s="3">
        <f>'creep_res-40'!O25</f>
        <v>-7.4948245714285731E-4</v>
      </c>
      <c r="C25" s="2">
        <f>IF('Modell einstellen'!$B$2="Ja",creep_res0!O25,creep_res0!C25)</f>
        <v>-8.349933714285714E-4</v>
      </c>
      <c r="D25" s="2">
        <f>IF('Modell einstellen'!$B$2="Ja",creep_res25!O25,creep_res25!C25)</f>
        <v>-9.4455039999999997E-4</v>
      </c>
      <c r="E25" s="2">
        <f>IF('Modell einstellen'!$B$2="Ja",creep_res50!O25,creep_res50!C25)</f>
        <v>-1.2470880857142859E-3</v>
      </c>
      <c r="F25" s="2">
        <f>IF('Modell einstellen'!$B$2="Ja",creep_res80!O25,creep_res80!C25)</f>
        <v>-1.0032045714285715E-2</v>
      </c>
      <c r="G25" s="2">
        <f>IF('Modell einstellen'!$B$2="Ja",creep_res125!O25,creep_res125!C25)</f>
        <v>-2.5669595428571428E-2</v>
      </c>
      <c r="H25" s="2">
        <f>IF('Modell einstellen'!$B$2="Ja",creep_res160!O25,creep_res160!C25)</f>
        <v>-2.5768378857142858E-2</v>
      </c>
      <c r="M25" s="9">
        <f t="shared" si="27"/>
        <v>-10</v>
      </c>
      <c r="N25" s="2">
        <f t="shared" si="4"/>
        <v>10000000</v>
      </c>
      <c r="O25" s="2">
        <f t="shared" si="5"/>
        <v>13342.540448673799</v>
      </c>
      <c r="P25" s="2">
        <f t="shared" si="6"/>
        <v>11976.142975711562</v>
      </c>
      <c r="Q25" s="2">
        <f t="shared" si="7"/>
        <v>10587.047551935821</v>
      </c>
      <c r="R25" s="2">
        <f t="shared" si="8"/>
        <v>8018.6797665317845</v>
      </c>
      <c r="S25" s="2">
        <f t="shared" si="9"/>
        <v>996.80566504595549</v>
      </c>
      <c r="T25" s="2">
        <f t="shared" si="10"/>
        <v>389.56593717365507</v>
      </c>
      <c r="U25" s="2">
        <f t="shared" si="11"/>
        <v>388.07253088907657</v>
      </c>
      <c r="Z25" s="2">
        <v>10000000</v>
      </c>
      <c r="AA25" s="3">
        <f>IF('Modell einstellen'!$B$2="Ja",'creep_res-40'!P25,'creep_res-40'!L25)</f>
        <v>0.37400417568145877</v>
      </c>
      <c r="AB25" s="2">
        <f>IF('Modell einstellen'!$B$2="Ja",creep_res0!P25,creep_res0!L25)</f>
        <v>0.37775170704520222</v>
      </c>
      <c r="AC25" s="2">
        <f>IF('Modell einstellen'!$B$2="Ja",creep_res25!P25,creep_res25!L25)</f>
        <v>0.38783664391318573</v>
      </c>
      <c r="AD25" s="2">
        <f>IF('Modell einstellen'!$B$2="Ja",creep_res50!P25,creep_res50!L25)</f>
        <v>0.41108623258437255</v>
      </c>
      <c r="AE25" s="2">
        <f>IF('Modell einstellen'!$B$2="Ja",creep_res80!P25,creep_res80!L25)</f>
        <v>0.54879634291937607</v>
      </c>
      <c r="AF25" s="2">
        <f>IF('Modell einstellen'!$B$2="Ja",creep_res125!P25,creep_res125!L25)</f>
        <v>0.56191044204113683</v>
      </c>
      <c r="AG25" s="2">
        <f>IF('Modell einstellen'!$B$2="Ja",creep_res160!P25,creep_res160!L25)</f>
        <v>0.55726511361222497</v>
      </c>
      <c r="AL25" s="2">
        <f t="shared" si="12"/>
        <v>10000000</v>
      </c>
      <c r="AM25" s="2">
        <f t="shared" si="13"/>
        <v>4855.3493085479013</v>
      </c>
      <c r="AN25" s="2">
        <f t="shared" si="14"/>
        <v>4346.263159926043</v>
      </c>
      <c r="AO25" s="2">
        <f t="shared" si="15"/>
        <v>3814.2268394370481</v>
      </c>
      <c r="AP25" s="2">
        <f t="shared" si="16"/>
        <v>2841.314577864513</v>
      </c>
      <c r="AQ25" s="2">
        <f t="shared" si="17"/>
        <v>321.80010935687142</v>
      </c>
      <c r="AR25" s="2">
        <f t="shared" si="18"/>
        <v>124.70815441395035</v>
      </c>
      <c r="AS25" s="2">
        <f t="shared" si="19"/>
        <v>124.60066288549459</v>
      </c>
      <c r="AX25" s="2">
        <f t="shared" si="28"/>
        <v>10000000</v>
      </c>
      <c r="AY25" s="37">
        <f t="shared" si="20"/>
        <v>17649.447935858225</v>
      </c>
      <c r="AZ25" s="37">
        <f t="shared" si="21"/>
        <v>16327.621278305334</v>
      </c>
      <c r="BA25" s="37">
        <f t="shared" si="22"/>
        <v>15731.589949545645</v>
      </c>
      <c r="BB25" s="37">
        <f t="shared" si="23"/>
        <v>15030.817685500569</v>
      </c>
      <c r="BC25" s="37">
        <f t="shared" si="24"/>
        <v>-3404.6460773127037</v>
      </c>
      <c r="BD25" s="37">
        <f t="shared" si="25"/>
        <v>-1048.7351415205135</v>
      </c>
      <c r="BE25" s="37">
        <f t="shared" si="26"/>
        <v>-1129.4617450016162</v>
      </c>
    </row>
    <row r="26" spans="1:57" x14ac:dyDescent="0.25">
      <c r="A26" s="2">
        <f>'creep_res-40'!A26</f>
        <v>100000000</v>
      </c>
      <c r="B26" s="3">
        <f>'creep_res-40'!O26</f>
        <v>-8.0181628571428579E-4</v>
      </c>
      <c r="C26" s="2">
        <f>IF('Modell einstellen'!$B$2="Ja",creep_res0!O26,creep_res0!C26)</f>
        <v>-8.9258854285714285E-4</v>
      </c>
      <c r="D26" s="2">
        <f>IF('Modell einstellen'!$B$2="Ja",creep_res25!O26,creep_res25!C26)</f>
        <v>-1.0202113142857142E-3</v>
      </c>
      <c r="E26" s="2">
        <f>IF('Modell einstellen'!$B$2="Ja",creep_res50!O26,creep_res50!C26)</f>
        <v>-1.4947720285714288E-3</v>
      </c>
      <c r="F26" s="2">
        <f>IF('Modell einstellen'!$B$2="Ja",creep_res80!O26,creep_res80!C26)</f>
        <v>-1.7054402857142856E-2</v>
      </c>
      <c r="G26" s="2">
        <f>IF('Modell einstellen'!$B$2="Ja",creep_res125!O26,creep_res125!C26)</f>
        <v>-2.5825078857142861E-2</v>
      </c>
      <c r="H26" s="2">
        <f>IF('Modell einstellen'!$B$2="Ja",creep_res160!O26,creep_res160!C26)</f>
        <v>-2.5890898857142859E-2</v>
      </c>
      <c r="M26" s="9">
        <f t="shared" si="27"/>
        <v>-10</v>
      </c>
      <c r="N26" s="2">
        <f t="shared" si="4"/>
        <v>100000000</v>
      </c>
      <c r="O26" s="2">
        <f t="shared" si="5"/>
        <v>12471.684821282537</v>
      </c>
      <c r="P26" s="2">
        <f t="shared" si="6"/>
        <v>11203.370332303808</v>
      </c>
      <c r="Q26" s="2">
        <f t="shared" si="7"/>
        <v>9801.8909023777596</v>
      </c>
      <c r="R26" s="2">
        <f t="shared" si="8"/>
        <v>6689.9833612468101</v>
      </c>
      <c r="S26" s="2">
        <f t="shared" si="9"/>
        <v>586.35884725871381</v>
      </c>
      <c r="T26" s="2">
        <f t="shared" si="10"/>
        <v>387.22050202894684</v>
      </c>
      <c r="U26" s="2">
        <f t="shared" si="11"/>
        <v>386.23610772173595</v>
      </c>
      <c r="Z26" s="2">
        <v>100000000</v>
      </c>
      <c r="AA26" s="3">
        <f>IF('Modell einstellen'!$B$2="Ja",'creep_res-40'!P26,'creep_res-40'!L26)</f>
        <v>0.3763864326598505</v>
      </c>
      <c r="AB26" s="2">
        <f>IF('Modell einstellen'!$B$2="Ja",creep_res0!P26,creep_res0!L26)</f>
        <v>0.38220333099246911</v>
      </c>
      <c r="AC26" s="2">
        <f>IF('Modell einstellen'!$B$2="Ja",creep_res25!P26,creep_res25!L26)</f>
        <v>0.39319257556613768</v>
      </c>
      <c r="AD26" s="2">
        <f>IF('Modell einstellen'!$B$2="Ja",creep_res50!P26,creep_res50!L26)</f>
        <v>0.42315822989997837</v>
      </c>
      <c r="AE26" s="2">
        <f>IF('Modell einstellen'!$B$2="Ja",creep_res80!P26,creep_res80!L26)</f>
        <v>0.56031345738787863</v>
      </c>
      <c r="AF26" s="2">
        <f>IF('Modell einstellen'!$B$2="Ja",creep_res125!P26,creep_res125!L26)</f>
        <v>0.55490427156875721</v>
      </c>
      <c r="AG26" s="2">
        <f>IF('Modell einstellen'!$B$2="Ja",creep_res160!P26,creep_res160!L26)</f>
        <v>0.55235524240365719</v>
      </c>
      <c r="AL26" s="2">
        <f t="shared" si="12"/>
        <v>100000000</v>
      </c>
      <c r="AM26" s="2">
        <f t="shared" si="13"/>
        <v>4530.5898566513597</v>
      </c>
      <c r="AN26" s="2">
        <f t="shared" si="14"/>
        <v>4052.7215067045913</v>
      </c>
      <c r="AO26" s="2">
        <f t="shared" si="15"/>
        <v>3517.7803393025779</v>
      </c>
      <c r="AP26" s="2">
        <f t="shared" si="16"/>
        <v>2350.4004054830193</v>
      </c>
      <c r="AQ26" s="2">
        <f t="shared" si="17"/>
        <v>187.89777287454069</v>
      </c>
      <c r="AR26" s="2">
        <f t="shared" si="18"/>
        <v>124.51586541667818</v>
      </c>
      <c r="AS26" s="2">
        <f t="shared" si="19"/>
        <v>124.40326066206676</v>
      </c>
      <c r="AX26" s="2">
        <f t="shared" si="28"/>
        <v>100000000</v>
      </c>
      <c r="AY26" s="37">
        <f t="shared" si="20"/>
        <v>16815.420682429347</v>
      </c>
      <c r="AZ26" s="37">
        <f t="shared" si="21"/>
        <v>15851.283439924156</v>
      </c>
      <c r="BA26" s="37">
        <f t="shared" si="22"/>
        <v>15295.270833360655</v>
      </c>
      <c r="BB26" s="37">
        <f t="shared" si="23"/>
        <v>14510.301173738246</v>
      </c>
      <c r="BC26" s="37">
        <f t="shared" si="24"/>
        <v>-1620.30960876004</v>
      </c>
      <c r="BD26" s="37">
        <f t="shared" si="25"/>
        <v>-1175.441336241712</v>
      </c>
      <c r="BE26" s="37">
        <f t="shared" si="26"/>
        <v>-1229.5365595670069</v>
      </c>
    </row>
    <row r="27" spans="1:57" x14ac:dyDescent="0.25">
      <c r="A27" s="2">
        <f>'creep_res-40'!A27</f>
        <v>1000000000</v>
      </c>
      <c r="B27" s="3">
        <f>'creep_res-40'!O27</f>
        <v>-8.5946594285714285E-4</v>
      </c>
      <c r="C27" s="2">
        <f>IF('Modell einstellen'!$B$2="Ja",creep_res0!O27,creep_res0!C27)</f>
        <v>-9.5556454285714292E-4</v>
      </c>
      <c r="D27" s="2">
        <f>IF('Modell einstellen'!$B$2="Ja",creep_res25!O27,creep_res25!C27)</f>
        <v>-1.1177940285714287E-3</v>
      </c>
      <c r="E27" s="2">
        <f>IF('Modell einstellen'!$B$2="Ja",creep_res50!O27,creep_res50!C27)</f>
        <v>-1.9359241142857142E-3</v>
      </c>
      <c r="F27" s="2">
        <f>IF('Modell einstellen'!$B$2="Ja",creep_res80!O27,creep_res80!C27)</f>
        <v>-2.1908498571428573E-2</v>
      </c>
      <c r="G27" s="2">
        <f>IF('Modell einstellen'!$B$2="Ja",creep_res125!O27,creep_res125!C27)</f>
        <v>-2.5863216285714287E-2</v>
      </c>
      <c r="H27" s="2">
        <f>IF('Modell einstellen'!$B$2="Ja",creep_res160!O27,creep_res160!C27)</f>
        <v>-2.5892521714285716E-2</v>
      </c>
      <c r="M27" s="9">
        <f t="shared" si="27"/>
        <v>-10</v>
      </c>
      <c r="N27" s="2">
        <f t="shared" si="4"/>
        <v>1000000000</v>
      </c>
      <c r="O27" s="2">
        <f t="shared" si="5"/>
        <v>11635.132355281892</v>
      </c>
      <c r="P27" s="2">
        <f t="shared" si="6"/>
        <v>10465.017852273953</v>
      </c>
      <c r="Q27" s="2">
        <f t="shared" si="7"/>
        <v>8946.1920035306266</v>
      </c>
      <c r="R27" s="2">
        <f t="shared" si="8"/>
        <v>5165.4917288375409</v>
      </c>
      <c r="S27" s="2">
        <f t="shared" si="9"/>
        <v>456.44387575884605</v>
      </c>
      <c r="T27" s="2">
        <f t="shared" si="10"/>
        <v>386.64951371587779</v>
      </c>
      <c r="U27" s="2">
        <f t="shared" si="11"/>
        <v>386.21189972712028</v>
      </c>
      <c r="Z27" s="2">
        <v>1000000000</v>
      </c>
      <c r="AA27" s="3">
        <f>IF('Modell einstellen'!$B$2="Ja",'creep_res-40'!P27,'creep_res-40'!L27)</f>
        <v>0.38014321052794647</v>
      </c>
      <c r="AB27" s="2">
        <f>IF('Modell einstellen'!$B$2="Ja",creep_res0!P27,creep_res0!L27)</f>
        <v>0.38738156253420752</v>
      </c>
      <c r="AC27" s="2">
        <f>IF('Modell einstellen'!$B$2="Ja",creep_res25!P27,creep_res25!L27)</f>
        <v>0.39992425387033348</v>
      </c>
      <c r="AD27" s="2">
        <f>IF('Modell einstellen'!$B$2="Ja",creep_res50!P27,creep_res50!L27)</f>
        <v>0.43943319265879138</v>
      </c>
      <c r="AE27" s="2">
        <f>IF('Modell einstellen'!$B$2="Ja",creep_res80!P27,creep_res80!L27)</f>
        <v>0.55969784458725058</v>
      </c>
      <c r="AF27" s="2">
        <f>IF('Modell einstellen'!$B$2="Ja",creep_res125!P27,creep_res125!L27)</f>
        <v>0.55335672150465165</v>
      </c>
      <c r="AG27" s="2">
        <f>IF('Modell einstellen'!$B$2="Ja",creep_res160!P27,creep_res160!L27)</f>
        <v>0.55231146387485341</v>
      </c>
      <c r="AL27" s="2">
        <f t="shared" si="12"/>
        <v>1000000000</v>
      </c>
      <c r="AM27" s="2">
        <f t="shared" si="13"/>
        <v>4215.1902304511941</v>
      </c>
      <c r="AN27" s="2">
        <f t="shared" si="14"/>
        <v>3771.4995408899726</v>
      </c>
      <c r="AO27" s="2">
        <f t="shared" si="15"/>
        <v>3195.2414492417452</v>
      </c>
      <c r="AP27" s="2">
        <f t="shared" si="16"/>
        <v>1794.2797745605371</v>
      </c>
      <c r="AQ27" s="2">
        <f t="shared" si="17"/>
        <v>146.32445551645827</v>
      </c>
      <c r="AR27" s="2">
        <f t="shared" si="18"/>
        <v>124.45612407089325</v>
      </c>
      <c r="AS27" s="2">
        <f t="shared" si="19"/>
        <v>124.39897169961779</v>
      </c>
      <c r="AX27" s="2">
        <f t="shared" si="28"/>
        <v>1000000000</v>
      </c>
      <c r="AY27" s="37">
        <f t="shared" si="20"/>
        <v>16179.214664618288</v>
      </c>
      <c r="AZ27" s="37">
        <f t="shared" si="21"/>
        <v>15487.425338994295</v>
      </c>
      <c r="BA27" s="37">
        <f t="shared" si="22"/>
        <v>14899.034563844589</v>
      </c>
      <c r="BB27" s="37">
        <f t="shared" si="23"/>
        <v>14214.308561611075</v>
      </c>
      <c r="BC27" s="37">
        <f t="shared" si="24"/>
        <v>-1274.3170179612785</v>
      </c>
      <c r="BD27" s="37">
        <f t="shared" si="25"/>
        <v>-1207.7500978708922</v>
      </c>
      <c r="BE27" s="37">
        <f t="shared" si="26"/>
        <v>-1230.488408974971</v>
      </c>
    </row>
    <row r="28" spans="1:57" x14ac:dyDescent="0.25">
      <c r="A28" s="2">
        <f>'creep_res-40'!A28</f>
        <v>10000000000</v>
      </c>
      <c r="B28" s="3">
        <f>'creep_res-40'!O28</f>
        <v>-9.1906580000000011E-4</v>
      </c>
      <c r="C28" s="2">
        <f>IF('Modell einstellen'!$B$2="Ja",creep_res0!O28,creep_res0!C28)</f>
        <v>-1.0291650285714285E-3</v>
      </c>
      <c r="D28" s="2">
        <f>IF('Modell einstellen'!$B$2="Ja",creep_res25!O28,creep_res25!C28)</f>
        <v>-1.2711824857142859E-3</v>
      </c>
      <c r="E28" s="2">
        <f>IF('Modell einstellen'!$B$2="Ja",creep_res50!O28,creep_res50!C28)</f>
        <v>-2.8654377142857141E-3</v>
      </c>
      <c r="F28" s="2">
        <f>IF('Modell einstellen'!$B$2="Ja",creep_res80!O28,creep_res80!C28)</f>
        <v>-2.4215067428571428E-2</v>
      </c>
      <c r="G28" s="2">
        <f>IF('Modell einstellen'!$B$2="Ja",creep_res125!O28,creep_res125!C28)</f>
        <v>-2.5912107428571432E-2</v>
      </c>
      <c r="H28" s="2">
        <f>IF('Modell einstellen'!$B$2="Ja",creep_res160!O28,creep_res160!C28)</f>
        <v>-2.5934564857142857E-2</v>
      </c>
      <c r="M28" s="9">
        <f t="shared" si="27"/>
        <v>-10</v>
      </c>
      <c r="N28" s="2">
        <f t="shared" si="4"/>
        <v>10000000000</v>
      </c>
      <c r="O28" s="2">
        <f t="shared" si="5"/>
        <v>10880.613771070579</v>
      </c>
      <c r="P28" s="2">
        <f t="shared" si="6"/>
        <v>9716.6146559418939</v>
      </c>
      <c r="Q28" s="2">
        <f t="shared" si="7"/>
        <v>7866.6911418158297</v>
      </c>
      <c r="R28" s="2">
        <f t="shared" si="8"/>
        <v>3489.8682145993753</v>
      </c>
      <c r="S28" s="2">
        <f t="shared" si="9"/>
        <v>412.96601917370549</v>
      </c>
      <c r="T28" s="2">
        <f t="shared" si="10"/>
        <v>385.91998074898817</v>
      </c>
      <c r="U28" s="2">
        <f t="shared" si="11"/>
        <v>385.58580238703394</v>
      </c>
      <c r="Z28" s="2">
        <v>10000000000</v>
      </c>
      <c r="AA28" s="3">
        <f>IF('Modell einstellen'!$B$2="Ja",'creep_res-40'!P28,'creep_res-40'!L28)</f>
        <v>0.38462562434904785</v>
      </c>
      <c r="AB28" s="2">
        <f>IF('Modell einstellen'!$B$2="Ja",creep_res0!P28,creep_res0!L28)</f>
        <v>0.39314569458470305</v>
      </c>
      <c r="AC28" s="2">
        <f>IF('Modell einstellen'!$B$2="Ja",creep_res25!P28,creep_res25!L28)</f>
        <v>0.4090862800029138</v>
      </c>
      <c r="AD28" s="2">
        <f>IF('Modell einstellen'!$B$2="Ja",creep_res50!P28,creep_res50!L28)</f>
        <v>0.46294720168407089</v>
      </c>
      <c r="AE28" s="2">
        <f>IF('Modell einstellen'!$B$2="Ja",creep_res80!P28,creep_res80!L28)</f>
        <v>0.55630004676191225</v>
      </c>
      <c r="AF28" s="2">
        <f>IF('Modell einstellen'!$B$2="Ja",creep_res125!P28,creep_res125!L28)</f>
        <v>0.55157263715309424</v>
      </c>
      <c r="AG28" s="2">
        <f>IF('Modell einstellen'!$B$2="Ja",creep_res160!P28,creep_res160!L28)</f>
        <v>0.55094821773263492</v>
      </c>
      <c r="AL28" s="2">
        <f t="shared" si="12"/>
        <v>10000000000</v>
      </c>
      <c r="AM28" s="2">
        <f t="shared" si="13"/>
        <v>3929.081471457625</v>
      </c>
      <c r="AN28" s="2">
        <f t="shared" si="14"/>
        <v>3487.2930712528305</v>
      </c>
      <c r="AO28" s="2">
        <f t="shared" si="15"/>
        <v>2791.4157044377589</v>
      </c>
      <c r="AP28" s="2">
        <f t="shared" si="16"/>
        <v>1192.7526197056241</v>
      </c>
      <c r="AQ28" s="2">
        <f t="shared" si="17"/>
        <v>132.67557886184474</v>
      </c>
      <c r="AR28" s="2">
        <f t="shared" si="18"/>
        <v>124.36413594438419</v>
      </c>
      <c r="AS28" s="2">
        <f t="shared" si="19"/>
        <v>124.30647199515475</v>
      </c>
      <c r="AX28" s="2">
        <f t="shared" si="28"/>
        <v>10000000000</v>
      </c>
      <c r="AY28" s="37">
        <f t="shared" si="20"/>
        <v>15717.836983127349</v>
      </c>
      <c r="AZ28" s="37">
        <f t="shared" si="21"/>
        <v>15155.550070689824</v>
      </c>
      <c r="BA28" s="37">
        <f t="shared" si="22"/>
        <v>14421.532749343662</v>
      </c>
      <c r="BB28" s="37">
        <f t="shared" si="23"/>
        <v>15697.726726976471</v>
      </c>
      <c r="BC28" s="37">
        <f t="shared" si="24"/>
        <v>-1222.5153231817048</v>
      </c>
      <c r="BD28" s="37">
        <f t="shared" si="25"/>
        <v>-1247.1729262275853</v>
      </c>
      <c r="BE28" s="37">
        <f t="shared" si="26"/>
        <v>-1261.3650341035277</v>
      </c>
    </row>
    <row r="29" spans="1:57" x14ac:dyDescent="0.25">
      <c r="A29" s="2">
        <f>'creep_res-40'!A29</f>
        <v>100000000000</v>
      </c>
      <c r="B29" s="3">
        <f>'creep_res-40'!O29</f>
        <v>-9.8779891428571421E-4</v>
      </c>
      <c r="C29" s="2">
        <f>IF('Modell einstellen'!$B$2="Ja",creep_res0!O29,creep_res0!C29)</f>
        <v>-1.1262674571428572E-3</v>
      </c>
      <c r="D29" s="2">
        <f>IF('Modell einstellen'!$B$2="Ja",creep_res25!O29,creep_res25!C29)</f>
        <v>-1.5219878857142858E-3</v>
      </c>
      <c r="E29" s="2">
        <f>IF('Modell einstellen'!$B$2="Ja",creep_res50!O29,creep_res50!C29)</f>
        <v>-4.7087302857142859E-3</v>
      </c>
      <c r="F29" s="2">
        <f>IF('Modell einstellen'!$B$2="Ja",creep_res80!O29,creep_res80!C29)</f>
        <v>-2.5915531714285719E-2</v>
      </c>
      <c r="G29" s="2">
        <f>IF('Modell einstellen'!$B$2="Ja",creep_res125!O29,creep_res125!C29)</f>
        <v>-2.5958522285714283E-2</v>
      </c>
      <c r="H29" s="2">
        <f>IF('Modell einstellen'!$B$2="Ja",creep_res160!O29,creep_res160!C29)</f>
        <v>-2.5979272000000001E-2</v>
      </c>
      <c r="M29" s="9">
        <f t="shared" si="27"/>
        <v>-10</v>
      </c>
      <c r="N29" s="2">
        <f t="shared" si="4"/>
        <v>100000000000</v>
      </c>
      <c r="O29" s="2">
        <f t="shared" si="5"/>
        <v>10123.51790974693</v>
      </c>
      <c r="P29" s="2">
        <f t="shared" si="6"/>
        <v>8878.8856825964267</v>
      </c>
      <c r="Q29" s="2">
        <f t="shared" si="7"/>
        <v>6570.354530323275</v>
      </c>
      <c r="R29" s="2">
        <f t="shared" si="8"/>
        <v>2123.7147581671393</v>
      </c>
      <c r="S29" s="2">
        <f t="shared" si="9"/>
        <v>385.86898815151778</v>
      </c>
      <c r="T29" s="2">
        <f t="shared" si="10"/>
        <v>385.22994066974627</v>
      </c>
      <c r="U29" s="2">
        <f t="shared" si="11"/>
        <v>384.92225648201378</v>
      </c>
      <c r="Z29" s="2">
        <v>100000000000</v>
      </c>
      <c r="AA29" s="3">
        <f>IF('Modell einstellen'!$B$2="Ja",'creep_res-40'!P29,'creep_res-40'!L29)</f>
        <v>0.39011878704520608</v>
      </c>
      <c r="AB29" s="2">
        <f>IF('Modell einstellen'!$B$2="Ja",creep_res0!P29,creep_res0!L29)</f>
        <v>0.39988352424079121</v>
      </c>
      <c r="AC29" s="2">
        <f>IF('Modell einstellen'!$B$2="Ja",creep_res25!P29,creep_res25!L29)</f>
        <v>0.42081371175171361</v>
      </c>
      <c r="AD29" s="2">
        <f>IF('Modell einstellen'!$B$2="Ja",creep_res50!P29,creep_res50!L29)</f>
        <v>0.49019631983289891</v>
      </c>
      <c r="AE29" s="2">
        <f>IF('Modell einstellen'!$B$2="Ja",creep_res80!P29,creep_res80!L29)</f>
        <v>0.55476144085288237</v>
      </c>
      <c r="AF29" s="2">
        <f>IF('Modell einstellen'!$B$2="Ja",creep_res125!P29,creep_res125!L29)</f>
        <v>0.55022634570394002</v>
      </c>
      <c r="AG29" s="2">
        <f>IF('Modell einstellen'!$B$2="Ja",creep_res160!P29,creep_res160!L29)</f>
        <v>0.54983551062224867</v>
      </c>
      <c r="AL29" s="2">
        <f t="shared" si="12"/>
        <v>100000000000</v>
      </c>
      <c r="AM29" s="2">
        <f t="shared" si="13"/>
        <v>3641.242030569621</v>
      </c>
      <c r="AN29" s="2">
        <f t="shared" si="14"/>
        <v>3171.2944430186703</v>
      </c>
      <c r="AO29" s="2">
        <f t="shared" si="15"/>
        <v>2312.1801528163464</v>
      </c>
      <c r="AP29" s="2">
        <f t="shared" si="16"/>
        <v>712.56207316539314</v>
      </c>
      <c r="AQ29" s="2">
        <f t="shared" si="17"/>
        <v>124.09266721325585</v>
      </c>
      <c r="AR29" s="2">
        <f t="shared" si="18"/>
        <v>124.24957869452857</v>
      </c>
      <c r="AS29" s="2">
        <f t="shared" si="19"/>
        <v>124.18164826003697</v>
      </c>
      <c r="AX29" s="2">
        <f t="shared" si="28"/>
        <v>100000000000</v>
      </c>
      <c r="AY29" s="37">
        <f t="shared" si="20"/>
        <v>15355.245356200901</v>
      </c>
      <c r="AZ29" s="37">
        <f t="shared" si="21"/>
        <v>14780.926607842799</v>
      </c>
      <c r="BA29" s="37">
        <f t="shared" si="22"/>
        <v>13828.897813137615</v>
      </c>
      <c r="BB29" s="37">
        <f t="shared" si="23"/>
        <v>36104.039877015442</v>
      </c>
      <c r="BC29" s="37">
        <f t="shared" si="24"/>
        <v>-1174.3938257217701</v>
      </c>
      <c r="BD29" s="37">
        <f t="shared" si="25"/>
        <v>-1278.3129891647243</v>
      </c>
      <c r="BE29" s="37">
        <f t="shared" si="26"/>
        <v>-1287.3091619337808</v>
      </c>
    </row>
    <row r="30" spans="1:57" x14ac:dyDescent="0.25">
      <c r="A30" s="2">
        <f>'creep_res-40'!A30</f>
        <v>1000000000000</v>
      </c>
      <c r="B30" s="3">
        <f>'creep_res-40'!O30</f>
        <v>-1.0683100285714287E-3</v>
      </c>
      <c r="C30" s="2">
        <f>IF('Modell einstellen'!$B$2="Ja",creep_res0!O30,creep_res0!C30)</f>
        <v>-1.2804857714285715E-3</v>
      </c>
      <c r="D30" s="2">
        <f>IF('Modell einstellen'!$B$2="Ja",creep_res25!O30,creep_res25!C30)</f>
        <v>-1.9756241714285715E-3</v>
      </c>
      <c r="E30" s="2">
        <f>IF('Modell einstellen'!$B$2="Ja",creep_res50!O30,creep_res50!C30)</f>
        <v>-8.1325860000000007E-3</v>
      </c>
      <c r="F30" s="2">
        <f>IF('Modell einstellen'!$B$2="Ja",creep_res80!O30,creep_res80!C30)</f>
        <v>-2.5940484571428574E-2</v>
      </c>
      <c r="G30" s="2">
        <f>IF('Modell einstellen'!$B$2="Ja",creep_res125!O30,creep_res125!C30)</f>
        <v>-2.5996258285714287E-2</v>
      </c>
      <c r="H30" s="2">
        <f>IF('Modell einstellen'!$B$2="Ja",creep_res160!O30,creep_res160!C30)</f>
        <v>-2.6014335142857146E-2</v>
      </c>
      <c r="M30" s="9">
        <f t="shared" si="27"/>
        <v>-10</v>
      </c>
      <c r="N30" s="2">
        <f t="shared" si="4"/>
        <v>1000000000000</v>
      </c>
      <c r="O30" s="2">
        <f t="shared" si="5"/>
        <v>9360.5786078524925</v>
      </c>
      <c r="P30" s="2">
        <f t="shared" si="6"/>
        <v>7809.5362112798175</v>
      </c>
      <c r="Q30" s="2">
        <f t="shared" si="7"/>
        <v>5061.6914616756339</v>
      </c>
      <c r="R30" s="2">
        <f t="shared" si="8"/>
        <v>1229.6211807658719</v>
      </c>
      <c r="S30" s="2">
        <f t="shared" si="9"/>
        <v>385.49781028432375</v>
      </c>
      <c r="T30" s="2">
        <f t="shared" si="10"/>
        <v>384.67074338522389</v>
      </c>
      <c r="U30" s="2">
        <f t="shared" si="11"/>
        <v>384.4034431433754</v>
      </c>
      <c r="Z30" s="2">
        <v>1000000000000</v>
      </c>
      <c r="AA30" s="3">
        <f>IF('Modell einstellen'!$B$2="Ja",'creep_res-40'!P30,'creep_res-40'!L30)</f>
        <v>0.39605041350890891</v>
      </c>
      <c r="AB30" s="2">
        <f>IF('Modell einstellen'!$B$2="Ja",creep_res0!P30,creep_res0!L30)</f>
        <v>0.40878649134094247</v>
      </c>
      <c r="AC30" s="2">
        <f>IF('Modell einstellen'!$B$2="Ja",creep_res25!P30,creep_res25!L30)</f>
        <v>0.43682251248307119</v>
      </c>
      <c r="AD30" s="2">
        <f>IF('Modell einstellen'!$B$2="Ja",creep_res50!P30,creep_res50!L30)</f>
        <v>0.51508237530912238</v>
      </c>
      <c r="AE30" s="2">
        <f>IF('Modell einstellen'!$B$2="Ja",creep_res80!P30,creep_res80!L30)</f>
        <v>0.55477516357883649</v>
      </c>
      <c r="AF30" s="2">
        <f>IF('Modell einstellen'!$B$2="Ja",creep_res125!P30,creep_res125!L30)</f>
        <v>0.54953411756927129</v>
      </c>
      <c r="AG30" s="2">
        <f>IF('Modell einstellen'!$B$2="Ja",creep_res160!P30,creep_res160!L30)</f>
        <v>0.54934800618116342</v>
      </c>
      <c r="AL30" s="2">
        <f t="shared" si="12"/>
        <v>1000000000000</v>
      </c>
      <c r="AM30" s="2">
        <f t="shared" si="13"/>
        <v>3352.5216988135498</v>
      </c>
      <c r="AN30" s="2">
        <f t="shared" si="14"/>
        <v>2771.7245513357993</v>
      </c>
      <c r="AO30" s="2">
        <f t="shared" si="15"/>
        <v>1761.4184833894965</v>
      </c>
      <c r="AP30" s="2">
        <f t="shared" si="16"/>
        <v>405.79350694215293</v>
      </c>
      <c r="AQ30" s="2">
        <f t="shared" si="17"/>
        <v>123.97220489326934</v>
      </c>
      <c r="AR30" s="2">
        <f t="shared" si="18"/>
        <v>124.12464463468883</v>
      </c>
      <c r="AS30" s="2">
        <f t="shared" si="19"/>
        <v>124.05329261398603</v>
      </c>
      <c r="AX30" s="2">
        <f t="shared" si="28"/>
        <v>1000000000000</v>
      </c>
      <c r="AY30" s="37">
        <f t="shared" si="20"/>
        <v>15008.202411423625</v>
      </c>
      <c r="AZ30" s="37">
        <f t="shared" si="21"/>
        <v>14269.699605699665</v>
      </c>
      <c r="BA30" s="37">
        <f t="shared" si="22"/>
        <v>13353.098971948728</v>
      </c>
      <c r="BB30" s="37">
        <f t="shared" si="23"/>
        <v>-13587.837410266889</v>
      </c>
      <c r="BC30" s="37">
        <f t="shared" si="24"/>
        <v>-1172.9702085675094</v>
      </c>
      <c r="BD30" s="37">
        <f t="shared" si="25"/>
        <v>-1294.2956029154343</v>
      </c>
      <c r="BE30" s="37">
        <f t="shared" si="26"/>
        <v>-1298.2741448296031</v>
      </c>
    </row>
    <row r="31" spans="1:57" x14ac:dyDescent="0.25">
      <c r="A31" s="2">
        <f>'creep_res-40'!A31</f>
        <v>10000000000000</v>
      </c>
      <c r="B31" s="3">
        <f>'creep_res-40'!O31</f>
        <v>-1.1885513428571428E-3</v>
      </c>
      <c r="C31" s="2">
        <f>IF('Modell einstellen'!$B$2="Ja",creep_res0!O31,creep_res0!C31)</f>
        <v>-1.5340936E-3</v>
      </c>
      <c r="D31" s="2">
        <f>IF('Modell einstellen'!$B$2="Ja",creep_res25!O31,creep_res25!C31)</f>
        <v>-2.9386628571428574E-3</v>
      </c>
      <c r="E31" s="2">
        <f>IF('Modell einstellen'!$B$2="Ja",creep_res50!O31,creep_res50!C31)</f>
        <v>-1.4301890857142858E-2</v>
      </c>
      <c r="F31" s="2">
        <f>IF('Modell einstellen'!$B$2="Ja",creep_res80!O31,creep_res80!C31)</f>
        <v>-2.5945272857142859E-2</v>
      </c>
      <c r="G31" s="2">
        <f>IF('Modell einstellen'!$B$2="Ja",creep_res125!O31,creep_res125!C31)</f>
        <v>-2.5998281142857144E-2</v>
      </c>
      <c r="H31" s="2">
        <f>IF('Modell einstellen'!$B$2="Ja",creep_res160!O31,creep_res160!C31)</f>
        <v>-2.6016274000000002E-2</v>
      </c>
      <c r="M31" s="9">
        <f t="shared" si="27"/>
        <v>-10</v>
      </c>
      <c r="N31" s="2">
        <f t="shared" si="4"/>
        <v>10000000000000</v>
      </c>
      <c r="O31" s="2">
        <f t="shared" si="5"/>
        <v>8413.6037202744083</v>
      </c>
      <c r="P31" s="2">
        <f t="shared" si="6"/>
        <v>6518.5070845742393</v>
      </c>
      <c r="Q31" s="2">
        <f t="shared" si="7"/>
        <v>3402.9082225929769</v>
      </c>
      <c r="R31" s="2">
        <f t="shared" si="8"/>
        <v>699.20824455219883</v>
      </c>
      <c r="S31" s="2">
        <f t="shared" si="9"/>
        <v>385.426665391455</v>
      </c>
      <c r="T31" s="2">
        <f t="shared" si="10"/>
        <v>384.6408131772755</v>
      </c>
      <c r="U31" s="2">
        <f t="shared" si="11"/>
        <v>384.37479556065557</v>
      </c>
      <c r="Z31" s="2">
        <v>10000000000000</v>
      </c>
      <c r="AA31" s="3">
        <f>IF('Modell einstellen'!$B$2="Ja",'creep_res-40'!P31,'creep_res-40'!L31)</f>
        <v>0.40384261782116176</v>
      </c>
      <c r="AB31" s="2">
        <f>IF('Modell einstellen'!$B$2="Ja",creep_res0!P31,creep_res0!L31)</f>
        <v>0.42034641358072472</v>
      </c>
      <c r="AC31" s="2">
        <f>IF('Modell einstellen'!$B$2="Ja",creep_res25!P31,creep_res25!L31)</f>
        <v>0.46036363477266623</v>
      </c>
      <c r="AD31" s="2">
        <f>IF('Modell einstellen'!$B$2="Ja",creep_res50!P31,creep_res50!L31)</f>
        <v>0.53499071791066666</v>
      </c>
      <c r="AE31" s="2">
        <f>IF('Modell einstellen'!$B$2="Ja",creep_res80!P31,creep_res80!L31)</f>
        <v>0.55451354171811429</v>
      </c>
      <c r="AF31" s="2">
        <f>IF('Modell einstellen'!$B$2="Ja",creep_res125!P31,creep_res125!L31)</f>
        <v>0.54950937196023864</v>
      </c>
      <c r="AG31" s="2">
        <f>IF('Modell einstellen'!$B$2="Ja",creep_res160!P31,creep_res160!L31)</f>
        <v>0.54932537336328136</v>
      </c>
      <c r="AL31" s="2">
        <f t="shared" si="12"/>
        <v>10000000000000</v>
      </c>
      <c r="AM31" s="2">
        <f t="shared" si="13"/>
        <v>2996.6335305209523</v>
      </c>
      <c r="AN31" s="2">
        <f t="shared" si="14"/>
        <v>2294.6891766146468</v>
      </c>
      <c r="AO31" s="2">
        <f t="shared" si="15"/>
        <v>1165.0893454090649</v>
      </c>
      <c r="AP31" s="2">
        <f t="shared" si="16"/>
        <v>227.75650575396227</v>
      </c>
      <c r="AQ31" s="2">
        <f t="shared" si="17"/>
        <v>123.97018586453261</v>
      </c>
      <c r="AR31" s="2">
        <f t="shared" si="18"/>
        <v>124.11696893794122</v>
      </c>
      <c r="AS31" s="2">
        <f t="shared" si="19"/>
        <v>124.04585962671396</v>
      </c>
      <c r="AX31" s="2">
        <f t="shared" si="28"/>
        <v>10000000000000</v>
      </c>
      <c r="AY31" s="37">
        <f t="shared" si="20"/>
        <v>14583.043495343869</v>
      </c>
      <c r="AZ31" s="37">
        <f t="shared" si="21"/>
        <v>13639.283505835199</v>
      </c>
      <c r="BA31" s="37">
        <f t="shared" si="22"/>
        <v>14308.864276007014</v>
      </c>
      <c r="BB31" s="37">
        <f t="shared" si="23"/>
        <v>-3330.4463121587378</v>
      </c>
      <c r="BC31" s="37">
        <f t="shared" si="24"/>
        <v>-1178.3820229001365</v>
      </c>
      <c r="BD31" s="37">
        <f t="shared" si="25"/>
        <v>-1294.8417573888285</v>
      </c>
      <c r="BE31" s="37">
        <f t="shared" si="26"/>
        <v>-1298.7730565150696</v>
      </c>
    </row>
    <row r="32" spans="1:57" x14ac:dyDescent="0.25">
      <c r="A32" s="2">
        <f>'creep_res-40'!A32</f>
        <v>100000000000000</v>
      </c>
      <c r="B32" s="3">
        <f>'creep_res-40'!O32</f>
        <v>-1.3798511142857142E-3</v>
      </c>
      <c r="C32" s="2">
        <f>IF('Modell einstellen'!$B$2="Ja",creep_res0!O32,creep_res0!C32)</f>
        <v>-1.9957457428571431E-3</v>
      </c>
      <c r="D32" s="2">
        <f>IF('Modell einstellen'!$B$2="Ja",creep_res25!O32,creep_res25!C32)</f>
        <v>-4.8502194285714286E-3</v>
      </c>
      <c r="E32" s="2">
        <f>IF('Modell einstellen'!$B$2="Ja",creep_res50!O32,creep_res50!C32)</f>
        <v>-2.0572484000000002E-2</v>
      </c>
      <c r="F32" s="2">
        <f>IF('Modell einstellen'!$B$2="Ja",creep_res80!O32,creep_res80!C32)</f>
        <v>-2.594922828571429E-2</v>
      </c>
      <c r="G32" s="2">
        <f>IF('Modell einstellen'!$B$2="Ja",creep_res125!O32,creep_res125!C32)</f>
        <v>-2.5999255142857142E-2</v>
      </c>
      <c r="H32" s="2">
        <f>IF('Modell einstellen'!$B$2="Ja",creep_res160!O32,creep_res160!C32)</f>
        <v>-2.6017058285714288E-2</v>
      </c>
      <c r="M32" s="9">
        <v>-1</v>
      </c>
      <c r="N32" s="2">
        <f t="shared" si="4"/>
        <v>100000000000000</v>
      </c>
      <c r="O32" s="2">
        <f t="shared" si="5"/>
        <v>7247.1586944918636</v>
      </c>
      <c r="P32" s="2">
        <f t="shared" si="6"/>
        <v>5010.6583144623582</v>
      </c>
      <c r="Q32" s="2">
        <f t="shared" si="7"/>
        <v>2061.7623897781828</v>
      </c>
      <c r="R32" s="2">
        <f t="shared" si="8"/>
        <v>486.08617218999899</v>
      </c>
      <c r="S32" s="2">
        <f t="shared" si="9"/>
        <v>385.36791498748556</v>
      </c>
      <c r="T32" s="2">
        <f t="shared" si="10"/>
        <v>384.62640352784615</v>
      </c>
      <c r="U32" s="2">
        <f t="shared" si="11"/>
        <v>384.3632085603968</v>
      </c>
      <c r="Z32" s="2">
        <v>100000000000000</v>
      </c>
      <c r="AA32" s="3">
        <f>IF('Modell einstellen'!$B$2="Ja",'creep_res-40'!P32,'creep_res-40'!L32)</f>
        <v>0.41380031704869863</v>
      </c>
      <c r="AB32" s="2">
        <f>IF('Modell einstellen'!$B$2="Ja",creep_res0!P32,creep_res0!L32)</f>
        <v>0.43639015797331526</v>
      </c>
      <c r="AC32" s="2">
        <f>IF('Modell einstellen'!$B$2="Ja",creep_res25!P32,creep_res25!L32)</f>
        <v>0.48783324560043478</v>
      </c>
      <c r="AD32" s="2">
        <f>IF('Modell einstellen'!$B$2="Ja",creep_res50!P32,creep_res50!L32)</f>
        <v>0.54533989603366739</v>
      </c>
      <c r="AE32" s="2">
        <f>IF('Modell einstellen'!$B$2="Ja",creep_res80!P32,creep_res80!L32)</f>
        <v>0.55429780521191163</v>
      </c>
      <c r="AF32" s="2">
        <f>IF('Modell einstellen'!$B$2="Ja",creep_res125!P32,creep_res125!L32)</f>
        <v>0.54950417096015058</v>
      </c>
      <c r="AG32" s="2">
        <f>IF('Modell einstellen'!$B$2="Ja",creep_res160!P32,creep_res160!L32)</f>
        <v>0.54932366132004984</v>
      </c>
      <c r="AL32" s="2">
        <f t="shared" si="12"/>
        <v>100000000000000</v>
      </c>
      <c r="AM32" s="2">
        <f t="shared" si="13"/>
        <v>2563.0064610610193</v>
      </c>
      <c r="AN32" s="2">
        <f t="shared" si="14"/>
        <v>1744.1842965326991</v>
      </c>
      <c r="AO32" s="2">
        <f t="shared" si="15"/>
        <v>692.87414966525068</v>
      </c>
      <c r="AP32" s="2">
        <f t="shared" si="16"/>
        <v>157.27484077697326</v>
      </c>
      <c r="AQ32" s="2">
        <f t="shared" si="17"/>
        <v>123.96849358445334</v>
      </c>
      <c r="AR32" s="2">
        <f t="shared" si="18"/>
        <v>124.11273578228328</v>
      </c>
      <c r="AS32" s="2">
        <f t="shared" si="19"/>
        <v>124.04225732695286</v>
      </c>
      <c r="AX32" s="2">
        <f t="shared" si="28"/>
        <v>100000000000000</v>
      </c>
      <c r="AY32" s="37">
        <f t="shared" si="20"/>
        <v>14012.345997811763</v>
      </c>
      <c r="AZ32" s="37">
        <f t="shared" si="21"/>
        <v>13128.624320851572</v>
      </c>
      <c r="BA32" s="37">
        <f t="shared" si="22"/>
        <v>28243.116748975397</v>
      </c>
      <c r="BB32" s="37">
        <f t="shared" si="23"/>
        <v>-1786.8228451937523</v>
      </c>
      <c r="BC32" s="37">
        <f t="shared" si="24"/>
        <v>-1182.88364659641</v>
      </c>
      <c r="BD32" s="37">
        <f t="shared" si="25"/>
        <v>-1294.9292826169442</v>
      </c>
      <c r="BE32" s="37">
        <f t="shared" si="26"/>
        <v>-1298.7789844795204</v>
      </c>
    </row>
    <row r="33" spans="1:60" x14ac:dyDescent="0.25">
      <c r="A33" s="2">
        <f>'creep_res-40'!A33</f>
        <v>1000000000000000</v>
      </c>
      <c r="B33" s="3">
        <f>'creep_res-40'!O33</f>
        <v>-1.701471342857143E-3</v>
      </c>
      <c r="C33" s="2">
        <f>IF('Modell einstellen'!$B$2="Ja",creep_res0!O33,creep_res0!C33)</f>
        <v>-2.978228857142857E-3</v>
      </c>
      <c r="D33" s="2">
        <f>IF('Modell einstellen'!$B$2="Ja",creep_res25!O33,creep_res25!C33)</f>
        <v>-8.3903105714285726E-3</v>
      </c>
      <c r="E33" s="2">
        <f>IF('Modell einstellen'!$B$2="Ja",creep_res50!O33,creep_res50!C33)</f>
        <v>-2.3518056857142859E-2</v>
      </c>
      <c r="F33" s="2">
        <f>IF('Modell einstellen'!$B$2="Ja",creep_res80!O33,creep_res80!C33)</f>
        <v>-2.595281942857143E-2</v>
      </c>
      <c r="G33" s="2">
        <f>IF('Modell einstellen'!$B$2="Ja",creep_res125!O33,creep_res125!C33)</f>
        <v>-2.5999937428571429E-2</v>
      </c>
      <c r="H33" s="2">
        <f>IF('Modell einstellen'!$B$2="Ja",creep_res160!O33,creep_res160!C33)</f>
        <v>-2.6017475428571427E-2</v>
      </c>
      <c r="M33" s="9">
        <f>M31</f>
        <v>-10</v>
      </c>
      <c r="N33" s="2">
        <f t="shared" si="4"/>
        <v>1000000000000000</v>
      </c>
      <c r="O33" s="2">
        <f t="shared" si="5"/>
        <v>5877.2661919817056</v>
      </c>
      <c r="P33" s="2">
        <f t="shared" si="6"/>
        <v>3357.700324478566</v>
      </c>
      <c r="Q33" s="2">
        <f t="shared" si="7"/>
        <v>1191.8509946524368</v>
      </c>
      <c r="R33" s="2">
        <f t="shared" si="8"/>
        <v>425.20519704257879</v>
      </c>
      <c r="S33" s="2">
        <f t="shared" si="9"/>
        <v>385.3145908683436</v>
      </c>
      <c r="T33" s="2">
        <f t="shared" si="10"/>
        <v>384.6163102304609</v>
      </c>
      <c r="U33" s="2">
        <f t="shared" si="11"/>
        <v>384.35704599602968</v>
      </c>
      <c r="Z33" s="2">
        <v>1000000000000000</v>
      </c>
      <c r="AA33" s="3">
        <f>IF('Modell einstellen'!$B$2="Ja",'creep_res-40'!P33,'creep_res-40'!L33)</f>
        <v>0.42685795119474496</v>
      </c>
      <c r="AB33" s="2">
        <f>IF('Modell einstellen'!$B$2="Ja",creep_res0!P33,creep_res0!L33)</f>
        <v>0.46008770696984719</v>
      </c>
      <c r="AC33" s="2">
        <f>IF('Modell einstellen'!$B$2="Ja",creep_res25!P33,creep_res25!L33)</f>
        <v>0.51292009044310194</v>
      </c>
      <c r="AD33" s="2">
        <f>IF('Modell einstellen'!$B$2="Ja",creep_res50!P33,creep_res50!L33)</f>
        <v>0.54813389041045524</v>
      </c>
      <c r="AE33" s="2">
        <f>IF('Modell einstellen'!$B$2="Ja",creep_res80!P33,creep_res80!L33)</f>
        <v>0.55410204372180083</v>
      </c>
      <c r="AF33" s="2">
        <f>IF('Modell einstellen'!$B$2="Ja",creep_res125!P33,creep_res125!L33)</f>
        <v>0.54950634441636736</v>
      </c>
      <c r="AG33" s="2">
        <f>IF('Modell einstellen'!$B$2="Ja",creep_res160!P33,creep_res160!L33)</f>
        <v>0.54933074433355589</v>
      </c>
      <c r="AL33" s="2">
        <f t="shared" si="12"/>
        <v>1000000000000000</v>
      </c>
      <c r="AM33" s="2">
        <f t="shared" si="13"/>
        <v>2059.5134179476377</v>
      </c>
      <c r="AN33" s="2">
        <f t="shared" si="14"/>
        <v>1149.8282974544306</v>
      </c>
      <c r="AO33" s="2">
        <f t="shared" si="15"/>
        <v>393.89092728068977</v>
      </c>
      <c r="AP33" s="2">
        <f t="shared" si="16"/>
        <v>137.32830205333357</v>
      </c>
      <c r="AQ33" s="2">
        <f t="shared" si="17"/>
        <v>123.96695327212331</v>
      </c>
      <c r="AR33" s="2">
        <f t="shared" si="18"/>
        <v>124.10930475258213</v>
      </c>
      <c r="AS33" s="2">
        <f t="shared" si="19"/>
        <v>124.03970146521578</v>
      </c>
      <c r="AX33" s="2">
        <f>AL33</f>
        <v>1000000000000000</v>
      </c>
      <c r="AY33" s="37">
        <f t="shared" si="20"/>
        <v>13392.356125248529</v>
      </c>
      <c r="AZ33" s="37">
        <f t="shared" si="21"/>
        <v>14021.161859170812</v>
      </c>
      <c r="BA33" s="37">
        <f t="shared" si="22"/>
        <v>-15374.647206756053</v>
      </c>
      <c r="BB33" s="37">
        <f t="shared" si="23"/>
        <v>-1472.3001244261891</v>
      </c>
      <c r="BC33" s="37">
        <f t="shared" si="24"/>
        <v>-1186.9994931851288</v>
      </c>
      <c r="BD33" s="37">
        <f t="shared" si="25"/>
        <v>-1294.8384520702036</v>
      </c>
      <c r="BE33" s="37">
        <f t="shared" si="26"/>
        <v>-1298.5716824554424</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abSelected="1" topLeftCell="A104" zoomScale="120" zoomScaleNormal="120" zoomScaleSheetLayoutView="110" workbookViewId="0">
      <selection activeCell="H126" sqref="H126"/>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160</v>
      </c>
      <c r="D2" s="11">
        <f>1</f>
        <v>1</v>
      </c>
      <c r="E2" s="11">
        <f>D2+1</f>
        <v>2</v>
      </c>
      <c r="F2" s="11">
        <f t="shared" ref="F2:J2" si="0">E2+1</f>
        <v>3</v>
      </c>
      <c r="G2" s="11">
        <f t="shared" si="0"/>
        <v>4</v>
      </c>
      <c r="H2" s="11">
        <f t="shared" si="0"/>
        <v>5</v>
      </c>
      <c r="I2" s="11">
        <f t="shared" si="0"/>
        <v>6</v>
      </c>
      <c r="J2" s="11">
        <f t="shared" si="0"/>
        <v>7</v>
      </c>
    </row>
    <row r="3" spans="1:36" x14ac:dyDescent="0.25">
      <c r="A3" s="11" t="s">
        <v>111</v>
      </c>
      <c r="B3" s="35">
        <v>7</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5</v>
      </c>
    </row>
    <row r="10" spans="1:36" x14ac:dyDescent="0.25">
      <c r="A10" s="11">
        <f t="shared" si="1"/>
        <v>6</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4973.1641667493986</v>
      </c>
      <c r="G16" s="26">
        <f>INDEX(Comparison!$AM$3:$AS$33,G14,$B$3)</f>
        <v>4659.596505568883</v>
      </c>
      <c r="H16" s="26">
        <f>INDEX(Comparison!$AM$3:$AS$33,H14,$B$3)</f>
        <v>4385.9516115251872</v>
      </c>
      <c r="I16" s="26">
        <f>INDEX(Comparison!$AM$3:$AS$33,I14,$B$3)</f>
        <v>4118.3569666620651</v>
      </c>
      <c r="J16" s="26">
        <f>INDEX(Comparison!$AM$3:$AS$33,J14,$B$3)</f>
        <v>3829.8022738739742</v>
      </c>
      <c r="K16" s="26">
        <f>INDEX(Comparison!$AM$3:$AS$33,K14,$B$3)</f>
        <v>3513.4556215320054</v>
      </c>
      <c r="L16" s="26">
        <f>INDEX(Comparison!$AM$3:$AS$33,L14,$B$3)</f>
        <v>3097.9149297690292</v>
      </c>
      <c r="M16" s="26">
        <f>INDEX(Comparison!$AM$3:$AS$33,M14,$B$3)</f>
        <v>2591.2184022941196</v>
      </c>
      <c r="N16" s="26">
        <f>INDEX(Comparison!$AM$3:$AS$33,N14,$B$3)</f>
        <v>2005.3525724949279</v>
      </c>
      <c r="O16" s="26">
        <f>INDEX(Comparison!$AM$3:$AS$33,O14,$B$3)</f>
        <v>1355.6696144527521</v>
      </c>
      <c r="P16" s="26">
        <f>INDEX(Comparison!$AM$3:$AS$33,P14,$B$3)</f>
        <v>816.95203291347548</v>
      </c>
      <c r="Q16" s="26">
        <f>INDEX(Comparison!$AM$3:$AS$33,Q14,$B$3)</f>
        <v>463.37163713330017</v>
      </c>
      <c r="R16" s="26">
        <f>INDEX(Comparison!$AM$3:$AS$33,R14,$B$3)</f>
        <v>256.97131232473913</v>
      </c>
      <c r="S16" s="26">
        <f>INDEX(Comparison!$AM$3:$AS$33,S14,$B$3)</f>
        <v>167.49490825050054</v>
      </c>
      <c r="T16" s="26">
        <f>INDEX(Comparison!$AM$3:$AS$33,T14,$B$3)</f>
        <v>141.80358734877336</v>
      </c>
      <c r="U16" s="26">
        <f>INDEX(Comparison!$AM$3:$AS$33,U14,$B$3)</f>
        <v>129.19132461504012</v>
      </c>
      <c r="V16" s="26">
        <f>INDEX(Comparison!$AM$3:$AS$33,V14,$B$3)</f>
        <v>125.45582042457461</v>
      </c>
      <c r="W16" s="26">
        <f>INDEX(Comparison!$AM$3:$AS$33,W14,$B$3)</f>
        <v>125.37751528072498</v>
      </c>
      <c r="X16" s="26">
        <f>INDEX(Comparison!$AM$3:$AS$33,X14,$B$3)</f>
        <v>125.26241312398497</v>
      </c>
      <c r="Y16" s="26">
        <f>INDEX(Comparison!$AM$3:$AS$33,Y14,$B$3)</f>
        <v>125.1369355609138</v>
      </c>
      <c r="Z16" s="26">
        <f>INDEX(Comparison!$AM$3:$AS$33,Z14,$B$3)</f>
        <v>124.97859027478171</v>
      </c>
      <c r="AA16" s="26">
        <f>INDEX(Comparison!$AM$3:$AS$33,AA14,$B$3)</f>
        <v>124.79521194858673</v>
      </c>
      <c r="AB16" s="26">
        <f>INDEX(Comparison!$AM$3:$AS$33,AB14,$B$3)</f>
        <v>124.60066288549459</v>
      </c>
      <c r="AC16" s="26">
        <f>INDEX(Comparison!$AM$3:$AS$33,AC14,$B$3)</f>
        <v>124.40326066206676</v>
      </c>
      <c r="AD16" s="26">
        <f>INDEX(Comparison!$AM$3:$AS$33,AD14,$B$3)</f>
        <v>124.39897169961779</v>
      </c>
      <c r="AE16" s="26">
        <f>INDEX(Comparison!$AM$3:$AS$33,AE14,$B$3)</f>
        <v>124.30647199515475</v>
      </c>
      <c r="AF16" s="26">
        <f>INDEX(Comparison!$AM$3:$AS$33,AF14,$B$3)</f>
        <v>124.18164826003697</v>
      </c>
      <c r="AG16" s="26">
        <f>INDEX(Comparison!$AM$3:$AS$33,AG14,$B$3)</f>
        <v>124.05329261398603</v>
      </c>
      <c r="AH16" s="26">
        <f>INDEX(Comparison!$AM$3:$AS$33,AH14,$B$3)</f>
        <v>124.04585962671396</v>
      </c>
      <c r="AI16" s="26">
        <f>INDEX(Comparison!$AM$3:$AS$33,AI14,$B$3)</f>
        <v>124.04225732695286</v>
      </c>
      <c r="AJ16" s="26">
        <f>INDEX(Comparison!$AM$3:$AS$33,AJ14,$B$3)</f>
        <v>124.03970146521578</v>
      </c>
    </row>
    <row r="17" spans="1:36" x14ac:dyDescent="0.25">
      <c r="A17" s="14" t="s">
        <v>20</v>
      </c>
      <c r="B17" s="105">
        <v>1.313894837428466E-2</v>
      </c>
      <c r="C17" s="18">
        <f t="shared" ref="C17:C48" si="3">ABS(B17/$B$49)</f>
        <v>1.8334148388155395E-2</v>
      </c>
      <c r="D17" s="66"/>
      <c r="E17" s="65" t="s">
        <v>22</v>
      </c>
      <c r="F17" s="27">
        <f>($C$17+SUM(F18:F48))*$B$51</f>
        <v>4885.5922092797246</v>
      </c>
      <c r="G17" s="27">
        <f t="shared" ref="G17:M17" si="4">($C$17+SUM(G18:G48))*$B$51</f>
        <v>4772.8623946058215</v>
      </c>
      <c r="H17" s="27">
        <f t="shared" si="4"/>
        <v>4355.9653991772811</v>
      </c>
      <c r="I17" s="27">
        <f t="shared" si="4"/>
        <v>4123.2531828827105</v>
      </c>
      <c r="J17" s="27">
        <f t="shared" si="4"/>
        <v>3829.1267493918258</v>
      </c>
      <c r="K17" s="27">
        <f t="shared" si="4"/>
        <v>3513.5354239182893</v>
      </c>
      <c r="L17" s="27">
        <f t="shared" si="4"/>
        <v>3097.9300749696163</v>
      </c>
      <c r="M17" s="27">
        <f t="shared" si="4"/>
        <v>2591.1789897032727</v>
      </c>
      <c r="N17" s="27">
        <f t="shared" ref="N17" si="5">($C$17+SUM(N18:N48))*$B$51</f>
        <v>2005.4333800594313</v>
      </c>
      <c r="O17" s="27">
        <f t="shared" ref="O17" si="6">($C$17+SUM(O18:O48))*$B$51</f>
        <v>1355.5629915427751</v>
      </c>
      <c r="P17" s="27">
        <f t="shared" ref="P17" si="7">($C$17+SUM(P18:P48))*$B$51</f>
        <v>817.05966532285424</v>
      </c>
      <c r="Q17" s="27">
        <f t="shared" ref="Q17" si="8">($C$17+SUM(Q18:Q48))*$B$51</f>
        <v>463.27815189958272</v>
      </c>
      <c r="R17" s="27">
        <f t="shared" ref="R17" si="9">($C$17+SUM(R18:R48))*$B$51</f>
        <v>256.99270751746047</v>
      </c>
      <c r="S17" s="27">
        <f t="shared" ref="S17:T17" si="10">($C$17+SUM(S18:S48))*$B$51</f>
        <v>167.5236808333278</v>
      </c>
      <c r="T17" s="27">
        <f t="shared" si="10"/>
        <v>141.71039186915954</v>
      </c>
      <c r="U17" s="27">
        <f t="shared" ref="U17" si="11">($C$17+SUM(U18:U48))*$B$51</f>
        <v>129.28514781426784</v>
      </c>
      <c r="V17" s="27">
        <f t="shared" ref="V17" si="12">($C$17+SUM(V18:V48))*$B$51</f>
        <v>125.41243765530886</v>
      </c>
      <c r="W17" s="27">
        <f t="shared" ref="W17" si="13">($C$17+SUM(W18:W48))*$B$51</f>
        <v>125.3740083683485</v>
      </c>
      <c r="X17" s="27">
        <f t="shared" ref="X17" si="14">($C$17+SUM(X18:X48))*$B$51</f>
        <v>125.28240720862303</v>
      </c>
      <c r="Y17" s="27">
        <f t="shared" ref="Y17" si="15">($C$17+SUM(Y18:Y48))*$B$51</f>
        <v>125.1396182727226</v>
      </c>
      <c r="Z17" s="27">
        <f t="shared" ref="Z17:AA17" si="16">($C$17+SUM(Z18:Z48))*$B$51</f>
        <v>124.97840206946204</v>
      </c>
      <c r="AA17" s="27">
        <f t="shared" si="16"/>
        <v>124.79063762293249</v>
      </c>
      <c r="AB17" s="27">
        <f t="shared" ref="AB17" si="17">($C$17+SUM(AB18:AB48))*$B$51</f>
        <v>124.57339029280159</v>
      </c>
      <c r="AC17" s="27">
        <f t="shared" ref="AC17" si="18">($C$17+SUM(AC18:AC48))*$B$51</f>
        <v>124.40157005344746</v>
      </c>
      <c r="AD17" s="27">
        <f t="shared" ref="AD17" si="19">($C$17+SUM(AD18:AD48))*$B$51</f>
        <v>124.38065675971271</v>
      </c>
      <c r="AE17" s="27">
        <f t="shared" ref="AE17" si="20">($C$17+SUM(AE18:AE48))*$B$51</f>
        <v>124.37988440495162</v>
      </c>
      <c r="AF17" s="27">
        <f t="shared" ref="AF17" si="21">($C$17+SUM(AF18:AF48))*$B$51</f>
        <v>124.37974345414476</v>
      </c>
      <c r="AG17" s="27">
        <f t="shared" ref="AG17:AH17" si="22">($C$17+SUM(AG18:AG48))*$B$51</f>
        <v>124.37833494867728</v>
      </c>
      <c r="AH17" s="27">
        <f t="shared" si="22"/>
        <v>124.36425686390869</v>
      </c>
      <c r="AI17" s="27">
        <f t="shared" ref="AI17" si="23">($C$17+SUM(AI18:AI48))*$B$51</f>
        <v>124.22417069145793</v>
      </c>
      <c r="AJ17" s="27">
        <f t="shared" ref="AJ17" si="24">($C$17+SUM(AJ18:AJ48))*$B$51</f>
        <v>122.89051786045701</v>
      </c>
    </row>
    <row r="18" spans="1:36" x14ac:dyDescent="0.25">
      <c r="A18" s="3">
        <f>0.000000000000001/10^5</f>
        <v>1.0000000000000001E-20</v>
      </c>
      <c r="B18" s="106">
        <v>0.1245477692348055</v>
      </c>
      <c r="C18" s="18">
        <f t="shared" si="3"/>
        <v>0.17379452430407935</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6.5142146235321371E-2</v>
      </c>
      <c r="C19" s="18">
        <f t="shared" si="3"/>
        <v>9.0899647473980161E-2</v>
      </c>
      <c r="D19" s="17"/>
      <c r="F19" s="3">
        <f t="shared" si="25"/>
        <v>8.8600781460775269E-2</v>
      </c>
      <c r="G19" s="3">
        <f t="shared" si="25"/>
        <v>7.0358364136743998E-2</v>
      </c>
      <c r="H19" s="3">
        <f t="shared" si="25"/>
        <v>7.0161286385743279E-3</v>
      </c>
      <c r="I19" s="3">
        <f t="shared" si="25"/>
        <v>6.8220616592239959E-13</v>
      </c>
      <c r="J19" s="3">
        <f t="shared" si="25"/>
        <v>5.1534327467435774E-113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2.2847321680167038E-2</v>
      </c>
      <c r="C20" s="18">
        <f t="shared" si="3"/>
        <v>3.1881256705136286E-2</v>
      </c>
      <c r="D20" s="17"/>
      <c r="F20" s="3">
        <f t="shared" si="25"/>
        <v>3.1807672896546374E-2</v>
      </c>
      <c r="G20" s="3">
        <f t="shared" si="25"/>
        <v>3.1153014378193056E-2</v>
      </c>
      <c r="H20" s="3">
        <f t="shared" si="25"/>
        <v>2.5303573887292808E-2</v>
      </c>
      <c r="I20" s="3">
        <f t="shared" si="25"/>
        <v>3.1622759452726405E-3</v>
      </c>
      <c r="J20" s="3">
        <f t="shared" si="25"/>
        <v>2.9388590326481811E-12</v>
      </c>
      <c r="K20" s="3">
        <f t="shared" si="25"/>
        <v>1.4124356123644452E-102</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3.8909996514168946E-2</v>
      </c>
      <c r="C21" s="18">
        <f t="shared" si="3"/>
        <v>5.4295186308030693E-2</v>
      </c>
      <c r="D21" s="17"/>
      <c r="F21" s="3">
        <f t="shared" si="25"/>
        <v>5.4283869833318073E-2</v>
      </c>
      <c r="G21" s="3">
        <f t="shared" si="25"/>
        <v>5.4182127640569767E-2</v>
      </c>
      <c r="H21" s="3">
        <f t="shared" si="25"/>
        <v>5.3175134995334335E-2</v>
      </c>
      <c r="I21" s="3">
        <f t="shared" si="25"/>
        <v>4.4079236337557802E-2</v>
      </c>
      <c r="J21" s="3">
        <f t="shared" si="25"/>
        <v>6.7528743555459276E-3</v>
      </c>
      <c r="K21" s="3">
        <f t="shared" si="25"/>
        <v>4.8087781708446846E-11</v>
      </c>
      <c r="L21" s="3">
        <f t="shared" si="25"/>
        <v>1.6124842665997023E-92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3.6768914080541205E-2</v>
      </c>
      <c r="C22" s="18">
        <f t="shared" si="3"/>
        <v>5.1307510130975835E-2</v>
      </c>
      <c r="D22" s="17"/>
      <c r="F22" s="3">
        <f t="shared" si="25"/>
        <v>5.1306545372639803E-2</v>
      </c>
      <c r="G22" s="3">
        <f t="shared" si="25"/>
        <v>5.129786336391004E-2</v>
      </c>
      <c r="H22" s="3">
        <f t="shared" si="25"/>
        <v>5.1211124039139438E-2</v>
      </c>
      <c r="I22" s="3">
        <f t="shared" si="25"/>
        <v>5.0351756701910368E-2</v>
      </c>
      <c r="J22" s="3">
        <f t="shared" si="25"/>
        <v>4.2512614500223631E-2</v>
      </c>
      <c r="K22" s="3">
        <f t="shared" si="25"/>
        <v>7.8261774395153045E-3</v>
      </c>
      <c r="L22" s="3">
        <f t="shared" si="25"/>
        <v>3.4983917995784783E-10</v>
      </c>
      <c r="M22" s="3">
        <f t="shared" si="25"/>
        <v>1.1144382436430365E-83</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5.3507050519916867E-2</v>
      </c>
      <c r="C23" s="18">
        <f t="shared" si="3"/>
        <v>7.4663981933644916E-2</v>
      </c>
      <c r="D23" s="17"/>
      <c r="F23" s="3">
        <f t="shared" si="25"/>
        <v>7.4663855285435593E-2</v>
      </c>
      <c r="G23" s="3">
        <f t="shared" si="25"/>
        <v>7.4662715461218762E-2</v>
      </c>
      <c r="H23" s="3">
        <f t="shared" si="25"/>
        <v>7.4651318176042161E-2</v>
      </c>
      <c r="I23" s="3">
        <f t="shared" si="25"/>
        <v>7.4537440969407537E-2</v>
      </c>
      <c r="J23" s="3">
        <f t="shared" si="25"/>
        <v>7.3408179611034755E-2</v>
      </c>
      <c r="K23" s="3">
        <f t="shared" si="25"/>
        <v>6.3015039863249647E-2</v>
      </c>
      <c r="L23" s="3">
        <f t="shared" si="25"/>
        <v>1.3691209742013726E-2</v>
      </c>
      <c r="M23" s="3">
        <f t="shared" si="25"/>
        <v>3.2093560952996956E-9</v>
      </c>
      <c r="N23" s="3">
        <f t="shared" si="25"/>
        <v>1.6076027526021476E-75</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6.496178456189676E-2</v>
      </c>
      <c r="C24" s="18">
        <f t="shared" si="3"/>
        <v>9.0647969973627479E-2</v>
      </c>
      <c r="D24" s="17"/>
      <c r="F24" s="3">
        <f t="shared" si="25"/>
        <v>9.0647956103102001E-2</v>
      </c>
      <c r="G24" s="3">
        <f t="shared" si="25"/>
        <v>9.0647831268468121E-2</v>
      </c>
      <c r="H24" s="3">
        <f t="shared" si="25"/>
        <v>9.0646582931584646E-2</v>
      </c>
      <c r="I24" s="3">
        <f t="shared" si="25"/>
        <v>9.0634100508226845E-2</v>
      </c>
      <c r="J24" s="3">
        <f t="shared" si="25"/>
        <v>9.0509370774183126E-2</v>
      </c>
      <c r="K24" s="3">
        <f t="shared" si="25"/>
        <v>8.9271475412653234E-2</v>
      </c>
      <c r="L24" s="3">
        <f t="shared" si="25"/>
        <v>7.7786526917608123E-2</v>
      </c>
      <c r="M24" s="3">
        <f t="shared" si="25"/>
        <v>1.9625515241807667E-2</v>
      </c>
      <c r="N24" s="3">
        <f t="shared" si="25"/>
        <v>2.0511051721997776E-8</v>
      </c>
      <c r="O24" s="3">
        <f t="shared" si="25"/>
        <v>3.1890149375947663E-68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7.5346598811641879E-2</v>
      </c>
      <c r="C25" s="18">
        <f t="shared" si="3"/>
        <v>0.10513898706376987</v>
      </c>
      <c r="D25" s="17"/>
      <c r="F25" s="3">
        <f t="shared" si="25"/>
        <v>0.10513898561250981</v>
      </c>
      <c r="G25" s="3">
        <f t="shared" si="25"/>
        <v>0.10513897255117022</v>
      </c>
      <c r="H25" s="3">
        <f t="shared" si="25"/>
        <v>0.10513884193786353</v>
      </c>
      <c r="I25" s="3">
        <f t="shared" si="25"/>
        <v>0.10513753581372082</v>
      </c>
      <c r="J25" s="3">
        <f t="shared" si="25"/>
        <v>0.10512447546467875</v>
      </c>
      <c r="K25" s="3">
        <f t="shared" si="25"/>
        <v>0.10499396117174659</v>
      </c>
      <c r="L25" s="3">
        <f t="shared" si="25"/>
        <v>0.10369769712769722</v>
      </c>
      <c r="M25" s="3">
        <f t="shared" si="25"/>
        <v>9.1583454594084832E-2</v>
      </c>
      <c r="N25" s="3">
        <f t="shared" si="25"/>
        <v>2.644211055247124E-2</v>
      </c>
      <c r="O25" s="3">
        <f t="shared" si="25"/>
        <v>1.0643563833345625E-7</v>
      </c>
      <c r="P25" s="3">
        <f t="shared" si="25"/>
        <v>1.1884929061848017E-61</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8.9442626619118101E-2</v>
      </c>
      <c r="C26" s="18">
        <f t="shared" si="3"/>
        <v>0.12480864845095105</v>
      </c>
      <c r="D26" s="17"/>
      <c r="F26" s="3">
        <f t="shared" si="25"/>
        <v>0.12480864829554328</v>
      </c>
      <c r="G26" s="3">
        <f t="shared" si="25"/>
        <v>0.12480864689687336</v>
      </c>
      <c r="H26" s="3">
        <f t="shared" si="25"/>
        <v>0.12480863291017506</v>
      </c>
      <c r="I26" s="3">
        <f t="shared" si="25"/>
        <v>0.12480849304327826</v>
      </c>
      <c r="J26" s="3">
        <f t="shared" si="25"/>
        <v>0.12480709438293111</v>
      </c>
      <c r="K26" s="3">
        <f t="shared" si="25"/>
        <v>0.12479310864150163</v>
      </c>
      <c r="L26" s="3">
        <f t="shared" si="25"/>
        <v>0.12465333739568336</v>
      </c>
      <c r="M26" s="3">
        <f t="shared" si="25"/>
        <v>0.12326420616302183</v>
      </c>
      <c r="N26" s="3">
        <f t="shared" si="25"/>
        <v>0.11019647671668184</v>
      </c>
      <c r="O26" s="3">
        <f t="shared" si="25"/>
        <v>3.5931468690209557E-2</v>
      </c>
      <c r="P26" s="3">
        <f t="shared" si="25"/>
        <v>4.8814356687926858E-7</v>
      </c>
      <c r="Q26" s="3">
        <f t="shared" si="25"/>
        <v>1.0453785388769595E-55</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6.3089136043464306E-2</v>
      </c>
      <c r="C27" s="18">
        <f t="shared" si="3"/>
        <v>8.8034867704118849E-2</v>
      </c>
      <c r="D27" s="17"/>
      <c r="F27" s="3">
        <f t="shared" si="25"/>
        <v>8.8034867694230384E-2</v>
      </c>
      <c r="G27" s="3">
        <f t="shared" si="25"/>
        <v>8.8034867605234088E-2</v>
      </c>
      <c r="H27" s="3">
        <f t="shared" si="25"/>
        <v>8.8034866715271276E-2</v>
      </c>
      <c r="I27" s="3">
        <f t="shared" si="25"/>
        <v>8.803485781564363E-2</v>
      </c>
      <c r="J27" s="3">
        <f t="shared" si="25"/>
        <v>8.8034768819416631E-2</v>
      </c>
      <c r="K27" s="3">
        <f t="shared" si="25"/>
        <v>8.8033878862094891E-2</v>
      </c>
      <c r="L27" s="3">
        <f t="shared" si="25"/>
        <v>8.802497978368197E-2</v>
      </c>
      <c r="M27" s="3">
        <f t="shared" si="25"/>
        <v>8.7936038461501248E-2</v>
      </c>
      <c r="N27" s="3">
        <f t="shared" si="25"/>
        <v>8.705155298368375E-2</v>
      </c>
      <c r="O27" s="3">
        <f t="shared" si="25"/>
        <v>7.8681528700988781E-2</v>
      </c>
      <c r="P27" s="3">
        <f t="shared" si="25"/>
        <v>2.8630929587178802E-2</v>
      </c>
      <c r="Q27" s="3">
        <f t="shared" si="25"/>
        <v>1.1653652014058954E-6</v>
      </c>
      <c r="R27" s="3">
        <f t="shared" si="25"/>
        <v>1.4545478504714529E-50</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3.8010597312564454E-2</v>
      </c>
      <c r="C28" s="18">
        <f t="shared" si="3"/>
        <v>5.3040160566801761E-2</v>
      </c>
      <c r="D28" s="17"/>
      <c r="F28" s="3">
        <f t="shared" si="25"/>
        <v>5.304016056626433E-2</v>
      </c>
      <c r="G28" s="3">
        <f t="shared" si="25"/>
        <v>5.3040160561427407E-2</v>
      </c>
      <c r="H28" s="3">
        <f t="shared" si="25"/>
        <v>5.3040160513058245E-2</v>
      </c>
      <c r="I28" s="3">
        <f t="shared" si="25"/>
        <v>5.3040160029366623E-2</v>
      </c>
      <c r="J28" s="3">
        <f t="shared" si="25"/>
        <v>5.3040155192450637E-2</v>
      </c>
      <c r="K28" s="3">
        <f t="shared" si="25"/>
        <v>5.304010682331501E-2</v>
      </c>
      <c r="L28" s="3">
        <f t="shared" si="25"/>
        <v>5.3039623134384734E-2</v>
      </c>
      <c r="M28" s="3">
        <f t="shared" si="25"/>
        <v>5.3034786487675269E-2</v>
      </c>
      <c r="N28" s="3">
        <f t="shared" si="25"/>
        <v>5.2986444271722243E-2</v>
      </c>
      <c r="O28" s="3">
        <f t="shared" si="25"/>
        <v>5.2505439063556571E-2</v>
      </c>
      <c r="P28" s="3">
        <f t="shared" si="25"/>
        <v>4.7929122069085089E-2</v>
      </c>
      <c r="Q28" s="3">
        <f t="shared" si="25"/>
        <v>1.9255343416367109E-2</v>
      </c>
      <c r="R28" s="3">
        <f t="shared" si="25"/>
        <v>2.1089642358731428E-6</v>
      </c>
      <c r="S28" s="3">
        <f t="shared" si="25"/>
        <v>5.239003379518629E-46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2.1082766652466545E-2</v>
      </c>
      <c r="C29" s="18">
        <f t="shared" si="3"/>
        <v>2.9418988584786216E-2</v>
      </c>
      <c r="D29" s="17"/>
      <c r="F29" s="3">
        <f t="shared" si="25"/>
        <v>2.9418988584759324E-2</v>
      </c>
      <c r="G29" s="3">
        <f t="shared" si="25"/>
        <v>2.9418988584517313E-2</v>
      </c>
      <c r="H29" s="3">
        <f t="shared" si="25"/>
        <v>2.9418988582097187E-2</v>
      </c>
      <c r="I29" s="3">
        <f t="shared" si="25"/>
        <v>2.9418988557895921E-2</v>
      </c>
      <c r="J29" s="3">
        <f t="shared" si="25"/>
        <v>2.9418988315883274E-2</v>
      </c>
      <c r="K29" s="3">
        <f t="shared" si="25"/>
        <v>2.9418985895756897E-2</v>
      </c>
      <c r="L29" s="3">
        <f t="shared" si="25"/>
        <v>2.9418961694504066E-2</v>
      </c>
      <c r="M29" s="3">
        <f t="shared" si="25"/>
        <v>2.941871968307077E-2</v>
      </c>
      <c r="N29" s="3">
        <f t="shared" si="25"/>
        <v>2.9416299678233313E-2</v>
      </c>
      <c r="O29" s="3">
        <f t="shared" si="25"/>
        <v>2.9392110576079912E-2</v>
      </c>
      <c r="P29" s="3">
        <f t="shared" si="25"/>
        <v>2.9151310852199724E-2</v>
      </c>
      <c r="Q29" s="3">
        <f t="shared" si="25"/>
        <v>2.6849193547837772E-2</v>
      </c>
      <c r="R29" s="3">
        <f t="shared" si="25"/>
        <v>1.1794045973307623E-2</v>
      </c>
      <c r="S29" s="3">
        <f t="shared" si="25"/>
        <v>3.1548486082041506E-6</v>
      </c>
      <c r="T29" s="3">
        <f t="shared" si="25"/>
        <v>5.9174636129678849E-42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4.5688106276280628E-3</v>
      </c>
      <c r="C30" s="18">
        <f t="shared" si="3"/>
        <v>6.3753391533418529E-3</v>
      </c>
      <c r="D30" s="17"/>
      <c r="F30" s="3">
        <f t="shared" si="25"/>
        <v>6.3753391533413273E-3</v>
      </c>
      <c r="G30" s="3">
        <f t="shared" si="25"/>
        <v>6.3753391533365959E-3</v>
      </c>
      <c r="H30" s="3">
        <f t="shared" si="25"/>
        <v>6.3753391532892856E-3</v>
      </c>
      <c r="I30" s="3">
        <f t="shared" si="25"/>
        <v>6.3753391528161779E-3</v>
      </c>
      <c r="J30" s="3">
        <f t="shared" si="25"/>
        <v>6.3753391480850987E-3</v>
      </c>
      <c r="K30" s="3">
        <f t="shared" si="25"/>
        <v>6.3753391007743071E-3</v>
      </c>
      <c r="L30" s="3">
        <f t="shared" si="25"/>
        <v>6.375338627666414E-3</v>
      </c>
      <c r="M30" s="3">
        <f t="shared" si="25"/>
        <v>6.3753338965894133E-3</v>
      </c>
      <c r="N30" s="3">
        <f t="shared" si="25"/>
        <v>6.3752865860125041E-3</v>
      </c>
      <c r="O30" s="3">
        <f t="shared" si="25"/>
        <v>6.3748134995527143E-3</v>
      </c>
      <c r="P30" s="3">
        <f t="shared" si="25"/>
        <v>6.3700845653549346E-3</v>
      </c>
      <c r="Q30" s="3">
        <f t="shared" si="25"/>
        <v>6.3229877344026094E-3</v>
      </c>
      <c r="R30" s="3">
        <f t="shared" si="25"/>
        <v>5.8707522719161466E-3</v>
      </c>
      <c r="S30" s="3">
        <f t="shared" si="25"/>
        <v>2.7951679616790319E-3</v>
      </c>
      <c r="T30" s="3">
        <f t="shared" si="25"/>
        <v>1.6732061762422689E-6</v>
      </c>
      <c r="U30" s="3">
        <f t="shared" si="25"/>
        <v>9.8847331926807106E-39</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2.3440882525050952E-3</v>
      </c>
      <c r="C31" s="18">
        <f t="shared" si="3"/>
        <v>3.2709514210797811E-3</v>
      </c>
      <c r="D31" s="17"/>
      <c r="F31" s="3">
        <f t="shared" si="25"/>
        <v>3.2709514210797568E-3</v>
      </c>
      <c r="G31" s="3">
        <f t="shared" si="25"/>
        <v>3.2709514210795378E-3</v>
      </c>
      <c r="H31" s="3">
        <f t="shared" si="25"/>
        <v>3.2709514210773481E-3</v>
      </c>
      <c r="I31" s="3">
        <f t="shared" si="25"/>
        <v>3.2709514210554516E-3</v>
      </c>
      <c r="J31" s="3">
        <f t="shared" si="25"/>
        <v>3.2709514208364848E-3</v>
      </c>
      <c r="K31" s="3">
        <f t="shared" si="25"/>
        <v>3.2709514186468206E-3</v>
      </c>
      <c r="L31" s="3">
        <f t="shared" si="25"/>
        <v>3.2709513967501738E-3</v>
      </c>
      <c r="M31" s="3">
        <f t="shared" si="25"/>
        <v>3.270951177783719E-3</v>
      </c>
      <c r="N31" s="3">
        <f t="shared" si="25"/>
        <v>3.2709489881199739E-3</v>
      </c>
      <c r="O31" s="3">
        <f t="shared" si="25"/>
        <v>3.2709270915631423E-3</v>
      </c>
      <c r="P31" s="3">
        <f t="shared" si="25"/>
        <v>3.2707081340566232E-3</v>
      </c>
      <c r="Q31" s="3">
        <f t="shared" si="25"/>
        <v>3.2685193649714807E-3</v>
      </c>
      <c r="R31" s="3">
        <f t="shared" si="25"/>
        <v>3.2467120728499818E-3</v>
      </c>
      <c r="S31" s="3">
        <f t="shared" si="25"/>
        <v>3.0364834021265074E-3</v>
      </c>
      <c r="T31" s="3">
        <f t="shared" si="25"/>
        <v>1.5546844962865713E-3</v>
      </c>
      <c r="U31" s="3">
        <f t="shared" si="25"/>
        <v>1.9246680151518782E-6</v>
      </c>
      <c r="V31" s="3">
        <f t="shared" si="26"/>
        <v>1.6273892515854886E-35</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9.1407570158879691E-4</v>
      </c>
      <c r="C32" s="18">
        <f t="shared" si="3"/>
        <v>1.2755053961347703E-3</v>
      </c>
      <c r="D32" s="17"/>
      <c r="F32" s="3">
        <f t="shared" si="25"/>
        <v>1.2755053961347694E-3</v>
      </c>
      <c r="G32" s="3">
        <f t="shared" si="25"/>
        <v>1.2755053961347618E-3</v>
      </c>
      <c r="H32" s="3">
        <f t="shared" si="25"/>
        <v>1.2755053961346849E-3</v>
      </c>
      <c r="I32" s="3">
        <f t="shared" si="25"/>
        <v>1.2755053961339144E-3</v>
      </c>
      <c r="J32" s="3">
        <f t="shared" si="25"/>
        <v>1.275505396126212E-3</v>
      </c>
      <c r="K32" s="3">
        <f t="shared" si="25"/>
        <v>1.2755053960491868E-3</v>
      </c>
      <c r="L32" s="3">
        <f t="shared" si="25"/>
        <v>1.2755053952789356E-3</v>
      </c>
      <c r="M32" s="3">
        <f t="shared" si="25"/>
        <v>1.2755053875764233E-3</v>
      </c>
      <c r="N32" s="3">
        <f t="shared" si="25"/>
        <v>1.2755053105513029E-3</v>
      </c>
      <c r="O32" s="3">
        <f t="shared" si="25"/>
        <v>1.2755045403003537E-3</v>
      </c>
      <c r="P32" s="3">
        <f t="shared" si="25"/>
        <v>1.2754968378164459E-3</v>
      </c>
      <c r="Q32" s="3">
        <f t="shared" si="25"/>
        <v>1.2754198155355658E-3</v>
      </c>
      <c r="R32" s="3">
        <f t="shared" si="25"/>
        <v>1.2746498484895678E-3</v>
      </c>
      <c r="S32" s="3">
        <f t="shared" si="25"/>
        <v>1.2669756972554823E-3</v>
      </c>
      <c r="T32" s="3">
        <f t="shared" si="25"/>
        <v>1.1927299978604408E-3</v>
      </c>
      <c r="U32" s="3">
        <f t="shared" si="25"/>
        <v>6.5204972952682548E-4</v>
      </c>
      <c r="V32" s="3">
        <f t="shared" si="26"/>
        <v>1.5547712044394052E-6</v>
      </c>
      <c r="W32" s="3">
        <f t="shared" si="26"/>
        <v>9.2368562143816096E-33</v>
      </c>
      <c r="X32" s="3">
        <f t="shared" si="26"/>
        <v>5.0594246207088215E-295</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0</v>
      </c>
      <c r="C33" s="18">
        <f t="shared" si="3"/>
        <v>0</v>
      </c>
      <c r="D33" s="17"/>
      <c r="F33" s="3">
        <f t="shared" si="25"/>
        <v>0</v>
      </c>
      <c r="G33" s="3">
        <f t="shared" si="25"/>
        <v>0</v>
      </c>
      <c r="H33" s="3">
        <f t="shared" si="25"/>
        <v>0</v>
      </c>
      <c r="I33" s="3">
        <f t="shared" si="25"/>
        <v>0</v>
      </c>
      <c r="J33" s="3">
        <f t="shared" si="25"/>
        <v>0</v>
      </c>
      <c r="K33" s="3">
        <f t="shared" si="25"/>
        <v>0</v>
      </c>
      <c r="L33" s="3">
        <f t="shared" si="25"/>
        <v>0</v>
      </c>
      <c r="M33" s="3">
        <f t="shared" si="25"/>
        <v>0</v>
      </c>
      <c r="N33" s="3">
        <f t="shared" si="25"/>
        <v>0</v>
      </c>
      <c r="O33" s="3">
        <f t="shared" si="25"/>
        <v>0</v>
      </c>
      <c r="P33" s="3">
        <f t="shared" si="25"/>
        <v>0</v>
      </c>
      <c r="Q33" s="3">
        <f t="shared" si="25"/>
        <v>0</v>
      </c>
      <c r="R33" s="3">
        <f t="shared" si="25"/>
        <v>0</v>
      </c>
      <c r="S33" s="3">
        <f t="shared" si="25"/>
        <v>0</v>
      </c>
      <c r="T33" s="3">
        <f t="shared" si="25"/>
        <v>0</v>
      </c>
      <c r="U33" s="3">
        <f t="shared" ref="P33:AE48" si="27">$C33*EXP(-U$15/$A33)</f>
        <v>0</v>
      </c>
      <c r="V33" s="3">
        <f t="shared" si="27"/>
        <v>0</v>
      </c>
      <c r="W33" s="3">
        <f t="shared" si="27"/>
        <v>0</v>
      </c>
      <c r="X33" s="3">
        <f t="shared" si="27"/>
        <v>0</v>
      </c>
      <c r="Y33" s="3">
        <f t="shared" si="27"/>
        <v>0</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7.2838334665339735E-6</v>
      </c>
      <c r="C34" s="18">
        <f t="shared" si="3"/>
        <v>1.0163894385292978E-5</v>
      </c>
      <c r="D34" s="17"/>
      <c r="F34" s="3">
        <f t="shared" ref="F34:O48" si="28">$C34*EXP(-F$15/$A34)</f>
        <v>1.0163894385292978E-5</v>
      </c>
      <c r="G34" s="3">
        <f t="shared" si="28"/>
        <v>1.0163894385292978E-5</v>
      </c>
      <c r="H34" s="3">
        <f t="shared" si="28"/>
        <v>1.0163894385292973E-5</v>
      </c>
      <c r="I34" s="3">
        <f t="shared" si="28"/>
        <v>1.0163894385292922E-5</v>
      </c>
      <c r="J34" s="3">
        <f t="shared" si="28"/>
        <v>1.0163894385292423E-5</v>
      </c>
      <c r="K34" s="3">
        <f t="shared" si="28"/>
        <v>1.0163894385287428E-5</v>
      </c>
      <c r="L34" s="3">
        <f t="shared" si="28"/>
        <v>1.0163894385237482E-5</v>
      </c>
      <c r="M34" s="3">
        <f t="shared" si="28"/>
        <v>1.0163894384738019E-5</v>
      </c>
      <c r="N34" s="3">
        <f t="shared" si="28"/>
        <v>1.0163894379743388E-5</v>
      </c>
      <c r="O34" s="3">
        <f t="shared" si="28"/>
        <v>1.0163894329797075E-5</v>
      </c>
      <c r="P34" s="3">
        <f t="shared" si="27"/>
        <v>1.0163893830333969E-5</v>
      </c>
      <c r="Q34" s="3">
        <f t="shared" si="27"/>
        <v>1.0163888835704247E-5</v>
      </c>
      <c r="R34" s="3">
        <f t="shared" si="27"/>
        <v>1.0163838889542034E-5</v>
      </c>
      <c r="S34" s="3">
        <f t="shared" si="27"/>
        <v>1.016333944141887E-5</v>
      </c>
      <c r="T34" s="3">
        <f t="shared" si="27"/>
        <v>1.0158346309838807E-5</v>
      </c>
      <c r="U34" s="3">
        <f t="shared" si="27"/>
        <v>1.0108549714122536E-5</v>
      </c>
      <c r="V34" s="3">
        <f t="shared" si="27"/>
        <v>9.6238140018672596E-6</v>
      </c>
      <c r="W34" s="3">
        <f t="shared" si="27"/>
        <v>5.8874999499670013E-6</v>
      </c>
      <c r="X34" s="3">
        <f t="shared" si="27"/>
        <v>4.3228271683029083E-8</v>
      </c>
      <c r="Y34" s="3">
        <f t="shared" si="27"/>
        <v>1.9685091173007085E-29</v>
      </c>
      <c r="Z34" s="3">
        <f t="shared" si="27"/>
        <v>7.548019505735717E-243</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1.7930122850134785E-5</v>
      </c>
      <c r="C35" s="18">
        <f t="shared" si="3"/>
        <v>2.5019775067814324E-5</v>
      </c>
      <c r="D35" s="17"/>
      <c r="F35" s="3">
        <f t="shared" si="28"/>
        <v>2.5019775067814324E-5</v>
      </c>
      <c r="G35" s="3">
        <f t="shared" si="28"/>
        <v>2.5019775067814324E-5</v>
      </c>
      <c r="H35" s="3">
        <f t="shared" si="28"/>
        <v>2.5019775067814324E-5</v>
      </c>
      <c r="I35" s="3">
        <f t="shared" si="28"/>
        <v>2.5019775067814314E-5</v>
      </c>
      <c r="J35" s="3">
        <f t="shared" si="28"/>
        <v>2.5019775067814202E-5</v>
      </c>
      <c r="K35" s="3">
        <f t="shared" si="28"/>
        <v>2.5019775067813091E-5</v>
      </c>
      <c r="L35" s="3">
        <f t="shared" si="28"/>
        <v>2.5019775067802001E-5</v>
      </c>
      <c r="M35" s="3">
        <f t="shared" si="28"/>
        <v>2.5019775067691087E-5</v>
      </c>
      <c r="N35" s="3">
        <f t="shared" si="28"/>
        <v>2.5019775066581982E-5</v>
      </c>
      <c r="O35" s="3">
        <f t="shared" si="28"/>
        <v>2.5019775055490916E-5</v>
      </c>
      <c r="P35" s="3">
        <f t="shared" si="27"/>
        <v>2.5019774944580259E-5</v>
      </c>
      <c r="Q35" s="3">
        <f t="shared" si="27"/>
        <v>2.5019773835473726E-5</v>
      </c>
      <c r="R35" s="3">
        <f t="shared" si="27"/>
        <v>2.5019762744411084E-5</v>
      </c>
      <c r="S35" s="3">
        <f t="shared" si="27"/>
        <v>2.5019651834055064E-5</v>
      </c>
      <c r="T35" s="3">
        <f t="shared" si="27"/>
        <v>2.5018542757535574E-5</v>
      </c>
      <c r="U35" s="3">
        <f t="shared" si="27"/>
        <v>2.5007454695967157E-5</v>
      </c>
      <c r="V35" s="3">
        <f t="shared" si="27"/>
        <v>2.4896844000015744E-5</v>
      </c>
      <c r="W35" s="3">
        <f t="shared" si="27"/>
        <v>2.3817291497201962E-5</v>
      </c>
      <c r="X35" s="3">
        <f t="shared" si="27"/>
        <v>1.5288789839624531E-5</v>
      </c>
      <c r="Y35" s="3">
        <f t="shared" si="27"/>
        <v>1.8162703770875457E-7</v>
      </c>
      <c r="Z35" s="3">
        <f t="shared" si="27"/>
        <v>1.0168441366884044E-26</v>
      </c>
      <c r="AA35" s="3">
        <f t="shared" si="27"/>
        <v>3.0760492074609702E-219</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1.6989062156028032E-5</v>
      </c>
      <c r="C36" s="18">
        <f t="shared" si="3"/>
        <v>2.3706614690246962E-5</v>
      </c>
      <c r="D36" s="17"/>
      <c r="F36" s="3">
        <f t="shared" si="28"/>
        <v>2.3706614690246962E-5</v>
      </c>
      <c r="G36" s="3">
        <f t="shared" si="28"/>
        <v>2.3706614690246962E-5</v>
      </c>
      <c r="H36" s="3">
        <f t="shared" si="28"/>
        <v>2.3706614690246962E-5</v>
      </c>
      <c r="I36" s="3">
        <f t="shared" si="28"/>
        <v>2.3706614690246962E-5</v>
      </c>
      <c r="J36" s="3">
        <f t="shared" si="28"/>
        <v>2.3706614690246951E-5</v>
      </c>
      <c r="K36" s="3">
        <f t="shared" si="28"/>
        <v>2.3706614690246857E-5</v>
      </c>
      <c r="L36" s="3">
        <f t="shared" si="28"/>
        <v>2.3706614690245908E-5</v>
      </c>
      <c r="M36" s="3">
        <f t="shared" si="28"/>
        <v>2.3706614690236428E-5</v>
      </c>
      <c r="N36" s="3">
        <f t="shared" si="28"/>
        <v>2.3706614690141628E-5</v>
      </c>
      <c r="O36" s="3">
        <f t="shared" si="28"/>
        <v>2.3706614689193636E-5</v>
      </c>
      <c r="P36" s="3">
        <f t="shared" si="27"/>
        <v>2.3706614679713687E-5</v>
      </c>
      <c r="Q36" s="3">
        <f t="shared" si="27"/>
        <v>2.3706614584914193E-5</v>
      </c>
      <c r="R36" s="3">
        <f t="shared" si="27"/>
        <v>2.3706613636919303E-5</v>
      </c>
      <c r="S36" s="3">
        <f t="shared" si="27"/>
        <v>2.3706604156972493E-5</v>
      </c>
      <c r="T36" s="3">
        <f t="shared" si="27"/>
        <v>2.3706509357712861E-5</v>
      </c>
      <c r="U36" s="3">
        <f t="shared" si="27"/>
        <v>2.3705561385966184E-5</v>
      </c>
      <c r="V36" s="3">
        <f t="shared" si="27"/>
        <v>2.3696083753152351E-5</v>
      </c>
      <c r="W36" s="3">
        <f t="shared" si="27"/>
        <v>2.3601515582199099E-5</v>
      </c>
      <c r="X36" s="3">
        <f t="shared" si="27"/>
        <v>2.2676344872719596E-5</v>
      </c>
      <c r="Y36" s="3">
        <f t="shared" si="27"/>
        <v>1.5202137760227468E-5</v>
      </c>
      <c r="Z36" s="3">
        <f t="shared" si="27"/>
        <v>2.7875378170278375E-7</v>
      </c>
      <c r="AA36" s="3">
        <f t="shared" si="27"/>
        <v>1.1977931079120748E-24</v>
      </c>
      <c r="AB36" s="3">
        <f t="shared" si="27"/>
        <v>2.5703497887150704E-198</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2.8291877302338222E-5</v>
      </c>
      <c r="C37" s="18">
        <f t="shared" si="3"/>
        <v>3.9478614411466939E-5</v>
      </c>
      <c r="D37" s="17"/>
      <c r="F37" s="3">
        <f t="shared" si="28"/>
        <v>3.9478614411466939E-5</v>
      </c>
      <c r="G37" s="3">
        <f t="shared" si="28"/>
        <v>3.9478614411466939E-5</v>
      </c>
      <c r="H37" s="3">
        <f t="shared" si="28"/>
        <v>3.9478614411466939E-5</v>
      </c>
      <c r="I37" s="3">
        <f t="shared" si="28"/>
        <v>3.9478614411466939E-5</v>
      </c>
      <c r="J37" s="3">
        <f t="shared" si="28"/>
        <v>3.9478614411466939E-5</v>
      </c>
      <c r="K37" s="3">
        <f t="shared" si="28"/>
        <v>3.9478614411466918E-5</v>
      </c>
      <c r="L37" s="3">
        <f t="shared" si="28"/>
        <v>3.9478614411466783E-5</v>
      </c>
      <c r="M37" s="3">
        <f t="shared" si="28"/>
        <v>3.9478614411465353E-5</v>
      </c>
      <c r="N37" s="3">
        <f t="shared" si="28"/>
        <v>3.9478614411451116E-5</v>
      </c>
      <c r="O37" s="3">
        <f t="shared" si="28"/>
        <v>3.9478614411308706E-5</v>
      </c>
      <c r="P37" s="3">
        <f t="shared" si="27"/>
        <v>3.9478614409884593E-5</v>
      </c>
      <c r="Q37" s="3">
        <f t="shared" si="27"/>
        <v>3.9478614395643442E-5</v>
      </c>
      <c r="R37" s="3">
        <f t="shared" si="27"/>
        <v>3.9478614253231975E-5</v>
      </c>
      <c r="S37" s="3">
        <f t="shared" si="27"/>
        <v>3.9478612829117344E-5</v>
      </c>
      <c r="T37" s="3">
        <f t="shared" si="27"/>
        <v>3.9478598587973836E-5</v>
      </c>
      <c r="U37" s="3">
        <f t="shared" si="27"/>
        <v>3.9478456176821338E-5</v>
      </c>
      <c r="V37" s="3">
        <f t="shared" si="27"/>
        <v>3.9477032093550597E-5</v>
      </c>
      <c r="W37" s="3">
        <f t="shared" si="27"/>
        <v>3.9462794085894265E-5</v>
      </c>
      <c r="X37" s="3">
        <f t="shared" si="27"/>
        <v>3.9320696137739179E-5</v>
      </c>
      <c r="Y37" s="3">
        <f t="shared" si="27"/>
        <v>3.7927556545052575E-5</v>
      </c>
      <c r="Z37" s="3">
        <f t="shared" si="27"/>
        <v>2.6441831251028253E-5</v>
      </c>
      <c r="AA37" s="3">
        <f t="shared" si="27"/>
        <v>7.1722955462343197E-7</v>
      </c>
      <c r="AB37" s="3">
        <f t="shared" si="27"/>
        <v>1.5464100199639562E-22</v>
      </c>
      <c r="AC37" s="3">
        <f t="shared" si="27"/>
        <v>3.3572944666591916E-179</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0</v>
      </c>
      <c r="C38" s="18">
        <f t="shared" si="3"/>
        <v>0</v>
      </c>
      <c r="D38" s="17"/>
      <c r="F38" s="3">
        <f t="shared" si="28"/>
        <v>0</v>
      </c>
      <c r="G38" s="3">
        <f t="shared" si="28"/>
        <v>0</v>
      </c>
      <c r="H38" s="3">
        <f t="shared" si="28"/>
        <v>0</v>
      </c>
      <c r="I38" s="3">
        <f t="shared" si="28"/>
        <v>0</v>
      </c>
      <c r="J38" s="3">
        <f t="shared" si="28"/>
        <v>0</v>
      </c>
      <c r="K38" s="3">
        <f t="shared" si="28"/>
        <v>0</v>
      </c>
      <c r="L38" s="3">
        <f t="shared" si="28"/>
        <v>0</v>
      </c>
      <c r="M38" s="3">
        <f t="shared" si="28"/>
        <v>0</v>
      </c>
      <c r="N38" s="3">
        <f t="shared" si="28"/>
        <v>0</v>
      </c>
      <c r="O38" s="3">
        <f t="shared" si="28"/>
        <v>0</v>
      </c>
      <c r="P38" s="3">
        <f t="shared" si="27"/>
        <v>0</v>
      </c>
      <c r="Q38" s="3">
        <f t="shared" si="27"/>
        <v>0</v>
      </c>
      <c r="R38" s="3">
        <f t="shared" si="27"/>
        <v>0</v>
      </c>
      <c r="S38" s="3">
        <f t="shared" si="27"/>
        <v>0</v>
      </c>
      <c r="T38" s="3">
        <f t="shared" si="27"/>
        <v>0</v>
      </c>
      <c r="U38" s="3">
        <f t="shared" si="27"/>
        <v>0</v>
      </c>
      <c r="V38" s="3">
        <f t="shared" si="27"/>
        <v>0</v>
      </c>
      <c r="W38" s="3">
        <f t="shared" si="27"/>
        <v>0</v>
      </c>
      <c r="X38" s="3">
        <f t="shared" si="27"/>
        <v>0</v>
      </c>
      <c r="Y38" s="3">
        <f t="shared" si="27"/>
        <v>0</v>
      </c>
      <c r="Z38" s="3">
        <f t="shared" si="27"/>
        <v>0</v>
      </c>
      <c r="AA38" s="3">
        <f t="shared" si="27"/>
        <v>0</v>
      </c>
      <c r="AB38" s="3">
        <f t="shared" si="27"/>
        <v>0</v>
      </c>
      <c r="AC38" s="3">
        <f t="shared" si="27"/>
        <v>0</v>
      </c>
      <c r="AD38" s="3">
        <f t="shared" si="27"/>
        <v>0</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4.6897892350926301E-5</v>
      </c>
      <c r="C39" s="18">
        <f t="shared" si="3"/>
        <v>6.5441532530599776E-5</v>
      </c>
      <c r="D39" s="17"/>
      <c r="F39" s="3">
        <f t="shared" si="28"/>
        <v>6.5441532530599776E-5</v>
      </c>
      <c r="G39" s="3">
        <f t="shared" si="28"/>
        <v>6.5441532530599776E-5</v>
      </c>
      <c r="H39" s="3">
        <f t="shared" si="28"/>
        <v>6.5441532530599776E-5</v>
      </c>
      <c r="I39" s="3">
        <f t="shared" si="28"/>
        <v>6.5441532530599776E-5</v>
      </c>
      <c r="J39" s="3">
        <f t="shared" si="28"/>
        <v>6.5441532530599776E-5</v>
      </c>
      <c r="K39" s="3">
        <f t="shared" si="28"/>
        <v>6.5441532530599776E-5</v>
      </c>
      <c r="L39" s="3">
        <f t="shared" si="28"/>
        <v>6.5441532530599762E-5</v>
      </c>
      <c r="M39" s="3">
        <f t="shared" si="28"/>
        <v>6.5441532530599708E-5</v>
      </c>
      <c r="N39" s="3">
        <f t="shared" si="28"/>
        <v>6.5441532530599125E-5</v>
      </c>
      <c r="O39" s="3">
        <f t="shared" si="28"/>
        <v>6.544153253059323E-5</v>
      </c>
      <c r="P39" s="3">
        <f t="shared" si="27"/>
        <v>6.5441532530534331E-5</v>
      </c>
      <c r="Q39" s="3">
        <f t="shared" si="27"/>
        <v>6.5441532529945365E-5</v>
      </c>
      <c r="R39" s="3">
        <f t="shared" si="27"/>
        <v>6.5441532524055626E-5</v>
      </c>
      <c r="S39" s="3">
        <f t="shared" si="27"/>
        <v>6.5441532465158241E-5</v>
      </c>
      <c r="T39" s="3">
        <f t="shared" si="27"/>
        <v>6.5441531876184452E-5</v>
      </c>
      <c r="U39" s="3">
        <f t="shared" si="27"/>
        <v>6.5441525986446847E-5</v>
      </c>
      <c r="V39" s="3">
        <f t="shared" si="27"/>
        <v>6.5441467089099968E-5</v>
      </c>
      <c r="W39" s="3">
        <f t="shared" si="27"/>
        <v>6.5440878118546529E-5</v>
      </c>
      <c r="X39" s="3">
        <f t="shared" si="27"/>
        <v>6.5434988704543472E-5</v>
      </c>
      <c r="Y39" s="3">
        <f t="shared" si="27"/>
        <v>6.5376123707931247E-5</v>
      </c>
      <c r="Z39" s="3">
        <f t="shared" si="27"/>
        <v>6.479037840221109E-5</v>
      </c>
      <c r="AA39" s="3">
        <f t="shared" si="27"/>
        <v>5.921394732730415E-5</v>
      </c>
      <c r="AB39" s="3">
        <f t="shared" si="27"/>
        <v>2.4074594416759809E-5</v>
      </c>
      <c r="AC39" s="3">
        <f t="shared" si="27"/>
        <v>2.9710409804385976E-9</v>
      </c>
      <c r="AD39" s="3">
        <f t="shared" si="27"/>
        <v>2.4344747300107027E-48</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6.5017375199094256E-6</v>
      </c>
      <c r="C40" s="18">
        <f t="shared" si="3"/>
        <v>9.072554140189839E-6</v>
      </c>
      <c r="D40" s="17"/>
      <c r="F40" s="3">
        <f t="shared" si="28"/>
        <v>9.072554140189839E-6</v>
      </c>
      <c r="G40" s="3">
        <f t="shared" si="28"/>
        <v>9.072554140189839E-6</v>
      </c>
      <c r="H40" s="3">
        <f t="shared" si="28"/>
        <v>9.072554140189839E-6</v>
      </c>
      <c r="I40" s="3">
        <f t="shared" si="28"/>
        <v>9.072554140189839E-6</v>
      </c>
      <c r="J40" s="3">
        <f t="shared" si="28"/>
        <v>9.072554140189839E-6</v>
      </c>
      <c r="K40" s="3">
        <f t="shared" si="28"/>
        <v>9.072554140189839E-6</v>
      </c>
      <c r="L40" s="3">
        <f t="shared" si="28"/>
        <v>9.072554140189839E-6</v>
      </c>
      <c r="M40" s="3">
        <f t="shared" si="28"/>
        <v>9.0725541401898373E-6</v>
      </c>
      <c r="N40" s="3">
        <f t="shared" si="28"/>
        <v>9.0725541401898305E-6</v>
      </c>
      <c r="O40" s="3">
        <f t="shared" si="28"/>
        <v>9.0725541401897475E-6</v>
      </c>
      <c r="P40" s="3">
        <f t="shared" si="27"/>
        <v>9.072554140188931E-6</v>
      </c>
      <c r="Q40" s="3">
        <f t="shared" si="27"/>
        <v>9.0725541401807673E-6</v>
      </c>
      <c r="R40" s="3">
        <f t="shared" si="27"/>
        <v>9.0725541400991133E-6</v>
      </c>
      <c r="S40" s="3">
        <f t="shared" si="27"/>
        <v>9.0725541392825837E-6</v>
      </c>
      <c r="T40" s="3">
        <f t="shared" si="27"/>
        <v>9.0725541311172843E-6</v>
      </c>
      <c r="U40" s="3">
        <f t="shared" si="27"/>
        <v>9.0725540494642975E-6</v>
      </c>
      <c r="V40" s="3">
        <f t="shared" si="27"/>
        <v>9.0725532329344704E-6</v>
      </c>
      <c r="W40" s="3">
        <f t="shared" si="27"/>
        <v>9.0725450676402358E-6</v>
      </c>
      <c r="X40" s="3">
        <f t="shared" si="27"/>
        <v>9.072463415102064E-6</v>
      </c>
      <c r="Y40" s="3">
        <f t="shared" si="27"/>
        <v>9.0716469301370782E-6</v>
      </c>
      <c r="Z40" s="3">
        <f t="shared" si="27"/>
        <v>9.0634861208150051E-6</v>
      </c>
      <c r="AA40" s="3">
        <f t="shared" si="27"/>
        <v>8.9822807181752775E-6</v>
      </c>
      <c r="AB40" s="3">
        <f t="shared" si="27"/>
        <v>8.2091864632008288E-6</v>
      </c>
      <c r="AC40" s="3">
        <f t="shared" si="27"/>
        <v>3.3376061470906935E-6</v>
      </c>
      <c r="AD40" s="3">
        <f t="shared" si="27"/>
        <v>4.1189332073095988E-10</v>
      </c>
      <c r="AE40" s="3">
        <f t="shared" si="27"/>
        <v>3.3750590698068593E-49</v>
      </c>
      <c r="AF40" s="3">
        <f t="shared" si="29"/>
        <v>0</v>
      </c>
      <c r="AG40" s="3">
        <f t="shared" si="29"/>
        <v>0</v>
      </c>
      <c r="AH40" s="3">
        <f t="shared" si="29"/>
        <v>0</v>
      </c>
      <c r="AI40" s="3">
        <f t="shared" si="29"/>
        <v>0</v>
      </c>
      <c r="AJ40" s="3">
        <f t="shared" si="29"/>
        <v>0</v>
      </c>
    </row>
    <row r="41" spans="1:36" x14ac:dyDescent="0.25">
      <c r="A41" s="3">
        <f t="shared" si="30"/>
        <v>1000000000</v>
      </c>
      <c r="B41" s="106">
        <v>2.4830493293252035E-7</v>
      </c>
      <c r="C41" s="18">
        <f t="shared" si="3"/>
        <v>3.4648583404177175E-7</v>
      </c>
      <c r="D41" s="17"/>
      <c r="F41" s="3">
        <f t="shared" si="28"/>
        <v>3.4648583404177175E-7</v>
      </c>
      <c r="G41" s="3">
        <f t="shared" si="28"/>
        <v>3.4648583404177175E-7</v>
      </c>
      <c r="H41" s="3">
        <f t="shared" si="28"/>
        <v>3.4648583404177175E-7</v>
      </c>
      <c r="I41" s="3">
        <f t="shared" si="28"/>
        <v>3.4648583404177175E-7</v>
      </c>
      <c r="J41" s="3">
        <f t="shared" si="28"/>
        <v>3.4648583404177175E-7</v>
      </c>
      <c r="K41" s="3">
        <f t="shared" si="28"/>
        <v>3.4648583404177175E-7</v>
      </c>
      <c r="L41" s="3">
        <f t="shared" si="28"/>
        <v>3.4648583404177175E-7</v>
      </c>
      <c r="M41" s="3">
        <f t="shared" si="28"/>
        <v>3.4648583404177175E-7</v>
      </c>
      <c r="N41" s="3">
        <f t="shared" si="28"/>
        <v>3.464858340417717E-7</v>
      </c>
      <c r="O41" s="3">
        <f t="shared" si="28"/>
        <v>3.4648583404177138E-7</v>
      </c>
      <c r="P41" s="3">
        <f t="shared" si="27"/>
        <v>3.4648583404176831E-7</v>
      </c>
      <c r="Q41" s="3">
        <f t="shared" si="27"/>
        <v>3.4648583404173708E-7</v>
      </c>
      <c r="R41" s="3">
        <f t="shared" si="27"/>
        <v>3.4648583404142526E-7</v>
      </c>
      <c r="S41" s="3">
        <f t="shared" si="27"/>
        <v>3.4648583403830691E-7</v>
      </c>
      <c r="T41" s="3">
        <f t="shared" si="27"/>
        <v>3.4648583400712318E-7</v>
      </c>
      <c r="U41" s="3">
        <f t="shared" si="27"/>
        <v>3.4648583369528594E-7</v>
      </c>
      <c r="V41" s="3">
        <f t="shared" si="27"/>
        <v>3.4648583057691344E-7</v>
      </c>
      <c r="W41" s="3">
        <f t="shared" si="27"/>
        <v>3.4648579939319008E-7</v>
      </c>
      <c r="X41" s="3">
        <f t="shared" si="27"/>
        <v>3.4648548755611097E-7</v>
      </c>
      <c r="Y41" s="3">
        <f t="shared" si="27"/>
        <v>3.4648236920075558E-7</v>
      </c>
      <c r="Z41" s="3">
        <f t="shared" si="27"/>
        <v>3.4645118719073901E-7</v>
      </c>
      <c r="AA41" s="3">
        <f t="shared" si="27"/>
        <v>3.4613952139291382E-7</v>
      </c>
      <c r="AB41" s="3">
        <f t="shared" si="27"/>
        <v>3.43038242389498E-7</v>
      </c>
      <c r="AC41" s="3">
        <f t="shared" si="27"/>
        <v>3.1351334746039271E-7</v>
      </c>
      <c r="AD41" s="3">
        <f t="shared" si="27"/>
        <v>1.2746501500110809E-7</v>
      </c>
      <c r="AE41" s="3">
        <f t="shared" si="27"/>
        <v>1.573043252919242E-11</v>
      </c>
      <c r="AF41" s="3">
        <f t="shared" si="29"/>
        <v>1.2889536272503374E-50</v>
      </c>
      <c r="AG41" s="3">
        <f t="shared" si="29"/>
        <v>0</v>
      </c>
      <c r="AH41" s="3">
        <f t="shared" si="29"/>
        <v>0</v>
      </c>
      <c r="AI41" s="3">
        <f t="shared" si="29"/>
        <v>0</v>
      </c>
      <c r="AJ41" s="3">
        <f t="shared" si="29"/>
        <v>0</v>
      </c>
    </row>
    <row r="42" spans="1:36" x14ac:dyDescent="0.25">
      <c r="A42" s="3">
        <f t="shared" si="30"/>
        <v>10000000000</v>
      </c>
      <c r="B42" s="106">
        <v>0</v>
      </c>
      <c r="C42" s="18">
        <f t="shared" si="3"/>
        <v>0</v>
      </c>
      <c r="D42" s="17"/>
      <c r="F42" s="3">
        <f t="shared" si="28"/>
        <v>0</v>
      </c>
      <c r="G42" s="3">
        <f t="shared" si="28"/>
        <v>0</v>
      </c>
      <c r="H42" s="3">
        <f t="shared" si="28"/>
        <v>0</v>
      </c>
      <c r="I42" s="3">
        <f t="shared" si="28"/>
        <v>0</v>
      </c>
      <c r="J42" s="3">
        <f t="shared" si="28"/>
        <v>0</v>
      </c>
      <c r="K42" s="3">
        <f t="shared" si="28"/>
        <v>0</v>
      </c>
      <c r="L42" s="3">
        <f t="shared" si="28"/>
        <v>0</v>
      </c>
      <c r="M42" s="3">
        <f t="shared" si="28"/>
        <v>0</v>
      </c>
      <c r="N42" s="3">
        <f t="shared" si="28"/>
        <v>0</v>
      </c>
      <c r="O42" s="3">
        <f t="shared" si="28"/>
        <v>0</v>
      </c>
      <c r="P42" s="3">
        <f t="shared" si="27"/>
        <v>0</v>
      </c>
      <c r="Q42" s="3">
        <f t="shared" si="27"/>
        <v>0</v>
      </c>
      <c r="R42" s="3">
        <f t="shared" si="27"/>
        <v>0</v>
      </c>
      <c r="S42" s="3">
        <f t="shared" si="27"/>
        <v>0</v>
      </c>
      <c r="T42" s="3">
        <f t="shared" si="27"/>
        <v>0</v>
      </c>
      <c r="U42" s="3">
        <f t="shared" si="27"/>
        <v>0</v>
      </c>
      <c r="V42" s="3">
        <f t="shared" si="27"/>
        <v>0</v>
      </c>
      <c r="W42" s="3">
        <f t="shared" si="27"/>
        <v>0</v>
      </c>
      <c r="X42" s="3">
        <f t="shared" si="27"/>
        <v>0</v>
      </c>
      <c r="Y42" s="3">
        <f t="shared" si="27"/>
        <v>0</v>
      </c>
      <c r="Z42" s="3">
        <f t="shared" si="27"/>
        <v>0</v>
      </c>
      <c r="AA42" s="3">
        <f t="shared" si="27"/>
        <v>0</v>
      </c>
      <c r="AB42" s="3">
        <f t="shared" si="27"/>
        <v>0</v>
      </c>
      <c r="AC42" s="3">
        <f t="shared" si="27"/>
        <v>0</v>
      </c>
      <c r="AD42" s="3">
        <f t="shared" si="27"/>
        <v>0</v>
      </c>
      <c r="AE42" s="3">
        <f t="shared" si="27"/>
        <v>0</v>
      </c>
      <c r="AF42" s="3">
        <f t="shared" si="29"/>
        <v>0</v>
      </c>
      <c r="AG42" s="3">
        <f t="shared" si="29"/>
        <v>0</v>
      </c>
      <c r="AH42" s="3">
        <f t="shared" si="29"/>
        <v>0</v>
      </c>
      <c r="AI42" s="3">
        <f t="shared" si="29"/>
        <v>0</v>
      </c>
      <c r="AJ42" s="3">
        <f t="shared" si="29"/>
        <v>0</v>
      </c>
    </row>
    <row r="43" spans="1:36" x14ac:dyDescent="0.25">
      <c r="A43" s="3">
        <f t="shared" si="30"/>
        <v>100000000000</v>
      </c>
      <c r="B43" s="106">
        <v>0</v>
      </c>
      <c r="C43" s="18">
        <f t="shared" si="3"/>
        <v>0</v>
      </c>
      <c r="D43" s="17"/>
      <c r="F43" s="3">
        <f t="shared" si="28"/>
        <v>0</v>
      </c>
      <c r="G43" s="3">
        <f t="shared" si="28"/>
        <v>0</v>
      </c>
      <c r="H43" s="3">
        <f t="shared" si="28"/>
        <v>0</v>
      </c>
      <c r="I43" s="3">
        <f t="shared" si="28"/>
        <v>0</v>
      </c>
      <c r="J43" s="3">
        <f t="shared" si="28"/>
        <v>0</v>
      </c>
      <c r="K43" s="3">
        <f t="shared" si="28"/>
        <v>0</v>
      </c>
      <c r="L43" s="3">
        <f t="shared" si="28"/>
        <v>0</v>
      </c>
      <c r="M43" s="3">
        <f t="shared" si="28"/>
        <v>0</v>
      </c>
      <c r="N43" s="3">
        <f t="shared" si="28"/>
        <v>0</v>
      </c>
      <c r="O43" s="3">
        <f t="shared" si="28"/>
        <v>0</v>
      </c>
      <c r="P43" s="3">
        <f t="shared" si="27"/>
        <v>0</v>
      </c>
      <c r="Q43" s="3">
        <f t="shared" si="27"/>
        <v>0</v>
      </c>
      <c r="R43" s="3">
        <f t="shared" si="27"/>
        <v>0</v>
      </c>
      <c r="S43" s="3">
        <f t="shared" si="27"/>
        <v>0</v>
      </c>
      <c r="T43" s="3">
        <f t="shared" si="27"/>
        <v>0</v>
      </c>
      <c r="U43" s="3">
        <f t="shared" si="27"/>
        <v>0</v>
      </c>
      <c r="V43" s="3">
        <f t="shared" si="27"/>
        <v>0</v>
      </c>
      <c r="W43" s="3">
        <f t="shared" si="27"/>
        <v>0</v>
      </c>
      <c r="X43" s="3">
        <f t="shared" si="27"/>
        <v>0</v>
      </c>
      <c r="Y43" s="3">
        <f t="shared" si="27"/>
        <v>0</v>
      </c>
      <c r="Z43" s="3">
        <f t="shared" si="27"/>
        <v>0</v>
      </c>
      <c r="AA43" s="3">
        <f t="shared" si="27"/>
        <v>0</v>
      </c>
      <c r="AB43" s="3">
        <f t="shared" si="27"/>
        <v>0</v>
      </c>
      <c r="AC43" s="3">
        <f t="shared" si="27"/>
        <v>0</v>
      </c>
      <c r="AD43" s="3">
        <f t="shared" si="27"/>
        <v>0</v>
      </c>
      <c r="AE43" s="3">
        <f t="shared" si="27"/>
        <v>0</v>
      </c>
      <c r="AF43" s="3">
        <f t="shared" si="29"/>
        <v>0</v>
      </c>
      <c r="AG43" s="3">
        <f t="shared" si="29"/>
        <v>0</v>
      </c>
      <c r="AH43" s="3">
        <f t="shared" si="29"/>
        <v>0</v>
      </c>
      <c r="AI43" s="3">
        <f t="shared" si="29"/>
        <v>0</v>
      </c>
      <c r="AJ43" s="3">
        <f t="shared" si="29"/>
        <v>0</v>
      </c>
    </row>
    <row r="44" spans="1:36" x14ac:dyDescent="0.25">
      <c r="A44" s="3">
        <f t="shared" si="30"/>
        <v>1000000000000</v>
      </c>
      <c r="B44" s="106">
        <v>0</v>
      </c>
      <c r="C44" s="18">
        <f t="shared" si="3"/>
        <v>0</v>
      </c>
      <c r="D44" s="17"/>
      <c r="F44" s="3">
        <f t="shared" si="28"/>
        <v>0</v>
      </c>
      <c r="G44" s="3">
        <f t="shared" si="28"/>
        <v>0</v>
      </c>
      <c r="H44" s="3">
        <f t="shared" si="28"/>
        <v>0</v>
      </c>
      <c r="I44" s="3">
        <f t="shared" si="28"/>
        <v>0</v>
      </c>
      <c r="J44" s="3">
        <f t="shared" si="28"/>
        <v>0</v>
      </c>
      <c r="K44" s="3">
        <f t="shared" si="28"/>
        <v>0</v>
      </c>
      <c r="L44" s="3">
        <f t="shared" si="28"/>
        <v>0</v>
      </c>
      <c r="M44" s="3">
        <f t="shared" si="28"/>
        <v>0</v>
      </c>
      <c r="N44" s="3">
        <f t="shared" si="28"/>
        <v>0</v>
      </c>
      <c r="O44" s="3">
        <f t="shared" si="28"/>
        <v>0</v>
      </c>
      <c r="P44" s="3">
        <f t="shared" si="27"/>
        <v>0</v>
      </c>
      <c r="Q44" s="3">
        <f t="shared" si="27"/>
        <v>0</v>
      </c>
      <c r="R44" s="3">
        <f t="shared" si="27"/>
        <v>0</v>
      </c>
      <c r="S44" s="3">
        <f t="shared" si="27"/>
        <v>0</v>
      </c>
      <c r="T44" s="3">
        <f t="shared" si="27"/>
        <v>0</v>
      </c>
      <c r="U44" s="3">
        <f t="shared" si="27"/>
        <v>0</v>
      </c>
      <c r="V44" s="3">
        <f t="shared" si="27"/>
        <v>0</v>
      </c>
      <c r="W44" s="3">
        <f t="shared" si="27"/>
        <v>0</v>
      </c>
      <c r="X44" s="3">
        <f t="shared" si="27"/>
        <v>0</v>
      </c>
      <c r="Y44" s="3">
        <f t="shared" si="27"/>
        <v>0</v>
      </c>
      <c r="Z44" s="3">
        <f t="shared" si="27"/>
        <v>0</v>
      </c>
      <c r="AA44" s="3">
        <f t="shared" si="27"/>
        <v>0</v>
      </c>
      <c r="AB44" s="3">
        <f t="shared" si="27"/>
        <v>0</v>
      </c>
      <c r="AC44" s="3">
        <f t="shared" si="27"/>
        <v>0</v>
      </c>
      <c r="AD44" s="3">
        <f t="shared" si="27"/>
        <v>0</v>
      </c>
      <c r="AE44" s="3">
        <f t="shared" si="27"/>
        <v>0</v>
      </c>
      <c r="AF44" s="3">
        <f t="shared" si="29"/>
        <v>0</v>
      </c>
      <c r="AG44" s="3">
        <f t="shared" si="29"/>
        <v>0</v>
      </c>
      <c r="AH44" s="3">
        <f t="shared" si="29"/>
        <v>0</v>
      </c>
      <c r="AI44" s="3">
        <f t="shared" si="29"/>
        <v>0</v>
      </c>
      <c r="AJ44" s="3">
        <f t="shared" si="29"/>
        <v>0</v>
      </c>
    </row>
    <row r="45" spans="1:36" x14ac:dyDescent="0.25">
      <c r="A45" s="3">
        <f t="shared" si="30"/>
        <v>10000000000000</v>
      </c>
      <c r="B45" s="106">
        <v>0</v>
      </c>
      <c r="C45" s="18">
        <f t="shared" si="3"/>
        <v>0</v>
      </c>
      <c r="D45" s="17"/>
      <c r="F45" s="3">
        <f t="shared" si="28"/>
        <v>0</v>
      </c>
      <c r="G45" s="3">
        <f t="shared" si="28"/>
        <v>0</v>
      </c>
      <c r="H45" s="3">
        <f t="shared" si="28"/>
        <v>0</v>
      </c>
      <c r="I45" s="3">
        <f t="shared" si="28"/>
        <v>0</v>
      </c>
      <c r="J45" s="3">
        <f t="shared" si="28"/>
        <v>0</v>
      </c>
      <c r="K45" s="3">
        <f t="shared" si="28"/>
        <v>0</v>
      </c>
      <c r="L45" s="3">
        <f t="shared" si="28"/>
        <v>0</v>
      </c>
      <c r="M45" s="3">
        <f t="shared" si="28"/>
        <v>0</v>
      </c>
      <c r="N45" s="3">
        <f t="shared" si="28"/>
        <v>0</v>
      </c>
      <c r="O45" s="3">
        <f t="shared" si="28"/>
        <v>0</v>
      </c>
      <c r="P45" s="3">
        <f t="shared" si="27"/>
        <v>0</v>
      </c>
      <c r="Q45" s="3">
        <f t="shared" si="27"/>
        <v>0</v>
      </c>
      <c r="R45" s="3">
        <f t="shared" si="27"/>
        <v>0</v>
      </c>
      <c r="S45" s="3">
        <f t="shared" si="27"/>
        <v>0</v>
      </c>
      <c r="T45" s="3">
        <f t="shared" si="27"/>
        <v>0</v>
      </c>
      <c r="U45" s="3">
        <f t="shared" si="27"/>
        <v>0</v>
      </c>
      <c r="V45" s="3">
        <f t="shared" si="27"/>
        <v>0</v>
      </c>
      <c r="W45" s="3">
        <f t="shared" si="27"/>
        <v>0</v>
      </c>
      <c r="X45" s="3">
        <f t="shared" si="27"/>
        <v>0</v>
      </c>
      <c r="Y45" s="3">
        <f t="shared" si="27"/>
        <v>0</v>
      </c>
      <c r="Z45" s="3">
        <f t="shared" si="27"/>
        <v>0</v>
      </c>
      <c r="AA45" s="3">
        <f t="shared" si="27"/>
        <v>0</v>
      </c>
      <c r="AB45" s="3">
        <f t="shared" si="27"/>
        <v>0</v>
      </c>
      <c r="AC45" s="3">
        <f t="shared" si="27"/>
        <v>0</v>
      </c>
      <c r="AD45" s="3">
        <f t="shared" si="27"/>
        <v>0</v>
      </c>
      <c r="AE45" s="3">
        <f t="shared" si="27"/>
        <v>0</v>
      </c>
      <c r="AF45" s="3">
        <f t="shared" si="29"/>
        <v>0</v>
      </c>
      <c r="AG45" s="3">
        <f t="shared" si="29"/>
        <v>0</v>
      </c>
      <c r="AH45" s="3">
        <f t="shared" si="29"/>
        <v>0</v>
      </c>
      <c r="AI45" s="3">
        <f t="shared" si="29"/>
        <v>0</v>
      </c>
      <c r="AJ45" s="3">
        <f t="shared" si="29"/>
        <v>0</v>
      </c>
    </row>
    <row r="46" spans="1:36" x14ac:dyDescent="0.25">
      <c r="A46" s="3">
        <f t="shared" si="30"/>
        <v>100000000000000</v>
      </c>
      <c r="B46" s="106">
        <v>0</v>
      </c>
      <c r="C46" s="18">
        <f t="shared" si="3"/>
        <v>0</v>
      </c>
      <c r="D46" s="17"/>
      <c r="F46" s="3">
        <f t="shared" si="28"/>
        <v>0</v>
      </c>
      <c r="G46" s="3">
        <f t="shared" si="28"/>
        <v>0</v>
      </c>
      <c r="H46" s="3">
        <f t="shared" si="28"/>
        <v>0</v>
      </c>
      <c r="I46" s="3">
        <f t="shared" si="28"/>
        <v>0</v>
      </c>
      <c r="J46" s="3">
        <f t="shared" si="28"/>
        <v>0</v>
      </c>
      <c r="K46" s="3">
        <f t="shared" si="28"/>
        <v>0</v>
      </c>
      <c r="L46" s="3">
        <f t="shared" si="28"/>
        <v>0</v>
      </c>
      <c r="M46" s="3">
        <f t="shared" si="28"/>
        <v>0</v>
      </c>
      <c r="N46" s="3">
        <f t="shared" si="28"/>
        <v>0</v>
      </c>
      <c r="O46" s="3">
        <f t="shared" si="28"/>
        <v>0</v>
      </c>
      <c r="P46" s="3">
        <f t="shared" si="27"/>
        <v>0</v>
      </c>
      <c r="Q46" s="3">
        <f t="shared" si="27"/>
        <v>0</v>
      </c>
      <c r="R46" s="3">
        <f t="shared" si="27"/>
        <v>0</v>
      </c>
      <c r="S46" s="3">
        <f t="shared" si="27"/>
        <v>0</v>
      </c>
      <c r="T46" s="3">
        <f t="shared" si="27"/>
        <v>0</v>
      </c>
      <c r="U46" s="3">
        <f t="shared" si="27"/>
        <v>0</v>
      </c>
      <c r="V46" s="3">
        <f t="shared" si="27"/>
        <v>0</v>
      </c>
      <c r="W46" s="3">
        <f t="shared" si="27"/>
        <v>0</v>
      </c>
      <c r="X46" s="3">
        <f t="shared" si="27"/>
        <v>0</v>
      </c>
      <c r="Y46" s="3">
        <f t="shared" si="27"/>
        <v>0</v>
      </c>
      <c r="Z46" s="3">
        <f t="shared" si="27"/>
        <v>0</v>
      </c>
      <c r="AA46" s="3">
        <f t="shared" si="27"/>
        <v>0</v>
      </c>
      <c r="AB46" s="3">
        <f t="shared" si="27"/>
        <v>0</v>
      </c>
      <c r="AC46" s="3">
        <f t="shared" si="27"/>
        <v>0</v>
      </c>
      <c r="AD46" s="3">
        <f t="shared" si="27"/>
        <v>0</v>
      </c>
      <c r="AE46" s="3">
        <f t="shared" si="27"/>
        <v>0</v>
      </c>
      <c r="AF46" s="3">
        <f t="shared" si="29"/>
        <v>0</v>
      </c>
      <c r="AG46" s="3">
        <f t="shared" si="29"/>
        <v>0</v>
      </c>
      <c r="AH46" s="3">
        <f t="shared" si="29"/>
        <v>0</v>
      </c>
      <c r="AI46" s="3">
        <f t="shared" si="29"/>
        <v>0</v>
      </c>
      <c r="AJ46" s="3">
        <f t="shared" si="29"/>
        <v>0</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1.8912773101721011E-3</v>
      </c>
      <c r="C48" s="18">
        <f t="shared" si="3"/>
        <v>2.6390969703261771E-3</v>
      </c>
      <c r="D48" s="17"/>
      <c r="F48" s="3">
        <f t="shared" si="28"/>
        <v>2.6390969703261771E-3</v>
      </c>
      <c r="G48" s="3">
        <f t="shared" si="28"/>
        <v>2.6390969703261771E-3</v>
      </c>
      <c r="H48" s="3">
        <f t="shared" si="28"/>
        <v>2.6390969703261771E-3</v>
      </c>
      <c r="I48" s="3">
        <f t="shared" si="28"/>
        <v>2.6390969703261771E-3</v>
      </c>
      <c r="J48" s="3">
        <f t="shared" si="28"/>
        <v>2.6390969703261771E-3</v>
      </c>
      <c r="K48" s="3">
        <f t="shared" si="28"/>
        <v>2.6390969703261771E-3</v>
      </c>
      <c r="L48" s="3">
        <f t="shared" si="28"/>
        <v>2.6390969703261771E-3</v>
      </c>
      <c r="M48" s="3">
        <f t="shared" si="28"/>
        <v>2.6390969703261771E-3</v>
      </c>
      <c r="N48" s="3">
        <f t="shared" si="28"/>
        <v>2.6390969703261771E-3</v>
      </c>
      <c r="O48" s="3">
        <f t="shared" si="28"/>
        <v>2.6390969703261771E-3</v>
      </c>
      <c r="P48" s="3">
        <f t="shared" si="27"/>
        <v>2.6390969703261771E-3</v>
      </c>
      <c r="Q48" s="3">
        <f t="shared" si="27"/>
        <v>2.6390969703261771E-3</v>
      </c>
      <c r="R48" s="3">
        <f t="shared" si="27"/>
        <v>2.6390969703261771E-3</v>
      </c>
      <c r="S48" s="3">
        <f t="shared" si="27"/>
        <v>2.6390969703261771E-3</v>
      </c>
      <c r="T48" s="3">
        <f t="shared" si="27"/>
        <v>2.6390969703261771E-3</v>
      </c>
      <c r="U48" s="3">
        <f t="shared" si="27"/>
        <v>2.6390969703261767E-3</v>
      </c>
      <c r="V48" s="3">
        <f t="shared" si="27"/>
        <v>2.6390969703261745E-3</v>
      </c>
      <c r="W48" s="3">
        <f t="shared" si="27"/>
        <v>2.6390969703261507E-3</v>
      </c>
      <c r="X48" s="3">
        <f t="shared" si="27"/>
        <v>2.639096970325913E-3</v>
      </c>
      <c r="Y48" s="3">
        <f t="shared" si="27"/>
        <v>2.6390969703235382E-3</v>
      </c>
      <c r="Z48" s="3">
        <f t="shared" si="27"/>
        <v>2.6390969702997863E-3</v>
      </c>
      <c r="AA48" s="3">
        <f t="shared" si="27"/>
        <v>2.6390969700622676E-3</v>
      </c>
      <c r="AB48" s="3">
        <f t="shared" si="27"/>
        <v>2.6390969676870803E-3</v>
      </c>
      <c r="AC48" s="3">
        <f t="shared" si="27"/>
        <v>2.6390969439352074E-3</v>
      </c>
      <c r="AD48" s="3">
        <f t="shared" si="27"/>
        <v>2.6390967064164935E-3</v>
      </c>
      <c r="AE48" s="3">
        <f t="shared" si="27"/>
        <v>2.6390943312305263E-3</v>
      </c>
      <c r="AF48" s="3">
        <f t="shared" si="29"/>
        <v>2.639070579488428E-3</v>
      </c>
      <c r="AG48" s="3">
        <f t="shared" si="29"/>
        <v>2.6388330738241895E-3</v>
      </c>
      <c r="AH48" s="3">
        <f t="shared" si="29"/>
        <v>2.6364591924645966E-3</v>
      </c>
      <c r="AI48" s="3">
        <f t="shared" si="29"/>
        <v>2.612837516719365E-3</v>
      </c>
      <c r="AJ48" s="3">
        <f t="shared" si="29"/>
        <v>2.3879536885764614E-3</v>
      </c>
    </row>
    <row r="49" spans="1:36" x14ac:dyDescent="0.25">
      <c r="B49" s="16">
        <f>SUM(B17:B48)</f>
        <v>0.71663805136283043</v>
      </c>
      <c r="C49" s="18">
        <f>SUM(C17:C48)</f>
        <v>1.0000000000000002</v>
      </c>
      <c r="F49" s="3">
        <f t="shared" ref="F49:AJ49" si="31">F16-F17</f>
        <v>87.571957469674089</v>
      </c>
      <c r="G49" s="3">
        <f t="shared" si="31"/>
        <v>-113.26588903693846</v>
      </c>
      <c r="H49" s="3">
        <f t="shared" si="31"/>
        <v>29.986212347906076</v>
      </c>
      <c r="I49" s="3">
        <f t="shared" si="31"/>
        <v>-4.8962162206453286</v>
      </c>
      <c r="J49" s="3">
        <f t="shared" si="31"/>
        <v>0.67552448214837568</v>
      </c>
      <c r="K49" s="3">
        <f t="shared" si="31"/>
        <v>-7.9802386283972737E-2</v>
      </c>
      <c r="L49" s="3">
        <f t="shared" si="31"/>
        <v>-1.5145200587085128E-2</v>
      </c>
      <c r="M49" s="3">
        <f t="shared" si="31"/>
        <v>3.9412590846950479E-2</v>
      </c>
      <c r="N49" s="3">
        <f t="shared" si="31"/>
        <v>-8.0807564503402318E-2</v>
      </c>
      <c r="O49" s="3">
        <f t="shared" si="31"/>
        <v>0.1066229099769771</v>
      </c>
      <c r="P49" s="3">
        <f t="shared" si="31"/>
        <v>-0.10763240937876617</v>
      </c>
      <c r="Q49" s="3">
        <f t="shared" si="31"/>
        <v>9.3485233717444771E-2</v>
      </c>
      <c r="R49" s="3">
        <f t="shared" si="31"/>
        <v>-2.1395192721342937E-2</v>
      </c>
      <c r="S49" s="3">
        <f t="shared" si="31"/>
        <v>-2.8772582827258475E-2</v>
      </c>
      <c r="T49" s="3">
        <f t="shared" si="31"/>
        <v>9.3195479613825682E-2</v>
      </c>
      <c r="U49" s="3">
        <f t="shared" si="31"/>
        <v>-9.3823199227728082E-2</v>
      </c>
      <c r="V49" s="3">
        <f t="shared" si="31"/>
        <v>4.3382769265747356E-2</v>
      </c>
      <c r="W49" s="3">
        <f t="shared" si="31"/>
        <v>3.5069123764799315E-3</v>
      </c>
      <c r="X49" s="3">
        <f t="shared" si="31"/>
        <v>-1.9994084638057075E-2</v>
      </c>
      <c r="Y49" s="3">
        <f t="shared" si="31"/>
        <v>-2.6827118088021962E-3</v>
      </c>
      <c r="Z49" s="3">
        <f t="shared" si="31"/>
        <v>1.8820531967378429E-4</v>
      </c>
      <c r="AA49" s="3">
        <f t="shared" si="31"/>
        <v>4.5743256542323252E-3</v>
      </c>
      <c r="AB49" s="3">
        <f t="shared" si="31"/>
        <v>2.727259269299509E-2</v>
      </c>
      <c r="AC49" s="3">
        <f t="shared" si="31"/>
        <v>1.6906086192989278E-3</v>
      </c>
      <c r="AD49" s="3">
        <f t="shared" si="31"/>
        <v>1.8314939905081928E-2</v>
      </c>
      <c r="AE49" s="3">
        <f t="shared" si="31"/>
        <v>-7.3412409796873135E-2</v>
      </c>
      <c r="AF49" s="3">
        <f t="shared" si="31"/>
        <v>-0.1980951941077933</v>
      </c>
      <c r="AG49" s="3">
        <f t="shared" si="31"/>
        <v>-0.32504233469124699</v>
      </c>
      <c r="AH49" s="3">
        <f t="shared" si="31"/>
        <v>-0.31839723719473056</v>
      </c>
      <c r="AI49" s="3">
        <f t="shared" si="31"/>
        <v>-0.18191336450506412</v>
      </c>
      <c r="AJ49" s="3">
        <f t="shared" si="31"/>
        <v>1.1491836047587753</v>
      </c>
    </row>
    <row r="50" spans="1:36" x14ac:dyDescent="0.25">
      <c r="F50" s="57">
        <f t="shared" ref="F50:AJ50" si="32">F49/F17</f>
        <v>1.7924532731843513E-2</v>
      </c>
      <c r="G50" s="57">
        <f t="shared" si="32"/>
        <v>-2.3731228699354279E-2</v>
      </c>
      <c r="H50" s="57">
        <f t="shared" si="32"/>
        <v>6.8839418131212944E-3</v>
      </c>
      <c r="I50" s="57">
        <f t="shared" si="32"/>
        <v>-1.1874643645390247E-3</v>
      </c>
      <c r="J50" s="57">
        <f t="shared" si="32"/>
        <v>1.7641737303568448E-4</v>
      </c>
      <c r="K50" s="57">
        <f t="shared" si="32"/>
        <v>-2.2712845227266055E-5</v>
      </c>
      <c r="L50" s="57">
        <f t="shared" si="32"/>
        <v>-4.8888129236531167E-6</v>
      </c>
      <c r="M50" s="57">
        <f t="shared" si="32"/>
        <v>1.5210292690534585E-5</v>
      </c>
      <c r="N50" s="57">
        <f t="shared" si="32"/>
        <v>-4.0294315087648326E-5</v>
      </c>
      <c r="O50" s="57">
        <f t="shared" si="32"/>
        <v>7.865581359345675E-5</v>
      </c>
      <c r="P50" s="57">
        <f t="shared" si="32"/>
        <v>-1.3173139483789857E-4</v>
      </c>
      <c r="Q50" s="57">
        <f t="shared" si="32"/>
        <v>2.0179072406960398E-4</v>
      </c>
      <c r="R50" s="57">
        <f t="shared" si="32"/>
        <v>-8.3252139440140785E-5</v>
      </c>
      <c r="S50" s="57">
        <f t="shared" si="32"/>
        <v>-1.7175233187411167E-4</v>
      </c>
      <c r="T50" s="57">
        <f t="shared" si="32"/>
        <v>6.5764746243784705E-4</v>
      </c>
      <c r="U50" s="57">
        <f t="shared" si="32"/>
        <v>-7.257074831404091E-4</v>
      </c>
      <c r="V50" s="57">
        <f t="shared" si="32"/>
        <v>3.4592078805599161E-4</v>
      </c>
      <c r="W50" s="57">
        <f t="shared" si="32"/>
        <v>2.7971606093797628E-5</v>
      </c>
      <c r="X50" s="57">
        <f t="shared" si="32"/>
        <v>-1.595921173893353E-4</v>
      </c>
      <c r="Y50" s="57">
        <f t="shared" si="32"/>
        <v>-2.1437749657791327E-5</v>
      </c>
      <c r="Z50" s="57">
        <f t="shared" si="32"/>
        <v>1.5059027524546298E-6</v>
      </c>
      <c r="AA50" s="57">
        <f t="shared" si="32"/>
        <v>3.6656000332766241E-5</v>
      </c>
      <c r="AB50" s="57">
        <f t="shared" si="32"/>
        <v>2.1892791573619895E-4</v>
      </c>
      <c r="AC50" s="57">
        <f t="shared" si="32"/>
        <v>1.3589929922689726E-5</v>
      </c>
      <c r="AD50" s="57">
        <f t="shared" si="32"/>
        <v>1.4724910112401171E-4</v>
      </c>
      <c r="AE50" s="57">
        <f t="shared" si="32"/>
        <v>-5.9022735185908042E-4</v>
      </c>
      <c r="AF50" s="57">
        <f t="shared" si="32"/>
        <v>-1.5926644372025523E-3</v>
      </c>
      <c r="AG50" s="57">
        <f t="shared" si="32"/>
        <v>-2.6133356329731418E-3</v>
      </c>
      <c r="AH50" s="57">
        <f t="shared" si="32"/>
        <v>-2.5601989287255692E-3</v>
      </c>
      <c r="AI50" s="57">
        <f t="shared" si="32"/>
        <v>-1.4643958860219874E-3</v>
      </c>
      <c r="AJ50" s="57">
        <f t="shared" si="32"/>
        <v>9.3512796981104832E-3</v>
      </c>
    </row>
    <row r="51" spans="1:36" x14ac:dyDescent="0.25">
      <c r="A51" s="13" t="s">
        <v>21</v>
      </c>
      <c r="B51" s="3">
        <f>STUTT!D8</f>
        <v>5930.4079000000002</v>
      </c>
      <c r="E51" s="11" t="s">
        <v>24</v>
      </c>
      <c r="F51" s="20">
        <f t="shared" ref="F51:AJ51" si="33">(F16-F17)^2</f>
        <v>7668.8477350704079</v>
      </c>
      <c r="G51" s="20">
        <f t="shared" si="33"/>
        <v>12829.161619328057</v>
      </c>
      <c r="H51" s="20">
        <f t="shared" si="33"/>
        <v>899.17293097371476</v>
      </c>
      <c r="I51" s="20">
        <f t="shared" si="33"/>
        <v>23.972933279310425</v>
      </c>
      <c r="J51" s="20">
        <f t="shared" si="33"/>
        <v>0.45633332598183113</v>
      </c>
      <c r="K51" s="20">
        <f t="shared" si="33"/>
        <v>6.3684208566163998E-3</v>
      </c>
      <c r="L51" s="20">
        <f t="shared" si="33"/>
        <v>2.2937710082304372E-4</v>
      </c>
      <c r="M51" s="20">
        <f t="shared" si="33"/>
        <v>1.5533523172691246E-3</v>
      </c>
      <c r="N51" s="20">
        <f t="shared" si="33"/>
        <v>6.5298624809715265E-3</v>
      </c>
      <c r="O51" s="20">
        <f t="shared" si="33"/>
        <v>1.1368444931958563E-2</v>
      </c>
      <c r="P51" s="20">
        <f t="shared" si="33"/>
        <v>1.1584735548678312E-2</v>
      </c>
      <c r="Q51" s="20">
        <f t="shared" si="33"/>
        <v>8.7394889232052728E-3</v>
      </c>
      <c r="R51" s="20">
        <f t="shared" si="33"/>
        <v>4.5775427158340577E-4</v>
      </c>
      <c r="S51" s="20">
        <f t="shared" si="33"/>
        <v>8.2786152255144932E-4</v>
      </c>
      <c r="T51" s="20">
        <f t="shared" si="33"/>
        <v>8.6853974204509979E-3</v>
      </c>
      <c r="U51" s="20">
        <f t="shared" si="33"/>
        <v>8.8027927133259559E-3</v>
      </c>
      <c r="V51" s="20">
        <f t="shared" si="33"/>
        <v>1.8820646691650733E-3</v>
      </c>
      <c r="W51" s="20">
        <f t="shared" si="33"/>
        <v>1.229843441630812E-5</v>
      </c>
      <c r="X51" s="20">
        <f t="shared" si="33"/>
        <v>3.9976342051378989E-4</v>
      </c>
      <c r="Y51" s="20">
        <f t="shared" si="33"/>
        <v>7.1969426490867511E-6</v>
      </c>
      <c r="Z51" s="20">
        <f t="shared" si="33"/>
        <v>3.5421242353511332E-8</v>
      </c>
      <c r="AA51" s="20">
        <f t="shared" si="33"/>
        <v>2.0924455190967989E-5</v>
      </c>
      <c r="AB51" s="20">
        <f t="shared" si="33"/>
        <v>7.4379431219800919E-4</v>
      </c>
      <c r="AC51" s="20">
        <f t="shared" si="33"/>
        <v>2.858157503647827E-6</v>
      </c>
      <c r="AD51" s="20">
        <f t="shared" si="33"/>
        <v>3.3543702372676242E-4</v>
      </c>
      <c r="AE51" s="20">
        <f t="shared" si="33"/>
        <v>5.3893819121840344E-3</v>
      </c>
      <c r="AF51" s="20">
        <f t="shared" si="33"/>
        <v>3.9241705928604306E-2</v>
      </c>
      <c r="AG51" s="20">
        <f t="shared" si="33"/>
        <v>0.10565251934153663</v>
      </c>
      <c r="AH51" s="20">
        <f t="shared" si="33"/>
        <v>0.10137680065323752</v>
      </c>
      <c r="AI51" s="20">
        <f t="shared" si="33"/>
        <v>3.3092472185552321E-2</v>
      </c>
      <c r="AJ51" s="20">
        <f t="shared" si="33"/>
        <v>1.3206229574463733</v>
      </c>
    </row>
    <row r="52" spans="1:36" x14ac:dyDescent="0.25">
      <c r="A52" s="13"/>
    </row>
    <row r="53" spans="1:36" x14ac:dyDescent="0.25">
      <c r="E53" s="118" t="s">
        <v>25</v>
      </c>
      <c r="F53" s="118"/>
      <c r="G53" s="104">
        <f>SUM(F51:AJ51)</f>
        <v>21423.285479675869</v>
      </c>
      <c r="I53" s="3">
        <f>G53+C123</f>
        <v>21423.285479675869</v>
      </c>
      <c r="K53" s="3">
        <f>SUM(Z51:AJ51)</f>
        <v>1.6064788868373499</v>
      </c>
    </row>
    <row r="55" spans="1:36" x14ac:dyDescent="0.25">
      <c r="E55" s="30" t="s">
        <v>30</v>
      </c>
      <c r="F55" s="31">
        <f t="shared" ref="F55:AJ55" si="34">ABS(F17-F16)/F16</f>
        <v>1.7608901402286426E-2</v>
      </c>
      <c r="G55" s="31">
        <f t="shared" si="34"/>
        <v>2.4308089531265113E-2</v>
      </c>
      <c r="H55" s="31">
        <f t="shared" si="34"/>
        <v>6.8368771486465533E-3</v>
      </c>
      <c r="I55" s="31">
        <f t="shared" si="34"/>
        <v>1.1888761125565372E-3</v>
      </c>
      <c r="J55" s="31">
        <f t="shared" si="34"/>
        <v>1.7638625543586089E-4</v>
      </c>
      <c r="K55" s="31">
        <f t="shared" si="34"/>
        <v>2.2713361112321592E-5</v>
      </c>
      <c r="L55" s="31">
        <f t="shared" si="34"/>
        <v>4.8888368242617648E-6</v>
      </c>
      <c r="M55" s="31">
        <f t="shared" si="34"/>
        <v>1.5210061341049746E-5</v>
      </c>
      <c r="N55" s="31">
        <f t="shared" si="34"/>
        <v>4.0295938784902476E-5</v>
      </c>
      <c r="O55" s="31">
        <f t="shared" si="34"/>
        <v>7.8649627343029262E-5</v>
      </c>
      <c r="P55" s="31">
        <f t="shared" si="34"/>
        <v>1.3174875028454169E-4</v>
      </c>
      <c r="Q55" s="31">
        <f t="shared" si="34"/>
        <v>2.0175001278844234E-4</v>
      </c>
      <c r="R55" s="31">
        <f t="shared" si="34"/>
        <v>8.3259070935924002E-5</v>
      </c>
      <c r="S55" s="31">
        <f t="shared" si="34"/>
        <v>1.7178183580498479E-4</v>
      </c>
      <c r="T55" s="31">
        <f t="shared" si="34"/>
        <v>6.5721524649871169E-4</v>
      </c>
      <c r="U55" s="31">
        <f t="shared" si="34"/>
        <v>7.2623451696388465E-4</v>
      </c>
      <c r="V55" s="31">
        <f t="shared" si="34"/>
        <v>3.4580116824336219E-4</v>
      </c>
      <c r="W55" s="31">
        <f t="shared" si="34"/>
        <v>2.7970823704934832E-5</v>
      </c>
      <c r="X55" s="31">
        <f t="shared" si="34"/>
        <v>1.5961759109867134E-4</v>
      </c>
      <c r="Y55" s="31">
        <f t="shared" si="34"/>
        <v>2.1438209244754228E-5</v>
      </c>
      <c r="Z55" s="31">
        <f t="shared" si="34"/>
        <v>1.5059004847149451E-6</v>
      </c>
      <c r="AA55" s="31">
        <f t="shared" si="34"/>
        <v>3.6654656719657332E-5</v>
      </c>
      <c r="AB55" s="31">
        <f t="shared" si="34"/>
        <v>2.1887999679470434E-4</v>
      </c>
      <c r="AC55" s="31">
        <f t="shared" si="34"/>
        <v>1.3589745239004261E-5</v>
      </c>
      <c r="AD55" s="31">
        <f t="shared" si="34"/>
        <v>1.4722742201845869E-4</v>
      </c>
      <c r="AE55" s="31">
        <f t="shared" si="34"/>
        <v>5.9057592592391022E-4</v>
      </c>
      <c r="AF55" s="31">
        <f t="shared" si="34"/>
        <v>1.5952050635773575E-3</v>
      </c>
      <c r="AG55" s="31">
        <f t="shared" si="34"/>
        <v>2.62018305070446E-3</v>
      </c>
      <c r="AH55" s="31">
        <f t="shared" si="34"/>
        <v>2.5667703714809193E-3</v>
      </c>
      <c r="AI55" s="31">
        <f t="shared" si="34"/>
        <v>1.4665434862699534E-3</v>
      </c>
      <c r="AJ55" s="31">
        <f t="shared" si="34"/>
        <v>9.2646434261294854E-3</v>
      </c>
    </row>
    <row r="56" spans="1:36" x14ac:dyDescent="0.25">
      <c r="E56" s="13" t="s">
        <v>31</v>
      </c>
      <c r="F56" s="32">
        <f>AVERAGE(F55:AJ55)</f>
        <v>2.3009511144034488E-3</v>
      </c>
    </row>
    <row r="57" spans="1:36" x14ac:dyDescent="0.25">
      <c r="A57" s="42"/>
      <c r="B57" s="15"/>
      <c r="C57" s="15"/>
      <c r="D57" s="15"/>
      <c r="F57" s="60">
        <f>AVERAGE(S55:X55)</f>
        <v>3.4810353038575826E-4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1.0000000000000001E-5</v>
      </c>
      <c r="B64" s="42">
        <f>10^B65</f>
        <v>100000</v>
      </c>
      <c r="C64" s="15"/>
      <c r="D64" s="15"/>
      <c r="E64" s="15"/>
      <c r="F64" s="15"/>
      <c r="G64" s="15"/>
      <c r="H64" s="15"/>
      <c r="I64" s="15"/>
    </row>
    <row r="65" spans="1:13" x14ac:dyDescent="0.25">
      <c r="A65" s="15">
        <f>-A67</f>
        <v>-5</v>
      </c>
      <c r="B65" s="101">
        <f>A67</f>
        <v>5</v>
      </c>
      <c r="C65" s="15"/>
      <c r="D65" s="15"/>
      <c r="E65" s="15"/>
      <c r="F65" s="15"/>
      <c r="G65" s="15"/>
      <c r="H65" s="15"/>
      <c r="I65" s="15"/>
    </row>
    <row r="66" spans="1:13" x14ac:dyDescent="0.25">
      <c r="A66" s="15"/>
      <c r="B66" s="15"/>
      <c r="C66" s="15"/>
      <c r="D66" s="15"/>
      <c r="E66" s="15"/>
      <c r="F66" s="15"/>
      <c r="G66" s="15"/>
      <c r="H66" s="15"/>
      <c r="I66" s="15"/>
    </row>
    <row r="67" spans="1:13" x14ac:dyDescent="0.25">
      <c r="A67" s="102">
        <v>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-50.877186227047318</v>
      </c>
    </row>
    <row r="119" spans="1:14" x14ac:dyDescent="0.25">
      <c r="L119" s="11">
        <f>L118+1</f>
        <v>2</v>
      </c>
      <c r="M119" s="11">
        <f t="shared" ref="M119:M124" si="35">INDEX($B$125:$K$126,1,L119)</f>
        <v>0</v>
      </c>
      <c r="N119" s="11">
        <f t="shared" ref="N119:N124" si="36">IF(L119=$B$3,0,INDEX($B$125:$K$126,2,L119))</f>
        <v>-47.53503258872334</v>
      </c>
    </row>
    <row r="120" spans="1:14" x14ac:dyDescent="0.25">
      <c r="L120" s="11">
        <f t="shared" ref="L120:L124" si="37">L119+1</f>
        <v>3</v>
      </c>
      <c r="M120" s="11">
        <f t="shared" si="35"/>
        <v>25</v>
      </c>
      <c r="N120" s="11">
        <f t="shared" si="36"/>
        <v>-43.17223321865707</v>
      </c>
    </row>
    <row r="121" spans="1:14" x14ac:dyDescent="0.25">
      <c r="A121" s="103">
        <f>(A165+A204+A243+A282+A321+A360+A399)*10^9</f>
        <v>6789515174577921</v>
      </c>
      <c r="L121" s="11">
        <f t="shared" si="37"/>
        <v>4</v>
      </c>
      <c r="M121" s="11">
        <f t="shared" si="35"/>
        <v>50</v>
      </c>
      <c r="N121" s="11">
        <f t="shared" si="36"/>
        <v>-36.73447871701795</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-23.798541942982897</v>
      </c>
    </row>
    <row r="123" spans="1:14" x14ac:dyDescent="0.25">
      <c r="A123" s="118"/>
      <c r="B123" s="118"/>
      <c r="C123" s="3"/>
      <c r="D123" s="3"/>
      <c r="E123" s="3"/>
      <c r="F123" s="3"/>
      <c r="G123" s="3"/>
      <c r="H123" s="3"/>
      <c r="I123" s="3"/>
      <c r="J123" s="3"/>
      <c r="K123" s="3"/>
      <c r="L123" s="11">
        <f t="shared" si="37"/>
        <v>6</v>
      </c>
      <c r="M123" s="11">
        <f t="shared" si="35"/>
        <v>125</v>
      </c>
      <c r="N123" s="11">
        <f t="shared" si="36"/>
        <v>-4.1694131014593321</v>
      </c>
    </row>
    <row r="124" spans="1:14" x14ac:dyDescent="0.25">
      <c r="B124" s="3">
        <v>-50.877186227047318</v>
      </c>
      <c r="C124" s="3">
        <v>-47.53503258872334</v>
      </c>
      <c r="D124" s="3">
        <v>-43.17223321865707</v>
      </c>
      <c r="E124" s="3">
        <v>-36.734495161346274</v>
      </c>
      <c r="F124" s="3">
        <v>-24.354273956062432</v>
      </c>
      <c r="G124" s="3">
        <v>-4.1297863124462264</v>
      </c>
      <c r="H124" s="3">
        <v>1.613088949595343E-2</v>
      </c>
      <c r="I124" s="3"/>
      <c r="J124" s="3"/>
      <c r="K124" s="3"/>
      <c r="L124" s="11">
        <f t="shared" si="37"/>
        <v>7</v>
      </c>
      <c r="M124" s="11">
        <f t="shared" si="35"/>
        <v>160</v>
      </c>
      <c r="N124" s="11">
        <f t="shared" si="36"/>
        <v>0</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-50.877186227047318</v>
      </c>
      <c r="C126" s="107">
        <v>-47.53503258872334</v>
      </c>
      <c r="D126" s="107">
        <v>-43.17223321865707</v>
      </c>
      <c r="E126" s="107">
        <v>-36.73447871701795</v>
      </c>
      <c r="F126" s="107">
        <v>-23.798541942982897</v>
      </c>
      <c r="G126" s="107">
        <v>-4.1694131014593321</v>
      </c>
      <c r="H126" s="107">
        <v>1.6972534346021271E-4</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5945.4862308501361</v>
      </c>
      <c r="C130" s="26">
        <f>INDEX(Comparison!$AM$3:$AS$33,G14,$B$122)</f>
        <v>5945.5233978276192</v>
      </c>
      <c r="D130" s="26">
        <f>INDEX(Comparison!$AM$3:$AS$33,H14,$B$122)</f>
        <v>5945.5006733975988</v>
      </c>
      <c r="E130" s="26">
        <f>INDEX(Comparison!$AM$3:$AS$33,I14,$B$122)</f>
        <v>5945.4940479964844</v>
      </c>
      <c r="F130" s="26">
        <f>INDEX(Comparison!$AM$3:$AS$33,J14,$B$122)</f>
        <v>5945.491987661344</v>
      </c>
      <c r="G130" s="26">
        <f>INDEX(Comparison!$AM$3:$AS$33,K14,$B$122)</f>
        <v>5945.4911594878167</v>
      </c>
      <c r="H130" s="26">
        <f>INDEX(Comparison!$AM$3:$AS$33,L14,$B$122)</f>
        <v>5945.4908968962591</v>
      </c>
      <c r="I130" s="26">
        <f>INDEX(Comparison!$AM$3:$AS$33,M14,$B$122)</f>
        <v>5945.4908564975603</v>
      </c>
      <c r="J130" s="26">
        <f>INDEX(Comparison!$AM$3:$AS$33,N14,$B$122)</f>
        <v>5945.4908564975603</v>
      </c>
      <c r="K130" s="26">
        <f>INDEX(Comparison!$AM$3:$AS$33,O14,$B$122)</f>
        <v>5945.4908564975603</v>
      </c>
      <c r="L130" s="26">
        <f>INDEX(Comparison!$AM$3:$AS$33,P14,$B$122)</f>
        <v>5945.4908564975603</v>
      </c>
      <c r="M130" s="26">
        <f>INDEX(Comparison!$AM$3:$AS$33,Q14,$B$122)</f>
        <v>5945.4908160988625</v>
      </c>
      <c r="N130" s="26">
        <f>INDEX(Comparison!$AM$3:$AS$33,R14,$B$122)</f>
        <v>5945.4901697197583</v>
      </c>
      <c r="O130" s="26">
        <f>INDEX(Comparison!$AM$3:$AS$33,S14,$B$122)</f>
        <v>5945.4832413525728</v>
      </c>
      <c r="P130" s="26">
        <f>INDEX(Comparison!$AM$3:$AS$33,T14,$B$122)</f>
        <v>5945.4144029430536</v>
      </c>
      <c r="Q130" s="26">
        <f>INDEX(Comparison!$AM$3:$AS$33,U14,$B$122)</f>
        <v>5944.7274999078909</v>
      </c>
      <c r="R130" s="26">
        <f>INDEX(Comparison!$AM$3:$AS$33,V14,$B$122)</f>
        <v>5938.0129605513939</v>
      </c>
      <c r="S130" s="26">
        <f>INDEX(Comparison!$AM$3:$AS$33,W14,$B$122)</f>
        <v>5884.0318384088569</v>
      </c>
      <c r="T130" s="26">
        <f>INDEX(Comparison!$AM$3:$AS$33,X14,$B$122)</f>
        <v>5738.5639340162998</v>
      </c>
      <c r="U130" s="26">
        <f>INDEX(Comparison!$AM$3:$AS$33,Y14,$B$122)</f>
        <v>5588.2751906456833</v>
      </c>
      <c r="V130" s="26">
        <f>INDEX(Comparison!$AM$3:$AS$33,Z14,$B$122)</f>
        <v>5399.4936644871386</v>
      </c>
      <c r="W130" s="26">
        <f>INDEX(Comparison!$AM$3:$AS$33,AA14,$B$122)</f>
        <v>5141.8460502498219</v>
      </c>
      <c r="X130" s="26">
        <f>INDEX(Comparison!$AM$3:$AS$33,AB14,$B$122)</f>
        <v>4855.3493085479013</v>
      </c>
      <c r="Y130" s="26">
        <f>INDEX(Comparison!$AM$3:$AS$33,AC14,$B$122)</f>
        <v>4530.5898566513597</v>
      </c>
      <c r="Z130" s="26">
        <f>INDEX(Comparison!$AM$3:$AS$33,AD14,$B$122)</f>
        <v>4215.1902304511941</v>
      </c>
      <c r="AA130" s="26">
        <f>INDEX(Comparison!$AM$3:$AS$33,AE14,$B$122)</f>
        <v>3929.081471457625</v>
      </c>
      <c r="AB130" s="26">
        <f>INDEX(Comparison!$AM$3:$AS$33,AF14,$B$122)</f>
        <v>3641.242030569621</v>
      </c>
      <c r="AC130" s="26">
        <f>INDEX(Comparison!$AM$3:$AS$33,AG14,$B$122)</f>
        <v>3352.5216988135498</v>
      </c>
      <c r="AD130" s="26">
        <f>INDEX(Comparison!$AM$3:$AS$33,AH14,$B$122)</f>
        <v>2996.6335305209523</v>
      </c>
      <c r="AE130" s="26">
        <f>INDEX(Comparison!$AM$3:$AS$33,AI14,$B$122)</f>
        <v>2563.0064610610193</v>
      </c>
      <c r="AF130" s="26">
        <f>INDEX(Comparison!$AM$3:$AS$33,AJ14,$B$122)</f>
        <v>2059.5134179476377</v>
      </c>
    </row>
    <row r="131" spans="1:33" x14ac:dyDescent="0.25">
      <c r="A131" s="68" t="s">
        <v>22</v>
      </c>
      <c r="B131" s="27">
        <f>($C$17+SUM(B132:B162))*$B$51</f>
        <v>5930.4079000000011</v>
      </c>
      <c r="C131" s="27">
        <f t="shared" ref="C131:AF131" si="40">($C$17+SUM(C132:C162))*$B$51</f>
        <v>5930.4079000000002</v>
      </c>
      <c r="D131" s="27">
        <f t="shared" si="40"/>
        <v>5930.4078999999992</v>
      </c>
      <c r="E131" s="27">
        <f t="shared" si="40"/>
        <v>5930.407899999992</v>
      </c>
      <c r="F131" s="27">
        <f t="shared" si="40"/>
        <v>5930.4078999999183</v>
      </c>
      <c r="G131" s="27">
        <f t="shared" si="40"/>
        <v>5930.4078999991734</v>
      </c>
      <c r="H131" s="27">
        <f t="shared" si="40"/>
        <v>5930.4078999917319</v>
      </c>
      <c r="I131" s="27">
        <f t="shared" si="40"/>
        <v>5930.4078999173134</v>
      </c>
      <c r="J131" s="27">
        <f t="shared" si="40"/>
        <v>5930.4078991731267</v>
      </c>
      <c r="K131" s="27">
        <f t="shared" si="40"/>
        <v>5930.4078917312581</v>
      </c>
      <c r="L131" s="27">
        <f t="shared" si="40"/>
        <v>5930.4078173125754</v>
      </c>
      <c r="M131" s="27">
        <f t="shared" si="40"/>
        <v>5930.4070731260545</v>
      </c>
      <c r="N131" s="27">
        <f t="shared" si="40"/>
        <v>5930.3996312903955</v>
      </c>
      <c r="O131" s="27">
        <f t="shared" si="40"/>
        <v>5930.3252158890509</v>
      </c>
      <c r="P131" s="27">
        <f t="shared" si="40"/>
        <v>5929.5813573208379</v>
      </c>
      <c r="Q131" s="27">
        <f t="shared" si="40"/>
        <v>5922.1722373846906</v>
      </c>
      <c r="R131" s="27">
        <f t="shared" si="40"/>
        <v>5850.9503907460721</v>
      </c>
      <c r="S131" s="27">
        <f t="shared" si="40"/>
        <v>5361.7977905901071</v>
      </c>
      <c r="T131" s="27">
        <f t="shared" si="40"/>
        <v>4900.0723343817217</v>
      </c>
      <c r="U131" s="27">
        <f t="shared" si="40"/>
        <v>4899.7239924368223</v>
      </c>
      <c r="V131" s="27">
        <f t="shared" si="40"/>
        <v>4899.6206138287171</v>
      </c>
      <c r="W131" s="27">
        <f t="shared" si="40"/>
        <v>4898.5878441403529</v>
      </c>
      <c r="X131" s="27">
        <f t="shared" si="40"/>
        <v>4888.361096224965</v>
      </c>
      <c r="Y131" s="27">
        <f t="shared" si="40"/>
        <v>4795.5322964632305</v>
      </c>
      <c r="Z131" s="27">
        <f t="shared" si="40"/>
        <v>4391.8527524333012</v>
      </c>
      <c r="AA131" s="27">
        <f t="shared" si="40"/>
        <v>4146.393237287888</v>
      </c>
      <c r="AB131" s="27">
        <f t="shared" si="40"/>
        <v>3860.7488507741509</v>
      </c>
      <c r="AC131" s="27">
        <f t="shared" si="40"/>
        <v>3548.9780778537688</v>
      </c>
      <c r="AD131" s="27">
        <f t="shared" si="40"/>
        <v>3146.3322874228452</v>
      </c>
      <c r="AE131" s="27">
        <f t="shared" si="40"/>
        <v>2649.2542624391726</v>
      </c>
      <c r="AF131" s="27">
        <f t="shared" si="40"/>
        <v>2072.1500509532002</v>
      </c>
    </row>
    <row r="132" spans="1:33" x14ac:dyDescent="0.25">
      <c r="B132" s="3">
        <f t="shared" ref="B132:Z133" si="41">$C18*EXP(-B$129/$A18/EXP(-$B$126))</f>
        <v>0.17379452430407935</v>
      </c>
      <c r="C132" s="3">
        <f t="shared" ref="C132:AF132" si="42">$C18*EXP(-C$129/$A18/EXP(-$B$126))</f>
        <v>0.17379452430407932</v>
      </c>
      <c r="D132" s="3">
        <f t="shared" si="42"/>
        <v>0.17379452430407921</v>
      </c>
      <c r="E132" s="3">
        <f t="shared" si="42"/>
        <v>0.17379452430407796</v>
      </c>
      <c r="F132" s="3">
        <f t="shared" si="42"/>
        <v>0.17379452430406539</v>
      </c>
      <c r="G132" s="3">
        <f t="shared" si="42"/>
        <v>0.17379452430393993</v>
      </c>
      <c r="H132" s="3">
        <f t="shared" si="42"/>
        <v>0.17379452430268505</v>
      </c>
      <c r="I132" s="3">
        <f t="shared" si="42"/>
        <v>0.17379452429013639</v>
      </c>
      <c r="J132" s="3">
        <f t="shared" si="42"/>
        <v>0.1737945241646498</v>
      </c>
      <c r="K132" s="3">
        <f t="shared" si="42"/>
        <v>0.17379452290978376</v>
      </c>
      <c r="L132" s="3">
        <f t="shared" si="42"/>
        <v>0.17379451036112395</v>
      </c>
      <c r="M132" s="3">
        <f t="shared" si="42"/>
        <v>0.17379438487457557</v>
      </c>
      <c r="N132" s="3">
        <f t="shared" si="42"/>
        <v>0.1737931300140752</v>
      </c>
      <c r="O132" s="3">
        <f t="shared" si="42"/>
        <v>0.17378058190739173</v>
      </c>
      <c r="P132" s="3">
        <f t="shared" si="42"/>
        <v>0.17365515065926057</v>
      </c>
      <c r="Q132" s="3">
        <f t="shared" si="42"/>
        <v>0.1724058067646782</v>
      </c>
      <c r="R132" s="3">
        <f t="shared" si="42"/>
        <v>0.16039620514863637</v>
      </c>
      <c r="S132" s="3">
        <f t="shared" si="42"/>
        <v>7.7914105263725206E-2</v>
      </c>
      <c r="T132" s="3">
        <f t="shared" si="42"/>
        <v>5.6994910418065918E-5</v>
      </c>
      <c r="U132" s="3">
        <f t="shared" si="42"/>
        <v>2.5005523535928671E-36</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9.0899647473980161E-2</v>
      </c>
      <c r="C133" s="3">
        <f t="shared" si="41"/>
        <v>9.0899647473980161E-2</v>
      </c>
      <c r="D133" s="3">
        <f t="shared" si="41"/>
        <v>9.0899647473980161E-2</v>
      </c>
      <c r="E133" s="3">
        <f t="shared" si="41"/>
        <v>9.0899647473980161E-2</v>
      </c>
      <c r="F133" s="3">
        <f t="shared" si="41"/>
        <v>9.0899647473980161E-2</v>
      </c>
      <c r="G133" s="3">
        <f t="shared" si="41"/>
        <v>9.0899647473980161E-2</v>
      </c>
      <c r="H133" s="3">
        <f t="shared" si="41"/>
        <v>9.0899647473980161E-2</v>
      </c>
      <c r="I133" s="3">
        <f t="shared" si="41"/>
        <v>9.0899647473980161E-2</v>
      </c>
      <c r="J133" s="3">
        <f t="shared" si="41"/>
        <v>9.0899647473980147E-2</v>
      </c>
      <c r="K133" s="3">
        <f t="shared" si="41"/>
        <v>9.0899647473979966E-2</v>
      </c>
      <c r="L133" s="3">
        <f t="shared" si="41"/>
        <v>9.0899647473978287E-2</v>
      </c>
      <c r="M133" s="3">
        <f t="shared" si="41"/>
        <v>9.0899647473961481E-2</v>
      </c>
      <c r="N133" s="3">
        <f t="shared" si="41"/>
        <v>9.0899647473793366E-2</v>
      </c>
      <c r="O133" s="3">
        <f t="shared" si="41"/>
        <v>9.0899647472112127E-2</v>
      </c>
      <c r="P133" s="3">
        <f t="shared" si="41"/>
        <v>9.0899647455299909E-2</v>
      </c>
      <c r="Q133" s="3">
        <f t="shared" si="41"/>
        <v>9.0899647287177573E-2</v>
      </c>
      <c r="R133" s="3">
        <f t="shared" si="41"/>
        <v>9.0899645605954357E-2</v>
      </c>
      <c r="S133" s="3">
        <f t="shared" si="41"/>
        <v>9.0899628793723819E-2</v>
      </c>
      <c r="T133" s="3">
        <f t="shared" si="41"/>
        <v>9.0899460671589424E-2</v>
      </c>
      <c r="U133" s="3">
        <f t="shared" si="41"/>
        <v>9.0897779467347575E-2</v>
      </c>
      <c r="V133" s="3">
        <f t="shared" si="41"/>
        <v>9.0880969135016268E-2</v>
      </c>
      <c r="W133" s="3">
        <f t="shared" si="41"/>
        <v>9.071303670344856E-2</v>
      </c>
      <c r="X133" s="3">
        <f t="shared" si="41"/>
        <v>8.9050685192457138E-2</v>
      </c>
      <c r="Y133" s="3">
        <f t="shared" si="41"/>
        <v>7.4013827564872389E-2</v>
      </c>
      <c r="Z133" s="3">
        <f t="shared" si="41"/>
        <v>1.1643105943141586E-2</v>
      </c>
      <c r="AA133" s="3">
        <f t="shared" ref="AA133:AF133" si="43">$C19*EXP(-AA$129/$A19/EXP(-$B$126))</f>
        <v>1.0805097786819303E-10</v>
      </c>
      <c r="AB133" s="3">
        <f t="shared" si="43"/>
        <v>5.1194962091860725E-91</v>
      </c>
      <c r="AC133" s="3">
        <f t="shared" si="43"/>
        <v>0</v>
      </c>
      <c r="AD133" s="3">
        <f t="shared" si="43"/>
        <v>0</v>
      </c>
      <c r="AE133" s="3">
        <f t="shared" si="43"/>
        <v>0</v>
      </c>
      <c r="AF133" s="3">
        <f t="shared" si="43"/>
        <v>0</v>
      </c>
    </row>
    <row r="134" spans="1:33" x14ac:dyDescent="0.25">
      <c r="B134" s="3">
        <f t="shared" ref="B134:Z134" si="44">$C20*EXP(-B$129/$A20/EXP(-$B$126))</f>
        <v>3.1881256705136286E-2</v>
      </c>
      <c r="C134" s="3">
        <f t="shared" si="44"/>
        <v>3.1881256705136286E-2</v>
      </c>
      <c r="D134" s="3">
        <f t="shared" si="44"/>
        <v>3.1881256705136286E-2</v>
      </c>
      <c r="E134" s="3">
        <f t="shared" si="44"/>
        <v>3.1881256705136286E-2</v>
      </c>
      <c r="F134" s="3">
        <f t="shared" si="44"/>
        <v>3.1881256705136286E-2</v>
      </c>
      <c r="G134" s="3">
        <f t="shared" si="44"/>
        <v>3.1881256705136286E-2</v>
      </c>
      <c r="H134" s="3">
        <f t="shared" si="44"/>
        <v>3.1881256705136286E-2</v>
      </c>
      <c r="I134" s="3">
        <f t="shared" si="44"/>
        <v>3.1881256705136286E-2</v>
      </c>
      <c r="J134" s="3">
        <f t="shared" si="44"/>
        <v>3.1881256705136286E-2</v>
      </c>
      <c r="K134" s="3">
        <f t="shared" si="44"/>
        <v>3.1881256705136279E-2</v>
      </c>
      <c r="L134" s="3">
        <f t="shared" si="44"/>
        <v>3.1881256705136224E-2</v>
      </c>
      <c r="M134" s="3">
        <f t="shared" si="44"/>
        <v>3.1881256705135697E-2</v>
      </c>
      <c r="N134" s="3">
        <f t="shared" si="44"/>
        <v>3.1881256705130374E-2</v>
      </c>
      <c r="O134" s="3">
        <f t="shared" si="44"/>
        <v>3.1881256705077181E-2</v>
      </c>
      <c r="P134" s="3">
        <f t="shared" si="44"/>
        <v>3.1881256704545266E-2</v>
      </c>
      <c r="Q134" s="3">
        <f t="shared" si="44"/>
        <v>3.1881256699226083E-2</v>
      </c>
      <c r="R134" s="3">
        <f t="shared" si="44"/>
        <v>3.1881256646034216E-2</v>
      </c>
      <c r="S134" s="3">
        <f t="shared" si="44"/>
        <v>3.1881256114115582E-2</v>
      </c>
      <c r="T134" s="3">
        <f t="shared" si="44"/>
        <v>3.1881250794929712E-2</v>
      </c>
      <c r="U134" s="3">
        <f t="shared" si="44"/>
        <v>3.1881197603119894E-2</v>
      </c>
      <c r="V134" s="3">
        <f t="shared" si="44"/>
        <v>3.1880665689902749E-2</v>
      </c>
      <c r="W134" s="3">
        <f t="shared" si="44"/>
        <v>3.1875347045807766E-2</v>
      </c>
      <c r="X134" s="3">
        <f t="shared" si="44"/>
        <v>3.1822209382390401E-2</v>
      </c>
      <c r="Y134" s="3">
        <f t="shared" si="44"/>
        <v>3.1295680523945608E-2</v>
      </c>
      <c r="Z134" s="3">
        <f t="shared" si="44"/>
        <v>2.6486532569425132E-2</v>
      </c>
      <c r="AA134" s="3">
        <f t="shared" ref="AA134" si="45">$C20*EXP(-AA$129/$A20/EXP(-$B$126))</f>
        <v>4.9938119292328225E-3</v>
      </c>
      <c r="AB134" s="3">
        <f t="shared" ref="AB134:AF143" si="46">$C20*EXP(-AB$129/$A20/EXP(-$B$126))</f>
        <v>2.8346727883607073E-10</v>
      </c>
      <c r="AC134" s="3">
        <f t="shared" si="46"/>
        <v>9.8448806823961437E-83</v>
      </c>
      <c r="AD134" s="3">
        <f t="shared" si="46"/>
        <v>0</v>
      </c>
      <c r="AE134" s="3">
        <f t="shared" si="46"/>
        <v>0</v>
      </c>
      <c r="AF134" s="3">
        <f t="shared" si="46"/>
        <v>0</v>
      </c>
    </row>
    <row r="135" spans="1:33" x14ac:dyDescent="0.25">
      <c r="B135" s="3">
        <f t="shared" ref="B135:Z135" si="47">$C21*EXP(-B$129/$A21/EXP(-$B$126))</f>
        <v>5.4295186308030693E-2</v>
      </c>
      <c r="C135" s="3">
        <f t="shared" si="47"/>
        <v>5.4295186308030693E-2</v>
      </c>
      <c r="D135" s="3">
        <f t="shared" si="47"/>
        <v>5.4295186308030693E-2</v>
      </c>
      <c r="E135" s="3">
        <f t="shared" si="47"/>
        <v>5.4295186308030693E-2</v>
      </c>
      <c r="F135" s="3">
        <f t="shared" si="47"/>
        <v>5.4295186308030693E-2</v>
      </c>
      <c r="G135" s="3">
        <f t="shared" si="47"/>
        <v>5.4295186308030693E-2</v>
      </c>
      <c r="H135" s="3">
        <f t="shared" si="47"/>
        <v>5.4295186308030693E-2</v>
      </c>
      <c r="I135" s="3">
        <f t="shared" si="47"/>
        <v>5.4295186308030693E-2</v>
      </c>
      <c r="J135" s="3">
        <f t="shared" si="47"/>
        <v>5.4295186308030693E-2</v>
      </c>
      <c r="K135" s="3">
        <f t="shared" si="47"/>
        <v>5.4295186308030693E-2</v>
      </c>
      <c r="L135" s="3">
        <f t="shared" si="47"/>
        <v>5.429518630803068E-2</v>
      </c>
      <c r="M135" s="3">
        <f t="shared" si="47"/>
        <v>5.4295186308030603E-2</v>
      </c>
      <c r="N135" s="3">
        <f t="shared" si="47"/>
        <v>5.4295186308029784E-2</v>
      </c>
      <c r="O135" s="3">
        <f t="shared" si="47"/>
        <v>5.4295186308021617E-2</v>
      </c>
      <c r="P135" s="3">
        <f t="shared" si="47"/>
        <v>5.4295186307939891E-2</v>
      </c>
      <c r="Q135" s="3">
        <f t="shared" si="47"/>
        <v>5.4295186307122718E-2</v>
      </c>
      <c r="R135" s="3">
        <f t="shared" si="47"/>
        <v>5.4295186298950915E-2</v>
      </c>
      <c r="S135" s="3">
        <f t="shared" si="47"/>
        <v>5.4295186217232921E-2</v>
      </c>
      <c r="T135" s="3">
        <f t="shared" si="47"/>
        <v>5.4295185400052993E-2</v>
      </c>
      <c r="U135" s="3">
        <f t="shared" si="47"/>
        <v>5.429517722825436E-2</v>
      </c>
      <c r="V135" s="3">
        <f t="shared" si="47"/>
        <v>5.4295095510335643E-2</v>
      </c>
      <c r="W135" s="3">
        <f t="shared" si="47"/>
        <v>5.4294278337913018E-2</v>
      </c>
      <c r="X135" s="3">
        <f t="shared" si="47"/>
        <v>5.428610729009653E-2</v>
      </c>
      <c r="Y135" s="3">
        <f t="shared" si="47"/>
        <v>5.4204464415257912E-2</v>
      </c>
      <c r="Z135" s="3">
        <f t="shared" si="47"/>
        <v>5.3394758503947086E-2</v>
      </c>
      <c r="AA135" s="3">
        <f t="shared" ref="AA135" si="48">$C21*EXP(-AA$129/$A21/EXP(-$B$126))</f>
        <v>4.5934005361839315E-2</v>
      </c>
      <c r="AB135" s="3">
        <f t="shared" si="46"/>
        <v>1.0197441399521355E-2</v>
      </c>
      <c r="AC135" s="3">
        <f t="shared" si="46"/>
        <v>2.9652426190237905E-9</v>
      </c>
      <c r="AD135" s="3">
        <f t="shared" si="46"/>
        <v>1.2815937658871611E-74</v>
      </c>
      <c r="AE135" s="3">
        <f t="shared" si="46"/>
        <v>0</v>
      </c>
      <c r="AF135" s="3">
        <f t="shared" si="46"/>
        <v>0</v>
      </c>
    </row>
    <row r="136" spans="1:33" x14ac:dyDescent="0.25">
      <c r="B136" s="3">
        <f t="shared" ref="B136:Z136" si="49">$C22*EXP(-B$129/$A22/EXP(-$B$126))</f>
        <v>5.1307510130975835E-2</v>
      </c>
      <c r="C136" s="3">
        <f t="shared" si="49"/>
        <v>5.1307510130975835E-2</v>
      </c>
      <c r="D136" s="3">
        <f t="shared" si="49"/>
        <v>5.1307510130975835E-2</v>
      </c>
      <c r="E136" s="3">
        <f t="shared" si="49"/>
        <v>5.1307510130975835E-2</v>
      </c>
      <c r="F136" s="3">
        <f t="shared" si="49"/>
        <v>5.1307510130975835E-2</v>
      </c>
      <c r="G136" s="3">
        <f t="shared" si="49"/>
        <v>5.1307510130975835E-2</v>
      </c>
      <c r="H136" s="3">
        <f t="shared" si="49"/>
        <v>5.1307510130975835E-2</v>
      </c>
      <c r="I136" s="3">
        <f t="shared" si="49"/>
        <v>5.1307510130975835E-2</v>
      </c>
      <c r="J136" s="3">
        <f t="shared" si="49"/>
        <v>5.1307510130975835E-2</v>
      </c>
      <c r="K136" s="3">
        <f t="shared" si="49"/>
        <v>5.1307510130975835E-2</v>
      </c>
      <c r="L136" s="3">
        <f t="shared" si="49"/>
        <v>5.1307510130975835E-2</v>
      </c>
      <c r="M136" s="3">
        <f t="shared" si="49"/>
        <v>5.1307510130975828E-2</v>
      </c>
      <c r="N136" s="3">
        <f t="shared" si="49"/>
        <v>5.1307510130975759E-2</v>
      </c>
      <c r="O136" s="3">
        <f t="shared" si="49"/>
        <v>5.1307510130975058E-2</v>
      </c>
      <c r="P136" s="3">
        <f t="shared" si="49"/>
        <v>5.1307510130968091E-2</v>
      </c>
      <c r="Q136" s="3">
        <f t="shared" si="49"/>
        <v>5.1307510130898432E-2</v>
      </c>
      <c r="R136" s="3">
        <f t="shared" si="49"/>
        <v>5.1307510130201836E-2</v>
      </c>
      <c r="S136" s="3">
        <f t="shared" si="49"/>
        <v>5.1307510123235832E-2</v>
      </c>
      <c r="T136" s="3">
        <f t="shared" si="49"/>
        <v>5.1307510053575756E-2</v>
      </c>
      <c r="U136" s="3">
        <f t="shared" si="49"/>
        <v>5.1307509356975076E-2</v>
      </c>
      <c r="V136" s="3">
        <f t="shared" si="49"/>
        <v>5.1307502390968769E-2</v>
      </c>
      <c r="W136" s="3">
        <f t="shared" si="49"/>
        <v>5.1307432730957746E-2</v>
      </c>
      <c r="X136" s="3">
        <f t="shared" si="49"/>
        <v>5.1306736136049177E-2</v>
      </c>
      <c r="Y136" s="3">
        <f t="shared" si="49"/>
        <v>5.1299770707109581E-2</v>
      </c>
      <c r="Z136" s="3">
        <f t="shared" si="49"/>
        <v>5.1230168406199088E-2</v>
      </c>
      <c r="AA136" s="3">
        <f t="shared" ref="AA136" si="50">$C22*EXP(-AA$129/$A22/EXP(-$B$126))</f>
        <v>5.0539318223899669E-2</v>
      </c>
      <c r="AB136" s="3">
        <f t="shared" si="46"/>
        <v>4.4123030530075873E-2</v>
      </c>
      <c r="AC136" s="3">
        <f t="shared" si="46"/>
        <v>1.1350758430734556E-2</v>
      </c>
      <c r="AD136" s="3">
        <f t="shared" si="46"/>
        <v>1.4408552527957786E-8</v>
      </c>
      <c r="AE136" s="3">
        <f t="shared" si="46"/>
        <v>1.565218906061316E-67</v>
      </c>
      <c r="AF136" s="3">
        <f t="shared" si="46"/>
        <v>0</v>
      </c>
    </row>
    <row r="137" spans="1:33" x14ac:dyDescent="0.25">
      <c r="B137" s="3">
        <f t="shared" ref="B137:Z137" si="51">$C23*EXP(-B$129/$A23/EXP(-$B$126))</f>
        <v>7.4663981933644916E-2</v>
      </c>
      <c r="C137" s="3">
        <f t="shared" si="51"/>
        <v>7.4663981933644916E-2</v>
      </c>
      <c r="D137" s="3">
        <f t="shared" si="51"/>
        <v>7.4663981933644916E-2</v>
      </c>
      <c r="E137" s="3">
        <f t="shared" si="51"/>
        <v>7.4663981933644916E-2</v>
      </c>
      <c r="F137" s="3">
        <f t="shared" si="51"/>
        <v>7.4663981933644916E-2</v>
      </c>
      <c r="G137" s="3">
        <f t="shared" si="51"/>
        <v>7.4663981933644916E-2</v>
      </c>
      <c r="H137" s="3">
        <f t="shared" si="51"/>
        <v>7.4663981933644916E-2</v>
      </c>
      <c r="I137" s="3">
        <f t="shared" si="51"/>
        <v>7.4663981933644916E-2</v>
      </c>
      <c r="J137" s="3">
        <f t="shared" si="51"/>
        <v>7.4663981933644916E-2</v>
      </c>
      <c r="K137" s="3">
        <f t="shared" si="51"/>
        <v>7.4663981933644916E-2</v>
      </c>
      <c r="L137" s="3">
        <f t="shared" si="51"/>
        <v>7.4663981933644916E-2</v>
      </c>
      <c r="M137" s="3">
        <f t="shared" si="51"/>
        <v>7.4663981933644916E-2</v>
      </c>
      <c r="N137" s="3">
        <f t="shared" si="51"/>
        <v>7.4663981933644902E-2</v>
      </c>
      <c r="O137" s="3">
        <f t="shared" si="51"/>
        <v>7.4663981933644819E-2</v>
      </c>
      <c r="P137" s="3">
        <f t="shared" si="51"/>
        <v>7.4663981933643903E-2</v>
      </c>
      <c r="Q137" s="3">
        <f t="shared" si="51"/>
        <v>7.4663981933634757E-2</v>
      </c>
      <c r="R137" s="3">
        <f t="shared" si="51"/>
        <v>7.4663981933543316E-2</v>
      </c>
      <c r="S137" s="3">
        <f t="shared" si="51"/>
        <v>7.4663981932628853E-2</v>
      </c>
      <c r="T137" s="3">
        <f t="shared" si="51"/>
        <v>7.4663981923484335E-2</v>
      </c>
      <c r="U137" s="3">
        <f t="shared" si="51"/>
        <v>7.4663981832039192E-2</v>
      </c>
      <c r="V137" s="3">
        <f t="shared" si="51"/>
        <v>7.466398091758765E-2</v>
      </c>
      <c r="W137" s="3">
        <f t="shared" si="51"/>
        <v>7.4663971773072879E-2</v>
      </c>
      <c r="X137" s="3">
        <f t="shared" si="51"/>
        <v>7.4663880327986765E-2</v>
      </c>
      <c r="Y137" s="3">
        <f t="shared" si="51"/>
        <v>7.4662965883285415E-2</v>
      </c>
      <c r="Z137" s="3">
        <f t="shared" si="51"/>
        <v>7.465382205222991E-2</v>
      </c>
      <c r="AA137" s="3">
        <f t="shared" ref="AA137" si="52">$C23*EXP(-AA$129/$A23/EXP(-$B$126))</f>
        <v>7.456244530956728E-2</v>
      </c>
      <c r="AB137" s="3">
        <f t="shared" si="46"/>
        <v>7.365480686325486E-2</v>
      </c>
      <c r="AC137" s="3">
        <f t="shared" si="46"/>
        <v>6.5164433014151105E-2</v>
      </c>
      <c r="AD137" s="3">
        <f t="shared" si="46"/>
        <v>1.9147226695674206E-2</v>
      </c>
      <c r="AE137" s="3">
        <f t="shared" si="46"/>
        <v>9.184562256555607E-8</v>
      </c>
      <c r="AF137" s="3">
        <f t="shared" si="46"/>
        <v>5.9235804835491476E-61</v>
      </c>
    </row>
    <row r="138" spans="1:33" x14ac:dyDescent="0.25">
      <c r="B138" s="3">
        <f t="shared" ref="B138:Z138" si="53">$C24*EXP(-B$129/$A24/EXP(-$B$126))</f>
        <v>9.0647969973627479E-2</v>
      </c>
      <c r="C138" s="3">
        <f t="shared" si="53"/>
        <v>9.0647969973627479E-2</v>
      </c>
      <c r="D138" s="3">
        <f t="shared" si="53"/>
        <v>9.0647969973627479E-2</v>
      </c>
      <c r="E138" s="3">
        <f t="shared" si="53"/>
        <v>9.0647969973627479E-2</v>
      </c>
      <c r="F138" s="3">
        <f t="shared" si="53"/>
        <v>9.0647969973627479E-2</v>
      </c>
      <c r="G138" s="3">
        <f t="shared" si="53"/>
        <v>9.0647969973627479E-2</v>
      </c>
      <c r="H138" s="3">
        <f t="shared" si="53"/>
        <v>9.0647969973627479E-2</v>
      </c>
      <c r="I138" s="3">
        <f t="shared" si="53"/>
        <v>9.0647969973627479E-2</v>
      </c>
      <c r="J138" s="3">
        <f t="shared" si="53"/>
        <v>9.0647969973627479E-2</v>
      </c>
      <c r="K138" s="3">
        <f t="shared" si="53"/>
        <v>9.0647969973627479E-2</v>
      </c>
      <c r="L138" s="3">
        <f t="shared" si="53"/>
        <v>9.0647969973627479E-2</v>
      </c>
      <c r="M138" s="3">
        <f t="shared" si="53"/>
        <v>9.0647969973627479E-2</v>
      </c>
      <c r="N138" s="3">
        <f t="shared" si="53"/>
        <v>9.0647969973627479E-2</v>
      </c>
      <c r="O138" s="3">
        <f t="shared" si="53"/>
        <v>9.0647969973627465E-2</v>
      </c>
      <c r="P138" s="3">
        <f t="shared" si="53"/>
        <v>9.0647969973627368E-2</v>
      </c>
      <c r="Q138" s="3">
        <f t="shared" si="53"/>
        <v>9.0647969973626369E-2</v>
      </c>
      <c r="R138" s="3">
        <f t="shared" si="53"/>
        <v>9.0647969973616349E-2</v>
      </c>
      <c r="S138" s="3">
        <f t="shared" si="53"/>
        <v>9.0647969973516207E-2</v>
      </c>
      <c r="T138" s="3">
        <f t="shared" si="53"/>
        <v>9.0647969972514689E-2</v>
      </c>
      <c r="U138" s="3">
        <f t="shared" si="53"/>
        <v>9.0647969962499617E-2</v>
      </c>
      <c r="V138" s="3">
        <f t="shared" si="53"/>
        <v>9.0647969862348868E-2</v>
      </c>
      <c r="W138" s="3">
        <f t="shared" si="53"/>
        <v>9.0647968860841324E-2</v>
      </c>
      <c r="X138" s="3">
        <f t="shared" si="53"/>
        <v>9.0647958845766582E-2</v>
      </c>
      <c r="Y138" s="3">
        <f t="shared" si="53"/>
        <v>9.0647858695080005E-2</v>
      </c>
      <c r="Z138" s="3">
        <f t="shared" si="53"/>
        <v>9.0646857194299837E-2</v>
      </c>
      <c r="AA138" s="3">
        <f t="shared" ref="AA138" si="54">$C24*EXP(-AA$129/$A24/EXP(-$B$126))</f>
        <v>9.0636842795044165E-2</v>
      </c>
      <c r="AB138" s="3">
        <f t="shared" si="46"/>
        <v>9.0536759632206504E-2</v>
      </c>
      <c r="AC138" s="3">
        <f t="shared" si="46"/>
        <v>8.9541986182617841E-2</v>
      </c>
      <c r="AD138" s="3">
        <f t="shared" si="46"/>
        <v>8.0176019452894778E-2</v>
      </c>
      <c r="AE138" s="3">
        <f t="shared" si="46"/>
        <v>2.6559638741520519E-2</v>
      </c>
      <c r="AF138" s="3">
        <f t="shared" si="46"/>
        <v>4.2266753536068607E-7</v>
      </c>
    </row>
    <row r="139" spans="1:33" x14ac:dyDescent="0.25">
      <c r="B139" s="3">
        <f t="shared" ref="B139:Z139" si="55">$C25*EXP(-B$129/$A25/EXP(-$B$126))</f>
        <v>0.10513898706376987</v>
      </c>
      <c r="C139" s="3">
        <f t="shared" si="55"/>
        <v>0.10513898706376987</v>
      </c>
      <c r="D139" s="3">
        <f t="shared" si="55"/>
        <v>0.10513898706376987</v>
      </c>
      <c r="E139" s="3">
        <f t="shared" si="55"/>
        <v>0.10513898706376987</v>
      </c>
      <c r="F139" s="3">
        <f t="shared" si="55"/>
        <v>0.10513898706376987</v>
      </c>
      <c r="G139" s="3">
        <f t="shared" si="55"/>
        <v>0.10513898706376987</v>
      </c>
      <c r="H139" s="3">
        <f t="shared" si="55"/>
        <v>0.10513898706376987</v>
      </c>
      <c r="I139" s="3">
        <f t="shared" si="55"/>
        <v>0.10513898706376987</v>
      </c>
      <c r="J139" s="3">
        <f t="shared" si="55"/>
        <v>0.10513898706376987</v>
      </c>
      <c r="K139" s="3">
        <f t="shared" si="55"/>
        <v>0.10513898706376987</v>
      </c>
      <c r="L139" s="3">
        <f t="shared" si="55"/>
        <v>0.10513898706376987</v>
      </c>
      <c r="M139" s="3">
        <f t="shared" si="55"/>
        <v>0.10513898706376987</v>
      </c>
      <c r="N139" s="3">
        <f t="shared" si="55"/>
        <v>0.10513898706376987</v>
      </c>
      <c r="O139" s="3">
        <f t="shared" si="55"/>
        <v>0.10513898706376987</v>
      </c>
      <c r="P139" s="3">
        <f t="shared" si="55"/>
        <v>0.10513898706376985</v>
      </c>
      <c r="Q139" s="3">
        <f t="shared" si="55"/>
        <v>0.10513898706376976</v>
      </c>
      <c r="R139" s="3">
        <f t="shared" si="55"/>
        <v>0.1051389870637687</v>
      </c>
      <c r="S139" s="3">
        <f t="shared" si="55"/>
        <v>0.10513898706375822</v>
      </c>
      <c r="T139" s="3">
        <f t="shared" si="55"/>
        <v>0.10513898706365345</v>
      </c>
      <c r="U139" s="3">
        <f t="shared" si="55"/>
        <v>0.10513898706260556</v>
      </c>
      <c r="V139" s="3">
        <f t="shared" si="55"/>
        <v>0.10513898705212689</v>
      </c>
      <c r="W139" s="3">
        <f t="shared" si="55"/>
        <v>0.1051389869473401</v>
      </c>
      <c r="X139" s="3">
        <f t="shared" si="55"/>
        <v>0.10513898589947225</v>
      </c>
      <c r="Y139" s="3">
        <f t="shared" si="55"/>
        <v>0.10513897542079426</v>
      </c>
      <c r="Z139" s="3">
        <f t="shared" si="55"/>
        <v>0.10513887063407182</v>
      </c>
      <c r="AA139" s="3">
        <f t="shared" ref="AA139" si="56">$C25*EXP(-AA$129/$A25/EXP(-$B$126))</f>
        <v>0.10513782277259143</v>
      </c>
      <c r="AB139" s="3">
        <f t="shared" si="46"/>
        <v>0.10512734473216059</v>
      </c>
      <c r="AC139" s="3">
        <f t="shared" si="46"/>
        <v>0.10502262174399478</v>
      </c>
      <c r="AD139" s="3">
        <f t="shared" si="46"/>
        <v>0.10398111236010531</v>
      </c>
      <c r="AE139" s="3">
        <f t="shared" si="46"/>
        <v>9.4117523998048763E-2</v>
      </c>
      <c r="AF139" s="3">
        <f t="shared" si="46"/>
        <v>3.4740081815545942E-2</v>
      </c>
    </row>
    <row r="140" spans="1:33" x14ac:dyDescent="0.25">
      <c r="B140" s="3">
        <f t="shared" ref="B140:Z140" si="57">$C26*EXP(-B$129/$A26/EXP(-$B$126))</f>
        <v>0.12480864845095105</v>
      </c>
      <c r="C140" s="3">
        <f t="shared" si="57"/>
        <v>0.12480864845095105</v>
      </c>
      <c r="D140" s="3">
        <f t="shared" si="57"/>
        <v>0.12480864845095105</v>
      </c>
      <c r="E140" s="3">
        <f t="shared" si="57"/>
        <v>0.12480864845095105</v>
      </c>
      <c r="F140" s="3">
        <f t="shared" si="57"/>
        <v>0.12480864845095105</v>
      </c>
      <c r="G140" s="3">
        <f t="shared" si="57"/>
        <v>0.12480864845095105</v>
      </c>
      <c r="H140" s="3">
        <f t="shared" si="57"/>
        <v>0.12480864845095105</v>
      </c>
      <c r="I140" s="3">
        <f t="shared" si="57"/>
        <v>0.12480864845095105</v>
      </c>
      <c r="J140" s="3">
        <f t="shared" si="57"/>
        <v>0.12480864845095105</v>
      </c>
      <c r="K140" s="3">
        <f t="shared" si="57"/>
        <v>0.12480864845095105</v>
      </c>
      <c r="L140" s="3">
        <f t="shared" si="57"/>
        <v>0.12480864845095105</v>
      </c>
      <c r="M140" s="3">
        <f t="shared" si="57"/>
        <v>0.12480864845095105</v>
      </c>
      <c r="N140" s="3">
        <f t="shared" si="57"/>
        <v>0.12480864845095105</v>
      </c>
      <c r="O140" s="3">
        <f t="shared" si="57"/>
        <v>0.12480864845095105</v>
      </c>
      <c r="P140" s="3">
        <f t="shared" si="57"/>
        <v>0.12480864845095105</v>
      </c>
      <c r="Q140" s="3">
        <f t="shared" si="57"/>
        <v>0.12480864845095103</v>
      </c>
      <c r="R140" s="3">
        <f t="shared" si="57"/>
        <v>0.12480864845095092</v>
      </c>
      <c r="S140" s="3">
        <f t="shared" si="57"/>
        <v>0.1248086484509498</v>
      </c>
      <c r="T140" s="3">
        <f t="shared" si="57"/>
        <v>0.12480864845093857</v>
      </c>
      <c r="U140" s="3">
        <f t="shared" si="57"/>
        <v>0.12480864845082637</v>
      </c>
      <c r="V140" s="3">
        <f t="shared" si="57"/>
        <v>0.12480864844970427</v>
      </c>
      <c r="W140" s="3">
        <f t="shared" si="57"/>
        <v>0.12480864843848319</v>
      </c>
      <c r="X140" s="3">
        <f t="shared" si="57"/>
        <v>0.12480864832627257</v>
      </c>
      <c r="Y140" s="3">
        <f t="shared" si="57"/>
        <v>0.12480864720416628</v>
      </c>
      <c r="Z140" s="3">
        <f t="shared" si="57"/>
        <v>0.12480863598310381</v>
      </c>
      <c r="AA140" s="3">
        <f t="shared" ref="AA140" si="58">$C26*EXP(-AA$129/$A26/EXP(-$B$126))</f>
        <v>0.12480852377253471</v>
      </c>
      <c r="AB140" s="3">
        <f t="shared" si="46"/>
        <v>0.12480740167239229</v>
      </c>
      <c r="AC140" s="3">
        <f t="shared" si="46"/>
        <v>0.12479618122581104</v>
      </c>
      <c r="AD140" s="3">
        <f t="shared" si="46"/>
        <v>0.1246840322258272</v>
      </c>
      <c r="AE140" s="3">
        <f t="shared" si="46"/>
        <v>0.12356807040228864</v>
      </c>
      <c r="AF140" s="3">
        <f t="shared" si="46"/>
        <v>0.11294331408098524</v>
      </c>
    </row>
    <row r="141" spans="1:33" x14ac:dyDescent="0.25">
      <c r="B141" s="3">
        <f t="shared" ref="B141:Z141" si="59">$C27*EXP(-B$129/$A27/EXP(-$B$126))</f>
        <v>8.8034867704118849E-2</v>
      </c>
      <c r="C141" s="3">
        <f t="shared" si="59"/>
        <v>8.8034867704118849E-2</v>
      </c>
      <c r="D141" s="3">
        <f t="shared" si="59"/>
        <v>8.8034867704118849E-2</v>
      </c>
      <c r="E141" s="3">
        <f t="shared" si="59"/>
        <v>8.8034867704118849E-2</v>
      </c>
      <c r="F141" s="3">
        <f t="shared" si="59"/>
        <v>8.8034867704118849E-2</v>
      </c>
      <c r="G141" s="3">
        <f t="shared" si="59"/>
        <v>8.8034867704118849E-2</v>
      </c>
      <c r="H141" s="3">
        <f t="shared" si="59"/>
        <v>8.8034867704118849E-2</v>
      </c>
      <c r="I141" s="3">
        <f t="shared" si="59"/>
        <v>8.8034867704118849E-2</v>
      </c>
      <c r="J141" s="3">
        <f t="shared" si="59"/>
        <v>8.8034867704118849E-2</v>
      </c>
      <c r="K141" s="3">
        <f t="shared" si="59"/>
        <v>8.8034867704118849E-2</v>
      </c>
      <c r="L141" s="3">
        <f t="shared" si="59"/>
        <v>8.8034867704118849E-2</v>
      </c>
      <c r="M141" s="3">
        <f t="shared" si="59"/>
        <v>8.8034867704118849E-2</v>
      </c>
      <c r="N141" s="3">
        <f t="shared" si="59"/>
        <v>8.8034867704118849E-2</v>
      </c>
      <c r="O141" s="3">
        <f t="shared" si="59"/>
        <v>8.8034867704118849E-2</v>
      </c>
      <c r="P141" s="3">
        <f t="shared" si="59"/>
        <v>8.8034867704118849E-2</v>
      </c>
      <c r="Q141" s="3">
        <f t="shared" si="59"/>
        <v>8.8034867704118849E-2</v>
      </c>
      <c r="R141" s="3">
        <f t="shared" si="59"/>
        <v>8.8034867704118835E-2</v>
      </c>
      <c r="S141" s="3">
        <f t="shared" si="59"/>
        <v>8.8034867704118766E-2</v>
      </c>
      <c r="T141" s="3">
        <f t="shared" si="59"/>
        <v>8.8034867704118058E-2</v>
      </c>
      <c r="U141" s="3">
        <f t="shared" si="59"/>
        <v>8.8034867704110911E-2</v>
      </c>
      <c r="V141" s="3">
        <f t="shared" si="59"/>
        <v>8.803486770403951E-2</v>
      </c>
      <c r="W141" s="3">
        <f t="shared" si="59"/>
        <v>8.8034867703325526E-2</v>
      </c>
      <c r="X141" s="3">
        <f t="shared" si="59"/>
        <v>8.8034867696185654E-2</v>
      </c>
      <c r="Y141" s="3">
        <f t="shared" si="59"/>
        <v>8.8034867624786906E-2</v>
      </c>
      <c r="Z141" s="3">
        <f t="shared" si="59"/>
        <v>8.803486691079937E-2</v>
      </c>
      <c r="AA141" s="3">
        <f t="shared" ref="AA141" si="60">$C27*EXP(-AA$129/$A27/EXP(-$B$126))</f>
        <v>8.8034859770924373E-2</v>
      </c>
      <c r="AB141" s="3">
        <f t="shared" si="46"/>
        <v>8.8034788372206185E-2</v>
      </c>
      <c r="AC141" s="3">
        <f t="shared" si="46"/>
        <v>8.8034074388209232E-2</v>
      </c>
      <c r="AD141" s="3">
        <f t="shared" si="46"/>
        <v>8.8026934866714202E-2</v>
      </c>
      <c r="AE141" s="3">
        <f t="shared" si="46"/>
        <v>8.7955571489665776E-2</v>
      </c>
      <c r="AF141" s="3">
        <f t="shared" si="46"/>
        <v>8.724511197612464E-2</v>
      </c>
    </row>
    <row r="142" spans="1:33" x14ac:dyDescent="0.25">
      <c r="B142" s="3">
        <f t="shared" ref="B142:Z142" si="61">$C28*EXP(-B$129/$A28/EXP(-$B$126))</f>
        <v>5.3040160566801761E-2</v>
      </c>
      <c r="C142" s="3">
        <f t="shared" si="61"/>
        <v>5.3040160566801761E-2</v>
      </c>
      <c r="D142" s="3">
        <f t="shared" si="61"/>
        <v>5.3040160566801761E-2</v>
      </c>
      <c r="E142" s="3">
        <f t="shared" si="61"/>
        <v>5.3040160566801761E-2</v>
      </c>
      <c r="F142" s="3">
        <f t="shared" si="61"/>
        <v>5.3040160566801761E-2</v>
      </c>
      <c r="G142" s="3">
        <f t="shared" si="61"/>
        <v>5.3040160566801761E-2</v>
      </c>
      <c r="H142" s="3">
        <f t="shared" si="61"/>
        <v>5.3040160566801761E-2</v>
      </c>
      <c r="I142" s="3">
        <f t="shared" si="61"/>
        <v>5.3040160566801761E-2</v>
      </c>
      <c r="J142" s="3">
        <f t="shared" si="61"/>
        <v>5.3040160566801761E-2</v>
      </c>
      <c r="K142" s="3">
        <f t="shared" si="61"/>
        <v>5.3040160566801761E-2</v>
      </c>
      <c r="L142" s="3">
        <f t="shared" si="61"/>
        <v>5.3040160566801761E-2</v>
      </c>
      <c r="M142" s="3">
        <f t="shared" si="61"/>
        <v>5.3040160566801761E-2</v>
      </c>
      <c r="N142" s="3">
        <f t="shared" si="61"/>
        <v>5.3040160566801761E-2</v>
      </c>
      <c r="O142" s="3">
        <f t="shared" si="61"/>
        <v>5.3040160566801761E-2</v>
      </c>
      <c r="P142" s="3">
        <f t="shared" si="61"/>
        <v>5.3040160566801761E-2</v>
      </c>
      <c r="Q142" s="3">
        <f t="shared" si="61"/>
        <v>5.3040160566801761E-2</v>
      </c>
      <c r="R142" s="3">
        <f t="shared" si="61"/>
        <v>5.3040160566801761E-2</v>
      </c>
      <c r="S142" s="3">
        <f t="shared" si="61"/>
        <v>5.3040160566801754E-2</v>
      </c>
      <c r="T142" s="3">
        <f t="shared" si="61"/>
        <v>5.304016056680172E-2</v>
      </c>
      <c r="U142" s="3">
        <f t="shared" si="61"/>
        <v>5.3040160566801331E-2</v>
      </c>
      <c r="V142" s="3">
        <f t="shared" si="61"/>
        <v>5.3040160566797452E-2</v>
      </c>
      <c r="W142" s="3">
        <f t="shared" si="61"/>
        <v>5.3040160566758643E-2</v>
      </c>
      <c r="X142" s="3">
        <f t="shared" si="61"/>
        <v>5.3040160566370592E-2</v>
      </c>
      <c r="Y142" s="3">
        <f t="shared" si="61"/>
        <v>5.3040160562490099E-2</v>
      </c>
      <c r="Z142" s="3">
        <f t="shared" si="61"/>
        <v>5.3040160523685126E-2</v>
      </c>
      <c r="AA142" s="3">
        <f t="shared" ref="AA142" si="62">$C28*EXP(-AA$129/$A28/EXP(-$B$126))</f>
        <v>5.3040160135635443E-2</v>
      </c>
      <c r="AB142" s="3">
        <f t="shared" si="46"/>
        <v>5.3040156255138769E-2</v>
      </c>
      <c r="AC142" s="3">
        <f t="shared" si="46"/>
        <v>5.3040117450187607E-2</v>
      </c>
      <c r="AD142" s="3">
        <f t="shared" si="46"/>
        <v>5.3039729402237466E-2</v>
      </c>
      <c r="AE142" s="3">
        <f t="shared" si="46"/>
        <v>5.3035849078877997E-2</v>
      </c>
      <c r="AF142" s="3">
        <f t="shared" si="46"/>
        <v>5.2997061455247622E-2</v>
      </c>
    </row>
    <row r="143" spans="1:33" x14ac:dyDescent="0.25">
      <c r="B143" s="3">
        <f t="shared" ref="B143:Z143" si="63">$C29*EXP(-B$129/$A29/EXP(-$B$126))</f>
        <v>2.9418988584786216E-2</v>
      </c>
      <c r="C143" s="3">
        <f t="shared" si="63"/>
        <v>2.9418988584786216E-2</v>
      </c>
      <c r="D143" s="3">
        <f t="shared" si="63"/>
        <v>2.9418988584786216E-2</v>
      </c>
      <c r="E143" s="3">
        <f t="shared" si="63"/>
        <v>2.9418988584786216E-2</v>
      </c>
      <c r="F143" s="3">
        <f t="shared" si="63"/>
        <v>2.9418988584786216E-2</v>
      </c>
      <c r="G143" s="3">
        <f t="shared" si="63"/>
        <v>2.9418988584786216E-2</v>
      </c>
      <c r="H143" s="3">
        <f t="shared" si="63"/>
        <v>2.9418988584786216E-2</v>
      </c>
      <c r="I143" s="3">
        <f t="shared" si="63"/>
        <v>2.9418988584786216E-2</v>
      </c>
      <c r="J143" s="3">
        <f t="shared" si="63"/>
        <v>2.9418988584786216E-2</v>
      </c>
      <c r="K143" s="3">
        <f t="shared" si="63"/>
        <v>2.9418988584786216E-2</v>
      </c>
      <c r="L143" s="3">
        <f t="shared" si="63"/>
        <v>2.9418988584786216E-2</v>
      </c>
      <c r="M143" s="3">
        <f t="shared" si="63"/>
        <v>2.9418988584786216E-2</v>
      </c>
      <c r="N143" s="3">
        <f t="shared" si="63"/>
        <v>2.9418988584786216E-2</v>
      </c>
      <c r="O143" s="3">
        <f t="shared" si="63"/>
        <v>2.9418988584786216E-2</v>
      </c>
      <c r="P143" s="3">
        <f t="shared" si="63"/>
        <v>2.9418988584786216E-2</v>
      </c>
      <c r="Q143" s="3">
        <f t="shared" si="63"/>
        <v>2.9418988584786216E-2</v>
      </c>
      <c r="R143" s="3">
        <f t="shared" si="63"/>
        <v>2.9418988584786216E-2</v>
      </c>
      <c r="S143" s="3">
        <f t="shared" si="63"/>
        <v>2.9418988584786216E-2</v>
      </c>
      <c r="T143" s="3">
        <f t="shared" si="63"/>
        <v>2.9418988584786213E-2</v>
      </c>
      <c r="U143" s="3">
        <f t="shared" si="63"/>
        <v>2.9418988584786192E-2</v>
      </c>
      <c r="V143" s="3">
        <f t="shared" si="63"/>
        <v>2.9418988584786001E-2</v>
      </c>
      <c r="W143" s="3">
        <f t="shared" si="63"/>
        <v>2.9418988584784058E-2</v>
      </c>
      <c r="X143" s="3">
        <f t="shared" si="63"/>
        <v>2.9418988584764643E-2</v>
      </c>
      <c r="Y143" s="3">
        <f t="shared" si="63"/>
        <v>2.9418988584570482E-2</v>
      </c>
      <c r="Z143" s="3">
        <f t="shared" si="63"/>
        <v>2.94189885826289E-2</v>
      </c>
      <c r="AA143" s="3">
        <f t="shared" ref="AA143" si="64">$C29*EXP(-AA$129/$A29/EXP(-$B$126))</f>
        <v>2.9418988563213028E-2</v>
      </c>
      <c r="AB143" s="3">
        <f t="shared" si="46"/>
        <v>2.9418988369054339E-2</v>
      </c>
      <c r="AC143" s="3">
        <f t="shared" si="46"/>
        <v>2.9418986427467514E-2</v>
      </c>
      <c r="AD143" s="3">
        <f t="shared" si="46"/>
        <v>2.941896701160631E-2</v>
      </c>
      <c r="AE143" s="3">
        <f t="shared" si="46"/>
        <v>2.9418772853699048E-2</v>
      </c>
      <c r="AF143" s="3">
        <f t="shared" si="46"/>
        <v>2.9416831345101688E-2</v>
      </c>
    </row>
    <row r="144" spans="1:33" x14ac:dyDescent="0.25">
      <c r="B144" s="3">
        <f t="shared" ref="B144:Z144" si="65">$C30*EXP(-B$129/$A30/EXP(-$B$126))</f>
        <v>6.3753391533418529E-3</v>
      </c>
      <c r="C144" s="3">
        <f t="shared" si="65"/>
        <v>6.3753391533418529E-3</v>
      </c>
      <c r="D144" s="3">
        <f t="shared" si="65"/>
        <v>6.3753391533418529E-3</v>
      </c>
      <c r="E144" s="3">
        <f t="shared" si="65"/>
        <v>6.3753391533418529E-3</v>
      </c>
      <c r="F144" s="3">
        <f t="shared" si="65"/>
        <v>6.3753391533418529E-3</v>
      </c>
      <c r="G144" s="3">
        <f t="shared" si="65"/>
        <v>6.3753391533418529E-3</v>
      </c>
      <c r="H144" s="3">
        <f t="shared" si="65"/>
        <v>6.3753391533418529E-3</v>
      </c>
      <c r="I144" s="3">
        <f t="shared" si="65"/>
        <v>6.3753391533418529E-3</v>
      </c>
      <c r="J144" s="3">
        <f t="shared" si="65"/>
        <v>6.3753391533418529E-3</v>
      </c>
      <c r="K144" s="3">
        <f t="shared" si="65"/>
        <v>6.3753391533418529E-3</v>
      </c>
      <c r="L144" s="3">
        <f t="shared" si="65"/>
        <v>6.3753391533418529E-3</v>
      </c>
      <c r="M144" s="3">
        <f t="shared" si="65"/>
        <v>6.3753391533418529E-3</v>
      </c>
      <c r="N144" s="3">
        <f t="shared" si="65"/>
        <v>6.3753391533418529E-3</v>
      </c>
      <c r="O144" s="3">
        <f t="shared" si="65"/>
        <v>6.3753391533418529E-3</v>
      </c>
      <c r="P144" s="3">
        <f t="shared" si="65"/>
        <v>6.3753391533418529E-3</v>
      </c>
      <c r="Q144" s="3">
        <f t="shared" si="65"/>
        <v>6.3753391533418529E-3</v>
      </c>
      <c r="R144" s="3">
        <f t="shared" si="65"/>
        <v>6.3753391533418529E-3</v>
      </c>
      <c r="S144" s="3">
        <f t="shared" si="65"/>
        <v>6.3753391533418529E-3</v>
      </c>
      <c r="T144" s="3">
        <f t="shared" si="65"/>
        <v>6.3753391533418529E-3</v>
      </c>
      <c r="U144" s="3">
        <f t="shared" si="65"/>
        <v>6.3753391533418521E-3</v>
      </c>
      <c r="V144" s="3">
        <f t="shared" si="65"/>
        <v>6.3753391533418486E-3</v>
      </c>
      <c r="W144" s="3">
        <f t="shared" si="65"/>
        <v>6.3753391533418104E-3</v>
      </c>
      <c r="X144" s="3">
        <f t="shared" si="65"/>
        <v>6.3753391533414314E-3</v>
      </c>
      <c r="Y144" s="3">
        <f t="shared" si="65"/>
        <v>6.3753391533376358E-3</v>
      </c>
      <c r="Z144" s="3">
        <f t="shared" si="65"/>
        <v>6.3753391532996801E-3</v>
      </c>
      <c r="AA144" s="3">
        <f t="shared" ref="AA144" si="66">$C30*EXP(-AA$129/$A30/EXP(-$B$126))</f>
        <v>6.3753391529201208E-3</v>
      </c>
      <c r="AB144" s="3">
        <f t="shared" ref="AB144:AF153" si="67">$C30*EXP(-AB$129/$A30/EXP(-$B$126))</f>
        <v>6.3753391491245337E-3</v>
      </c>
      <c r="AC144" s="3">
        <f t="shared" si="67"/>
        <v>6.3753391111686609E-3</v>
      </c>
      <c r="AD144" s="3">
        <f t="shared" si="67"/>
        <v>6.3753387316099492E-3</v>
      </c>
      <c r="AE144" s="3">
        <f t="shared" si="67"/>
        <v>6.3753349360240697E-3</v>
      </c>
      <c r="AF144" s="3">
        <f t="shared" si="67"/>
        <v>6.3752969802895621E-3</v>
      </c>
    </row>
    <row r="145" spans="1:32" x14ac:dyDescent="0.25">
      <c r="B145" s="3">
        <f t="shared" ref="B145:Z145" si="68">$C31*EXP(-B$129/$A31/EXP(-$B$126))</f>
        <v>3.2709514210797811E-3</v>
      </c>
      <c r="C145" s="3">
        <f t="shared" si="68"/>
        <v>3.2709514210797811E-3</v>
      </c>
      <c r="D145" s="3">
        <f t="shared" si="68"/>
        <v>3.2709514210797811E-3</v>
      </c>
      <c r="E145" s="3">
        <f t="shared" si="68"/>
        <v>3.2709514210797811E-3</v>
      </c>
      <c r="F145" s="3">
        <f t="shared" si="68"/>
        <v>3.2709514210797811E-3</v>
      </c>
      <c r="G145" s="3">
        <f t="shared" si="68"/>
        <v>3.2709514210797811E-3</v>
      </c>
      <c r="H145" s="3">
        <f t="shared" si="68"/>
        <v>3.2709514210797811E-3</v>
      </c>
      <c r="I145" s="3">
        <f t="shared" si="68"/>
        <v>3.2709514210797811E-3</v>
      </c>
      <c r="J145" s="3">
        <f t="shared" si="68"/>
        <v>3.2709514210797811E-3</v>
      </c>
      <c r="K145" s="3">
        <f t="shared" si="68"/>
        <v>3.2709514210797811E-3</v>
      </c>
      <c r="L145" s="3">
        <f t="shared" si="68"/>
        <v>3.2709514210797811E-3</v>
      </c>
      <c r="M145" s="3">
        <f t="shared" si="68"/>
        <v>3.2709514210797811E-3</v>
      </c>
      <c r="N145" s="3">
        <f t="shared" si="68"/>
        <v>3.2709514210797811E-3</v>
      </c>
      <c r="O145" s="3">
        <f t="shared" si="68"/>
        <v>3.2709514210797811E-3</v>
      </c>
      <c r="P145" s="3">
        <f t="shared" si="68"/>
        <v>3.2709514210797811E-3</v>
      </c>
      <c r="Q145" s="3">
        <f t="shared" si="68"/>
        <v>3.2709514210797811E-3</v>
      </c>
      <c r="R145" s="3">
        <f t="shared" si="68"/>
        <v>3.2709514210797811E-3</v>
      </c>
      <c r="S145" s="3">
        <f t="shared" si="68"/>
        <v>3.2709514210797811E-3</v>
      </c>
      <c r="T145" s="3">
        <f t="shared" si="68"/>
        <v>3.2709514210797811E-3</v>
      </c>
      <c r="U145" s="3">
        <f t="shared" si="68"/>
        <v>3.2709514210797811E-3</v>
      </c>
      <c r="V145" s="3">
        <f t="shared" si="68"/>
        <v>3.2709514210797807E-3</v>
      </c>
      <c r="W145" s="3">
        <f t="shared" si="68"/>
        <v>3.2709514210797794E-3</v>
      </c>
      <c r="X145" s="3">
        <f t="shared" si="68"/>
        <v>3.2709514210797616E-3</v>
      </c>
      <c r="Y145" s="3">
        <f t="shared" si="68"/>
        <v>3.2709514210795859E-3</v>
      </c>
      <c r="Z145" s="3">
        <f t="shared" si="68"/>
        <v>3.2709514210778291E-3</v>
      </c>
      <c r="AA145" s="3">
        <f t="shared" ref="AA145" si="69">$C31*EXP(-AA$129/$A31/EXP(-$B$126))</f>
        <v>3.2709514210602624E-3</v>
      </c>
      <c r="AB145" s="3">
        <f t="shared" si="67"/>
        <v>3.2709514208845926E-3</v>
      </c>
      <c r="AC145" s="3">
        <f t="shared" si="67"/>
        <v>3.270951419127898E-3</v>
      </c>
      <c r="AD145" s="3">
        <f t="shared" si="67"/>
        <v>3.2709514015609475E-3</v>
      </c>
      <c r="AE145" s="3">
        <f t="shared" si="67"/>
        <v>3.2709512258914503E-3</v>
      </c>
      <c r="AF145" s="3">
        <f t="shared" si="67"/>
        <v>3.2709494691969985E-3</v>
      </c>
    </row>
    <row r="146" spans="1:32" x14ac:dyDescent="0.25">
      <c r="B146" s="3">
        <f t="shared" ref="B146:Z146" si="70">$C32*EXP(-B$129/$A32/EXP(-$B$126))</f>
        <v>1.2755053961347703E-3</v>
      </c>
      <c r="C146" s="3">
        <f t="shared" si="70"/>
        <v>1.2755053961347703E-3</v>
      </c>
      <c r="D146" s="3">
        <f t="shared" si="70"/>
        <v>1.2755053961347703E-3</v>
      </c>
      <c r="E146" s="3">
        <f t="shared" si="70"/>
        <v>1.2755053961347703E-3</v>
      </c>
      <c r="F146" s="3">
        <f t="shared" si="70"/>
        <v>1.2755053961347703E-3</v>
      </c>
      <c r="G146" s="3">
        <f t="shared" si="70"/>
        <v>1.2755053961347703E-3</v>
      </c>
      <c r="H146" s="3">
        <f t="shared" si="70"/>
        <v>1.2755053961347703E-3</v>
      </c>
      <c r="I146" s="3">
        <f t="shared" si="70"/>
        <v>1.2755053961347703E-3</v>
      </c>
      <c r="J146" s="3">
        <f t="shared" si="70"/>
        <v>1.2755053961347703E-3</v>
      </c>
      <c r="K146" s="3">
        <f t="shared" si="70"/>
        <v>1.2755053961347703E-3</v>
      </c>
      <c r="L146" s="3">
        <f t="shared" si="70"/>
        <v>1.2755053961347703E-3</v>
      </c>
      <c r="M146" s="3">
        <f t="shared" si="70"/>
        <v>1.2755053961347703E-3</v>
      </c>
      <c r="N146" s="3">
        <f t="shared" si="70"/>
        <v>1.2755053961347703E-3</v>
      </c>
      <c r="O146" s="3">
        <f t="shared" si="70"/>
        <v>1.2755053961347703E-3</v>
      </c>
      <c r="P146" s="3">
        <f t="shared" si="70"/>
        <v>1.2755053961347703E-3</v>
      </c>
      <c r="Q146" s="3">
        <f t="shared" si="70"/>
        <v>1.2755053961347703E-3</v>
      </c>
      <c r="R146" s="3">
        <f t="shared" si="70"/>
        <v>1.2755053961347703E-3</v>
      </c>
      <c r="S146" s="3">
        <f t="shared" si="70"/>
        <v>1.2755053961347703E-3</v>
      </c>
      <c r="T146" s="3">
        <f t="shared" si="70"/>
        <v>1.2755053961347703E-3</v>
      </c>
      <c r="U146" s="3">
        <f t="shared" si="70"/>
        <v>1.2755053961347703E-3</v>
      </c>
      <c r="V146" s="3">
        <f t="shared" si="70"/>
        <v>1.2755053961347703E-3</v>
      </c>
      <c r="W146" s="3">
        <f t="shared" si="70"/>
        <v>1.2755053961347703E-3</v>
      </c>
      <c r="X146" s="3">
        <f t="shared" si="70"/>
        <v>1.2755053961347696E-3</v>
      </c>
      <c r="Y146" s="3">
        <f t="shared" si="70"/>
        <v>1.2755053961347636E-3</v>
      </c>
      <c r="Z146" s="3">
        <f t="shared" si="70"/>
        <v>1.2755053961347016E-3</v>
      </c>
      <c r="AA146" s="3">
        <f t="shared" ref="AA146" si="71">$C32*EXP(-AA$129/$A32/EXP(-$B$126))</f>
        <v>1.2755053961340836E-3</v>
      </c>
      <c r="AB146" s="3">
        <f t="shared" si="67"/>
        <v>1.2755053961279043E-3</v>
      </c>
      <c r="AC146" s="3">
        <f t="shared" si="67"/>
        <v>1.2755053960661095E-3</v>
      </c>
      <c r="AD146" s="3">
        <f t="shared" si="67"/>
        <v>1.2755053954481626E-3</v>
      </c>
      <c r="AE146" s="3">
        <f t="shared" si="67"/>
        <v>1.2755053892686936E-3</v>
      </c>
      <c r="AF146" s="3">
        <f t="shared" si="67"/>
        <v>1.2755053274740038E-3</v>
      </c>
    </row>
    <row r="147" spans="1:32" x14ac:dyDescent="0.25">
      <c r="B147" s="3">
        <f t="shared" ref="B147:Z147" si="72">$C33*EXP(-B$129/$A33/EXP(-$B$126))</f>
        <v>0</v>
      </c>
      <c r="C147" s="3">
        <f t="shared" si="72"/>
        <v>0</v>
      </c>
      <c r="D147" s="3">
        <f t="shared" si="72"/>
        <v>0</v>
      </c>
      <c r="E147" s="3">
        <f t="shared" si="72"/>
        <v>0</v>
      </c>
      <c r="F147" s="3">
        <f t="shared" si="72"/>
        <v>0</v>
      </c>
      <c r="G147" s="3">
        <f t="shared" si="72"/>
        <v>0</v>
      </c>
      <c r="H147" s="3">
        <f t="shared" si="72"/>
        <v>0</v>
      </c>
      <c r="I147" s="3">
        <f t="shared" si="72"/>
        <v>0</v>
      </c>
      <c r="J147" s="3">
        <f t="shared" si="72"/>
        <v>0</v>
      </c>
      <c r="K147" s="3">
        <f t="shared" si="72"/>
        <v>0</v>
      </c>
      <c r="L147" s="3">
        <f t="shared" si="72"/>
        <v>0</v>
      </c>
      <c r="M147" s="3">
        <f t="shared" si="72"/>
        <v>0</v>
      </c>
      <c r="N147" s="3">
        <f t="shared" si="72"/>
        <v>0</v>
      </c>
      <c r="O147" s="3">
        <f t="shared" si="72"/>
        <v>0</v>
      </c>
      <c r="P147" s="3">
        <f t="shared" si="72"/>
        <v>0</v>
      </c>
      <c r="Q147" s="3">
        <f t="shared" si="72"/>
        <v>0</v>
      </c>
      <c r="R147" s="3">
        <f t="shared" si="72"/>
        <v>0</v>
      </c>
      <c r="S147" s="3">
        <f t="shared" si="72"/>
        <v>0</v>
      </c>
      <c r="T147" s="3">
        <f t="shared" si="72"/>
        <v>0</v>
      </c>
      <c r="U147" s="3">
        <f t="shared" si="72"/>
        <v>0</v>
      </c>
      <c r="V147" s="3">
        <f t="shared" si="72"/>
        <v>0</v>
      </c>
      <c r="W147" s="3">
        <f t="shared" si="72"/>
        <v>0</v>
      </c>
      <c r="X147" s="3">
        <f t="shared" si="72"/>
        <v>0</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1.0163894385292978E-5</v>
      </c>
      <c r="C148" s="3">
        <f t="shared" si="74"/>
        <v>1.0163894385292978E-5</v>
      </c>
      <c r="D148" s="3">
        <f t="shared" si="74"/>
        <v>1.0163894385292978E-5</v>
      </c>
      <c r="E148" s="3">
        <f t="shared" si="74"/>
        <v>1.0163894385292978E-5</v>
      </c>
      <c r="F148" s="3">
        <f t="shared" si="74"/>
        <v>1.0163894385292978E-5</v>
      </c>
      <c r="G148" s="3">
        <f t="shared" si="74"/>
        <v>1.0163894385292978E-5</v>
      </c>
      <c r="H148" s="3">
        <f t="shared" si="74"/>
        <v>1.0163894385292978E-5</v>
      </c>
      <c r="I148" s="3">
        <f t="shared" si="74"/>
        <v>1.0163894385292978E-5</v>
      </c>
      <c r="J148" s="3">
        <f t="shared" si="74"/>
        <v>1.0163894385292978E-5</v>
      </c>
      <c r="K148" s="3">
        <f t="shared" si="74"/>
        <v>1.0163894385292978E-5</v>
      </c>
      <c r="L148" s="3">
        <f t="shared" si="74"/>
        <v>1.0163894385292978E-5</v>
      </c>
      <c r="M148" s="3">
        <f t="shared" si="74"/>
        <v>1.0163894385292978E-5</v>
      </c>
      <c r="N148" s="3">
        <f t="shared" si="74"/>
        <v>1.0163894385292978E-5</v>
      </c>
      <c r="O148" s="3">
        <f t="shared" si="74"/>
        <v>1.0163894385292978E-5</v>
      </c>
      <c r="P148" s="3">
        <f t="shared" si="74"/>
        <v>1.0163894385292978E-5</v>
      </c>
      <c r="Q148" s="3">
        <f t="shared" si="74"/>
        <v>1.0163894385292978E-5</v>
      </c>
      <c r="R148" s="3">
        <f t="shared" si="74"/>
        <v>1.0163894385292978E-5</v>
      </c>
      <c r="S148" s="3">
        <f t="shared" si="74"/>
        <v>1.0163894385292978E-5</v>
      </c>
      <c r="T148" s="3">
        <f t="shared" si="74"/>
        <v>1.0163894385292978E-5</v>
      </c>
      <c r="U148" s="3">
        <f t="shared" si="74"/>
        <v>1.0163894385292978E-5</v>
      </c>
      <c r="V148" s="3">
        <f t="shared" si="74"/>
        <v>1.0163894385292978E-5</v>
      </c>
      <c r="W148" s="3">
        <f t="shared" si="74"/>
        <v>1.0163894385292978E-5</v>
      </c>
      <c r="X148" s="3">
        <f t="shared" si="74"/>
        <v>1.0163894385292978E-5</v>
      </c>
      <c r="Y148" s="3">
        <f t="shared" si="74"/>
        <v>1.0163894385292978E-5</v>
      </c>
      <c r="Z148" s="3">
        <f t="shared" si="74"/>
        <v>1.0163894385292973E-5</v>
      </c>
      <c r="AA148" s="3">
        <f>$C34*EXP(-AA$129/$A34/EXP(-$B$126))</f>
        <v>1.0163894385292934E-5</v>
      </c>
      <c r="AB148" s="3">
        <f t="shared" si="67"/>
        <v>1.0163894385292533E-5</v>
      </c>
      <c r="AC148" s="3">
        <f t="shared" si="67"/>
        <v>1.0163894385288526E-5</v>
      </c>
      <c r="AD148" s="3">
        <f t="shared" si="67"/>
        <v>1.0163894385248455E-5</v>
      </c>
      <c r="AE148" s="3">
        <f t="shared" si="67"/>
        <v>1.0163894384847752E-5</v>
      </c>
      <c r="AF148" s="3">
        <f t="shared" si="67"/>
        <v>1.0163894380840727E-5</v>
      </c>
    </row>
    <row r="149" spans="1:32" x14ac:dyDescent="0.25">
      <c r="B149" s="3">
        <f t="shared" ref="B149:Z149" si="75">$C35*EXP(-B$129/$A35/EXP(-$B$126))</f>
        <v>2.5019775067814324E-5</v>
      </c>
      <c r="C149" s="3">
        <f t="shared" si="75"/>
        <v>2.5019775067814324E-5</v>
      </c>
      <c r="D149" s="3">
        <f t="shared" si="75"/>
        <v>2.5019775067814324E-5</v>
      </c>
      <c r="E149" s="3">
        <f t="shared" si="75"/>
        <v>2.5019775067814324E-5</v>
      </c>
      <c r="F149" s="3">
        <f t="shared" si="75"/>
        <v>2.5019775067814324E-5</v>
      </c>
      <c r="G149" s="3">
        <f t="shared" si="75"/>
        <v>2.5019775067814324E-5</v>
      </c>
      <c r="H149" s="3">
        <f t="shared" si="75"/>
        <v>2.5019775067814324E-5</v>
      </c>
      <c r="I149" s="3">
        <f t="shared" si="75"/>
        <v>2.5019775067814324E-5</v>
      </c>
      <c r="J149" s="3">
        <f t="shared" si="75"/>
        <v>2.5019775067814324E-5</v>
      </c>
      <c r="K149" s="3">
        <f t="shared" si="75"/>
        <v>2.5019775067814324E-5</v>
      </c>
      <c r="L149" s="3">
        <f t="shared" si="75"/>
        <v>2.5019775067814324E-5</v>
      </c>
      <c r="M149" s="3">
        <f t="shared" si="75"/>
        <v>2.5019775067814324E-5</v>
      </c>
      <c r="N149" s="3">
        <f t="shared" si="75"/>
        <v>2.5019775067814324E-5</v>
      </c>
      <c r="O149" s="3">
        <f t="shared" si="75"/>
        <v>2.5019775067814324E-5</v>
      </c>
      <c r="P149" s="3">
        <f t="shared" si="75"/>
        <v>2.5019775067814324E-5</v>
      </c>
      <c r="Q149" s="3">
        <f t="shared" si="75"/>
        <v>2.5019775067814324E-5</v>
      </c>
      <c r="R149" s="3">
        <f t="shared" si="75"/>
        <v>2.5019775067814324E-5</v>
      </c>
      <c r="S149" s="3">
        <f t="shared" si="75"/>
        <v>2.5019775067814324E-5</v>
      </c>
      <c r="T149" s="3">
        <f t="shared" si="75"/>
        <v>2.5019775067814324E-5</v>
      </c>
      <c r="U149" s="3">
        <f t="shared" si="75"/>
        <v>2.5019775067814324E-5</v>
      </c>
      <c r="V149" s="3">
        <f t="shared" si="75"/>
        <v>2.5019775067814324E-5</v>
      </c>
      <c r="W149" s="3">
        <f t="shared" si="75"/>
        <v>2.5019775067814324E-5</v>
      </c>
      <c r="X149" s="3">
        <f t="shared" si="75"/>
        <v>2.5019775067814324E-5</v>
      </c>
      <c r="Y149" s="3">
        <f t="shared" si="75"/>
        <v>2.5019775067814324E-5</v>
      </c>
      <c r="Z149" s="3">
        <f t="shared" si="75"/>
        <v>2.5019775067814324E-5</v>
      </c>
      <c r="AA149" s="3">
        <f t="shared" ref="AA149" si="76">$C35*EXP(-AA$129/$A35/EXP(-$B$126))</f>
        <v>2.5019775067814314E-5</v>
      </c>
      <c r="AB149" s="3">
        <f t="shared" si="67"/>
        <v>2.5019775067814222E-5</v>
      </c>
      <c r="AC149" s="3">
        <f t="shared" si="67"/>
        <v>2.5019775067813335E-5</v>
      </c>
      <c r="AD149" s="3">
        <f t="shared" si="67"/>
        <v>2.5019775067804437E-5</v>
      </c>
      <c r="AE149" s="3">
        <f t="shared" si="67"/>
        <v>2.5019775067715458E-5</v>
      </c>
      <c r="AF149" s="3">
        <f t="shared" si="67"/>
        <v>2.5019775066825657E-5</v>
      </c>
    </row>
    <row r="150" spans="1:32" x14ac:dyDescent="0.25">
      <c r="B150" s="3">
        <f t="shared" ref="B150:Z150" si="77">$C36*EXP(-B$129/$A36/EXP(-$B$126))</f>
        <v>2.3706614690246962E-5</v>
      </c>
      <c r="C150" s="3">
        <f t="shared" si="77"/>
        <v>2.3706614690246962E-5</v>
      </c>
      <c r="D150" s="3">
        <f t="shared" si="77"/>
        <v>2.3706614690246962E-5</v>
      </c>
      <c r="E150" s="3">
        <f t="shared" si="77"/>
        <v>2.3706614690246962E-5</v>
      </c>
      <c r="F150" s="3">
        <f t="shared" si="77"/>
        <v>2.3706614690246962E-5</v>
      </c>
      <c r="G150" s="3">
        <f t="shared" si="77"/>
        <v>2.3706614690246962E-5</v>
      </c>
      <c r="H150" s="3">
        <f t="shared" si="77"/>
        <v>2.3706614690246962E-5</v>
      </c>
      <c r="I150" s="3">
        <f t="shared" si="77"/>
        <v>2.3706614690246962E-5</v>
      </c>
      <c r="J150" s="3">
        <f t="shared" si="77"/>
        <v>2.3706614690246962E-5</v>
      </c>
      <c r="K150" s="3">
        <f t="shared" si="77"/>
        <v>2.3706614690246962E-5</v>
      </c>
      <c r="L150" s="3">
        <f t="shared" si="77"/>
        <v>2.3706614690246962E-5</v>
      </c>
      <c r="M150" s="3">
        <f t="shared" si="77"/>
        <v>2.3706614690246962E-5</v>
      </c>
      <c r="N150" s="3">
        <f t="shared" si="77"/>
        <v>2.3706614690246962E-5</v>
      </c>
      <c r="O150" s="3">
        <f t="shared" si="77"/>
        <v>2.3706614690246962E-5</v>
      </c>
      <c r="P150" s="3">
        <f t="shared" si="77"/>
        <v>2.3706614690246962E-5</v>
      </c>
      <c r="Q150" s="3">
        <f t="shared" si="77"/>
        <v>2.3706614690246962E-5</v>
      </c>
      <c r="R150" s="3">
        <f t="shared" si="77"/>
        <v>2.3706614690246962E-5</v>
      </c>
      <c r="S150" s="3">
        <f t="shared" si="77"/>
        <v>2.3706614690246962E-5</v>
      </c>
      <c r="T150" s="3">
        <f t="shared" si="77"/>
        <v>2.3706614690246962E-5</v>
      </c>
      <c r="U150" s="3">
        <f t="shared" si="77"/>
        <v>2.3706614690246962E-5</v>
      </c>
      <c r="V150" s="3">
        <f t="shared" si="77"/>
        <v>2.3706614690246962E-5</v>
      </c>
      <c r="W150" s="3">
        <f t="shared" si="77"/>
        <v>2.3706614690246962E-5</v>
      </c>
      <c r="X150" s="3">
        <f t="shared" si="77"/>
        <v>2.3706614690246962E-5</v>
      </c>
      <c r="Y150" s="3">
        <f t="shared" si="77"/>
        <v>2.3706614690246962E-5</v>
      </c>
      <c r="Z150" s="3">
        <f t="shared" si="77"/>
        <v>2.3706614690246962E-5</v>
      </c>
      <c r="AA150" s="3">
        <f t="shared" ref="AA150" si="78">$C36*EXP(-AA$129/$A36/EXP(-$B$126))</f>
        <v>2.3706614690246962E-5</v>
      </c>
      <c r="AB150" s="3">
        <f t="shared" si="67"/>
        <v>2.3706614690246955E-5</v>
      </c>
      <c r="AC150" s="3">
        <f t="shared" si="67"/>
        <v>2.3706614690246877E-5</v>
      </c>
      <c r="AD150" s="3">
        <f t="shared" si="67"/>
        <v>2.3706614690246118E-5</v>
      </c>
      <c r="AE150" s="3">
        <f t="shared" si="67"/>
        <v>2.3706614690238512E-5</v>
      </c>
      <c r="AF150" s="3">
        <f t="shared" si="67"/>
        <v>2.3706614690162458E-5</v>
      </c>
    </row>
    <row r="151" spans="1:32" x14ac:dyDescent="0.25">
      <c r="B151" s="3">
        <f t="shared" ref="B151:Z151" si="79">$C37*EXP(-B$129/$A37/EXP(-$B$126))</f>
        <v>3.9478614411466939E-5</v>
      </c>
      <c r="C151" s="3">
        <f t="shared" si="79"/>
        <v>3.9478614411466939E-5</v>
      </c>
      <c r="D151" s="3">
        <f t="shared" si="79"/>
        <v>3.9478614411466939E-5</v>
      </c>
      <c r="E151" s="3">
        <f t="shared" si="79"/>
        <v>3.9478614411466939E-5</v>
      </c>
      <c r="F151" s="3">
        <f t="shared" si="79"/>
        <v>3.9478614411466939E-5</v>
      </c>
      <c r="G151" s="3">
        <f t="shared" si="79"/>
        <v>3.9478614411466939E-5</v>
      </c>
      <c r="H151" s="3">
        <f t="shared" si="79"/>
        <v>3.9478614411466939E-5</v>
      </c>
      <c r="I151" s="3">
        <f t="shared" si="79"/>
        <v>3.9478614411466939E-5</v>
      </c>
      <c r="J151" s="3">
        <f t="shared" si="79"/>
        <v>3.9478614411466939E-5</v>
      </c>
      <c r="K151" s="3">
        <f t="shared" si="79"/>
        <v>3.9478614411466939E-5</v>
      </c>
      <c r="L151" s="3">
        <f t="shared" si="79"/>
        <v>3.9478614411466939E-5</v>
      </c>
      <c r="M151" s="3">
        <f t="shared" si="79"/>
        <v>3.9478614411466939E-5</v>
      </c>
      <c r="N151" s="3">
        <f t="shared" si="79"/>
        <v>3.9478614411466939E-5</v>
      </c>
      <c r="O151" s="3">
        <f t="shared" si="79"/>
        <v>3.9478614411466939E-5</v>
      </c>
      <c r="P151" s="3">
        <f t="shared" si="79"/>
        <v>3.9478614411466939E-5</v>
      </c>
      <c r="Q151" s="3">
        <f t="shared" si="79"/>
        <v>3.9478614411466939E-5</v>
      </c>
      <c r="R151" s="3">
        <f t="shared" si="79"/>
        <v>3.9478614411466939E-5</v>
      </c>
      <c r="S151" s="3">
        <f t="shared" si="79"/>
        <v>3.9478614411466939E-5</v>
      </c>
      <c r="T151" s="3">
        <f t="shared" si="79"/>
        <v>3.9478614411466939E-5</v>
      </c>
      <c r="U151" s="3">
        <f t="shared" si="79"/>
        <v>3.9478614411466939E-5</v>
      </c>
      <c r="V151" s="3">
        <f t="shared" si="79"/>
        <v>3.9478614411466939E-5</v>
      </c>
      <c r="W151" s="3">
        <f t="shared" si="79"/>
        <v>3.9478614411466939E-5</v>
      </c>
      <c r="X151" s="3">
        <f t="shared" si="79"/>
        <v>3.9478614411466939E-5</v>
      </c>
      <c r="Y151" s="3">
        <f t="shared" si="79"/>
        <v>3.9478614411466939E-5</v>
      </c>
      <c r="Z151" s="3">
        <f t="shared" si="79"/>
        <v>3.9478614411466939E-5</v>
      </c>
      <c r="AA151" s="3">
        <f t="shared" ref="AA151" si="80">$C37*EXP(-AA$129/$A37/EXP(-$B$126))</f>
        <v>3.9478614411466939E-5</v>
      </c>
      <c r="AB151" s="3">
        <f t="shared" si="67"/>
        <v>3.9478614411466939E-5</v>
      </c>
      <c r="AC151" s="3">
        <f t="shared" si="67"/>
        <v>3.9478614411466925E-5</v>
      </c>
      <c r="AD151" s="3">
        <f t="shared" si="67"/>
        <v>3.947861441146681E-5</v>
      </c>
      <c r="AE151" s="3">
        <f t="shared" si="67"/>
        <v>3.9478614411465665E-5</v>
      </c>
      <c r="AF151" s="3">
        <f t="shared" si="67"/>
        <v>3.9478614411454247E-5</v>
      </c>
    </row>
    <row r="152" spans="1:32" x14ac:dyDescent="0.25">
      <c r="B152" s="3">
        <f t="shared" ref="B152:Z152" si="81">$C38*EXP(-B$129/$A38/EXP(-$B$126))</f>
        <v>0</v>
      </c>
      <c r="C152" s="3">
        <f t="shared" si="81"/>
        <v>0</v>
      </c>
      <c r="D152" s="3">
        <f t="shared" si="81"/>
        <v>0</v>
      </c>
      <c r="E152" s="3">
        <f t="shared" si="81"/>
        <v>0</v>
      </c>
      <c r="F152" s="3">
        <f t="shared" si="81"/>
        <v>0</v>
      </c>
      <c r="G152" s="3">
        <f t="shared" si="81"/>
        <v>0</v>
      </c>
      <c r="H152" s="3">
        <f t="shared" si="81"/>
        <v>0</v>
      </c>
      <c r="I152" s="3">
        <f t="shared" si="81"/>
        <v>0</v>
      </c>
      <c r="J152" s="3">
        <f t="shared" si="81"/>
        <v>0</v>
      </c>
      <c r="K152" s="3">
        <f t="shared" si="81"/>
        <v>0</v>
      </c>
      <c r="L152" s="3">
        <f t="shared" si="81"/>
        <v>0</v>
      </c>
      <c r="M152" s="3">
        <f t="shared" si="81"/>
        <v>0</v>
      </c>
      <c r="N152" s="3">
        <f t="shared" si="81"/>
        <v>0</v>
      </c>
      <c r="O152" s="3">
        <f t="shared" si="81"/>
        <v>0</v>
      </c>
      <c r="P152" s="3">
        <f t="shared" si="81"/>
        <v>0</v>
      </c>
      <c r="Q152" s="3">
        <f t="shared" si="81"/>
        <v>0</v>
      </c>
      <c r="R152" s="3">
        <f t="shared" si="81"/>
        <v>0</v>
      </c>
      <c r="S152" s="3">
        <f t="shared" si="81"/>
        <v>0</v>
      </c>
      <c r="T152" s="3">
        <f t="shared" si="81"/>
        <v>0</v>
      </c>
      <c r="U152" s="3">
        <f t="shared" si="81"/>
        <v>0</v>
      </c>
      <c r="V152" s="3">
        <f t="shared" si="81"/>
        <v>0</v>
      </c>
      <c r="W152" s="3">
        <f t="shared" si="81"/>
        <v>0</v>
      </c>
      <c r="X152" s="3">
        <f t="shared" si="81"/>
        <v>0</v>
      </c>
      <c r="Y152" s="3">
        <f t="shared" si="81"/>
        <v>0</v>
      </c>
      <c r="Z152" s="3">
        <f t="shared" si="81"/>
        <v>0</v>
      </c>
      <c r="AA152" s="3">
        <f t="shared" ref="AA152" si="82">$C38*EXP(-AA$129/$A38/EXP(-$B$126))</f>
        <v>0</v>
      </c>
      <c r="AB152" s="3">
        <f t="shared" si="67"/>
        <v>0</v>
      </c>
      <c r="AC152" s="3">
        <f t="shared" si="67"/>
        <v>0</v>
      </c>
      <c r="AD152" s="3">
        <f t="shared" si="67"/>
        <v>0</v>
      </c>
      <c r="AE152" s="3">
        <f t="shared" si="67"/>
        <v>0</v>
      </c>
      <c r="AF152" s="3">
        <f t="shared" si="67"/>
        <v>0</v>
      </c>
    </row>
    <row r="153" spans="1:32" x14ac:dyDescent="0.25">
      <c r="B153" s="3">
        <f t="shared" ref="B153:Z153" si="83">$C39*EXP(-B$129/$A39/EXP(-$B$126))</f>
        <v>6.5441532530599776E-5</v>
      </c>
      <c r="C153" s="3">
        <f t="shared" si="83"/>
        <v>6.5441532530599776E-5</v>
      </c>
      <c r="D153" s="3">
        <f t="shared" si="83"/>
        <v>6.5441532530599776E-5</v>
      </c>
      <c r="E153" s="3">
        <f t="shared" si="83"/>
        <v>6.5441532530599776E-5</v>
      </c>
      <c r="F153" s="3">
        <f t="shared" si="83"/>
        <v>6.5441532530599776E-5</v>
      </c>
      <c r="G153" s="3">
        <f t="shared" si="83"/>
        <v>6.5441532530599776E-5</v>
      </c>
      <c r="H153" s="3">
        <f t="shared" si="83"/>
        <v>6.5441532530599776E-5</v>
      </c>
      <c r="I153" s="3">
        <f t="shared" si="83"/>
        <v>6.5441532530599776E-5</v>
      </c>
      <c r="J153" s="3">
        <f t="shared" si="83"/>
        <v>6.5441532530599776E-5</v>
      </c>
      <c r="K153" s="3">
        <f t="shared" si="83"/>
        <v>6.5441532530599776E-5</v>
      </c>
      <c r="L153" s="3">
        <f t="shared" si="83"/>
        <v>6.5441532530599776E-5</v>
      </c>
      <c r="M153" s="3">
        <f t="shared" si="83"/>
        <v>6.5441532530599776E-5</v>
      </c>
      <c r="N153" s="3">
        <f t="shared" si="83"/>
        <v>6.5441532530599776E-5</v>
      </c>
      <c r="O153" s="3">
        <f t="shared" si="83"/>
        <v>6.5441532530599776E-5</v>
      </c>
      <c r="P153" s="3">
        <f t="shared" si="83"/>
        <v>6.5441532530599776E-5</v>
      </c>
      <c r="Q153" s="3">
        <f t="shared" si="83"/>
        <v>6.5441532530599776E-5</v>
      </c>
      <c r="R153" s="3">
        <f t="shared" si="83"/>
        <v>6.5441532530599776E-5</v>
      </c>
      <c r="S153" s="3">
        <f t="shared" si="83"/>
        <v>6.5441532530599776E-5</v>
      </c>
      <c r="T153" s="3">
        <f t="shared" si="83"/>
        <v>6.5441532530599776E-5</v>
      </c>
      <c r="U153" s="3">
        <f t="shared" si="83"/>
        <v>6.5441532530599776E-5</v>
      </c>
      <c r="V153" s="3">
        <f t="shared" si="83"/>
        <v>6.5441532530599776E-5</v>
      </c>
      <c r="W153" s="3">
        <f t="shared" si="83"/>
        <v>6.5441532530599776E-5</v>
      </c>
      <c r="X153" s="3">
        <f t="shared" si="83"/>
        <v>6.5441532530599776E-5</v>
      </c>
      <c r="Y153" s="3">
        <f t="shared" si="83"/>
        <v>6.5441532530599776E-5</v>
      </c>
      <c r="Z153" s="3">
        <f t="shared" si="83"/>
        <v>6.5441532530599776E-5</v>
      </c>
      <c r="AA153" s="3">
        <f t="shared" ref="AA153" si="84">$C39*EXP(-AA$129/$A39/EXP(-$B$126))</f>
        <v>6.5441532530599776E-5</v>
      </c>
      <c r="AB153" s="3">
        <f t="shared" si="67"/>
        <v>6.5441532530599776E-5</v>
      </c>
      <c r="AC153" s="3">
        <f t="shared" si="67"/>
        <v>6.5441532530599776E-5</v>
      </c>
      <c r="AD153" s="3">
        <f t="shared" si="67"/>
        <v>6.5441532530599762E-5</v>
      </c>
      <c r="AE153" s="3">
        <f t="shared" si="67"/>
        <v>6.5441532530599722E-5</v>
      </c>
      <c r="AF153" s="3">
        <f t="shared" si="67"/>
        <v>6.5441532530599247E-5</v>
      </c>
    </row>
    <row r="154" spans="1:32" x14ac:dyDescent="0.25">
      <c r="B154" s="3">
        <f t="shared" ref="B154:Z154" si="85">$C40*EXP(-B$129/$A40/EXP(-$B$126))</f>
        <v>9.072554140189839E-6</v>
      </c>
      <c r="C154" s="3">
        <f t="shared" si="85"/>
        <v>9.072554140189839E-6</v>
      </c>
      <c r="D154" s="3">
        <f t="shared" si="85"/>
        <v>9.072554140189839E-6</v>
      </c>
      <c r="E154" s="3">
        <f t="shared" si="85"/>
        <v>9.072554140189839E-6</v>
      </c>
      <c r="F154" s="3">
        <f t="shared" si="85"/>
        <v>9.072554140189839E-6</v>
      </c>
      <c r="G154" s="3">
        <f t="shared" si="85"/>
        <v>9.072554140189839E-6</v>
      </c>
      <c r="H154" s="3">
        <f t="shared" si="85"/>
        <v>9.072554140189839E-6</v>
      </c>
      <c r="I154" s="3">
        <f t="shared" si="85"/>
        <v>9.072554140189839E-6</v>
      </c>
      <c r="J154" s="3">
        <f t="shared" si="85"/>
        <v>9.072554140189839E-6</v>
      </c>
      <c r="K154" s="3">
        <f t="shared" si="85"/>
        <v>9.072554140189839E-6</v>
      </c>
      <c r="L154" s="3">
        <f t="shared" si="85"/>
        <v>9.072554140189839E-6</v>
      </c>
      <c r="M154" s="3">
        <f t="shared" si="85"/>
        <v>9.072554140189839E-6</v>
      </c>
      <c r="N154" s="3">
        <f t="shared" si="85"/>
        <v>9.072554140189839E-6</v>
      </c>
      <c r="O154" s="3">
        <f t="shared" si="85"/>
        <v>9.072554140189839E-6</v>
      </c>
      <c r="P154" s="3">
        <f t="shared" si="85"/>
        <v>9.072554140189839E-6</v>
      </c>
      <c r="Q154" s="3">
        <f t="shared" si="85"/>
        <v>9.072554140189839E-6</v>
      </c>
      <c r="R154" s="3">
        <f t="shared" si="85"/>
        <v>9.072554140189839E-6</v>
      </c>
      <c r="S154" s="3">
        <f t="shared" si="85"/>
        <v>9.072554140189839E-6</v>
      </c>
      <c r="T154" s="3">
        <f t="shared" si="85"/>
        <v>9.072554140189839E-6</v>
      </c>
      <c r="U154" s="3">
        <f t="shared" si="85"/>
        <v>9.072554140189839E-6</v>
      </c>
      <c r="V154" s="3">
        <f t="shared" si="85"/>
        <v>9.072554140189839E-6</v>
      </c>
      <c r="W154" s="3">
        <f t="shared" si="85"/>
        <v>9.072554140189839E-6</v>
      </c>
      <c r="X154" s="3">
        <f t="shared" si="85"/>
        <v>9.072554140189839E-6</v>
      </c>
      <c r="Y154" s="3">
        <f t="shared" si="85"/>
        <v>9.072554140189839E-6</v>
      </c>
      <c r="Z154" s="3">
        <f t="shared" si="85"/>
        <v>9.072554140189839E-6</v>
      </c>
      <c r="AA154" s="3">
        <f t="shared" ref="AA154:AF154" si="86">$C40*EXP(-AA$129/$A40/EXP(-$B$126))</f>
        <v>9.072554140189839E-6</v>
      </c>
      <c r="AB154" s="3">
        <f t="shared" si="86"/>
        <v>9.072554140189839E-6</v>
      </c>
      <c r="AC154" s="3">
        <f t="shared" si="86"/>
        <v>9.072554140189839E-6</v>
      </c>
      <c r="AD154" s="3">
        <f t="shared" si="86"/>
        <v>9.072554140189839E-6</v>
      </c>
      <c r="AE154" s="3">
        <f t="shared" si="86"/>
        <v>9.0725541401898373E-6</v>
      </c>
      <c r="AF154" s="3">
        <f t="shared" si="86"/>
        <v>9.0725541401898322E-6</v>
      </c>
    </row>
    <row r="155" spans="1:32" x14ac:dyDescent="0.25">
      <c r="B155" s="3">
        <f t="shared" ref="B155:Z155" si="87">$C41*EXP(-B$129/$A41/EXP(-$B$126))</f>
        <v>3.4648583404177175E-7</v>
      </c>
      <c r="C155" s="3">
        <f t="shared" si="87"/>
        <v>3.4648583404177175E-7</v>
      </c>
      <c r="D155" s="3">
        <f t="shared" si="87"/>
        <v>3.4648583404177175E-7</v>
      </c>
      <c r="E155" s="3">
        <f t="shared" si="87"/>
        <v>3.4648583404177175E-7</v>
      </c>
      <c r="F155" s="3">
        <f t="shared" si="87"/>
        <v>3.4648583404177175E-7</v>
      </c>
      <c r="G155" s="3">
        <f t="shared" si="87"/>
        <v>3.4648583404177175E-7</v>
      </c>
      <c r="H155" s="3">
        <f t="shared" si="87"/>
        <v>3.4648583404177175E-7</v>
      </c>
      <c r="I155" s="3">
        <f t="shared" si="87"/>
        <v>3.4648583404177175E-7</v>
      </c>
      <c r="J155" s="3">
        <f t="shared" si="87"/>
        <v>3.4648583404177175E-7</v>
      </c>
      <c r="K155" s="3">
        <f t="shared" si="87"/>
        <v>3.4648583404177175E-7</v>
      </c>
      <c r="L155" s="3">
        <f t="shared" si="87"/>
        <v>3.4648583404177175E-7</v>
      </c>
      <c r="M155" s="3">
        <f t="shared" si="87"/>
        <v>3.4648583404177175E-7</v>
      </c>
      <c r="N155" s="3">
        <f t="shared" si="87"/>
        <v>3.4648583404177175E-7</v>
      </c>
      <c r="O155" s="3">
        <f t="shared" si="87"/>
        <v>3.4648583404177175E-7</v>
      </c>
      <c r="P155" s="3">
        <f t="shared" si="87"/>
        <v>3.4648583404177175E-7</v>
      </c>
      <c r="Q155" s="3">
        <f t="shared" si="87"/>
        <v>3.4648583404177175E-7</v>
      </c>
      <c r="R155" s="3">
        <f t="shared" si="87"/>
        <v>3.4648583404177175E-7</v>
      </c>
      <c r="S155" s="3">
        <f t="shared" si="87"/>
        <v>3.4648583404177175E-7</v>
      </c>
      <c r="T155" s="3">
        <f t="shared" si="87"/>
        <v>3.4648583404177175E-7</v>
      </c>
      <c r="U155" s="3">
        <f t="shared" si="87"/>
        <v>3.4648583404177175E-7</v>
      </c>
      <c r="V155" s="3">
        <f t="shared" si="87"/>
        <v>3.4648583404177175E-7</v>
      </c>
      <c r="W155" s="3">
        <f t="shared" si="87"/>
        <v>3.4648583404177175E-7</v>
      </c>
      <c r="X155" s="3">
        <f t="shared" si="87"/>
        <v>3.4648583404177175E-7</v>
      </c>
      <c r="Y155" s="3">
        <f t="shared" si="87"/>
        <v>3.4648583404177175E-7</v>
      </c>
      <c r="Z155" s="3">
        <f t="shared" si="87"/>
        <v>3.4648583404177175E-7</v>
      </c>
      <c r="AA155" s="3">
        <f t="shared" ref="AA155:AF155" si="88">$C41*EXP(-AA$129/$A41/EXP(-$B$126))</f>
        <v>3.4648583404177175E-7</v>
      </c>
      <c r="AB155" s="3">
        <f t="shared" si="88"/>
        <v>3.4648583404177175E-7</v>
      </c>
      <c r="AC155" s="3">
        <f t="shared" si="88"/>
        <v>3.4648583404177175E-7</v>
      </c>
      <c r="AD155" s="3">
        <f t="shared" si="88"/>
        <v>3.4648583404177175E-7</v>
      </c>
      <c r="AE155" s="3">
        <f t="shared" si="88"/>
        <v>3.4648583404177175E-7</v>
      </c>
      <c r="AF155" s="3">
        <f t="shared" si="88"/>
        <v>3.464858340417717E-7</v>
      </c>
    </row>
    <row r="156" spans="1:32" x14ac:dyDescent="0.25">
      <c r="B156" s="3">
        <f t="shared" ref="B156:Z156" si="89">$C42*EXP(-B$129/$A42/EXP(-$B$126))</f>
        <v>0</v>
      </c>
      <c r="C156" s="3">
        <f t="shared" si="89"/>
        <v>0</v>
      </c>
      <c r="D156" s="3">
        <f t="shared" si="89"/>
        <v>0</v>
      </c>
      <c r="E156" s="3">
        <f t="shared" si="89"/>
        <v>0</v>
      </c>
      <c r="F156" s="3">
        <f t="shared" si="89"/>
        <v>0</v>
      </c>
      <c r="G156" s="3">
        <f t="shared" si="89"/>
        <v>0</v>
      </c>
      <c r="H156" s="3">
        <f t="shared" si="89"/>
        <v>0</v>
      </c>
      <c r="I156" s="3">
        <f t="shared" si="89"/>
        <v>0</v>
      </c>
      <c r="J156" s="3">
        <f t="shared" si="89"/>
        <v>0</v>
      </c>
      <c r="K156" s="3">
        <f t="shared" si="89"/>
        <v>0</v>
      </c>
      <c r="L156" s="3">
        <f t="shared" si="89"/>
        <v>0</v>
      </c>
      <c r="M156" s="3">
        <f t="shared" si="89"/>
        <v>0</v>
      </c>
      <c r="N156" s="3">
        <f t="shared" si="89"/>
        <v>0</v>
      </c>
      <c r="O156" s="3">
        <f t="shared" si="89"/>
        <v>0</v>
      </c>
      <c r="P156" s="3">
        <f t="shared" si="89"/>
        <v>0</v>
      </c>
      <c r="Q156" s="3">
        <f t="shared" si="89"/>
        <v>0</v>
      </c>
      <c r="R156" s="3">
        <f t="shared" si="89"/>
        <v>0</v>
      </c>
      <c r="S156" s="3">
        <f t="shared" si="89"/>
        <v>0</v>
      </c>
      <c r="T156" s="3">
        <f t="shared" si="89"/>
        <v>0</v>
      </c>
      <c r="U156" s="3">
        <f t="shared" si="89"/>
        <v>0</v>
      </c>
      <c r="V156" s="3">
        <f t="shared" si="89"/>
        <v>0</v>
      </c>
      <c r="W156" s="3">
        <f t="shared" si="89"/>
        <v>0</v>
      </c>
      <c r="X156" s="3">
        <f t="shared" si="89"/>
        <v>0</v>
      </c>
      <c r="Y156" s="3">
        <f t="shared" si="89"/>
        <v>0</v>
      </c>
      <c r="Z156" s="3">
        <f t="shared" si="89"/>
        <v>0</v>
      </c>
      <c r="AA156" s="3">
        <f t="shared" ref="AA156:AF156" si="90">$C42*EXP(-AA$129/$A42/EXP(-$B$126))</f>
        <v>0</v>
      </c>
      <c r="AB156" s="3">
        <f t="shared" si="90"/>
        <v>0</v>
      </c>
      <c r="AC156" s="3">
        <f t="shared" si="90"/>
        <v>0</v>
      </c>
      <c r="AD156" s="3">
        <f t="shared" si="90"/>
        <v>0</v>
      </c>
      <c r="AE156" s="3">
        <f t="shared" si="90"/>
        <v>0</v>
      </c>
      <c r="AF156" s="3">
        <f t="shared" si="90"/>
        <v>0</v>
      </c>
    </row>
    <row r="157" spans="1:32" x14ac:dyDescent="0.25">
      <c r="B157" s="3">
        <f t="shared" ref="B157:Z157" si="91">$C43*EXP(-B$129/$A43/EXP(-$B$126))</f>
        <v>0</v>
      </c>
      <c r="C157" s="3">
        <f t="shared" si="91"/>
        <v>0</v>
      </c>
      <c r="D157" s="3">
        <f t="shared" si="91"/>
        <v>0</v>
      </c>
      <c r="E157" s="3">
        <f t="shared" si="91"/>
        <v>0</v>
      </c>
      <c r="F157" s="3">
        <f t="shared" si="91"/>
        <v>0</v>
      </c>
      <c r="G157" s="3">
        <f t="shared" si="91"/>
        <v>0</v>
      </c>
      <c r="H157" s="3">
        <f t="shared" si="91"/>
        <v>0</v>
      </c>
      <c r="I157" s="3">
        <f t="shared" si="91"/>
        <v>0</v>
      </c>
      <c r="J157" s="3">
        <f t="shared" si="91"/>
        <v>0</v>
      </c>
      <c r="K157" s="3">
        <f t="shared" si="91"/>
        <v>0</v>
      </c>
      <c r="L157" s="3">
        <f t="shared" si="91"/>
        <v>0</v>
      </c>
      <c r="M157" s="3">
        <f t="shared" si="91"/>
        <v>0</v>
      </c>
      <c r="N157" s="3">
        <f t="shared" si="91"/>
        <v>0</v>
      </c>
      <c r="O157" s="3">
        <f t="shared" si="91"/>
        <v>0</v>
      </c>
      <c r="P157" s="3">
        <f t="shared" si="91"/>
        <v>0</v>
      </c>
      <c r="Q157" s="3">
        <f t="shared" si="91"/>
        <v>0</v>
      </c>
      <c r="R157" s="3">
        <f t="shared" si="91"/>
        <v>0</v>
      </c>
      <c r="S157" s="3">
        <f t="shared" si="91"/>
        <v>0</v>
      </c>
      <c r="T157" s="3">
        <f t="shared" si="91"/>
        <v>0</v>
      </c>
      <c r="U157" s="3">
        <f t="shared" si="91"/>
        <v>0</v>
      </c>
      <c r="V157" s="3">
        <f t="shared" si="91"/>
        <v>0</v>
      </c>
      <c r="W157" s="3">
        <f t="shared" si="91"/>
        <v>0</v>
      </c>
      <c r="X157" s="3">
        <f t="shared" si="91"/>
        <v>0</v>
      </c>
      <c r="Y157" s="3">
        <f t="shared" si="91"/>
        <v>0</v>
      </c>
      <c r="Z157" s="3">
        <f t="shared" si="91"/>
        <v>0</v>
      </c>
      <c r="AA157" s="3">
        <f t="shared" ref="AA157:AF157" si="92">$C43*EXP(-AA$129/$A43/EXP(-$B$126))</f>
        <v>0</v>
      </c>
      <c r="AB157" s="3">
        <f t="shared" si="92"/>
        <v>0</v>
      </c>
      <c r="AC157" s="3">
        <f t="shared" si="92"/>
        <v>0</v>
      </c>
      <c r="AD157" s="3">
        <f t="shared" si="92"/>
        <v>0</v>
      </c>
      <c r="AE157" s="3">
        <f t="shared" si="92"/>
        <v>0</v>
      </c>
      <c r="AF157" s="3">
        <f t="shared" si="92"/>
        <v>0</v>
      </c>
    </row>
    <row r="158" spans="1:32" x14ac:dyDescent="0.25">
      <c r="B158" s="3">
        <f t="shared" ref="B158:Z158" si="93">$C44*EXP(-B$129/$A44/EXP(-$B$126))</f>
        <v>0</v>
      </c>
      <c r="C158" s="3">
        <f t="shared" si="93"/>
        <v>0</v>
      </c>
      <c r="D158" s="3">
        <f t="shared" si="93"/>
        <v>0</v>
      </c>
      <c r="E158" s="3">
        <f t="shared" si="93"/>
        <v>0</v>
      </c>
      <c r="F158" s="3">
        <f t="shared" si="93"/>
        <v>0</v>
      </c>
      <c r="G158" s="3">
        <f t="shared" si="93"/>
        <v>0</v>
      </c>
      <c r="H158" s="3">
        <f t="shared" si="93"/>
        <v>0</v>
      </c>
      <c r="I158" s="3">
        <f t="shared" si="93"/>
        <v>0</v>
      </c>
      <c r="J158" s="3">
        <f t="shared" si="93"/>
        <v>0</v>
      </c>
      <c r="K158" s="3">
        <f t="shared" si="93"/>
        <v>0</v>
      </c>
      <c r="L158" s="3">
        <f t="shared" si="93"/>
        <v>0</v>
      </c>
      <c r="M158" s="3">
        <f t="shared" si="93"/>
        <v>0</v>
      </c>
      <c r="N158" s="3">
        <f t="shared" si="93"/>
        <v>0</v>
      </c>
      <c r="O158" s="3">
        <f t="shared" si="93"/>
        <v>0</v>
      </c>
      <c r="P158" s="3">
        <f t="shared" si="93"/>
        <v>0</v>
      </c>
      <c r="Q158" s="3">
        <f t="shared" si="93"/>
        <v>0</v>
      </c>
      <c r="R158" s="3">
        <f t="shared" si="93"/>
        <v>0</v>
      </c>
      <c r="S158" s="3">
        <f t="shared" si="93"/>
        <v>0</v>
      </c>
      <c r="T158" s="3">
        <f t="shared" si="93"/>
        <v>0</v>
      </c>
      <c r="U158" s="3">
        <f t="shared" si="93"/>
        <v>0</v>
      </c>
      <c r="V158" s="3">
        <f t="shared" si="93"/>
        <v>0</v>
      </c>
      <c r="W158" s="3">
        <f t="shared" si="93"/>
        <v>0</v>
      </c>
      <c r="X158" s="3">
        <f t="shared" si="93"/>
        <v>0</v>
      </c>
      <c r="Y158" s="3">
        <f t="shared" si="93"/>
        <v>0</v>
      </c>
      <c r="Z158" s="3">
        <f t="shared" si="93"/>
        <v>0</v>
      </c>
      <c r="AA158" s="3">
        <f t="shared" ref="AA158:AF158" si="94">$C44*EXP(-AA$129/$A44/EXP(-$B$126))</f>
        <v>0</v>
      </c>
      <c r="AB158" s="3">
        <f t="shared" si="94"/>
        <v>0</v>
      </c>
      <c r="AC158" s="3">
        <f t="shared" si="94"/>
        <v>0</v>
      </c>
      <c r="AD158" s="3">
        <f t="shared" si="94"/>
        <v>0</v>
      </c>
      <c r="AE158" s="3">
        <f t="shared" si="94"/>
        <v>0</v>
      </c>
      <c r="AF158" s="3">
        <f t="shared" si="94"/>
        <v>0</v>
      </c>
    </row>
    <row r="159" spans="1:32" x14ac:dyDescent="0.25">
      <c r="A159" s="11" t="s">
        <v>75</v>
      </c>
      <c r="B159" s="3">
        <f t="shared" ref="B159:Z159" si="95">$C45*EXP(-B$129/$A45/EXP(-$B$126))</f>
        <v>0</v>
      </c>
      <c r="C159" s="3">
        <f t="shared" si="95"/>
        <v>0</v>
      </c>
      <c r="D159" s="3">
        <f t="shared" si="95"/>
        <v>0</v>
      </c>
      <c r="E159" s="3">
        <f t="shared" si="95"/>
        <v>0</v>
      </c>
      <c r="F159" s="3">
        <f t="shared" si="95"/>
        <v>0</v>
      </c>
      <c r="G159" s="3">
        <f t="shared" si="95"/>
        <v>0</v>
      </c>
      <c r="H159" s="3">
        <f t="shared" si="95"/>
        <v>0</v>
      </c>
      <c r="I159" s="3">
        <f t="shared" si="95"/>
        <v>0</v>
      </c>
      <c r="J159" s="3">
        <f t="shared" si="95"/>
        <v>0</v>
      </c>
      <c r="K159" s="3">
        <f t="shared" si="95"/>
        <v>0</v>
      </c>
      <c r="L159" s="3">
        <f t="shared" si="95"/>
        <v>0</v>
      </c>
      <c r="M159" s="3">
        <f t="shared" si="95"/>
        <v>0</v>
      </c>
      <c r="N159" s="3">
        <f t="shared" si="95"/>
        <v>0</v>
      </c>
      <c r="O159" s="3">
        <f t="shared" si="95"/>
        <v>0</v>
      </c>
      <c r="P159" s="3">
        <f t="shared" si="95"/>
        <v>0</v>
      </c>
      <c r="Q159" s="3">
        <f t="shared" si="95"/>
        <v>0</v>
      </c>
      <c r="R159" s="3">
        <f t="shared" si="95"/>
        <v>0</v>
      </c>
      <c r="S159" s="3">
        <f t="shared" si="95"/>
        <v>0</v>
      </c>
      <c r="T159" s="3">
        <f t="shared" si="95"/>
        <v>0</v>
      </c>
      <c r="U159" s="3">
        <f t="shared" si="95"/>
        <v>0</v>
      </c>
      <c r="V159" s="3">
        <f t="shared" si="95"/>
        <v>0</v>
      </c>
      <c r="W159" s="3">
        <f t="shared" si="95"/>
        <v>0</v>
      </c>
      <c r="X159" s="3">
        <f t="shared" si="95"/>
        <v>0</v>
      </c>
      <c r="Y159" s="3">
        <f t="shared" si="95"/>
        <v>0</v>
      </c>
      <c r="Z159" s="3">
        <f t="shared" si="95"/>
        <v>0</v>
      </c>
      <c r="AA159" s="3">
        <f t="shared" ref="AA159:AF159" si="96">$C45*EXP(-AA$129/$A45/EXP(-$B$126))</f>
        <v>0</v>
      </c>
      <c r="AB159" s="3">
        <f t="shared" si="96"/>
        <v>0</v>
      </c>
      <c r="AC159" s="3">
        <f t="shared" si="96"/>
        <v>0</v>
      </c>
      <c r="AD159" s="3">
        <f t="shared" si="96"/>
        <v>0</v>
      </c>
      <c r="AE159" s="3">
        <f t="shared" si="96"/>
        <v>0</v>
      </c>
      <c r="AF159" s="3">
        <f t="shared" si="96"/>
        <v>0</v>
      </c>
    </row>
    <row r="160" spans="1:32" x14ac:dyDescent="0.25">
      <c r="B160" s="3">
        <f t="shared" ref="B160:Z160" si="97">$C46*EXP(-B$129/$A46/EXP(-$B$126))</f>
        <v>0</v>
      </c>
      <c r="C160" s="3">
        <f t="shared" si="97"/>
        <v>0</v>
      </c>
      <c r="D160" s="3">
        <f t="shared" si="97"/>
        <v>0</v>
      </c>
      <c r="E160" s="3">
        <f t="shared" si="97"/>
        <v>0</v>
      </c>
      <c r="F160" s="3">
        <f t="shared" si="97"/>
        <v>0</v>
      </c>
      <c r="G160" s="3">
        <f t="shared" si="97"/>
        <v>0</v>
      </c>
      <c r="H160" s="3">
        <f t="shared" si="97"/>
        <v>0</v>
      </c>
      <c r="I160" s="3">
        <f t="shared" si="97"/>
        <v>0</v>
      </c>
      <c r="J160" s="3">
        <f t="shared" si="97"/>
        <v>0</v>
      </c>
      <c r="K160" s="3">
        <f t="shared" si="97"/>
        <v>0</v>
      </c>
      <c r="L160" s="3">
        <f t="shared" si="97"/>
        <v>0</v>
      </c>
      <c r="M160" s="3">
        <f t="shared" si="97"/>
        <v>0</v>
      </c>
      <c r="N160" s="3">
        <f t="shared" si="97"/>
        <v>0</v>
      </c>
      <c r="O160" s="3">
        <f t="shared" si="97"/>
        <v>0</v>
      </c>
      <c r="P160" s="3">
        <f t="shared" si="97"/>
        <v>0</v>
      </c>
      <c r="Q160" s="3">
        <f t="shared" si="97"/>
        <v>0</v>
      </c>
      <c r="R160" s="3">
        <f t="shared" si="97"/>
        <v>0</v>
      </c>
      <c r="S160" s="3">
        <f t="shared" si="97"/>
        <v>0</v>
      </c>
      <c r="T160" s="3">
        <f t="shared" si="97"/>
        <v>0</v>
      </c>
      <c r="U160" s="3">
        <f t="shared" si="97"/>
        <v>0</v>
      </c>
      <c r="V160" s="3">
        <f t="shared" si="97"/>
        <v>0</v>
      </c>
      <c r="W160" s="3">
        <f t="shared" si="97"/>
        <v>0</v>
      </c>
      <c r="X160" s="3">
        <f t="shared" si="97"/>
        <v>0</v>
      </c>
      <c r="Y160" s="3">
        <f t="shared" si="97"/>
        <v>0</v>
      </c>
      <c r="Z160" s="3">
        <f t="shared" si="97"/>
        <v>0</v>
      </c>
      <c r="AA160" s="3">
        <f t="shared" ref="AA160:AF160" si="98">$C46*EXP(-AA$129/$A46/EXP(-$B$126))</f>
        <v>0</v>
      </c>
      <c r="AB160" s="3">
        <f t="shared" si="98"/>
        <v>0</v>
      </c>
      <c r="AC160" s="3">
        <f t="shared" si="98"/>
        <v>0</v>
      </c>
      <c r="AD160" s="3">
        <f t="shared" si="98"/>
        <v>0</v>
      </c>
      <c r="AE160" s="3">
        <f t="shared" si="98"/>
        <v>0</v>
      </c>
      <c r="AF160" s="3">
        <f t="shared" si="98"/>
        <v>0</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2.6390969703261771E-3</v>
      </c>
      <c r="C162" s="3">
        <f t="shared" si="101"/>
        <v>2.6390969703261771E-3</v>
      </c>
      <c r="D162" s="3">
        <f t="shared" si="101"/>
        <v>2.6390969703261771E-3</v>
      </c>
      <c r="E162" s="3">
        <f t="shared" si="101"/>
        <v>2.6390969703261771E-3</v>
      </c>
      <c r="F162" s="3">
        <f t="shared" si="101"/>
        <v>2.6390969703261771E-3</v>
      </c>
      <c r="G162" s="3">
        <f t="shared" si="101"/>
        <v>2.6390969703261771E-3</v>
      </c>
      <c r="H162" s="3">
        <f t="shared" si="101"/>
        <v>2.6390969703261771E-3</v>
      </c>
      <c r="I162" s="3">
        <f t="shared" si="101"/>
        <v>2.6390969703261771E-3</v>
      </c>
      <c r="J162" s="3">
        <f t="shared" si="101"/>
        <v>2.6390969703261771E-3</v>
      </c>
      <c r="K162" s="3">
        <f t="shared" si="101"/>
        <v>2.6390969703261771E-3</v>
      </c>
      <c r="L162" s="3">
        <f t="shared" si="101"/>
        <v>2.6390969703261771E-3</v>
      </c>
      <c r="M162" s="3">
        <f t="shared" si="101"/>
        <v>2.6390969703261771E-3</v>
      </c>
      <c r="N162" s="3">
        <f t="shared" si="101"/>
        <v>2.6390969703261771E-3</v>
      </c>
      <c r="O162" s="3">
        <f t="shared" si="101"/>
        <v>2.6390969703261771E-3</v>
      </c>
      <c r="P162" s="3">
        <f t="shared" si="101"/>
        <v>2.6390969703261771E-3</v>
      </c>
      <c r="Q162" s="3">
        <f t="shared" si="101"/>
        <v>2.6390969703261771E-3</v>
      </c>
      <c r="R162" s="3">
        <f t="shared" si="101"/>
        <v>2.6390969703261771E-3</v>
      </c>
      <c r="S162" s="3">
        <f t="shared" si="101"/>
        <v>2.6390969703261771E-3</v>
      </c>
      <c r="T162" s="3">
        <f t="shared" si="101"/>
        <v>2.6390969703261771E-3</v>
      </c>
      <c r="U162" s="3">
        <f t="shared" si="101"/>
        <v>2.6390969703261771E-3</v>
      </c>
      <c r="V162" s="3">
        <f t="shared" si="101"/>
        <v>2.6390969703261771E-3</v>
      </c>
      <c r="W162" s="3">
        <f t="shared" si="101"/>
        <v>2.6390969703261771E-3</v>
      </c>
      <c r="X162" s="3">
        <f t="shared" si="101"/>
        <v>2.6390969703261771E-3</v>
      </c>
      <c r="Y162" s="3">
        <f t="shared" si="101"/>
        <v>2.6390969703261771E-3</v>
      </c>
      <c r="Z162" s="3">
        <f t="shared" si="101"/>
        <v>2.6390969703261771E-3</v>
      </c>
      <c r="AA162" s="3">
        <f t="shared" ref="AA162:AF162" si="102">$C48*EXP(-AA$129/$A48/EXP(-$B$126))</f>
        <v>2.6390969703261771E-3</v>
      </c>
      <c r="AB162" s="3">
        <f t="shared" si="102"/>
        <v>2.6390969703261771E-3</v>
      </c>
      <c r="AC162" s="3">
        <f t="shared" si="102"/>
        <v>2.6390969703261771E-3</v>
      </c>
      <c r="AD162" s="3">
        <f t="shared" si="102"/>
        <v>2.6390969703261771E-3</v>
      </c>
      <c r="AE162" s="3">
        <f t="shared" si="102"/>
        <v>2.6390969703261771E-3</v>
      </c>
      <c r="AF162" s="3">
        <f t="shared" si="102"/>
        <v>2.6390969703261771E-3</v>
      </c>
    </row>
    <row r="163" spans="1:34" x14ac:dyDescent="0.25">
      <c r="A163" s="79">
        <f>AVERAGE(B163:AF163)</f>
        <v>1.554650566924988E-2</v>
      </c>
      <c r="B163" s="80">
        <f>IF($A$64&lt;=B129,IF($B$64&gt;=B129,ABS((B131-B130)/B130),0),0)</f>
        <v>0</v>
      </c>
      <c r="C163" s="80">
        <f t="shared" ref="C163:AF163" si="103">IF($A$64&lt;=C129,IF($B$64&gt;=C129,ABS((C131-C130)/C130),0),0)</f>
        <v>0</v>
      </c>
      <c r="D163" s="80">
        <f t="shared" si="103"/>
        <v>0</v>
      </c>
      <c r="E163" s="80">
        <f t="shared" si="103"/>
        <v>0</v>
      </c>
      <c r="F163" s="80">
        <f t="shared" si="103"/>
        <v>0</v>
      </c>
      <c r="G163" s="80">
        <f t="shared" si="103"/>
        <v>0</v>
      </c>
      <c r="H163" s="80">
        <f t="shared" si="103"/>
        <v>0</v>
      </c>
      <c r="I163" s="80">
        <f t="shared" si="103"/>
        <v>0</v>
      </c>
      <c r="J163" s="80">
        <f t="shared" si="103"/>
        <v>0</v>
      </c>
      <c r="K163" s="80">
        <f t="shared" si="103"/>
        <v>0</v>
      </c>
      <c r="L163" s="80">
        <f t="shared" si="103"/>
        <v>2.5368871215235961E-3</v>
      </c>
      <c r="M163" s="80">
        <f t="shared" si="103"/>
        <v>2.5370055121378987E-3</v>
      </c>
      <c r="N163" s="80">
        <f t="shared" si="103"/>
        <v>2.538148747805283E-3</v>
      </c>
      <c r="O163" s="80">
        <f t="shared" si="103"/>
        <v>2.5495026809752631E-3</v>
      </c>
      <c r="P163" s="80">
        <f t="shared" si="103"/>
        <v>2.6630684674188729E-3</v>
      </c>
      <c r="Q163" s="80">
        <f t="shared" si="103"/>
        <v>3.7941625622957154E-3</v>
      </c>
      <c r="R163" s="80">
        <f t="shared" si="103"/>
        <v>1.4661902960420166E-2</v>
      </c>
      <c r="S163" s="80">
        <f t="shared" si="103"/>
        <v>8.875445649525425E-2</v>
      </c>
      <c r="T163" s="80">
        <f t="shared" si="103"/>
        <v>0.14611523183775624</v>
      </c>
      <c r="U163" s="80">
        <f t="shared" si="103"/>
        <v>0.12321354527447745</v>
      </c>
      <c r="V163" s="80">
        <f t="shared" si="103"/>
        <v>9.2577764086681474E-2</v>
      </c>
      <c r="W163" s="80">
        <f t="shared" si="103"/>
        <v>0</v>
      </c>
      <c r="X163" s="80">
        <f t="shared" si="103"/>
        <v>0</v>
      </c>
      <c r="Y163" s="80">
        <f t="shared" si="103"/>
        <v>0</v>
      </c>
      <c r="Z163" s="80">
        <f t="shared" si="103"/>
        <v>0</v>
      </c>
      <c r="AA163" s="80">
        <f t="shared" si="103"/>
        <v>0</v>
      </c>
      <c r="AB163" s="80">
        <f t="shared" si="103"/>
        <v>0</v>
      </c>
      <c r="AC163" s="80">
        <f t="shared" si="103"/>
        <v>0</v>
      </c>
      <c r="AD163" s="80">
        <f t="shared" si="103"/>
        <v>0</v>
      </c>
      <c r="AE163" s="80">
        <f t="shared" si="103"/>
        <v>0</v>
      </c>
      <c r="AF163" s="80">
        <f t="shared" si="103"/>
        <v>0</v>
      </c>
    </row>
    <row r="164" spans="1:34" x14ac:dyDescent="0.25">
      <c r="B164" s="21">
        <f>(B131-B130)^2</f>
        <v>227.35606122613254</v>
      </c>
      <c r="C164" s="21">
        <f t="shared" ref="C164:AF164" si="104">(C131-C130)^2</f>
        <v>228.47827457675584</v>
      </c>
      <c r="D164" s="21">
        <f t="shared" si="104"/>
        <v>227.7918088312889</v>
      </c>
      <c r="E164" s="21">
        <f t="shared" si="104"/>
        <v>227.59186137207166</v>
      </c>
      <c r="F164" s="21">
        <f t="shared" si="104"/>
        <v>227.52970057757372</v>
      </c>
      <c r="G164" s="21">
        <f t="shared" si="104"/>
        <v>227.50471680174837</v>
      </c>
      <c r="H164" s="21">
        <f t="shared" si="104"/>
        <v>227.49679562197514</v>
      </c>
      <c r="I164" s="21">
        <f t="shared" si="104"/>
        <v>227.49557920161328</v>
      </c>
      <c r="J164" s="21">
        <f t="shared" si="104"/>
        <v>227.49560165068712</v>
      </c>
      <c r="K164" s="21">
        <f t="shared" si="104"/>
        <v>227.49582614151393</v>
      </c>
      <c r="L164" s="21">
        <f t="shared" si="104"/>
        <v>227.4980710557916</v>
      </c>
      <c r="M164" s="21">
        <f t="shared" si="104"/>
        <v>227.51930206973677</v>
      </c>
      <c r="N164" s="21">
        <f t="shared" si="104"/>
        <v>227.72435008807619</v>
      </c>
      <c r="O164" s="21">
        <f t="shared" si="104"/>
        <v>229.76573595277773</v>
      </c>
      <c r="P164" s="21">
        <f t="shared" si="104"/>
        <v>250.68533367516216</v>
      </c>
      <c r="Q164" s="21">
        <f t="shared" si="104"/>
        <v>508.73986749048515</v>
      </c>
      <c r="R164" s="21">
        <f t="shared" si="104"/>
        <v>7579.8910611065312</v>
      </c>
      <c r="S164" s="21">
        <f t="shared" si="104"/>
        <v>272728.40070115624</v>
      </c>
      <c r="T164" s="21">
        <f t="shared" si="104"/>
        <v>703068.16265775356</v>
      </c>
      <c r="U164" s="21">
        <f t="shared" si="104"/>
        <v>474102.75255485822</v>
      </c>
      <c r="V164" s="21">
        <f t="shared" si="104"/>
        <v>249873.06677455688</v>
      </c>
      <c r="W164" s="21">
        <f t="shared" si="104"/>
        <v>59174.554839596916</v>
      </c>
      <c r="X164" s="21">
        <f t="shared" si="104"/>
        <v>1089.7781256355343</v>
      </c>
      <c r="Y164" s="21">
        <f t="shared" si="104"/>
        <v>70194.496413466797</v>
      </c>
      <c r="Z164" s="21">
        <f t="shared" si="104"/>
        <v>31209.646673078489</v>
      </c>
      <c r="AA164" s="21">
        <f t="shared" si="104"/>
        <v>47224.403568267095</v>
      </c>
      <c r="AB164" s="21">
        <f t="shared" si="104"/>
        <v>48183.244116303838</v>
      </c>
      <c r="AC164" s="21">
        <f t="shared" si="104"/>
        <v>38595.108865594186</v>
      </c>
      <c r="AD164" s="21">
        <f t="shared" si="104"/>
        <v>22409.717817972032</v>
      </c>
      <c r="AE164" s="21">
        <f t="shared" si="104"/>
        <v>7438.6832425653865</v>
      </c>
      <c r="AF164" s="21">
        <f t="shared" si="104"/>
        <v>159.68449371727266</v>
      </c>
    </row>
    <row r="165" spans="1:34" x14ac:dyDescent="0.25">
      <c r="A165" s="71">
        <f>SUM(B165:AF165)</f>
        <v>1709024.2064097635</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227.4980710557916</v>
      </c>
      <c r="M165" s="60">
        <f t="shared" si="105"/>
        <v>227.51930206973677</v>
      </c>
      <c r="N165" s="60">
        <f t="shared" si="105"/>
        <v>227.72435008807619</v>
      </c>
      <c r="O165" s="60">
        <f t="shared" si="105"/>
        <v>229.76573595277773</v>
      </c>
      <c r="P165" s="60">
        <f t="shared" si="105"/>
        <v>250.68533367516216</v>
      </c>
      <c r="Q165" s="60">
        <f t="shared" si="105"/>
        <v>508.73986749048515</v>
      </c>
      <c r="R165" s="60">
        <f t="shared" si="105"/>
        <v>7579.8910611065312</v>
      </c>
      <c r="S165" s="60">
        <f t="shared" si="105"/>
        <v>272728.40070115624</v>
      </c>
      <c r="T165" s="60">
        <f t="shared" si="105"/>
        <v>703068.16265775356</v>
      </c>
      <c r="U165" s="60">
        <f t="shared" si="105"/>
        <v>474102.75255485822</v>
      </c>
      <c r="V165" s="60">
        <f t="shared" si="105"/>
        <v>249873.06677455688</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5936.3433151657146</v>
      </c>
      <c r="C169" s="26">
        <f>INDEX(Comparison!$AM$3:$AS$33,G$14,$C$122)</f>
        <v>5936.3803075081632</v>
      </c>
      <c r="D169" s="26">
        <f>INDEX(Comparison!$AM$3:$AS$33,H$14,$C$122)</f>
        <v>5936.3578341520697</v>
      </c>
      <c r="E169" s="26">
        <f>INDEX(Comparison!$AM$3:$AS$33,I$14,$C$122)</f>
        <v>5936.3510277390824</v>
      </c>
      <c r="F169" s="26">
        <f>INDEX(Comparison!$AM$3:$AS$33,J$14,$C$122)</f>
        <v>5936.3489535985827</v>
      </c>
      <c r="G169" s="26">
        <f>INDEX(Comparison!$AM$3:$AS$33,K$14,$C$122)</f>
        <v>5936.3483494802622</v>
      </c>
      <c r="H169" s="26">
        <f>INDEX(Comparison!$AM$3:$AS$33,L$14,$C$122)</f>
        <v>5936.3480675584215</v>
      </c>
      <c r="I169" s="26">
        <f>INDEX(Comparison!$AM$3:$AS$33,M$14,$C$122)</f>
        <v>5936.3480474211492</v>
      </c>
      <c r="J169" s="26">
        <f>INDEX(Comparison!$AM$3:$AS$33,N$14,$C$122)</f>
        <v>5936.3478259111525</v>
      </c>
      <c r="K169" s="26">
        <f>INDEX(Comparison!$AM$3:$AS$33,O$14,$C$122)</f>
        <v>5936.3478259111525</v>
      </c>
      <c r="L169" s="26">
        <f>INDEX(Comparison!$AM$3:$AS$33,P$14,$C$122)</f>
        <v>5936.3475238520905</v>
      </c>
      <c r="M169" s="26">
        <f>INDEX(Comparison!$AM$3:$AS$33,Q$14,$C$122)</f>
        <v>5936.3452282042372</v>
      </c>
      <c r="N169" s="26">
        <f>INDEX(Comparison!$AM$3:$AS$33,R$14,$C$122)</f>
        <v>5936.3201171545998</v>
      </c>
      <c r="O169" s="26">
        <f>INDEX(Comparison!$AM$3:$AS$33,S$14,$C$122)</f>
        <v>5936.0699445696901</v>
      </c>
      <c r="P169" s="26">
        <f>INDEX(Comparison!$AM$3:$AS$33,T$14,$C$122)</f>
        <v>5933.5894562136173</v>
      </c>
      <c r="Q169" s="26">
        <f>INDEX(Comparison!$AM$3:$AS$33,U$14,$C$122)</f>
        <v>5910.7352387881974</v>
      </c>
      <c r="R169" s="26">
        <f>INDEX(Comparison!$AM$3:$AS$33,V$14,$C$122)</f>
        <v>5788.6039225333288</v>
      </c>
      <c r="S169" s="26">
        <f>INDEX(Comparison!$AM$3:$AS$33,W$14,$C$122)</f>
        <v>5645.2982525424422</v>
      </c>
      <c r="T169" s="26">
        <f>INDEX(Comparison!$AM$3:$AS$33,X$14,$C$122)</f>
        <v>5477.0166152184411</v>
      </c>
      <c r="U169" s="26">
        <f>INDEX(Comparison!$AM$3:$AS$33,Y$14,$C$122)</f>
        <v>5242.9581566849647</v>
      </c>
      <c r="V169" s="26">
        <f>INDEX(Comparison!$AM$3:$AS$33,Z$14,$C$122)</f>
        <v>4967.1522364522052</v>
      </c>
      <c r="W169" s="26">
        <f>INDEX(Comparison!$AM$3:$AS$33,AA$14,$C$122)</f>
        <v>4663.1486629646943</v>
      </c>
      <c r="X169" s="26">
        <f>INDEX(Comparison!$AM$3:$AS$33,AB$14,$C$122)</f>
        <v>4346.263159926043</v>
      </c>
      <c r="Y169" s="26">
        <f>INDEX(Comparison!$AM$3:$AS$33,AC$14,$C$122)</f>
        <v>4052.7215067045913</v>
      </c>
      <c r="Z169" s="26">
        <f>INDEX(Comparison!$AM$3:$AS$33,AD$14,$C$122)</f>
        <v>3771.4995408899726</v>
      </c>
      <c r="AA169" s="26">
        <f>INDEX(Comparison!$AM$3:$AS$33,AE$14,$C$122)</f>
        <v>3487.2930712528305</v>
      </c>
      <c r="AB169" s="26">
        <f>INDEX(Comparison!$AM$3:$AS$33,AF$14,$C$122)</f>
        <v>3171.2944430186703</v>
      </c>
      <c r="AC169" s="26">
        <f>INDEX(Comparison!$AM$3:$AS$33,AG$14,$C$122)</f>
        <v>2771.7245513357993</v>
      </c>
      <c r="AD169" s="26">
        <f>INDEX(Comparison!$AM$3:$AS$33,AH$14,$C$122)</f>
        <v>2294.6891766146468</v>
      </c>
      <c r="AE169" s="26">
        <f>INDEX(Comparison!$AM$3:$AS$33,AI$14,$C$122)</f>
        <v>1744.1842965326991</v>
      </c>
      <c r="AF169" s="26">
        <f>INDEX(Comparison!$AM$3:$AS$33,AJ$14,$C$122)</f>
        <v>1149.8282974544306</v>
      </c>
      <c r="AG169" s="26"/>
      <c r="AH169" s="26"/>
    </row>
    <row r="170" spans="1:34" x14ac:dyDescent="0.25">
      <c r="A170" s="70" t="s">
        <v>22</v>
      </c>
      <c r="B170" s="27">
        <f>($C$17+SUM(B171:B201))*$B$51</f>
        <v>5930.4079000000002</v>
      </c>
      <c r="C170" s="27">
        <f t="shared" ref="C170:AF170" si="106">($C$17+SUM(C171:C201))*$B$51</f>
        <v>5930.4078999999983</v>
      </c>
      <c r="D170" s="27">
        <f t="shared" si="106"/>
        <v>5930.4078999999774</v>
      </c>
      <c r="E170" s="27">
        <f t="shared" si="106"/>
        <v>5930.4078999997664</v>
      </c>
      <c r="F170" s="27">
        <f t="shared" si="106"/>
        <v>5930.4078999976618</v>
      </c>
      <c r="G170" s="27">
        <f t="shared" si="106"/>
        <v>5930.407899976617</v>
      </c>
      <c r="H170" s="27">
        <f t="shared" si="106"/>
        <v>5930.4078997661609</v>
      </c>
      <c r="I170" s="27">
        <f t="shared" si="106"/>
        <v>5930.4078976616029</v>
      </c>
      <c r="J170" s="27">
        <f t="shared" si="106"/>
        <v>5930.4078766160246</v>
      </c>
      <c r="K170" s="27">
        <f t="shared" si="106"/>
        <v>5930.407666160263</v>
      </c>
      <c r="L170" s="27">
        <f t="shared" si="106"/>
        <v>5930.4055616050091</v>
      </c>
      <c r="M170" s="27">
        <f t="shared" si="106"/>
        <v>5930.3845162888292</v>
      </c>
      <c r="N170" s="27">
        <f t="shared" si="106"/>
        <v>5930.1740867604858</v>
      </c>
      <c r="O170" s="27">
        <f t="shared" si="106"/>
        <v>5928.0721530379278</v>
      </c>
      <c r="P170" s="27">
        <f t="shared" si="106"/>
        <v>5907.2871974137943</v>
      </c>
      <c r="Q170" s="27">
        <f t="shared" si="106"/>
        <v>5721.1976720889634</v>
      </c>
      <c r="R170" s="27">
        <f t="shared" si="106"/>
        <v>5006.3432239567874</v>
      </c>
      <c r="S170" s="27">
        <f t="shared" si="106"/>
        <v>4899.7322315071651</v>
      </c>
      <c r="T170" s="27">
        <f t="shared" si="106"/>
        <v>4899.7029936353947</v>
      </c>
      <c r="U170" s="27">
        <f t="shared" si="106"/>
        <v>4899.4106976933963</v>
      </c>
      <c r="V170" s="27">
        <f t="shared" si="106"/>
        <v>4896.4958556847887</v>
      </c>
      <c r="W170" s="27">
        <f t="shared" si="106"/>
        <v>4868.1437253911881</v>
      </c>
      <c r="X170" s="27">
        <f t="shared" si="106"/>
        <v>4650.8126900353673</v>
      </c>
      <c r="Y170" s="27">
        <f t="shared" si="106"/>
        <v>4268.7754548711828</v>
      </c>
      <c r="Z170" s="27">
        <f t="shared" si="106"/>
        <v>4036.642743585679</v>
      </c>
      <c r="AA170" s="27">
        <f t="shared" si="106"/>
        <v>3727.9782346181714</v>
      </c>
      <c r="AB170" s="27">
        <f t="shared" si="106"/>
        <v>3387.637007553813</v>
      </c>
      <c r="AC170" s="27">
        <f t="shared" si="106"/>
        <v>2932.8469112558491</v>
      </c>
      <c r="AD170" s="27">
        <f t="shared" si="106"/>
        <v>2391.9913515636572</v>
      </c>
      <c r="AE170" s="27">
        <f t="shared" si="106"/>
        <v>1772.5998672021469</v>
      </c>
      <c r="AF170" s="27">
        <f t="shared" si="106"/>
        <v>1120.2070870442537</v>
      </c>
      <c r="AG170" s="27"/>
      <c r="AH170" s="27"/>
    </row>
    <row r="171" spans="1:34" x14ac:dyDescent="0.25">
      <c r="B171" s="3">
        <f t="shared" ref="B171:AF171" si="107">$C18*EXP(-B$168/$A18/EXP(-$C$126))</f>
        <v>0.17379452430407932</v>
      </c>
      <c r="C171" s="3">
        <f t="shared" si="107"/>
        <v>0.17379452430407896</v>
      </c>
      <c r="D171" s="3">
        <f t="shared" si="107"/>
        <v>0.17379452430407541</v>
      </c>
      <c r="E171" s="3">
        <f t="shared" si="107"/>
        <v>0.17379452430403991</v>
      </c>
      <c r="F171" s="3">
        <f t="shared" si="107"/>
        <v>0.17379452430368503</v>
      </c>
      <c r="G171" s="3">
        <f t="shared" si="107"/>
        <v>0.17379452430013628</v>
      </c>
      <c r="H171" s="3">
        <f t="shared" si="107"/>
        <v>0.17379452426464873</v>
      </c>
      <c r="I171" s="3">
        <f t="shared" si="107"/>
        <v>0.17379452390977304</v>
      </c>
      <c r="J171" s="3">
        <f t="shared" si="107"/>
        <v>0.1737945203610162</v>
      </c>
      <c r="K171" s="3">
        <f t="shared" si="107"/>
        <v>0.17379448487345175</v>
      </c>
      <c r="L171" s="3">
        <f t="shared" si="107"/>
        <v>0.17379412999820604</v>
      </c>
      <c r="M171" s="3">
        <f t="shared" si="107"/>
        <v>0.17379058128560299</v>
      </c>
      <c r="N171" s="3">
        <f t="shared" si="107"/>
        <v>0.17375509814470383</v>
      </c>
      <c r="O171" s="3">
        <f t="shared" si="107"/>
        <v>0.17340066494792977</v>
      </c>
      <c r="P171" s="3">
        <f t="shared" si="107"/>
        <v>0.16989585498363197</v>
      </c>
      <c r="Q171" s="3">
        <f t="shared" si="107"/>
        <v>0.13851698539757851</v>
      </c>
      <c r="R171" s="3">
        <f t="shared" si="107"/>
        <v>1.7976515365836814E-2</v>
      </c>
      <c r="S171" s="3">
        <f t="shared" si="107"/>
        <v>2.4362973952853582E-11</v>
      </c>
      <c r="T171" s="3">
        <f t="shared" si="107"/>
        <v>5.0930531305523075E-100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9.0899647473980161E-2</v>
      </c>
      <c r="C172" s="3">
        <f t="shared" si="108"/>
        <v>9.0899647473980161E-2</v>
      </c>
      <c r="D172" s="3">
        <f t="shared" si="108"/>
        <v>9.0899647473980161E-2</v>
      </c>
      <c r="E172" s="3">
        <f t="shared" si="108"/>
        <v>9.0899647473980161E-2</v>
      </c>
      <c r="F172" s="3">
        <f t="shared" si="108"/>
        <v>9.0899647473980161E-2</v>
      </c>
      <c r="G172" s="3">
        <f t="shared" si="108"/>
        <v>9.0899647473980161E-2</v>
      </c>
      <c r="H172" s="3">
        <f t="shared" si="108"/>
        <v>9.0899647473980147E-2</v>
      </c>
      <c r="I172" s="3">
        <f t="shared" si="108"/>
        <v>9.0899647473980105E-2</v>
      </c>
      <c r="J172" s="3">
        <f t="shared" si="108"/>
        <v>9.0899647473979633E-2</v>
      </c>
      <c r="K172" s="3">
        <f t="shared" si="108"/>
        <v>9.0899647473974887E-2</v>
      </c>
      <c r="L172" s="3">
        <f t="shared" si="108"/>
        <v>9.0899647473927328E-2</v>
      </c>
      <c r="M172" s="3">
        <f t="shared" si="108"/>
        <v>9.0899647473451875E-2</v>
      </c>
      <c r="N172" s="3">
        <f t="shared" si="108"/>
        <v>9.0899647468697387E-2</v>
      </c>
      <c r="O172" s="3">
        <f t="shared" si="108"/>
        <v>9.089964742115246E-2</v>
      </c>
      <c r="P172" s="3">
        <f t="shared" si="108"/>
        <v>9.08996469457031E-2</v>
      </c>
      <c r="Q172" s="3">
        <f t="shared" si="108"/>
        <v>9.0899642191209634E-2</v>
      </c>
      <c r="R172" s="3">
        <f t="shared" si="108"/>
        <v>9.0899594646288662E-2</v>
      </c>
      <c r="S172" s="3">
        <f t="shared" si="108"/>
        <v>9.0899119198446773E-2</v>
      </c>
      <c r="T172" s="3">
        <f t="shared" si="108"/>
        <v>9.0894364856800705E-2</v>
      </c>
      <c r="U172" s="3">
        <f t="shared" si="108"/>
        <v>9.0846835114971825E-2</v>
      </c>
      <c r="V172" s="3">
        <f t="shared" si="108"/>
        <v>9.0372902517147524E-2</v>
      </c>
      <c r="W172" s="3">
        <f t="shared" si="108"/>
        <v>8.57674538227544E-2</v>
      </c>
      <c r="X172" s="3">
        <f t="shared" si="108"/>
        <v>5.0835299104898458E-2</v>
      </c>
      <c r="Y172" s="3">
        <f t="shared" si="108"/>
        <v>2.7201574412739378E-4</v>
      </c>
      <c r="Z172" s="3">
        <f t="shared" si="108"/>
        <v>5.2345653304385949E-27</v>
      </c>
      <c r="AA172" s="3">
        <f t="shared" si="108"/>
        <v>3.6454106136427653E-254</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3.1881256705136286E-2</v>
      </c>
      <c r="C173" s="3">
        <f t="shared" si="109"/>
        <v>3.1881256705136286E-2</v>
      </c>
      <c r="D173" s="3">
        <f t="shared" si="109"/>
        <v>3.1881256705136286E-2</v>
      </c>
      <c r="E173" s="3">
        <f t="shared" si="109"/>
        <v>3.1881256705136286E-2</v>
      </c>
      <c r="F173" s="3">
        <f t="shared" si="109"/>
        <v>3.1881256705136286E-2</v>
      </c>
      <c r="G173" s="3">
        <f t="shared" si="109"/>
        <v>3.1881256705136286E-2</v>
      </c>
      <c r="H173" s="3">
        <f t="shared" si="109"/>
        <v>3.1881256705136286E-2</v>
      </c>
      <c r="I173" s="3">
        <f t="shared" si="109"/>
        <v>3.1881256705136286E-2</v>
      </c>
      <c r="J173" s="3">
        <f t="shared" si="109"/>
        <v>3.1881256705136266E-2</v>
      </c>
      <c r="K173" s="3">
        <f t="shared" si="109"/>
        <v>3.188125670513612E-2</v>
      </c>
      <c r="L173" s="3">
        <f t="shared" si="109"/>
        <v>3.1881256705134614E-2</v>
      </c>
      <c r="M173" s="3">
        <f t="shared" si="109"/>
        <v>3.1881256705119571E-2</v>
      </c>
      <c r="N173" s="3">
        <f t="shared" si="109"/>
        <v>3.1881256704969149E-2</v>
      </c>
      <c r="O173" s="3">
        <f t="shared" si="109"/>
        <v>3.188125670346488E-2</v>
      </c>
      <c r="P173" s="3">
        <f t="shared" si="109"/>
        <v>3.188125668842224E-2</v>
      </c>
      <c r="Q173" s="3">
        <f t="shared" si="109"/>
        <v>3.1881256537995832E-2</v>
      </c>
      <c r="R173" s="3">
        <f t="shared" si="109"/>
        <v>3.1881255033731765E-2</v>
      </c>
      <c r="S173" s="3">
        <f t="shared" si="109"/>
        <v>3.1881239991095038E-2</v>
      </c>
      <c r="T173" s="3">
        <f t="shared" si="109"/>
        <v>3.1881089565118155E-2</v>
      </c>
      <c r="U173" s="3">
        <f t="shared" si="109"/>
        <v>3.1879585344385425E-2</v>
      </c>
      <c r="V173" s="3">
        <f t="shared" si="109"/>
        <v>3.1864547039992093E-2</v>
      </c>
      <c r="W173" s="3">
        <f t="shared" si="109"/>
        <v>3.1714553608946476E-2</v>
      </c>
      <c r="X173" s="3">
        <f t="shared" si="109"/>
        <v>3.0252908906648543E-2</v>
      </c>
      <c r="Y173" s="3">
        <f t="shared" si="109"/>
        <v>1.8873502675209462E-2</v>
      </c>
      <c r="Z173" s="3">
        <f t="shared" si="109"/>
        <v>1.6854123823748695E-4</v>
      </c>
      <c r="AA173" s="3">
        <f t="shared" si="109"/>
        <v>5.4355427121968648E-25</v>
      </c>
      <c r="AB173" s="3">
        <f t="shared" si="109"/>
        <v>6.6162245678641367E-230</v>
      </c>
      <c r="AC173" s="3">
        <f t="shared" si="109"/>
        <v>0</v>
      </c>
      <c r="AD173" s="3">
        <f t="shared" si="109"/>
        <v>0</v>
      </c>
      <c r="AE173" s="3">
        <f t="shared" si="109"/>
        <v>0</v>
      </c>
      <c r="AF173" s="3">
        <f t="shared" si="109"/>
        <v>0</v>
      </c>
      <c r="AG173" s="3"/>
      <c r="AH173" s="3"/>
    </row>
    <row r="174" spans="1:34" x14ac:dyDescent="0.25">
      <c r="B174" s="3">
        <f t="shared" ref="B174:AF174" si="110">$C21*EXP(-B$168/$A21/EXP(-$C$126))</f>
        <v>5.4295186308030693E-2</v>
      </c>
      <c r="C174" s="3">
        <f t="shared" si="110"/>
        <v>5.4295186308030693E-2</v>
      </c>
      <c r="D174" s="3">
        <f t="shared" si="110"/>
        <v>5.4295186308030693E-2</v>
      </c>
      <c r="E174" s="3">
        <f t="shared" si="110"/>
        <v>5.4295186308030693E-2</v>
      </c>
      <c r="F174" s="3">
        <f t="shared" si="110"/>
        <v>5.4295186308030693E-2</v>
      </c>
      <c r="G174" s="3">
        <f t="shared" si="110"/>
        <v>5.4295186308030693E-2</v>
      </c>
      <c r="H174" s="3">
        <f t="shared" si="110"/>
        <v>5.4295186308030693E-2</v>
      </c>
      <c r="I174" s="3">
        <f t="shared" si="110"/>
        <v>5.4295186308030693E-2</v>
      </c>
      <c r="J174" s="3">
        <f t="shared" si="110"/>
        <v>5.4295186308030693E-2</v>
      </c>
      <c r="K174" s="3">
        <f t="shared" si="110"/>
        <v>5.4295186308030673E-2</v>
      </c>
      <c r="L174" s="3">
        <f t="shared" si="110"/>
        <v>5.4295186308030437E-2</v>
      </c>
      <c r="M174" s="3">
        <f t="shared" si="110"/>
        <v>5.4295186308028126E-2</v>
      </c>
      <c r="N174" s="3">
        <f t="shared" si="110"/>
        <v>5.4295186308005013E-2</v>
      </c>
      <c r="O174" s="3">
        <f t="shared" si="110"/>
        <v>5.429518630777392E-2</v>
      </c>
      <c r="P174" s="3">
        <f t="shared" si="110"/>
        <v>5.4295186305462935E-2</v>
      </c>
      <c r="Q174" s="3">
        <f t="shared" si="110"/>
        <v>5.4295186282353115E-2</v>
      </c>
      <c r="R174" s="3">
        <f t="shared" si="110"/>
        <v>5.4295186051254905E-2</v>
      </c>
      <c r="S174" s="3">
        <f t="shared" si="110"/>
        <v>5.4295183740272882E-2</v>
      </c>
      <c r="T174" s="3">
        <f t="shared" si="110"/>
        <v>5.4295160630458014E-2</v>
      </c>
      <c r="U174" s="3">
        <f t="shared" si="110"/>
        <v>5.4294929532850401E-2</v>
      </c>
      <c r="V174" s="3">
        <f t="shared" si="110"/>
        <v>5.4292618610872923E-2</v>
      </c>
      <c r="W174" s="3">
        <f t="shared" si="110"/>
        <v>5.4269514800117387E-2</v>
      </c>
      <c r="X174" s="3">
        <f t="shared" si="110"/>
        <v>5.4039016743623138E-2</v>
      </c>
      <c r="Y174" s="3">
        <f t="shared" si="110"/>
        <v>5.1787200385834863E-2</v>
      </c>
      <c r="Z174" s="3">
        <f t="shared" si="110"/>
        <v>3.3835483575157303E-2</v>
      </c>
      <c r="AA174" s="3">
        <f t="shared" si="110"/>
        <v>4.7959199824396093E-4</v>
      </c>
      <c r="AB174" s="3">
        <f t="shared" si="110"/>
        <v>1.5698831774538061E-22</v>
      </c>
      <c r="AC174" s="3">
        <f t="shared" si="110"/>
        <v>2.2172844304211844E-207</v>
      </c>
      <c r="AD174" s="3">
        <f t="shared" si="110"/>
        <v>0</v>
      </c>
      <c r="AE174" s="3">
        <f t="shared" si="110"/>
        <v>0</v>
      </c>
      <c r="AF174" s="3">
        <f t="shared" si="110"/>
        <v>0</v>
      </c>
      <c r="AG174" s="3"/>
      <c r="AH174" s="3"/>
    </row>
    <row r="175" spans="1:34" x14ac:dyDescent="0.25">
      <c r="B175" s="3">
        <f t="shared" ref="B175:AF175" si="111">$C22*EXP(-B$168/$A22/EXP(-$C$126))</f>
        <v>5.1307510130975835E-2</v>
      </c>
      <c r="C175" s="3">
        <f t="shared" si="111"/>
        <v>5.1307510130975835E-2</v>
      </c>
      <c r="D175" s="3">
        <f t="shared" si="111"/>
        <v>5.1307510130975835E-2</v>
      </c>
      <c r="E175" s="3">
        <f t="shared" si="111"/>
        <v>5.1307510130975835E-2</v>
      </c>
      <c r="F175" s="3">
        <f t="shared" si="111"/>
        <v>5.1307510130975835E-2</v>
      </c>
      <c r="G175" s="3">
        <f t="shared" si="111"/>
        <v>5.1307510130975835E-2</v>
      </c>
      <c r="H175" s="3">
        <f t="shared" si="111"/>
        <v>5.1307510130975835E-2</v>
      </c>
      <c r="I175" s="3">
        <f t="shared" si="111"/>
        <v>5.1307510130975835E-2</v>
      </c>
      <c r="J175" s="3">
        <f t="shared" si="111"/>
        <v>5.1307510130975835E-2</v>
      </c>
      <c r="K175" s="3">
        <f t="shared" si="111"/>
        <v>5.1307510130975835E-2</v>
      </c>
      <c r="L175" s="3">
        <f t="shared" si="111"/>
        <v>5.1307510130975814E-2</v>
      </c>
      <c r="M175" s="3">
        <f t="shared" si="111"/>
        <v>5.130751013097562E-2</v>
      </c>
      <c r="N175" s="3">
        <f t="shared" si="111"/>
        <v>5.1307510130973649E-2</v>
      </c>
      <c r="O175" s="3">
        <f t="shared" si="111"/>
        <v>5.1307510130953943E-2</v>
      </c>
      <c r="P175" s="3">
        <f t="shared" si="111"/>
        <v>5.1307510130756948E-2</v>
      </c>
      <c r="Q175" s="3">
        <f t="shared" si="111"/>
        <v>5.1307510128786968E-2</v>
      </c>
      <c r="R175" s="3">
        <f t="shared" si="111"/>
        <v>5.1307510109087115E-2</v>
      </c>
      <c r="S175" s="3">
        <f t="shared" si="111"/>
        <v>5.1307509912088684E-2</v>
      </c>
      <c r="T175" s="3">
        <f t="shared" si="111"/>
        <v>5.1307507942104355E-2</v>
      </c>
      <c r="U175" s="3">
        <f t="shared" si="111"/>
        <v>5.1307488242265199E-2</v>
      </c>
      <c r="V175" s="3">
        <f t="shared" si="111"/>
        <v>5.1307291244289725E-2</v>
      </c>
      <c r="W175" s="3">
        <f t="shared" si="111"/>
        <v>5.1305321306135694E-2</v>
      </c>
      <c r="X175" s="3">
        <f t="shared" si="111"/>
        <v>5.1285626084072666E-2</v>
      </c>
      <c r="Y175" s="3">
        <f t="shared" si="111"/>
        <v>5.1089089220871832E-2</v>
      </c>
      <c r="Z175" s="3">
        <f t="shared" si="111"/>
        <v>4.9164672270257621E-2</v>
      </c>
      <c r="AA175" s="3">
        <f t="shared" si="111"/>
        <v>3.348906551284004E-2</v>
      </c>
      <c r="AB175" s="3">
        <f t="shared" si="111"/>
        <v>7.2011496182871866E-4</v>
      </c>
      <c r="AC175" s="3">
        <f t="shared" si="111"/>
        <v>1.5219132124828787E-20</v>
      </c>
      <c r="AD175" s="3">
        <f t="shared" si="111"/>
        <v>2.7056425342042034E-187</v>
      </c>
      <c r="AE175" s="3">
        <f t="shared" si="111"/>
        <v>0</v>
      </c>
      <c r="AF175" s="3">
        <f t="shared" si="111"/>
        <v>0</v>
      </c>
      <c r="AG175" s="3"/>
      <c r="AH175" s="3"/>
    </row>
    <row r="176" spans="1:34" x14ac:dyDescent="0.25">
      <c r="B176" s="3">
        <f t="shared" ref="B176:AF176" si="112">$C23*EXP(-B$168/$A23/EXP(-$C$126))</f>
        <v>7.4663981933644916E-2</v>
      </c>
      <c r="C176" s="3">
        <f t="shared" si="112"/>
        <v>7.4663981933644916E-2</v>
      </c>
      <c r="D176" s="3">
        <f t="shared" si="112"/>
        <v>7.4663981933644916E-2</v>
      </c>
      <c r="E176" s="3">
        <f t="shared" si="112"/>
        <v>7.4663981933644916E-2</v>
      </c>
      <c r="F176" s="3">
        <f t="shared" si="112"/>
        <v>7.4663981933644916E-2</v>
      </c>
      <c r="G176" s="3">
        <f t="shared" si="112"/>
        <v>7.4663981933644916E-2</v>
      </c>
      <c r="H176" s="3">
        <f t="shared" si="112"/>
        <v>7.4663981933644916E-2</v>
      </c>
      <c r="I176" s="3">
        <f t="shared" si="112"/>
        <v>7.4663981933644916E-2</v>
      </c>
      <c r="J176" s="3">
        <f t="shared" si="112"/>
        <v>7.4663981933644916E-2</v>
      </c>
      <c r="K176" s="3">
        <f t="shared" si="112"/>
        <v>7.4663981933644916E-2</v>
      </c>
      <c r="L176" s="3">
        <f t="shared" si="112"/>
        <v>7.4663981933644916E-2</v>
      </c>
      <c r="M176" s="3">
        <f t="shared" si="112"/>
        <v>7.4663981933644888E-2</v>
      </c>
      <c r="N176" s="3">
        <f t="shared" si="112"/>
        <v>7.4663981933644624E-2</v>
      </c>
      <c r="O176" s="3">
        <f t="shared" si="112"/>
        <v>7.4663981933642043E-2</v>
      </c>
      <c r="P176" s="3">
        <f t="shared" si="112"/>
        <v>7.4663981933616189E-2</v>
      </c>
      <c r="Q176" s="3">
        <f t="shared" si="112"/>
        <v>7.4663981933357576E-2</v>
      </c>
      <c r="R176" s="3">
        <f t="shared" si="112"/>
        <v>7.4663981930771506E-2</v>
      </c>
      <c r="S176" s="3">
        <f t="shared" si="112"/>
        <v>7.4663981904910859E-2</v>
      </c>
      <c r="T176" s="3">
        <f t="shared" si="112"/>
        <v>7.4663981646304264E-2</v>
      </c>
      <c r="U176" s="3">
        <f t="shared" si="112"/>
        <v>7.4663979060238458E-2</v>
      </c>
      <c r="V176" s="3">
        <f t="shared" si="112"/>
        <v>7.4663953199585326E-2</v>
      </c>
      <c r="W176" s="3">
        <f t="shared" si="112"/>
        <v>7.4663694593546631E-2</v>
      </c>
      <c r="X176" s="3">
        <f t="shared" si="112"/>
        <v>7.4661108582423044E-2</v>
      </c>
      <c r="Y176" s="3">
        <f t="shared" si="112"/>
        <v>7.4635253396897486E-2</v>
      </c>
      <c r="Z176" s="3">
        <f t="shared" si="112"/>
        <v>7.4377193482009232E-2</v>
      </c>
      <c r="AA176" s="3">
        <f t="shared" si="112"/>
        <v>7.1845163729680431E-2</v>
      </c>
      <c r="AB176" s="3">
        <f t="shared" si="112"/>
        <v>5.0813026019790986E-2</v>
      </c>
      <c r="AC176" s="3">
        <f t="shared" si="112"/>
        <v>1.5912933887805882E-3</v>
      </c>
      <c r="AD176" s="3">
        <f t="shared" si="112"/>
        <v>1.4437841006178288E-18</v>
      </c>
      <c r="AE176" s="3">
        <f t="shared" si="112"/>
        <v>5.4578578417599315E-169</v>
      </c>
      <c r="AF176" s="3">
        <f t="shared" si="112"/>
        <v>0</v>
      </c>
      <c r="AG176" s="3"/>
      <c r="AH176" s="3"/>
    </row>
    <row r="177" spans="2:34" x14ac:dyDescent="0.25">
      <c r="B177" s="3">
        <f t="shared" ref="B177:AF177" si="113">$C24*EXP(-B$168/$A24/EXP(-$C$126))</f>
        <v>9.0647969973627479E-2</v>
      </c>
      <c r="C177" s="3">
        <f t="shared" si="113"/>
        <v>9.0647969973627479E-2</v>
      </c>
      <c r="D177" s="3">
        <f t="shared" si="113"/>
        <v>9.0647969973627479E-2</v>
      </c>
      <c r="E177" s="3">
        <f t="shared" si="113"/>
        <v>9.0647969973627479E-2</v>
      </c>
      <c r="F177" s="3">
        <f t="shared" si="113"/>
        <v>9.0647969973627479E-2</v>
      </c>
      <c r="G177" s="3">
        <f t="shared" si="113"/>
        <v>9.0647969973627479E-2</v>
      </c>
      <c r="H177" s="3">
        <f t="shared" si="113"/>
        <v>9.0647969973627479E-2</v>
      </c>
      <c r="I177" s="3">
        <f t="shared" si="113"/>
        <v>9.0647969973627479E-2</v>
      </c>
      <c r="J177" s="3">
        <f t="shared" si="113"/>
        <v>9.0647969973627479E-2</v>
      </c>
      <c r="K177" s="3">
        <f t="shared" si="113"/>
        <v>9.0647969973627479E-2</v>
      </c>
      <c r="L177" s="3">
        <f t="shared" si="113"/>
        <v>9.0647969973627479E-2</v>
      </c>
      <c r="M177" s="3">
        <f t="shared" si="113"/>
        <v>9.0647969973627479E-2</v>
      </c>
      <c r="N177" s="3">
        <f t="shared" si="113"/>
        <v>9.0647969973627451E-2</v>
      </c>
      <c r="O177" s="3">
        <f t="shared" si="113"/>
        <v>9.0647969973627174E-2</v>
      </c>
      <c r="P177" s="3">
        <f t="shared" si="113"/>
        <v>9.0647969973624329E-2</v>
      </c>
      <c r="Q177" s="3">
        <f t="shared" si="113"/>
        <v>9.0647969973596004E-2</v>
      </c>
      <c r="R177" s="3">
        <f t="shared" si="113"/>
        <v>9.0647969973312786E-2</v>
      </c>
      <c r="S177" s="3">
        <f t="shared" si="113"/>
        <v>9.0647969970480524E-2</v>
      </c>
      <c r="T177" s="3">
        <f t="shared" si="113"/>
        <v>9.0647969942157916E-2</v>
      </c>
      <c r="U177" s="3">
        <f t="shared" si="113"/>
        <v>9.0647969658931932E-2</v>
      </c>
      <c r="V177" s="3">
        <f t="shared" si="113"/>
        <v>9.0647966826672061E-2</v>
      </c>
      <c r="W177" s="3">
        <f t="shared" si="113"/>
        <v>9.0647938504078249E-2</v>
      </c>
      <c r="X177" s="3">
        <f t="shared" si="113"/>
        <v>9.0647655278626782E-2</v>
      </c>
      <c r="Y177" s="3">
        <f t="shared" si="113"/>
        <v>9.0644823072782543E-2</v>
      </c>
      <c r="Z177" s="3">
        <f t="shared" si="113"/>
        <v>9.0616505880821235E-2</v>
      </c>
      <c r="AA177" s="3">
        <f t="shared" si="113"/>
        <v>9.0333820047193758E-2</v>
      </c>
      <c r="AB177" s="3">
        <f t="shared" si="113"/>
        <v>8.755501303509805E-2</v>
      </c>
      <c r="AC177" s="3">
        <f t="shared" si="113"/>
        <v>6.4060072536211113E-2</v>
      </c>
      <c r="AD177" s="3">
        <f t="shared" si="113"/>
        <v>2.8161223329195924E-3</v>
      </c>
      <c r="AE177" s="3">
        <f t="shared" si="113"/>
        <v>7.5908851927039793E-17</v>
      </c>
      <c r="AF177" s="3">
        <f t="shared" si="113"/>
        <v>1.5370977482055157E-152</v>
      </c>
      <c r="AG177" s="3"/>
      <c r="AH177" s="3"/>
    </row>
    <row r="178" spans="2:34" x14ac:dyDescent="0.25">
      <c r="B178" s="3">
        <f t="shared" ref="B178:AF178" si="114">$C25*EXP(-B$168/$A25/EXP(-$C$126))</f>
        <v>0.10513898706376987</v>
      </c>
      <c r="C178" s="3">
        <f t="shared" si="114"/>
        <v>0.10513898706376987</v>
      </c>
      <c r="D178" s="3">
        <f t="shared" si="114"/>
        <v>0.10513898706376987</v>
      </c>
      <c r="E178" s="3">
        <f t="shared" si="114"/>
        <v>0.10513898706376987</v>
      </c>
      <c r="F178" s="3">
        <f t="shared" si="114"/>
        <v>0.10513898706376987</v>
      </c>
      <c r="G178" s="3">
        <f t="shared" si="114"/>
        <v>0.10513898706376987</v>
      </c>
      <c r="H178" s="3">
        <f t="shared" si="114"/>
        <v>0.10513898706376987</v>
      </c>
      <c r="I178" s="3">
        <f t="shared" si="114"/>
        <v>0.10513898706376987</v>
      </c>
      <c r="J178" s="3">
        <f t="shared" si="114"/>
        <v>0.10513898706376987</v>
      </c>
      <c r="K178" s="3">
        <f t="shared" si="114"/>
        <v>0.10513898706376987</v>
      </c>
      <c r="L178" s="3">
        <f t="shared" si="114"/>
        <v>0.10513898706376987</v>
      </c>
      <c r="M178" s="3">
        <f t="shared" si="114"/>
        <v>0.10513898706376987</v>
      </c>
      <c r="N178" s="3">
        <f t="shared" si="114"/>
        <v>0.10513898706376987</v>
      </c>
      <c r="O178" s="3">
        <f t="shared" si="114"/>
        <v>0.10513898706376983</v>
      </c>
      <c r="P178" s="3">
        <f t="shared" si="114"/>
        <v>0.10513898706376953</v>
      </c>
      <c r="Q178" s="3">
        <f t="shared" si="114"/>
        <v>0.10513898706376658</v>
      </c>
      <c r="R178" s="3">
        <f t="shared" si="114"/>
        <v>0.10513898706373694</v>
      </c>
      <c r="S178" s="3">
        <f t="shared" si="114"/>
        <v>0.1051389870634406</v>
      </c>
      <c r="T178" s="3">
        <f t="shared" si="114"/>
        <v>0.10513898706047724</v>
      </c>
      <c r="U178" s="3">
        <f t="shared" si="114"/>
        <v>0.10513898703084357</v>
      </c>
      <c r="V178" s="3">
        <f t="shared" si="114"/>
        <v>0.10513898673450689</v>
      </c>
      <c r="W178" s="3">
        <f t="shared" si="114"/>
        <v>0.1051389837711402</v>
      </c>
      <c r="X178" s="3">
        <f t="shared" si="114"/>
        <v>0.10513895413747779</v>
      </c>
      <c r="Y178" s="3">
        <f t="shared" si="114"/>
        <v>0.10513865780131308</v>
      </c>
      <c r="Z178" s="3">
        <f t="shared" si="114"/>
        <v>0.10513569448560321</v>
      </c>
      <c r="AA178" s="3">
        <f t="shared" si="114"/>
        <v>0.10510606592174719</v>
      </c>
      <c r="AB178" s="3">
        <f t="shared" si="114"/>
        <v>0.10481023912880284</v>
      </c>
      <c r="AC178" s="3">
        <f t="shared" si="114"/>
        <v>0.10189738083828567</v>
      </c>
      <c r="AD178" s="3">
        <f t="shared" si="114"/>
        <v>7.6869864129388538E-2</v>
      </c>
      <c r="AE178" s="3">
        <f t="shared" si="114"/>
        <v>4.5886722295227144E-3</v>
      </c>
      <c r="AF178" s="3">
        <f t="shared" si="114"/>
        <v>2.6363087590188916E-15</v>
      </c>
      <c r="AG178" s="3"/>
      <c r="AH178" s="3"/>
    </row>
    <row r="179" spans="2:34" x14ac:dyDescent="0.25">
      <c r="B179" s="3">
        <f t="shared" ref="B179:AF179" si="115">$C26*EXP(-B$168/$A26/EXP(-$C$126))</f>
        <v>0.12480864845095105</v>
      </c>
      <c r="C179" s="3">
        <f t="shared" si="115"/>
        <v>0.12480864845095105</v>
      </c>
      <c r="D179" s="3">
        <f t="shared" si="115"/>
        <v>0.12480864845095105</v>
      </c>
      <c r="E179" s="3">
        <f t="shared" si="115"/>
        <v>0.12480864845095105</v>
      </c>
      <c r="F179" s="3">
        <f t="shared" si="115"/>
        <v>0.12480864845095105</v>
      </c>
      <c r="G179" s="3">
        <f t="shared" si="115"/>
        <v>0.12480864845095105</v>
      </c>
      <c r="H179" s="3">
        <f t="shared" si="115"/>
        <v>0.12480864845095105</v>
      </c>
      <c r="I179" s="3">
        <f t="shared" si="115"/>
        <v>0.12480864845095105</v>
      </c>
      <c r="J179" s="3">
        <f t="shared" si="115"/>
        <v>0.12480864845095105</v>
      </c>
      <c r="K179" s="3">
        <f t="shared" si="115"/>
        <v>0.12480864845095105</v>
      </c>
      <c r="L179" s="3">
        <f t="shared" si="115"/>
        <v>0.12480864845095105</v>
      </c>
      <c r="M179" s="3">
        <f t="shared" si="115"/>
        <v>0.12480864845095105</v>
      </c>
      <c r="N179" s="3">
        <f t="shared" si="115"/>
        <v>0.12480864845095105</v>
      </c>
      <c r="O179" s="3">
        <f t="shared" si="115"/>
        <v>0.12480864845095105</v>
      </c>
      <c r="P179" s="3">
        <f t="shared" si="115"/>
        <v>0.12480864845095101</v>
      </c>
      <c r="Q179" s="3">
        <f t="shared" si="115"/>
        <v>0.1248086484509507</v>
      </c>
      <c r="R179" s="3">
        <f t="shared" si="115"/>
        <v>0.12480864845094752</v>
      </c>
      <c r="S179" s="3">
        <f t="shared" si="115"/>
        <v>0.12480864845091579</v>
      </c>
      <c r="T179" s="3">
        <f t="shared" si="115"/>
        <v>0.12480864845059846</v>
      </c>
      <c r="U179" s="3">
        <f t="shared" si="115"/>
        <v>0.12480864844742515</v>
      </c>
      <c r="V179" s="3">
        <f t="shared" si="115"/>
        <v>0.12480864841569202</v>
      </c>
      <c r="W179" s="3">
        <f t="shared" si="115"/>
        <v>0.12480864809836074</v>
      </c>
      <c r="X179" s="3">
        <f t="shared" si="115"/>
        <v>0.12480864492504797</v>
      </c>
      <c r="Y179" s="3">
        <f t="shared" si="115"/>
        <v>0.12480861319192468</v>
      </c>
      <c r="Z179" s="3">
        <f t="shared" si="115"/>
        <v>0.12480829586113562</v>
      </c>
      <c r="AA179" s="3">
        <f t="shared" si="115"/>
        <v>0.12480512259762018</v>
      </c>
      <c r="AB179" s="3">
        <f t="shared" si="115"/>
        <v>0.12477339439955727</v>
      </c>
      <c r="AC179" s="3">
        <f t="shared" si="115"/>
        <v>0.12445655571094956</v>
      </c>
      <c r="AD179" s="3">
        <f t="shared" si="115"/>
        <v>0.12133208382513941</v>
      </c>
      <c r="AE179" s="3">
        <f t="shared" si="115"/>
        <v>9.4092377544847408E-2</v>
      </c>
      <c r="AF179" s="3">
        <f t="shared" si="115"/>
        <v>7.4018844795318908E-3</v>
      </c>
      <c r="AG179" s="3"/>
      <c r="AH179" s="3"/>
    </row>
    <row r="180" spans="2:34" x14ac:dyDescent="0.25">
      <c r="B180" s="3">
        <f t="shared" ref="B180:AF180" si="116">$C27*EXP(-B$168/$A27/EXP(-$C$126))</f>
        <v>8.8034867704118849E-2</v>
      </c>
      <c r="C180" s="3">
        <f t="shared" si="116"/>
        <v>8.8034867704118849E-2</v>
      </c>
      <c r="D180" s="3">
        <f t="shared" si="116"/>
        <v>8.8034867704118849E-2</v>
      </c>
      <c r="E180" s="3">
        <f t="shared" si="116"/>
        <v>8.8034867704118849E-2</v>
      </c>
      <c r="F180" s="3">
        <f t="shared" si="116"/>
        <v>8.8034867704118849E-2</v>
      </c>
      <c r="G180" s="3">
        <f t="shared" si="116"/>
        <v>8.8034867704118849E-2</v>
      </c>
      <c r="H180" s="3">
        <f t="shared" si="116"/>
        <v>8.8034867704118849E-2</v>
      </c>
      <c r="I180" s="3">
        <f t="shared" si="116"/>
        <v>8.8034867704118849E-2</v>
      </c>
      <c r="J180" s="3">
        <f t="shared" si="116"/>
        <v>8.8034867704118849E-2</v>
      </c>
      <c r="K180" s="3">
        <f t="shared" si="116"/>
        <v>8.8034867704118849E-2</v>
      </c>
      <c r="L180" s="3">
        <f t="shared" si="116"/>
        <v>8.8034867704118849E-2</v>
      </c>
      <c r="M180" s="3">
        <f t="shared" si="116"/>
        <v>8.8034867704118849E-2</v>
      </c>
      <c r="N180" s="3">
        <f t="shared" si="116"/>
        <v>8.8034867704118849E-2</v>
      </c>
      <c r="O180" s="3">
        <f t="shared" si="116"/>
        <v>8.8034867704118849E-2</v>
      </c>
      <c r="P180" s="3">
        <f t="shared" si="116"/>
        <v>8.8034867704118849E-2</v>
      </c>
      <c r="Q180" s="3">
        <f t="shared" si="116"/>
        <v>8.8034867704118835E-2</v>
      </c>
      <c r="R180" s="3">
        <f t="shared" si="116"/>
        <v>8.8034867704118627E-2</v>
      </c>
      <c r="S180" s="3">
        <f t="shared" si="116"/>
        <v>8.8034867704116601E-2</v>
      </c>
      <c r="T180" s="3">
        <f t="shared" si="116"/>
        <v>8.8034867704096423E-2</v>
      </c>
      <c r="U180" s="3">
        <f t="shared" si="116"/>
        <v>8.8034867703894501E-2</v>
      </c>
      <c r="V180" s="3">
        <f t="shared" si="116"/>
        <v>8.8034867701875338E-2</v>
      </c>
      <c r="W180" s="3">
        <f t="shared" si="116"/>
        <v>8.8034867681683809E-2</v>
      </c>
      <c r="X180" s="3">
        <f t="shared" si="116"/>
        <v>8.8034867479768367E-2</v>
      </c>
      <c r="Y180" s="3">
        <f t="shared" si="116"/>
        <v>8.8034865460614078E-2</v>
      </c>
      <c r="Z180" s="3">
        <f t="shared" si="116"/>
        <v>8.803484526907368E-2</v>
      </c>
      <c r="AA180" s="3">
        <f t="shared" si="116"/>
        <v>8.8034643353924455E-2</v>
      </c>
      <c r="AB180" s="3">
        <f t="shared" si="116"/>
        <v>8.803262422790295E-2</v>
      </c>
      <c r="AC180" s="3">
        <f t="shared" si="116"/>
        <v>8.8012435514553677E-2</v>
      </c>
      <c r="AD180" s="3">
        <f t="shared" si="116"/>
        <v>8.7810802851632827E-2</v>
      </c>
      <c r="AE180" s="3">
        <f t="shared" si="116"/>
        <v>8.5819708647644613E-2</v>
      </c>
      <c r="AF180" s="3">
        <f t="shared" si="116"/>
        <v>6.8230399576333214E-2</v>
      </c>
      <c r="AG180" s="3"/>
      <c r="AH180" s="3"/>
    </row>
    <row r="181" spans="2:34" x14ac:dyDescent="0.25">
      <c r="B181" s="3">
        <f t="shared" ref="B181:AF181" si="117">$C28*EXP(-B$168/$A28/EXP(-$C$126))</f>
        <v>5.3040160566801761E-2</v>
      </c>
      <c r="C181" s="3">
        <f t="shared" si="117"/>
        <v>5.3040160566801761E-2</v>
      </c>
      <c r="D181" s="3">
        <f t="shared" si="117"/>
        <v>5.3040160566801761E-2</v>
      </c>
      <c r="E181" s="3">
        <f t="shared" si="117"/>
        <v>5.3040160566801761E-2</v>
      </c>
      <c r="F181" s="3">
        <f t="shared" si="117"/>
        <v>5.3040160566801761E-2</v>
      </c>
      <c r="G181" s="3">
        <f t="shared" si="117"/>
        <v>5.3040160566801761E-2</v>
      </c>
      <c r="H181" s="3">
        <f t="shared" si="117"/>
        <v>5.3040160566801761E-2</v>
      </c>
      <c r="I181" s="3">
        <f t="shared" si="117"/>
        <v>5.3040160566801761E-2</v>
      </c>
      <c r="J181" s="3">
        <f t="shared" si="117"/>
        <v>5.3040160566801761E-2</v>
      </c>
      <c r="K181" s="3">
        <f t="shared" si="117"/>
        <v>5.3040160566801761E-2</v>
      </c>
      <c r="L181" s="3">
        <f t="shared" si="117"/>
        <v>5.3040160566801761E-2</v>
      </c>
      <c r="M181" s="3">
        <f t="shared" si="117"/>
        <v>5.3040160566801761E-2</v>
      </c>
      <c r="N181" s="3">
        <f t="shared" si="117"/>
        <v>5.3040160566801761E-2</v>
      </c>
      <c r="O181" s="3">
        <f t="shared" si="117"/>
        <v>5.3040160566801761E-2</v>
      </c>
      <c r="P181" s="3">
        <f t="shared" si="117"/>
        <v>5.3040160566801761E-2</v>
      </c>
      <c r="Q181" s="3">
        <f t="shared" si="117"/>
        <v>5.3040160566801761E-2</v>
      </c>
      <c r="R181" s="3">
        <f t="shared" si="117"/>
        <v>5.3040160566801747E-2</v>
      </c>
      <c r="S181" s="3">
        <f t="shared" si="117"/>
        <v>5.3040160566801636E-2</v>
      </c>
      <c r="T181" s="3">
        <f t="shared" si="117"/>
        <v>5.304016056680054E-2</v>
      </c>
      <c r="U181" s="3">
        <f t="shared" si="117"/>
        <v>5.3040160566789563E-2</v>
      </c>
      <c r="V181" s="3">
        <f t="shared" si="117"/>
        <v>5.3040160566679824E-2</v>
      </c>
      <c r="W181" s="3">
        <f t="shared" si="117"/>
        <v>5.3040160565582424E-2</v>
      </c>
      <c r="X181" s="3">
        <f t="shared" si="117"/>
        <v>5.3040160554608397E-2</v>
      </c>
      <c r="Y181" s="3">
        <f t="shared" si="117"/>
        <v>5.3040160444868076E-2</v>
      </c>
      <c r="Z181" s="3">
        <f t="shared" si="117"/>
        <v>5.3040159347464901E-2</v>
      </c>
      <c r="AA181" s="3">
        <f t="shared" si="117"/>
        <v>5.304014837343439E-2</v>
      </c>
      <c r="AB181" s="3">
        <f t="shared" si="117"/>
        <v>5.3040038633254183E-2</v>
      </c>
      <c r="AC181" s="3">
        <f t="shared" si="117"/>
        <v>5.3038941243939958E-2</v>
      </c>
      <c r="AD181" s="3">
        <f t="shared" si="117"/>
        <v>5.3027968599483957E-2</v>
      </c>
      <c r="AE181" s="3">
        <f t="shared" si="117"/>
        <v>5.2918366928018511E-2</v>
      </c>
      <c r="AF181" s="3">
        <f t="shared" si="117"/>
        <v>5.1834732531392931E-2</v>
      </c>
      <c r="AG181" s="3"/>
      <c r="AH181" s="3"/>
    </row>
    <row r="182" spans="2:34" x14ac:dyDescent="0.25">
      <c r="B182" s="3">
        <f t="shared" ref="B182:AF182" si="118">$C29*EXP(-B$168/$A29/EXP(-$C$126))</f>
        <v>2.9418988584786216E-2</v>
      </c>
      <c r="C182" s="3">
        <f t="shared" si="118"/>
        <v>2.9418988584786216E-2</v>
      </c>
      <c r="D182" s="3">
        <f t="shared" si="118"/>
        <v>2.9418988584786216E-2</v>
      </c>
      <c r="E182" s="3">
        <f t="shared" si="118"/>
        <v>2.9418988584786216E-2</v>
      </c>
      <c r="F182" s="3">
        <f t="shared" si="118"/>
        <v>2.9418988584786216E-2</v>
      </c>
      <c r="G182" s="3">
        <f t="shared" si="118"/>
        <v>2.9418988584786216E-2</v>
      </c>
      <c r="H182" s="3">
        <f t="shared" si="118"/>
        <v>2.9418988584786216E-2</v>
      </c>
      <c r="I182" s="3">
        <f t="shared" si="118"/>
        <v>2.9418988584786216E-2</v>
      </c>
      <c r="J182" s="3">
        <f t="shared" si="118"/>
        <v>2.9418988584786216E-2</v>
      </c>
      <c r="K182" s="3">
        <f t="shared" si="118"/>
        <v>2.9418988584786216E-2</v>
      </c>
      <c r="L182" s="3">
        <f t="shared" si="118"/>
        <v>2.9418988584786216E-2</v>
      </c>
      <c r="M182" s="3">
        <f t="shared" si="118"/>
        <v>2.9418988584786216E-2</v>
      </c>
      <c r="N182" s="3">
        <f t="shared" si="118"/>
        <v>2.9418988584786216E-2</v>
      </c>
      <c r="O182" s="3">
        <f t="shared" si="118"/>
        <v>2.9418988584786216E-2</v>
      </c>
      <c r="P182" s="3">
        <f t="shared" si="118"/>
        <v>2.9418988584786216E-2</v>
      </c>
      <c r="Q182" s="3">
        <f t="shared" si="118"/>
        <v>2.9418988584786216E-2</v>
      </c>
      <c r="R182" s="3">
        <f t="shared" si="118"/>
        <v>2.9418988584786216E-2</v>
      </c>
      <c r="S182" s="3">
        <f t="shared" si="118"/>
        <v>2.9418988584786209E-2</v>
      </c>
      <c r="T182" s="3">
        <f t="shared" si="118"/>
        <v>2.9418988584786154E-2</v>
      </c>
      <c r="U182" s="3">
        <f t="shared" si="118"/>
        <v>2.9418988584785605E-2</v>
      </c>
      <c r="V182" s="3">
        <f t="shared" si="118"/>
        <v>2.9418988584780113E-2</v>
      </c>
      <c r="W182" s="3">
        <f t="shared" si="118"/>
        <v>2.9418988584725206E-2</v>
      </c>
      <c r="X182" s="3">
        <f t="shared" si="118"/>
        <v>2.9418988584176128E-2</v>
      </c>
      <c r="Y182" s="3">
        <f t="shared" si="118"/>
        <v>2.9418988578685325E-2</v>
      </c>
      <c r="Z182" s="3">
        <f t="shared" si="118"/>
        <v>2.9418988523777313E-2</v>
      </c>
      <c r="AA182" s="3">
        <f t="shared" si="118"/>
        <v>2.9418987974697206E-2</v>
      </c>
      <c r="AB182" s="3">
        <f t="shared" si="118"/>
        <v>2.9418982483896669E-2</v>
      </c>
      <c r="AC182" s="3">
        <f t="shared" si="118"/>
        <v>2.9418927575947711E-2</v>
      </c>
      <c r="AD182" s="3">
        <f t="shared" si="118"/>
        <v>2.9418378502094493E-2</v>
      </c>
      <c r="AE182" s="3">
        <f t="shared" si="118"/>
        <v>2.9412888327165012E-2</v>
      </c>
      <c r="AF182" s="3">
        <f t="shared" si="118"/>
        <v>2.9358042899238369E-2</v>
      </c>
      <c r="AG182" s="3"/>
      <c r="AH182" s="3"/>
    </row>
    <row r="183" spans="2:34" x14ac:dyDescent="0.25">
      <c r="B183" s="3">
        <f t="shared" ref="B183:AF183" si="119">$C30*EXP(-B$168/$A30/EXP(-$C$126))</f>
        <v>6.3753391533418529E-3</v>
      </c>
      <c r="C183" s="3">
        <f t="shared" si="119"/>
        <v>6.3753391533418529E-3</v>
      </c>
      <c r="D183" s="3">
        <f t="shared" si="119"/>
        <v>6.3753391533418529E-3</v>
      </c>
      <c r="E183" s="3">
        <f t="shared" si="119"/>
        <v>6.3753391533418529E-3</v>
      </c>
      <c r="F183" s="3">
        <f t="shared" si="119"/>
        <v>6.3753391533418529E-3</v>
      </c>
      <c r="G183" s="3">
        <f t="shared" si="119"/>
        <v>6.3753391533418529E-3</v>
      </c>
      <c r="H183" s="3">
        <f t="shared" si="119"/>
        <v>6.3753391533418529E-3</v>
      </c>
      <c r="I183" s="3">
        <f t="shared" si="119"/>
        <v>6.3753391533418529E-3</v>
      </c>
      <c r="J183" s="3">
        <f t="shared" si="119"/>
        <v>6.3753391533418529E-3</v>
      </c>
      <c r="K183" s="3">
        <f t="shared" si="119"/>
        <v>6.3753391533418529E-3</v>
      </c>
      <c r="L183" s="3">
        <f t="shared" si="119"/>
        <v>6.3753391533418529E-3</v>
      </c>
      <c r="M183" s="3">
        <f t="shared" si="119"/>
        <v>6.3753391533418529E-3</v>
      </c>
      <c r="N183" s="3">
        <f t="shared" si="119"/>
        <v>6.3753391533418529E-3</v>
      </c>
      <c r="O183" s="3">
        <f t="shared" si="119"/>
        <v>6.3753391533418529E-3</v>
      </c>
      <c r="P183" s="3">
        <f t="shared" si="119"/>
        <v>6.3753391533418529E-3</v>
      </c>
      <c r="Q183" s="3">
        <f t="shared" si="119"/>
        <v>6.3753391533418529E-3</v>
      </c>
      <c r="R183" s="3">
        <f t="shared" si="119"/>
        <v>6.3753391533418529E-3</v>
      </c>
      <c r="S183" s="3">
        <f t="shared" si="119"/>
        <v>6.3753391533418529E-3</v>
      </c>
      <c r="T183" s="3">
        <f t="shared" si="119"/>
        <v>6.3753391533418512E-3</v>
      </c>
      <c r="U183" s="3">
        <f t="shared" si="119"/>
        <v>6.3753391533418408E-3</v>
      </c>
      <c r="V183" s="3">
        <f t="shared" si="119"/>
        <v>6.3753391533417332E-3</v>
      </c>
      <c r="W183" s="3">
        <f t="shared" si="119"/>
        <v>6.3753391533406603E-3</v>
      </c>
      <c r="X183" s="3">
        <f t="shared" si="119"/>
        <v>6.3753391533299267E-3</v>
      </c>
      <c r="Y183" s="3">
        <f t="shared" si="119"/>
        <v>6.3753391532225872E-3</v>
      </c>
      <c r="Z183" s="3">
        <f t="shared" si="119"/>
        <v>6.3753391521491967E-3</v>
      </c>
      <c r="AA183" s="3">
        <f t="shared" si="119"/>
        <v>6.3753391414152882E-3</v>
      </c>
      <c r="AB183" s="3">
        <f t="shared" si="119"/>
        <v>6.3753390340762113E-3</v>
      </c>
      <c r="AC183" s="3">
        <f t="shared" si="119"/>
        <v>6.3753379606855355E-3</v>
      </c>
      <c r="AD183" s="3">
        <f t="shared" si="119"/>
        <v>6.3753272267887181E-3</v>
      </c>
      <c r="AE183" s="3">
        <f t="shared" si="119"/>
        <v>6.3752198888145069E-3</v>
      </c>
      <c r="AF183" s="3">
        <f t="shared" si="119"/>
        <v>6.37414660846295E-3</v>
      </c>
      <c r="AG183" s="3"/>
      <c r="AH183" s="3"/>
    </row>
    <row r="184" spans="2:34" x14ac:dyDescent="0.25">
      <c r="B184" s="3">
        <f t="shared" ref="B184:AF184" si="120">$C31*EXP(-B$168/$A31/EXP(-$C$126))</f>
        <v>3.2709514210797811E-3</v>
      </c>
      <c r="C184" s="3">
        <f t="shared" si="120"/>
        <v>3.2709514210797811E-3</v>
      </c>
      <c r="D184" s="3">
        <f t="shared" si="120"/>
        <v>3.2709514210797811E-3</v>
      </c>
      <c r="E184" s="3">
        <f t="shared" si="120"/>
        <v>3.2709514210797811E-3</v>
      </c>
      <c r="F184" s="3">
        <f t="shared" si="120"/>
        <v>3.2709514210797811E-3</v>
      </c>
      <c r="G184" s="3">
        <f t="shared" si="120"/>
        <v>3.2709514210797811E-3</v>
      </c>
      <c r="H184" s="3">
        <f t="shared" si="120"/>
        <v>3.2709514210797811E-3</v>
      </c>
      <c r="I184" s="3">
        <f t="shared" si="120"/>
        <v>3.2709514210797811E-3</v>
      </c>
      <c r="J184" s="3">
        <f t="shared" si="120"/>
        <v>3.2709514210797811E-3</v>
      </c>
      <c r="K184" s="3">
        <f t="shared" si="120"/>
        <v>3.2709514210797811E-3</v>
      </c>
      <c r="L184" s="3">
        <f t="shared" si="120"/>
        <v>3.2709514210797811E-3</v>
      </c>
      <c r="M184" s="3">
        <f t="shared" si="120"/>
        <v>3.2709514210797811E-3</v>
      </c>
      <c r="N184" s="3">
        <f t="shared" si="120"/>
        <v>3.2709514210797811E-3</v>
      </c>
      <c r="O184" s="3">
        <f t="shared" si="120"/>
        <v>3.2709514210797811E-3</v>
      </c>
      <c r="P184" s="3">
        <f t="shared" si="120"/>
        <v>3.2709514210797811E-3</v>
      </c>
      <c r="Q184" s="3">
        <f t="shared" si="120"/>
        <v>3.2709514210797811E-3</v>
      </c>
      <c r="R184" s="3">
        <f t="shared" si="120"/>
        <v>3.2709514210797811E-3</v>
      </c>
      <c r="S184" s="3">
        <f t="shared" si="120"/>
        <v>3.2709514210797811E-3</v>
      </c>
      <c r="T184" s="3">
        <f t="shared" si="120"/>
        <v>3.2709514210797811E-3</v>
      </c>
      <c r="U184" s="3">
        <f t="shared" si="120"/>
        <v>3.2709514210797802E-3</v>
      </c>
      <c r="V184" s="3">
        <f t="shared" si="120"/>
        <v>3.2709514210797755E-3</v>
      </c>
      <c r="W184" s="3">
        <f t="shared" si="120"/>
        <v>3.270951421079726E-3</v>
      </c>
      <c r="X184" s="3">
        <f t="shared" si="120"/>
        <v>3.270951421079229E-3</v>
      </c>
      <c r="Y184" s="3">
        <f t="shared" si="120"/>
        <v>3.2709514210742612E-3</v>
      </c>
      <c r="Z184" s="3">
        <f t="shared" si="120"/>
        <v>3.2709514210245818E-3</v>
      </c>
      <c r="AA184" s="3">
        <f t="shared" si="120"/>
        <v>3.270951420527789E-3</v>
      </c>
      <c r="AB184" s="3">
        <f t="shared" si="120"/>
        <v>3.2709514155598615E-3</v>
      </c>
      <c r="AC184" s="3">
        <f t="shared" si="120"/>
        <v>3.2709513658805865E-3</v>
      </c>
      <c r="AD184" s="3">
        <f t="shared" si="120"/>
        <v>3.2709508690878762E-3</v>
      </c>
      <c r="AE184" s="3">
        <f t="shared" si="120"/>
        <v>3.2709459011649217E-3</v>
      </c>
      <c r="AF184" s="3">
        <f t="shared" si="120"/>
        <v>3.2708962223503679E-3</v>
      </c>
      <c r="AG184" s="3"/>
      <c r="AH184" s="3"/>
    </row>
    <row r="185" spans="2:34" x14ac:dyDescent="0.25">
      <c r="B185" s="3">
        <f t="shared" ref="B185:AF185" si="121">$C32*EXP(-B$168/$A32/EXP(-$C$126))</f>
        <v>1.2755053961347703E-3</v>
      </c>
      <c r="C185" s="3">
        <f t="shared" si="121"/>
        <v>1.2755053961347703E-3</v>
      </c>
      <c r="D185" s="3">
        <f t="shared" si="121"/>
        <v>1.2755053961347703E-3</v>
      </c>
      <c r="E185" s="3">
        <f t="shared" si="121"/>
        <v>1.2755053961347703E-3</v>
      </c>
      <c r="F185" s="3">
        <f t="shared" si="121"/>
        <v>1.2755053961347703E-3</v>
      </c>
      <c r="G185" s="3">
        <f t="shared" si="121"/>
        <v>1.2755053961347703E-3</v>
      </c>
      <c r="H185" s="3">
        <f t="shared" si="121"/>
        <v>1.2755053961347703E-3</v>
      </c>
      <c r="I185" s="3">
        <f t="shared" si="121"/>
        <v>1.2755053961347703E-3</v>
      </c>
      <c r="J185" s="3">
        <f t="shared" si="121"/>
        <v>1.2755053961347703E-3</v>
      </c>
      <c r="K185" s="3">
        <f t="shared" si="121"/>
        <v>1.2755053961347703E-3</v>
      </c>
      <c r="L185" s="3">
        <f t="shared" si="121"/>
        <v>1.2755053961347703E-3</v>
      </c>
      <c r="M185" s="3">
        <f t="shared" si="121"/>
        <v>1.2755053961347703E-3</v>
      </c>
      <c r="N185" s="3">
        <f t="shared" si="121"/>
        <v>1.2755053961347703E-3</v>
      </c>
      <c r="O185" s="3">
        <f t="shared" si="121"/>
        <v>1.2755053961347703E-3</v>
      </c>
      <c r="P185" s="3">
        <f t="shared" si="121"/>
        <v>1.2755053961347703E-3</v>
      </c>
      <c r="Q185" s="3">
        <f t="shared" si="121"/>
        <v>1.2755053961347703E-3</v>
      </c>
      <c r="R185" s="3">
        <f t="shared" si="121"/>
        <v>1.2755053961347703E-3</v>
      </c>
      <c r="S185" s="3">
        <f t="shared" si="121"/>
        <v>1.2755053961347703E-3</v>
      </c>
      <c r="T185" s="3">
        <f t="shared" si="121"/>
        <v>1.2755053961347703E-3</v>
      </c>
      <c r="U185" s="3">
        <f t="shared" si="121"/>
        <v>1.2755053961347703E-3</v>
      </c>
      <c r="V185" s="3">
        <f t="shared" si="121"/>
        <v>1.2755053961347701E-3</v>
      </c>
      <c r="W185" s="3">
        <f t="shared" si="121"/>
        <v>1.2755053961347683E-3</v>
      </c>
      <c r="X185" s="3">
        <f t="shared" si="121"/>
        <v>1.275505396134751E-3</v>
      </c>
      <c r="Y185" s="3">
        <f t="shared" si="121"/>
        <v>1.2755053961345762E-3</v>
      </c>
      <c r="Z185" s="3">
        <f t="shared" si="121"/>
        <v>1.2755053961328285E-3</v>
      </c>
      <c r="AA185" s="3">
        <f t="shared" si="121"/>
        <v>1.2755053961153531E-3</v>
      </c>
      <c r="AB185" s="3">
        <f t="shared" si="121"/>
        <v>1.2755053959405979E-3</v>
      </c>
      <c r="AC185" s="3">
        <f t="shared" si="121"/>
        <v>1.2755053941930462E-3</v>
      </c>
      <c r="AD185" s="3">
        <f t="shared" si="121"/>
        <v>1.2755053767175286E-3</v>
      </c>
      <c r="AE185" s="3">
        <f t="shared" si="121"/>
        <v>1.2755052019623654E-3</v>
      </c>
      <c r="AF185" s="3">
        <f t="shared" si="121"/>
        <v>1.2755034544120517E-3</v>
      </c>
      <c r="AG185" s="3"/>
      <c r="AH185" s="3"/>
    </row>
    <row r="186" spans="2:34" x14ac:dyDescent="0.25">
      <c r="B186" s="3">
        <f t="shared" ref="B186:AF186" si="122">$C33*EXP(-B$168/$A33/EXP(-$C$126))</f>
        <v>0</v>
      </c>
      <c r="C186" s="3">
        <f t="shared" si="122"/>
        <v>0</v>
      </c>
      <c r="D186" s="3">
        <f t="shared" si="122"/>
        <v>0</v>
      </c>
      <c r="E186" s="3">
        <f t="shared" si="122"/>
        <v>0</v>
      </c>
      <c r="F186" s="3">
        <f t="shared" si="122"/>
        <v>0</v>
      </c>
      <c r="G186" s="3">
        <f t="shared" si="122"/>
        <v>0</v>
      </c>
      <c r="H186" s="3">
        <f t="shared" si="122"/>
        <v>0</v>
      </c>
      <c r="I186" s="3">
        <f t="shared" si="122"/>
        <v>0</v>
      </c>
      <c r="J186" s="3">
        <f t="shared" si="122"/>
        <v>0</v>
      </c>
      <c r="K186" s="3">
        <f t="shared" si="122"/>
        <v>0</v>
      </c>
      <c r="L186" s="3">
        <f t="shared" si="122"/>
        <v>0</v>
      </c>
      <c r="M186" s="3">
        <f t="shared" si="122"/>
        <v>0</v>
      </c>
      <c r="N186" s="3">
        <f t="shared" si="122"/>
        <v>0</v>
      </c>
      <c r="O186" s="3">
        <f t="shared" si="122"/>
        <v>0</v>
      </c>
      <c r="P186" s="3">
        <f t="shared" si="122"/>
        <v>0</v>
      </c>
      <c r="Q186" s="3">
        <f t="shared" si="122"/>
        <v>0</v>
      </c>
      <c r="R186" s="3">
        <f t="shared" si="122"/>
        <v>0</v>
      </c>
      <c r="S186" s="3">
        <f t="shared" si="122"/>
        <v>0</v>
      </c>
      <c r="T186" s="3">
        <f t="shared" si="122"/>
        <v>0</v>
      </c>
      <c r="U186" s="3">
        <f t="shared" si="122"/>
        <v>0</v>
      </c>
      <c r="V186" s="3">
        <f t="shared" si="122"/>
        <v>0</v>
      </c>
      <c r="W186" s="3">
        <f t="shared" si="122"/>
        <v>0</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1.0163894385292978E-5</v>
      </c>
      <c r="C187" s="3">
        <f t="shared" si="123"/>
        <v>1.0163894385292978E-5</v>
      </c>
      <c r="D187" s="3">
        <f t="shared" si="123"/>
        <v>1.0163894385292978E-5</v>
      </c>
      <c r="E187" s="3">
        <f t="shared" si="123"/>
        <v>1.0163894385292978E-5</v>
      </c>
      <c r="F187" s="3">
        <f t="shared" si="123"/>
        <v>1.0163894385292978E-5</v>
      </c>
      <c r="G187" s="3">
        <f t="shared" si="123"/>
        <v>1.0163894385292978E-5</v>
      </c>
      <c r="H187" s="3">
        <f t="shared" si="123"/>
        <v>1.0163894385292978E-5</v>
      </c>
      <c r="I187" s="3">
        <f t="shared" si="123"/>
        <v>1.0163894385292978E-5</v>
      </c>
      <c r="J187" s="3">
        <f t="shared" si="123"/>
        <v>1.0163894385292978E-5</v>
      </c>
      <c r="K187" s="3">
        <f t="shared" si="123"/>
        <v>1.0163894385292978E-5</v>
      </c>
      <c r="L187" s="3">
        <f t="shared" si="123"/>
        <v>1.0163894385292978E-5</v>
      </c>
      <c r="M187" s="3">
        <f t="shared" si="123"/>
        <v>1.0163894385292978E-5</v>
      </c>
      <c r="N187" s="3">
        <f t="shared" si="123"/>
        <v>1.0163894385292978E-5</v>
      </c>
      <c r="O187" s="3">
        <f t="shared" si="123"/>
        <v>1.0163894385292978E-5</v>
      </c>
      <c r="P187" s="3">
        <f t="shared" si="123"/>
        <v>1.0163894385292978E-5</v>
      </c>
      <c r="Q187" s="3">
        <f t="shared" si="123"/>
        <v>1.0163894385292978E-5</v>
      </c>
      <c r="R187" s="3">
        <f t="shared" si="123"/>
        <v>1.0163894385292978E-5</v>
      </c>
      <c r="S187" s="3">
        <f t="shared" si="123"/>
        <v>1.0163894385292978E-5</v>
      </c>
      <c r="T187" s="3">
        <f t="shared" si="123"/>
        <v>1.0163894385292978E-5</v>
      </c>
      <c r="U187" s="3">
        <f t="shared" si="123"/>
        <v>1.0163894385292978E-5</v>
      </c>
      <c r="V187" s="3">
        <f t="shared" si="123"/>
        <v>1.0163894385292978E-5</v>
      </c>
      <c r="W187" s="3">
        <f t="shared" si="123"/>
        <v>1.0163894385292978E-5</v>
      </c>
      <c r="X187" s="3">
        <f t="shared" si="123"/>
        <v>1.0163894385292976E-5</v>
      </c>
      <c r="Y187" s="3">
        <f t="shared" si="123"/>
        <v>1.0163894385292966E-5</v>
      </c>
      <c r="Z187" s="3">
        <f t="shared" si="123"/>
        <v>1.0163894385292851E-5</v>
      </c>
      <c r="AA187" s="3">
        <f t="shared" si="123"/>
        <v>1.0163894385291719E-5</v>
      </c>
      <c r="AB187" s="3">
        <f t="shared" si="123"/>
        <v>1.0163894385280388E-5</v>
      </c>
      <c r="AC187" s="3">
        <f t="shared" si="123"/>
        <v>1.0163894385167068E-5</v>
      </c>
      <c r="AD187" s="3">
        <f t="shared" si="123"/>
        <v>1.0163894384033882E-5</v>
      </c>
      <c r="AE187" s="3">
        <f t="shared" si="123"/>
        <v>1.0163894372702027E-5</v>
      </c>
      <c r="AF187" s="3">
        <f t="shared" si="123"/>
        <v>1.016389425938346E-5</v>
      </c>
      <c r="AG187" s="3"/>
      <c r="AH187" s="3"/>
    </row>
    <row r="188" spans="2:34" x14ac:dyDescent="0.25">
      <c r="B188" s="3">
        <f t="shared" ref="B188:AF188" si="124">$C35*EXP(-B$168/$A35/EXP(-$C$126))</f>
        <v>2.5019775067814324E-5</v>
      </c>
      <c r="C188" s="3">
        <f t="shared" si="124"/>
        <v>2.5019775067814324E-5</v>
      </c>
      <c r="D188" s="3">
        <f t="shared" si="124"/>
        <v>2.5019775067814324E-5</v>
      </c>
      <c r="E188" s="3">
        <f t="shared" si="124"/>
        <v>2.5019775067814324E-5</v>
      </c>
      <c r="F188" s="3">
        <f t="shared" si="124"/>
        <v>2.5019775067814324E-5</v>
      </c>
      <c r="G188" s="3">
        <f t="shared" si="124"/>
        <v>2.5019775067814324E-5</v>
      </c>
      <c r="H188" s="3">
        <f t="shared" si="124"/>
        <v>2.5019775067814324E-5</v>
      </c>
      <c r="I188" s="3">
        <f t="shared" si="124"/>
        <v>2.5019775067814324E-5</v>
      </c>
      <c r="J188" s="3">
        <f t="shared" si="124"/>
        <v>2.5019775067814324E-5</v>
      </c>
      <c r="K188" s="3">
        <f t="shared" si="124"/>
        <v>2.5019775067814324E-5</v>
      </c>
      <c r="L188" s="3">
        <f t="shared" si="124"/>
        <v>2.5019775067814324E-5</v>
      </c>
      <c r="M188" s="3">
        <f t="shared" si="124"/>
        <v>2.5019775067814324E-5</v>
      </c>
      <c r="N188" s="3">
        <f t="shared" si="124"/>
        <v>2.5019775067814324E-5</v>
      </c>
      <c r="O188" s="3">
        <f t="shared" si="124"/>
        <v>2.5019775067814324E-5</v>
      </c>
      <c r="P188" s="3">
        <f t="shared" si="124"/>
        <v>2.5019775067814324E-5</v>
      </c>
      <c r="Q188" s="3">
        <f t="shared" si="124"/>
        <v>2.5019775067814324E-5</v>
      </c>
      <c r="R188" s="3">
        <f t="shared" si="124"/>
        <v>2.5019775067814324E-5</v>
      </c>
      <c r="S188" s="3">
        <f t="shared" si="124"/>
        <v>2.5019775067814324E-5</v>
      </c>
      <c r="T188" s="3">
        <f t="shared" si="124"/>
        <v>2.5019775067814324E-5</v>
      </c>
      <c r="U188" s="3">
        <f t="shared" si="124"/>
        <v>2.5019775067814324E-5</v>
      </c>
      <c r="V188" s="3">
        <f t="shared" si="124"/>
        <v>2.5019775067814324E-5</v>
      </c>
      <c r="W188" s="3">
        <f t="shared" si="124"/>
        <v>2.5019775067814324E-5</v>
      </c>
      <c r="X188" s="3">
        <f t="shared" si="124"/>
        <v>2.5019775067814324E-5</v>
      </c>
      <c r="Y188" s="3">
        <f t="shared" si="124"/>
        <v>2.5019775067814321E-5</v>
      </c>
      <c r="Z188" s="3">
        <f t="shared" si="124"/>
        <v>2.5019775067814297E-5</v>
      </c>
      <c r="AA188" s="3">
        <f t="shared" si="124"/>
        <v>2.5019775067814043E-5</v>
      </c>
      <c r="AB188" s="3">
        <f t="shared" si="124"/>
        <v>2.5019775067811525E-5</v>
      </c>
      <c r="AC188" s="3">
        <f t="shared" si="124"/>
        <v>2.5019775067786365E-5</v>
      </c>
      <c r="AD188" s="3">
        <f t="shared" si="124"/>
        <v>2.5019775067534729E-5</v>
      </c>
      <c r="AE188" s="3">
        <f t="shared" si="124"/>
        <v>2.501977506501838E-5</v>
      </c>
      <c r="AF188" s="3">
        <f t="shared" si="124"/>
        <v>2.5019775039854888E-5</v>
      </c>
      <c r="AG188" s="3"/>
      <c r="AH188" s="3"/>
    </row>
    <row r="189" spans="2:34" x14ac:dyDescent="0.25">
      <c r="B189" s="3">
        <f t="shared" ref="B189:AF189" si="125">$C36*EXP(-B$168/$A36/EXP(-$C$126))</f>
        <v>2.3706614690246962E-5</v>
      </c>
      <c r="C189" s="3">
        <f t="shared" si="125"/>
        <v>2.3706614690246962E-5</v>
      </c>
      <c r="D189" s="3">
        <f t="shared" si="125"/>
        <v>2.3706614690246962E-5</v>
      </c>
      <c r="E189" s="3">
        <f t="shared" si="125"/>
        <v>2.3706614690246962E-5</v>
      </c>
      <c r="F189" s="3">
        <f t="shared" si="125"/>
        <v>2.3706614690246962E-5</v>
      </c>
      <c r="G189" s="3">
        <f t="shared" si="125"/>
        <v>2.3706614690246962E-5</v>
      </c>
      <c r="H189" s="3">
        <f t="shared" si="125"/>
        <v>2.3706614690246962E-5</v>
      </c>
      <c r="I189" s="3">
        <f t="shared" si="125"/>
        <v>2.3706614690246962E-5</v>
      </c>
      <c r="J189" s="3">
        <f t="shared" si="125"/>
        <v>2.3706614690246962E-5</v>
      </c>
      <c r="K189" s="3">
        <f t="shared" si="125"/>
        <v>2.3706614690246962E-5</v>
      </c>
      <c r="L189" s="3">
        <f t="shared" si="125"/>
        <v>2.3706614690246962E-5</v>
      </c>
      <c r="M189" s="3">
        <f t="shared" si="125"/>
        <v>2.3706614690246962E-5</v>
      </c>
      <c r="N189" s="3">
        <f t="shared" si="125"/>
        <v>2.3706614690246962E-5</v>
      </c>
      <c r="O189" s="3">
        <f t="shared" si="125"/>
        <v>2.3706614690246962E-5</v>
      </c>
      <c r="P189" s="3">
        <f t="shared" si="125"/>
        <v>2.3706614690246962E-5</v>
      </c>
      <c r="Q189" s="3">
        <f t="shared" si="125"/>
        <v>2.3706614690246962E-5</v>
      </c>
      <c r="R189" s="3">
        <f t="shared" si="125"/>
        <v>2.3706614690246962E-5</v>
      </c>
      <c r="S189" s="3">
        <f t="shared" si="125"/>
        <v>2.3706614690246962E-5</v>
      </c>
      <c r="T189" s="3">
        <f t="shared" si="125"/>
        <v>2.3706614690246962E-5</v>
      </c>
      <c r="U189" s="3">
        <f t="shared" si="125"/>
        <v>2.3706614690246962E-5</v>
      </c>
      <c r="V189" s="3">
        <f t="shared" si="125"/>
        <v>2.3706614690246962E-5</v>
      </c>
      <c r="W189" s="3">
        <f t="shared" si="125"/>
        <v>2.3706614690246962E-5</v>
      </c>
      <c r="X189" s="3">
        <f t="shared" si="125"/>
        <v>2.3706614690246962E-5</v>
      </c>
      <c r="Y189" s="3">
        <f t="shared" si="125"/>
        <v>2.3706614690246962E-5</v>
      </c>
      <c r="Z189" s="3">
        <f t="shared" si="125"/>
        <v>2.3706614690246958E-5</v>
      </c>
      <c r="AA189" s="3">
        <f t="shared" si="125"/>
        <v>2.3706614690246938E-5</v>
      </c>
      <c r="AB189" s="3">
        <f t="shared" si="125"/>
        <v>2.3706614690246721E-5</v>
      </c>
      <c r="AC189" s="3">
        <f t="shared" si="125"/>
        <v>2.3706614690244573E-5</v>
      </c>
      <c r="AD189" s="3">
        <f t="shared" si="125"/>
        <v>2.3706614690223062E-5</v>
      </c>
      <c r="AE189" s="3">
        <f t="shared" si="125"/>
        <v>2.3706614690007983E-5</v>
      </c>
      <c r="AF189" s="3">
        <f t="shared" si="125"/>
        <v>2.3706614687857163E-5</v>
      </c>
      <c r="AG189" s="3"/>
      <c r="AH189" s="3"/>
    </row>
    <row r="190" spans="2:34" x14ac:dyDescent="0.25">
      <c r="B190" s="3">
        <f t="shared" ref="B190:AF190" si="126">$C37*EXP(-B$168/$A37/EXP(-$C$126))</f>
        <v>3.9478614411466939E-5</v>
      </c>
      <c r="C190" s="3">
        <f t="shared" si="126"/>
        <v>3.9478614411466939E-5</v>
      </c>
      <c r="D190" s="3">
        <f t="shared" si="126"/>
        <v>3.9478614411466939E-5</v>
      </c>
      <c r="E190" s="3">
        <f t="shared" si="126"/>
        <v>3.9478614411466939E-5</v>
      </c>
      <c r="F190" s="3">
        <f t="shared" si="126"/>
        <v>3.9478614411466939E-5</v>
      </c>
      <c r="G190" s="3">
        <f t="shared" si="126"/>
        <v>3.9478614411466939E-5</v>
      </c>
      <c r="H190" s="3">
        <f t="shared" si="126"/>
        <v>3.9478614411466939E-5</v>
      </c>
      <c r="I190" s="3">
        <f t="shared" si="126"/>
        <v>3.9478614411466939E-5</v>
      </c>
      <c r="J190" s="3">
        <f t="shared" si="126"/>
        <v>3.9478614411466939E-5</v>
      </c>
      <c r="K190" s="3">
        <f t="shared" si="126"/>
        <v>3.9478614411466939E-5</v>
      </c>
      <c r="L190" s="3">
        <f t="shared" si="126"/>
        <v>3.9478614411466939E-5</v>
      </c>
      <c r="M190" s="3">
        <f t="shared" si="126"/>
        <v>3.9478614411466939E-5</v>
      </c>
      <c r="N190" s="3">
        <f t="shared" si="126"/>
        <v>3.9478614411466939E-5</v>
      </c>
      <c r="O190" s="3">
        <f t="shared" si="126"/>
        <v>3.9478614411466939E-5</v>
      </c>
      <c r="P190" s="3">
        <f t="shared" si="126"/>
        <v>3.9478614411466939E-5</v>
      </c>
      <c r="Q190" s="3">
        <f t="shared" si="126"/>
        <v>3.9478614411466939E-5</v>
      </c>
      <c r="R190" s="3">
        <f t="shared" si="126"/>
        <v>3.9478614411466939E-5</v>
      </c>
      <c r="S190" s="3">
        <f t="shared" si="126"/>
        <v>3.9478614411466939E-5</v>
      </c>
      <c r="T190" s="3">
        <f t="shared" si="126"/>
        <v>3.9478614411466939E-5</v>
      </c>
      <c r="U190" s="3">
        <f t="shared" si="126"/>
        <v>3.9478614411466939E-5</v>
      </c>
      <c r="V190" s="3">
        <f t="shared" si="126"/>
        <v>3.9478614411466939E-5</v>
      </c>
      <c r="W190" s="3">
        <f t="shared" si="126"/>
        <v>3.9478614411466939E-5</v>
      </c>
      <c r="X190" s="3">
        <f t="shared" si="126"/>
        <v>3.9478614411466939E-5</v>
      </c>
      <c r="Y190" s="3">
        <f t="shared" si="126"/>
        <v>3.9478614411466939E-5</v>
      </c>
      <c r="Z190" s="3">
        <f t="shared" si="126"/>
        <v>3.9478614411466939E-5</v>
      </c>
      <c r="AA190" s="3">
        <f t="shared" si="126"/>
        <v>3.9478614411466932E-5</v>
      </c>
      <c r="AB190" s="3">
        <f t="shared" si="126"/>
        <v>3.9478614411466905E-5</v>
      </c>
      <c r="AC190" s="3">
        <f t="shared" si="126"/>
        <v>3.947861441146658E-5</v>
      </c>
      <c r="AD190" s="3">
        <f t="shared" si="126"/>
        <v>3.9478614411463347E-5</v>
      </c>
      <c r="AE190" s="3">
        <f t="shared" si="126"/>
        <v>3.9478614411431038E-5</v>
      </c>
      <c r="AF190" s="3">
        <f t="shared" si="126"/>
        <v>3.9478614411107932E-5</v>
      </c>
      <c r="AG190" s="3"/>
      <c r="AH190" s="3"/>
    </row>
    <row r="191" spans="2:34" x14ac:dyDescent="0.25">
      <c r="B191" s="3">
        <f t="shared" ref="B191:AF191" si="127">$C38*EXP(-B$168/$A38/EXP(-$C$126))</f>
        <v>0</v>
      </c>
      <c r="C191" s="3">
        <f t="shared" si="127"/>
        <v>0</v>
      </c>
      <c r="D191" s="3">
        <f t="shared" si="127"/>
        <v>0</v>
      </c>
      <c r="E191" s="3">
        <f t="shared" si="127"/>
        <v>0</v>
      </c>
      <c r="F191" s="3">
        <f t="shared" si="127"/>
        <v>0</v>
      </c>
      <c r="G191" s="3">
        <f t="shared" si="127"/>
        <v>0</v>
      </c>
      <c r="H191" s="3">
        <f t="shared" si="127"/>
        <v>0</v>
      </c>
      <c r="I191" s="3">
        <f t="shared" si="127"/>
        <v>0</v>
      </c>
      <c r="J191" s="3">
        <f t="shared" si="127"/>
        <v>0</v>
      </c>
      <c r="K191" s="3">
        <f t="shared" si="127"/>
        <v>0</v>
      </c>
      <c r="L191" s="3">
        <f t="shared" si="127"/>
        <v>0</v>
      </c>
      <c r="M191" s="3">
        <f t="shared" si="127"/>
        <v>0</v>
      </c>
      <c r="N191" s="3">
        <f t="shared" si="127"/>
        <v>0</v>
      </c>
      <c r="O191" s="3">
        <f t="shared" si="127"/>
        <v>0</v>
      </c>
      <c r="P191" s="3">
        <f t="shared" si="127"/>
        <v>0</v>
      </c>
      <c r="Q191" s="3">
        <f t="shared" si="127"/>
        <v>0</v>
      </c>
      <c r="R191" s="3">
        <f t="shared" si="127"/>
        <v>0</v>
      </c>
      <c r="S191" s="3">
        <f t="shared" si="127"/>
        <v>0</v>
      </c>
      <c r="T191" s="3">
        <f t="shared" si="127"/>
        <v>0</v>
      </c>
      <c r="U191" s="3">
        <f t="shared" si="127"/>
        <v>0</v>
      </c>
      <c r="V191" s="3">
        <f t="shared" si="127"/>
        <v>0</v>
      </c>
      <c r="W191" s="3">
        <f t="shared" si="127"/>
        <v>0</v>
      </c>
      <c r="X191" s="3">
        <f t="shared" si="127"/>
        <v>0</v>
      </c>
      <c r="Y191" s="3">
        <f t="shared" si="127"/>
        <v>0</v>
      </c>
      <c r="Z191" s="3">
        <f t="shared" si="127"/>
        <v>0</v>
      </c>
      <c r="AA191" s="3">
        <f t="shared" si="127"/>
        <v>0</v>
      </c>
      <c r="AB191" s="3">
        <f t="shared" si="127"/>
        <v>0</v>
      </c>
      <c r="AC191" s="3">
        <f t="shared" si="127"/>
        <v>0</v>
      </c>
      <c r="AD191" s="3">
        <f t="shared" si="127"/>
        <v>0</v>
      </c>
      <c r="AE191" s="3">
        <f t="shared" si="127"/>
        <v>0</v>
      </c>
      <c r="AF191" s="3">
        <f t="shared" si="127"/>
        <v>0</v>
      </c>
      <c r="AG191" s="3"/>
      <c r="AH191" s="3"/>
    </row>
    <row r="192" spans="2:34" x14ac:dyDescent="0.25">
      <c r="B192" s="3">
        <f t="shared" ref="B192:AF192" si="128">$C39*EXP(-B$168/$A39/EXP(-$C$126))</f>
        <v>6.5441532530599776E-5</v>
      </c>
      <c r="C192" s="3">
        <f t="shared" si="128"/>
        <v>6.5441532530599776E-5</v>
      </c>
      <c r="D192" s="3">
        <f t="shared" si="128"/>
        <v>6.5441532530599776E-5</v>
      </c>
      <c r="E192" s="3">
        <f t="shared" si="128"/>
        <v>6.5441532530599776E-5</v>
      </c>
      <c r="F192" s="3">
        <f t="shared" si="128"/>
        <v>6.5441532530599776E-5</v>
      </c>
      <c r="G192" s="3">
        <f t="shared" si="128"/>
        <v>6.5441532530599776E-5</v>
      </c>
      <c r="H192" s="3">
        <f t="shared" si="128"/>
        <v>6.5441532530599776E-5</v>
      </c>
      <c r="I192" s="3">
        <f t="shared" si="128"/>
        <v>6.5441532530599776E-5</v>
      </c>
      <c r="J192" s="3">
        <f t="shared" si="128"/>
        <v>6.5441532530599776E-5</v>
      </c>
      <c r="K192" s="3">
        <f t="shared" si="128"/>
        <v>6.5441532530599776E-5</v>
      </c>
      <c r="L192" s="3">
        <f t="shared" si="128"/>
        <v>6.5441532530599776E-5</v>
      </c>
      <c r="M192" s="3">
        <f t="shared" si="128"/>
        <v>6.5441532530599776E-5</v>
      </c>
      <c r="N192" s="3">
        <f t="shared" si="128"/>
        <v>6.5441532530599776E-5</v>
      </c>
      <c r="O192" s="3">
        <f t="shared" si="128"/>
        <v>6.5441532530599776E-5</v>
      </c>
      <c r="P192" s="3">
        <f t="shared" si="128"/>
        <v>6.5441532530599776E-5</v>
      </c>
      <c r="Q192" s="3">
        <f t="shared" si="128"/>
        <v>6.5441532530599776E-5</v>
      </c>
      <c r="R192" s="3">
        <f t="shared" si="128"/>
        <v>6.5441532530599776E-5</v>
      </c>
      <c r="S192" s="3">
        <f t="shared" si="128"/>
        <v>6.5441532530599776E-5</v>
      </c>
      <c r="T192" s="3">
        <f t="shared" si="128"/>
        <v>6.5441532530599776E-5</v>
      </c>
      <c r="U192" s="3">
        <f t="shared" si="128"/>
        <v>6.5441532530599776E-5</v>
      </c>
      <c r="V192" s="3">
        <f t="shared" si="128"/>
        <v>6.5441532530599776E-5</v>
      </c>
      <c r="W192" s="3">
        <f t="shared" si="128"/>
        <v>6.5441532530599776E-5</v>
      </c>
      <c r="X192" s="3">
        <f t="shared" si="128"/>
        <v>6.5441532530599776E-5</v>
      </c>
      <c r="Y192" s="3">
        <f t="shared" si="128"/>
        <v>6.5441532530599776E-5</v>
      </c>
      <c r="Z192" s="3">
        <f t="shared" si="128"/>
        <v>6.5441532530599776E-5</v>
      </c>
      <c r="AA192" s="3">
        <f t="shared" si="128"/>
        <v>6.5441532530599776E-5</v>
      </c>
      <c r="AB192" s="3">
        <f t="shared" si="128"/>
        <v>6.5441532530599776E-5</v>
      </c>
      <c r="AC192" s="3">
        <f t="shared" si="128"/>
        <v>6.5441532530599762E-5</v>
      </c>
      <c r="AD192" s="3">
        <f t="shared" si="128"/>
        <v>6.5441532530599627E-5</v>
      </c>
      <c r="AE192" s="3">
        <f t="shared" si="128"/>
        <v>6.5441532530598299E-5</v>
      </c>
      <c r="AF192" s="3">
        <f t="shared" si="128"/>
        <v>6.5441532530584922E-5</v>
      </c>
      <c r="AG192" s="3"/>
      <c r="AH192" s="3"/>
    </row>
    <row r="193" spans="1:34" x14ac:dyDescent="0.25">
      <c r="B193" s="3">
        <f t="shared" ref="B193:AF193" si="129">$C40*EXP(-B$168/$A40/EXP(-$C$126))</f>
        <v>9.072554140189839E-6</v>
      </c>
      <c r="C193" s="3">
        <f t="shared" si="129"/>
        <v>9.072554140189839E-6</v>
      </c>
      <c r="D193" s="3">
        <f t="shared" si="129"/>
        <v>9.072554140189839E-6</v>
      </c>
      <c r="E193" s="3">
        <f t="shared" si="129"/>
        <v>9.072554140189839E-6</v>
      </c>
      <c r="F193" s="3">
        <f t="shared" si="129"/>
        <v>9.072554140189839E-6</v>
      </c>
      <c r="G193" s="3">
        <f t="shared" si="129"/>
        <v>9.072554140189839E-6</v>
      </c>
      <c r="H193" s="3">
        <f t="shared" si="129"/>
        <v>9.072554140189839E-6</v>
      </c>
      <c r="I193" s="3">
        <f t="shared" si="129"/>
        <v>9.072554140189839E-6</v>
      </c>
      <c r="J193" s="3">
        <f t="shared" si="129"/>
        <v>9.072554140189839E-6</v>
      </c>
      <c r="K193" s="3">
        <f t="shared" si="129"/>
        <v>9.072554140189839E-6</v>
      </c>
      <c r="L193" s="3">
        <f t="shared" si="129"/>
        <v>9.072554140189839E-6</v>
      </c>
      <c r="M193" s="3">
        <f t="shared" si="129"/>
        <v>9.072554140189839E-6</v>
      </c>
      <c r="N193" s="3">
        <f t="shared" si="129"/>
        <v>9.072554140189839E-6</v>
      </c>
      <c r="O193" s="3">
        <f t="shared" si="129"/>
        <v>9.072554140189839E-6</v>
      </c>
      <c r="P193" s="3">
        <f t="shared" si="129"/>
        <v>9.072554140189839E-6</v>
      </c>
      <c r="Q193" s="3">
        <f t="shared" si="129"/>
        <v>9.072554140189839E-6</v>
      </c>
      <c r="R193" s="3">
        <f t="shared" si="129"/>
        <v>9.072554140189839E-6</v>
      </c>
      <c r="S193" s="3">
        <f t="shared" si="129"/>
        <v>9.072554140189839E-6</v>
      </c>
      <c r="T193" s="3">
        <f t="shared" si="129"/>
        <v>9.072554140189839E-6</v>
      </c>
      <c r="U193" s="3">
        <f t="shared" si="129"/>
        <v>9.072554140189839E-6</v>
      </c>
      <c r="V193" s="3">
        <f t="shared" si="129"/>
        <v>9.072554140189839E-6</v>
      </c>
      <c r="W193" s="3">
        <f t="shared" si="129"/>
        <v>9.072554140189839E-6</v>
      </c>
      <c r="X193" s="3">
        <f t="shared" si="129"/>
        <v>9.072554140189839E-6</v>
      </c>
      <c r="Y193" s="3">
        <f t="shared" si="129"/>
        <v>9.072554140189839E-6</v>
      </c>
      <c r="Z193" s="3">
        <f t="shared" si="129"/>
        <v>9.072554140189839E-6</v>
      </c>
      <c r="AA193" s="3">
        <f t="shared" si="129"/>
        <v>9.072554140189839E-6</v>
      </c>
      <c r="AB193" s="3">
        <f t="shared" si="129"/>
        <v>9.072554140189839E-6</v>
      </c>
      <c r="AC193" s="3">
        <f t="shared" si="129"/>
        <v>9.072554140189839E-6</v>
      </c>
      <c r="AD193" s="3">
        <f t="shared" si="129"/>
        <v>9.0725541401898373E-6</v>
      </c>
      <c r="AE193" s="3">
        <f t="shared" si="129"/>
        <v>9.0725541401898187E-6</v>
      </c>
      <c r="AF193" s="3">
        <f t="shared" si="129"/>
        <v>9.072554140189634E-6</v>
      </c>
      <c r="AG193" s="3"/>
      <c r="AH193" s="3"/>
    </row>
    <row r="194" spans="1:34" x14ac:dyDescent="0.25">
      <c r="B194" s="3">
        <f t="shared" ref="B194:AF194" si="130">$C41*EXP(-B$168/$A41/EXP(-$C$126))</f>
        <v>3.4648583404177175E-7</v>
      </c>
      <c r="C194" s="3">
        <f t="shared" si="130"/>
        <v>3.4648583404177175E-7</v>
      </c>
      <c r="D194" s="3">
        <f t="shared" si="130"/>
        <v>3.4648583404177175E-7</v>
      </c>
      <c r="E194" s="3">
        <f t="shared" si="130"/>
        <v>3.4648583404177175E-7</v>
      </c>
      <c r="F194" s="3">
        <f t="shared" si="130"/>
        <v>3.4648583404177175E-7</v>
      </c>
      <c r="G194" s="3">
        <f t="shared" si="130"/>
        <v>3.4648583404177175E-7</v>
      </c>
      <c r="H194" s="3">
        <f t="shared" si="130"/>
        <v>3.4648583404177175E-7</v>
      </c>
      <c r="I194" s="3">
        <f t="shared" si="130"/>
        <v>3.4648583404177175E-7</v>
      </c>
      <c r="J194" s="3">
        <f t="shared" si="130"/>
        <v>3.4648583404177175E-7</v>
      </c>
      <c r="K194" s="3">
        <f t="shared" si="130"/>
        <v>3.4648583404177175E-7</v>
      </c>
      <c r="L194" s="3">
        <f t="shared" si="130"/>
        <v>3.4648583404177175E-7</v>
      </c>
      <c r="M194" s="3">
        <f t="shared" si="130"/>
        <v>3.4648583404177175E-7</v>
      </c>
      <c r="N194" s="3">
        <f t="shared" si="130"/>
        <v>3.4648583404177175E-7</v>
      </c>
      <c r="O194" s="3">
        <f t="shared" si="130"/>
        <v>3.4648583404177175E-7</v>
      </c>
      <c r="P194" s="3">
        <f t="shared" si="130"/>
        <v>3.4648583404177175E-7</v>
      </c>
      <c r="Q194" s="3">
        <f t="shared" si="130"/>
        <v>3.4648583404177175E-7</v>
      </c>
      <c r="R194" s="3">
        <f t="shared" si="130"/>
        <v>3.4648583404177175E-7</v>
      </c>
      <c r="S194" s="3">
        <f t="shared" si="130"/>
        <v>3.4648583404177175E-7</v>
      </c>
      <c r="T194" s="3">
        <f t="shared" si="130"/>
        <v>3.4648583404177175E-7</v>
      </c>
      <c r="U194" s="3">
        <f t="shared" si="130"/>
        <v>3.4648583404177175E-7</v>
      </c>
      <c r="V194" s="3">
        <f t="shared" si="130"/>
        <v>3.4648583404177175E-7</v>
      </c>
      <c r="W194" s="3">
        <f t="shared" si="130"/>
        <v>3.4648583404177175E-7</v>
      </c>
      <c r="X194" s="3">
        <f t="shared" si="130"/>
        <v>3.4648583404177175E-7</v>
      </c>
      <c r="Y194" s="3">
        <f t="shared" si="130"/>
        <v>3.4648583404177175E-7</v>
      </c>
      <c r="Z194" s="3">
        <f t="shared" si="130"/>
        <v>3.4648583404177175E-7</v>
      </c>
      <c r="AA194" s="3">
        <f t="shared" si="130"/>
        <v>3.4648583404177175E-7</v>
      </c>
      <c r="AB194" s="3">
        <f t="shared" si="130"/>
        <v>3.4648583404177175E-7</v>
      </c>
      <c r="AC194" s="3">
        <f t="shared" si="130"/>
        <v>3.4648583404177175E-7</v>
      </c>
      <c r="AD194" s="3">
        <f t="shared" si="130"/>
        <v>3.4648583404177175E-7</v>
      </c>
      <c r="AE194" s="3">
        <f t="shared" si="130"/>
        <v>3.464858340417717E-7</v>
      </c>
      <c r="AF194" s="3">
        <f t="shared" si="130"/>
        <v>3.4648583404177096E-7</v>
      </c>
      <c r="AG194" s="3"/>
      <c r="AH194" s="3"/>
    </row>
    <row r="195" spans="1:34" x14ac:dyDescent="0.25">
      <c r="B195" s="3">
        <f t="shared" ref="B195:AF195" si="131">$C42*EXP(-B$168/$A42/EXP(-$C$126))</f>
        <v>0</v>
      </c>
      <c r="C195" s="3">
        <f t="shared" si="131"/>
        <v>0</v>
      </c>
      <c r="D195" s="3">
        <f t="shared" si="131"/>
        <v>0</v>
      </c>
      <c r="E195" s="3">
        <f t="shared" si="131"/>
        <v>0</v>
      </c>
      <c r="F195" s="3">
        <f t="shared" si="131"/>
        <v>0</v>
      </c>
      <c r="G195" s="3">
        <f t="shared" si="131"/>
        <v>0</v>
      </c>
      <c r="H195" s="3">
        <f t="shared" si="131"/>
        <v>0</v>
      </c>
      <c r="I195" s="3">
        <f t="shared" si="131"/>
        <v>0</v>
      </c>
      <c r="J195" s="3">
        <f t="shared" si="131"/>
        <v>0</v>
      </c>
      <c r="K195" s="3">
        <f t="shared" si="131"/>
        <v>0</v>
      </c>
      <c r="L195" s="3">
        <f t="shared" si="131"/>
        <v>0</v>
      </c>
      <c r="M195" s="3">
        <f t="shared" si="131"/>
        <v>0</v>
      </c>
      <c r="N195" s="3">
        <f t="shared" si="131"/>
        <v>0</v>
      </c>
      <c r="O195" s="3">
        <f t="shared" si="131"/>
        <v>0</v>
      </c>
      <c r="P195" s="3">
        <f t="shared" si="131"/>
        <v>0</v>
      </c>
      <c r="Q195" s="3">
        <f t="shared" si="131"/>
        <v>0</v>
      </c>
      <c r="R195" s="3">
        <f t="shared" si="131"/>
        <v>0</v>
      </c>
      <c r="S195" s="3">
        <f t="shared" si="131"/>
        <v>0</v>
      </c>
      <c r="T195" s="3">
        <f t="shared" si="131"/>
        <v>0</v>
      </c>
      <c r="U195" s="3">
        <f t="shared" si="131"/>
        <v>0</v>
      </c>
      <c r="V195" s="3">
        <f t="shared" si="131"/>
        <v>0</v>
      </c>
      <c r="W195" s="3">
        <f t="shared" si="131"/>
        <v>0</v>
      </c>
      <c r="X195" s="3">
        <f t="shared" si="131"/>
        <v>0</v>
      </c>
      <c r="Y195" s="3">
        <f t="shared" si="131"/>
        <v>0</v>
      </c>
      <c r="Z195" s="3">
        <f t="shared" si="131"/>
        <v>0</v>
      </c>
      <c r="AA195" s="3">
        <f t="shared" si="131"/>
        <v>0</v>
      </c>
      <c r="AB195" s="3">
        <f t="shared" si="131"/>
        <v>0</v>
      </c>
      <c r="AC195" s="3">
        <f t="shared" si="131"/>
        <v>0</v>
      </c>
      <c r="AD195" s="3">
        <f t="shared" si="131"/>
        <v>0</v>
      </c>
      <c r="AE195" s="3">
        <f t="shared" si="131"/>
        <v>0</v>
      </c>
      <c r="AF195" s="3">
        <f t="shared" si="131"/>
        <v>0</v>
      </c>
      <c r="AG195" s="3"/>
      <c r="AH195" s="3"/>
    </row>
    <row r="196" spans="1:34" x14ac:dyDescent="0.25">
      <c r="B196" s="3">
        <f t="shared" ref="B196:AF196" si="132">$C43*EXP(-B$168/$A43/EXP(-$C$126))</f>
        <v>0</v>
      </c>
      <c r="C196" s="3">
        <f t="shared" si="132"/>
        <v>0</v>
      </c>
      <c r="D196" s="3">
        <f t="shared" si="132"/>
        <v>0</v>
      </c>
      <c r="E196" s="3">
        <f t="shared" si="132"/>
        <v>0</v>
      </c>
      <c r="F196" s="3">
        <f t="shared" si="132"/>
        <v>0</v>
      </c>
      <c r="G196" s="3">
        <f t="shared" si="132"/>
        <v>0</v>
      </c>
      <c r="H196" s="3">
        <f t="shared" si="132"/>
        <v>0</v>
      </c>
      <c r="I196" s="3">
        <f t="shared" si="132"/>
        <v>0</v>
      </c>
      <c r="J196" s="3">
        <f t="shared" si="132"/>
        <v>0</v>
      </c>
      <c r="K196" s="3">
        <f t="shared" si="132"/>
        <v>0</v>
      </c>
      <c r="L196" s="3">
        <f t="shared" si="132"/>
        <v>0</v>
      </c>
      <c r="M196" s="3">
        <f t="shared" si="132"/>
        <v>0</v>
      </c>
      <c r="N196" s="3">
        <f t="shared" si="132"/>
        <v>0</v>
      </c>
      <c r="O196" s="3">
        <f t="shared" si="132"/>
        <v>0</v>
      </c>
      <c r="P196" s="3">
        <f t="shared" si="132"/>
        <v>0</v>
      </c>
      <c r="Q196" s="3">
        <f t="shared" si="132"/>
        <v>0</v>
      </c>
      <c r="R196" s="3">
        <f t="shared" si="132"/>
        <v>0</v>
      </c>
      <c r="S196" s="3">
        <f t="shared" si="132"/>
        <v>0</v>
      </c>
      <c r="T196" s="3">
        <f t="shared" si="132"/>
        <v>0</v>
      </c>
      <c r="U196" s="3">
        <f t="shared" si="132"/>
        <v>0</v>
      </c>
      <c r="V196" s="3">
        <f t="shared" si="132"/>
        <v>0</v>
      </c>
      <c r="W196" s="3">
        <f t="shared" si="132"/>
        <v>0</v>
      </c>
      <c r="X196" s="3">
        <f t="shared" si="132"/>
        <v>0</v>
      </c>
      <c r="Y196" s="3">
        <f t="shared" si="132"/>
        <v>0</v>
      </c>
      <c r="Z196" s="3">
        <f t="shared" si="132"/>
        <v>0</v>
      </c>
      <c r="AA196" s="3">
        <f t="shared" si="132"/>
        <v>0</v>
      </c>
      <c r="AB196" s="3">
        <f t="shared" si="132"/>
        <v>0</v>
      </c>
      <c r="AC196" s="3">
        <f t="shared" si="132"/>
        <v>0</v>
      </c>
      <c r="AD196" s="3">
        <f t="shared" si="132"/>
        <v>0</v>
      </c>
      <c r="AE196" s="3">
        <f t="shared" si="132"/>
        <v>0</v>
      </c>
      <c r="AF196" s="3">
        <f t="shared" si="132"/>
        <v>0</v>
      </c>
      <c r="AG196" s="3"/>
      <c r="AH196" s="3"/>
    </row>
    <row r="197" spans="1:34" x14ac:dyDescent="0.25">
      <c r="B197" s="3">
        <f t="shared" ref="B197:AF197" si="133">$C44*EXP(-B$168/$A44/EXP(-$C$126))</f>
        <v>0</v>
      </c>
      <c r="C197" s="3">
        <f t="shared" si="133"/>
        <v>0</v>
      </c>
      <c r="D197" s="3">
        <f t="shared" si="133"/>
        <v>0</v>
      </c>
      <c r="E197" s="3">
        <f t="shared" si="133"/>
        <v>0</v>
      </c>
      <c r="F197" s="3">
        <f t="shared" si="133"/>
        <v>0</v>
      </c>
      <c r="G197" s="3">
        <f t="shared" si="133"/>
        <v>0</v>
      </c>
      <c r="H197" s="3">
        <f t="shared" si="133"/>
        <v>0</v>
      </c>
      <c r="I197" s="3">
        <f t="shared" si="133"/>
        <v>0</v>
      </c>
      <c r="J197" s="3">
        <f t="shared" si="133"/>
        <v>0</v>
      </c>
      <c r="K197" s="3">
        <f t="shared" si="133"/>
        <v>0</v>
      </c>
      <c r="L197" s="3">
        <f t="shared" si="133"/>
        <v>0</v>
      </c>
      <c r="M197" s="3">
        <f t="shared" si="133"/>
        <v>0</v>
      </c>
      <c r="N197" s="3">
        <f t="shared" si="133"/>
        <v>0</v>
      </c>
      <c r="O197" s="3">
        <f t="shared" si="133"/>
        <v>0</v>
      </c>
      <c r="P197" s="3">
        <f t="shared" si="133"/>
        <v>0</v>
      </c>
      <c r="Q197" s="3">
        <f t="shared" si="133"/>
        <v>0</v>
      </c>
      <c r="R197" s="3">
        <f t="shared" si="133"/>
        <v>0</v>
      </c>
      <c r="S197" s="3">
        <f t="shared" si="133"/>
        <v>0</v>
      </c>
      <c r="T197" s="3">
        <f t="shared" si="133"/>
        <v>0</v>
      </c>
      <c r="U197" s="3">
        <f t="shared" si="133"/>
        <v>0</v>
      </c>
      <c r="V197" s="3">
        <f t="shared" si="133"/>
        <v>0</v>
      </c>
      <c r="W197" s="3">
        <f t="shared" si="133"/>
        <v>0</v>
      </c>
      <c r="X197" s="3">
        <f t="shared" si="133"/>
        <v>0</v>
      </c>
      <c r="Y197" s="3">
        <f t="shared" si="133"/>
        <v>0</v>
      </c>
      <c r="Z197" s="3">
        <f t="shared" si="133"/>
        <v>0</v>
      </c>
      <c r="AA197" s="3">
        <f t="shared" si="133"/>
        <v>0</v>
      </c>
      <c r="AB197" s="3">
        <f t="shared" si="133"/>
        <v>0</v>
      </c>
      <c r="AC197" s="3">
        <f t="shared" si="133"/>
        <v>0</v>
      </c>
      <c r="AD197" s="3">
        <f t="shared" si="133"/>
        <v>0</v>
      </c>
      <c r="AE197" s="3">
        <f t="shared" si="133"/>
        <v>0</v>
      </c>
      <c r="AF197" s="3">
        <f t="shared" si="133"/>
        <v>0</v>
      </c>
      <c r="AG197" s="3"/>
      <c r="AH197" s="3"/>
    </row>
    <row r="198" spans="1:34" x14ac:dyDescent="0.25">
      <c r="B198" s="3">
        <f t="shared" ref="B198:AF198" si="134">$C45*EXP(-B$168/$A45/EXP(-$C$126))</f>
        <v>0</v>
      </c>
      <c r="C198" s="3">
        <f t="shared" si="134"/>
        <v>0</v>
      </c>
      <c r="D198" s="3">
        <f t="shared" si="134"/>
        <v>0</v>
      </c>
      <c r="E198" s="3">
        <f t="shared" si="134"/>
        <v>0</v>
      </c>
      <c r="F198" s="3">
        <f t="shared" si="134"/>
        <v>0</v>
      </c>
      <c r="G198" s="3">
        <f t="shared" si="134"/>
        <v>0</v>
      </c>
      <c r="H198" s="3">
        <f t="shared" si="134"/>
        <v>0</v>
      </c>
      <c r="I198" s="3">
        <f t="shared" si="134"/>
        <v>0</v>
      </c>
      <c r="J198" s="3">
        <f t="shared" si="134"/>
        <v>0</v>
      </c>
      <c r="K198" s="3">
        <f t="shared" si="134"/>
        <v>0</v>
      </c>
      <c r="L198" s="3">
        <f t="shared" si="134"/>
        <v>0</v>
      </c>
      <c r="M198" s="3">
        <f t="shared" si="134"/>
        <v>0</v>
      </c>
      <c r="N198" s="3">
        <f t="shared" si="134"/>
        <v>0</v>
      </c>
      <c r="O198" s="3">
        <f t="shared" si="134"/>
        <v>0</v>
      </c>
      <c r="P198" s="3">
        <f t="shared" si="134"/>
        <v>0</v>
      </c>
      <c r="Q198" s="3">
        <f t="shared" si="134"/>
        <v>0</v>
      </c>
      <c r="R198" s="3">
        <f t="shared" si="134"/>
        <v>0</v>
      </c>
      <c r="S198" s="3">
        <f t="shared" si="134"/>
        <v>0</v>
      </c>
      <c r="T198" s="3">
        <f t="shared" si="134"/>
        <v>0</v>
      </c>
      <c r="U198" s="3">
        <f t="shared" si="134"/>
        <v>0</v>
      </c>
      <c r="V198" s="3">
        <f t="shared" si="134"/>
        <v>0</v>
      </c>
      <c r="W198" s="3">
        <f t="shared" si="134"/>
        <v>0</v>
      </c>
      <c r="X198" s="3">
        <f t="shared" si="134"/>
        <v>0</v>
      </c>
      <c r="Y198" s="3">
        <f t="shared" si="134"/>
        <v>0</v>
      </c>
      <c r="Z198" s="3">
        <f t="shared" si="134"/>
        <v>0</v>
      </c>
      <c r="AA198" s="3">
        <f t="shared" si="134"/>
        <v>0</v>
      </c>
      <c r="AB198" s="3">
        <f t="shared" si="134"/>
        <v>0</v>
      </c>
      <c r="AC198" s="3">
        <f t="shared" si="134"/>
        <v>0</v>
      </c>
      <c r="AD198" s="3">
        <f t="shared" si="134"/>
        <v>0</v>
      </c>
      <c r="AE198" s="3">
        <f t="shared" si="134"/>
        <v>0</v>
      </c>
      <c r="AF198" s="3">
        <f t="shared" si="134"/>
        <v>0</v>
      </c>
      <c r="AG198" s="3"/>
      <c r="AH198" s="3"/>
    </row>
    <row r="199" spans="1:34" x14ac:dyDescent="0.25">
      <c r="B199" s="3">
        <f t="shared" ref="B199:AF199" si="135">$C46*EXP(-B$168/$A46/EXP(-$C$126))</f>
        <v>0</v>
      </c>
      <c r="C199" s="3">
        <f t="shared" si="135"/>
        <v>0</v>
      </c>
      <c r="D199" s="3">
        <f t="shared" si="135"/>
        <v>0</v>
      </c>
      <c r="E199" s="3">
        <f t="shared" si="135"/>
        <v>0</v>
      </c>
      <c r="F199" s="3">
        <f t="shared" si="135"/>
        <v>0</v>
      </c>
      <c r="G199" s="3">
        <f t="shared" si="135"/>
        <v>0</v>
      </c>
      <c r="H199" s="3">
        <f t="shared" si="135"/>
        <v>0</v>
      </c>
      <c r="I199" s="3">
        <f t="shared" si="135"/>
        <v>0</v>
      </c>
      <c r="J199" s="3">
        <f t="shared" si="135"/>
        <v>0</v>
      </c>
      <c r="K199" s="3">
        <f t="shared" si="135"/>
        <v>0</v>
      </c>
      <c r="L199" s="3">
        <f t="shared" si="135"/>
        <v>0</v>
      </c>
      <c r="M199" s="3">
        <f t="shared" si="135"/>
        <v>0</v>
      </c>
      <c r="N199" s="3">
        <f t="shared" si="135"/>
        <v>0</v>
      </c>
      <c r="O199" s="3">
        <f t="shared" si="135"/>
        <v>0</v>
      </c>
      <c r="P199" s="3">
        <f t="shared" si="135"/>
        <v>0</v>
      </c>
      <c r="Q199" s="3">
        <f t="shared" si="135"/>
        <v>0</v>
      </c>
      <c r="R199" s="3">
        <f t="shared" si="135"/>
        <v>0</v>
      </c>
      <c r="S199" s="3">
        <f t="shared" si="135"/>
        <v>0</v>
      </c>
      <c r="T199" s="3">
        <f t="shared" si="135"/>
        <v>0</v>
      </c>
      <c r="U199" s="3">
        <f t="shared" si="135"/>
        <v>0</v>
      </c>
      <c r="V199" s="3">
        <f t="shared" si="135"/>
        <v>0</v>
      </c>
      <c r="W199" s="3">
        <f t="shared" si="135"/>
        <v>0</v>
      </c>
      <c r="X199" s="3">
        <f t="shared" si="135"/>
        <v>0</v>
      </c>
      <c r="Y199" s="3">
        <f t="shared" si="135"/>
        <v>0</v>
      </c>
      <c r="Z199" s="3">
        <f t="shared" si="135"/>
        <v>0</v>
      </c>
      <c r="AA199" s="3">
        <f t="shared" si="135"/>
        <v>0</v>
      </c>
      <c r="AB199" s="3">
        <f t="shared" si="135"/>
        <v>0</v>
      </c>
      <c r="AC199" s="3">
        <f t="shared" si="135"/>
        <v>0</v>
      </c>
      <c r="AD199" s="3">
        <f t="shared" si="135"/>
        <v>0</v>
      </c>
      <c r="AE199" s="3">
        <f t="shared" si="135"/>
        <v>0</v>
      </c>
      <c r="AF199" s="3">
        <f t="shared" si="135"/>
        <v>0</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2.6390969703261771E-3</v>
      </c>
      <c r="C201" s="3">
        <f t="shared" si="137"/>
        <v>2.6390969703261771E-3</v>
      </c>
      <c r="D201" s="3">
        <f t="shared" si="137"/>
        <v>2.6390969703261771E-3</v>
      </c>
      <c r="E201" s="3">
        <f t="shared" si="137"/>
        <v>2.6390969703261771E-3</v>
      </c>
      <c r="F201" s="3">
        <f t="shared" si="137"/>
        <v>2.6390969703261771E-3</v>
      </c>
      <c r="G201" s="3">
        <f t="shared" si="137"/>
        <v>2.6390969703261771E-3</v>
      </c>
      <c r="H201" s="3">
        <f t="shared" si="137"/>
        <v>2.6390969703261771E-3</v>
      </c>
      <c r="I201" s="3">
        <f t="shared" si="137"/>
        <v>2.6390969703261771E-3</v>
      </c>
      <c r="J201" s="3">
        <f t="shared" si="137"/>
        <v>2.6390969703261771E-3</v>
      </c>
      <c r="K201" s="3">
        <f t="shared" si="137"/>
        <v>2.6390969703261771E-3</v>
      </c>
      <c r="L201" s="3">
        <f t="shared" si="137"/>
        <v>2.6390969703261771E-3</v>
      </c>
      <c r="M201" s="3">
        <f t="shared" si="137"/>
        <v>2.6390969703261771E-3</v>
      </c>
      <c r="N201" s="3">
        <f t="shared" si="137"/>
        <v>2.6390969703261771E-3</v>
      </c>
      <c r="O201" s="3">
        <f t="shared" si="137"/>
        <v>2.6390969703261771E-3</v>
      </c>
      <c r="P201" s="3">
        <f t="shared" si="137"/>
        <v>2.6390969703261771E-3</v>
      </c>
      <c r="Q201" s="3">
        <f t="shared" si="137"/>
        <v>2.6390969703261771E-3</v>
      </c>
      <c r="R201" s="3">
        <f t="shared" si="137"/>
        <v>2.6390969703261771E-3</v>
      </c>
      <c r="S201" s="3">
        <f t="shared" si="137"/>
        <v>2.6390969703261771E-3</v>
      </c>
      <c r="T201" s="3">
        <f t="shared" si="137"/>
        <v>2.6390969703261771E-3</v>
      </c>
      <c r="U201" s="3">
        <f t="shared" si="137"/>
        <v>2.6390969703261771E-3</v>
      </c>
      <c r="V201" s="3">
        <f t="shared" si="137"/>
        <v>2.6390969703261771E-3</v>
      </c>
      <c r="W201" s="3">
        <f t="shared" si="137"/>
        <v>2.6390969703261771E-3</v>
      </c>
      <c r="X201" s="3">
        <f t="shared" si="137"/>
        <v>2.6390969703261771E-3</v>
      </c>
      <c r="Y201" s="3">
        <f t="shared" si="137"/>
        <v>2.6390969703261771E-3</v>
      </c>
      <c r="Z201" s="3">
        <f t="shared" si="137"/>
        <v>2.6390969703261771E-3</v>
      </c>
      <c r="AA201" s="3">
        <f t="shared" si="137"/>
        <v>2.6390969703261771E-3</v>
      </c>
      <c r="AB201" s="3">
        <f t="shared" si="137"/>
        <v>2.6390969703261771E-3</v>
      </c>
      <c r="AC201" s="3">
        <f t="shared" si="137"/>
        <v>2.6390969703261771E-3</v>
      </c>
      <c r="AD201" s="3">
        <f t="shared" si="137"/>
        <v>2.6390969703261771E-3</v>
      </c>
      <c r="AE201" s="3">
        <f t="shared" si="137"/>
        <v>2.6390969703261771E-3</v>
      </c>
      <c r="AF201" s="3">
        <f t="shared" si="137"/>
        <v>2.6390969703261771E-3</v>
      </c>
      <c r="AG201" s="3"/>
      <c r="AH201" s="3"/>
    </row>
    <row r="202" spans="1:34" x14ac:dyDescent="0.25">
      <c r="A202" s="79">
        <f>AVERAGE(B202:AF202)</f>
        <v>1.5911306434836278E-2</v>
      </c>
      <c r="B202" s="80">
        <f>IF($A$64&lt;=B168,IF($B$64&gt;=B168,ABS((B170-B169)/B169),0),0)</f>
        <v>0</v>
      </c>
      <c r="C202" s="80">
        <f t="shared" ref="C202:AF202" si="138">IF($A$64&lt;=C168,IF($B$64&gt;=C168,ABS((C170-C169)/C169),0),0)</f>
        <v>0</v>
      </c>
      <c r="D202" s="80">
        <f t="shared" si="138"/>
        <v>0</v>
      </c>
      <c r="E202" s="80">
        <f t="shared" si="138"/>
        <v>0</v>
      </c>
      <c r="F202" s="80">
        <f t="shared" si="138"/>
        <v>0</v>
      </c>
      <c r="G202" s="80">
        <f t="shared" si="138"/>
        <v>0</v>
      </c>
      <c r="H202" s="80">
        <f t="shared" si="138"/>
        <v>0</v>
      </c>
      <c r="I202" s="80">
        <f t="shared" si="138"/>
        <v>0</v>
      </c>
      <c r="J202" s="80">
        <f t="shared" si="138"/>
        <v>0</v>
      </c>
      <c r="K202" s="80">
        <f t="shared" si="138"/>
        <v>0</v>
      </c>
      <c r="L202" s="80">
        <f t="shared" si="138"/>
        <v>1.0009458211815837E-3</v>
      </c>
      <c r="M202" s="80">
        <f t="shared" si="138"/>
        <v>1.004104661414897E-3</v>
      </c>
      <c r="N202" s="80">
        <f t="shared" si="138"/>
        <v>1.0353266456021022E-3</v>
      </c>
      <c r="O202" s="80">
        <f t="shared" si="138"/>
        <v>1.3473209727049465E-3</v>
      </c>
      <c r="P202" s="80">
        <f t="shared" si="138"/>
        <v>4.4327736177095026E-3</v>
      </c>
      <c r="Q202" s="80">
        <f t="shared" si="138"/>
        <v>3.2066664981951133E-2</v>
      </c>
      <c r="R202" s="80">
        <f t="shared" si="138"/>
        <v>0.13513805902860812</v>
      </c>
      <c r="S202" s="80">
        <f t="shared" si="138"/>
        <v>0.13206849092508099</v>
      </c>
      <c r="T202" s="80">
        <f t="shared" si="138"/>
        <v>0.10540658576403118</v>
      </c>
      <c r="U202" s="80">
        <f t="shared" si="138"/>
        <v>6.5525500819329022E-2</v>
      </c>
      <c r="V202" s="80">
        <f t="shared" si="138"/>
        <v>1.4224726242311215E-2</v>
      </c>
      <c r="W202" s="80">
        <f t="shared" si="138"/>
        <v>0</v>
      </c>
      <c r="X202" s="80">
        <f t="shared" si="138"/>
        <v>0</v>
      </c>
      <c r="Y202" s="80">
        <f t="shared" si="138"/>
        <v>0</v>
      </c>
      <c r="Z202" s="80">
        <f t="shared" si="138"/>
        <v>0</v>
      </c>
      <c r="AA202" s="80">
        <f t="shared" si="138"/>
        <v>0</v>
      </c>
      <c r="AB202" s="80">
        <f t="shared" si="138"/>
        <v>0</v>
      </c>
      <c r="AC202" s="80">
        <f t="shared" si="138"/>
        <v>0</v>
      </c>
      <c r="AD202" s="80">
        <f t="shared" si="138"/>
        <v>0</v>
      </c>
      <c r="AE202" s="80">
        <f t="shared" si="138"/>
        <v>0</v>
      </c>
      <c r="AF202" s="80">
        <f t="shared" si="138"/>
        <v>0</v>
      </c>
    </row>
    <row r="203" spans="1:34" x14ac:dyDescent="0.25">
      <c r="B203" s="21">
        <f>(B170-B169)^2</f>
        <v>35.229153189392534</v>
      </c>
      <c r="C203" s="21">
        <f t="shared" ref="C203:AF203" si="139">(C170-C169)^2</f>
        <v>35.669651443584542</v>
      </c>
      <c r="D203" s="21">
        <f t="shared" si="139"/>
        <v>35.401716414234109</v>
      </c>
      <c r="E203" s="21">
        <f t="shared" si="139"/>
        <v>35.320767325826942</v>
      </c>
      <c r="F203" s="21">
        <f t="shared" si="139"/>
        <v>35.296117889015136</v>
      </c>
      <c r="G203" s="21">
        <f t="shared" si="139"/>
        <v>35.288940305357798</v>
      </c>
      <c r="H203" s="21">
        <f t="shared" si="139"/>
        <v>35.285593400209947</v>
      </c>
      <c r="I203" s="21">
        <f t="shared" si="139"/>
        <v>35.285379165838322</v>
      </c>
      <c r="J203" s="21">
        <f t="shared" si="139"/>
        <v>35.282997628690637</v>
      </c>
      <c r="K203" s="21">
        <f t="shared" si="139"/>
        <v>35.285497866087681</v>
      </c>
      <c r="L203" s="21">
        <f t="shared" si="139"/>
        <v>35.306915345740542</v>
      </c>
      <c r="M203" s="21">
        <f t="shared" si="139"/>
        <v>35.53008653848638</v>
      </c>
      <c r="N203" s="21">
        <f t="shared" si="139"/>
        <v>37.773689605372475</v>
      </c>
      <c r="O203" s="21">
        <f t="shared" si="139"/>
        <v>63.964669385527671</v>
      </c>
      <c r="P203" s="21">
        <f t="shared" si="139"/>
        <v>691.80881797286611</v>
      </c>
      <c r="Q203" s="21">
        <f t="shared" si="139"/>
        <v>35924.489190266599</v>
      </c>
      <c r="R203" s="21">
        <f t="shared" si="139"/>
        <v>611931.80053745862</v>
      </c>
      <c r="S203" s="21">
        <f t="shared" si="139"/>
        <v>555868.69172237522</v>
      </c>
      <c r="T203" s="21">
        <f t="shared" si="139"/>
        <v>333291.01766533288</v>
      </c>
      <c r="U203" s="21">
        <f t="shared" si="139"/>
        <v>118024.85657956339</v>
      </c>
      <c r="V203" s="21">
        <f t="shared" si="139"/>
        <v>4992.3241431501474</v>
      </c>
      <c r="W203" s="21">
        <f t="shared" si="139"/>
        <v>42022.975619242112</v>
      </c>
      <c r="X203" s="21">
        <f t="shared" si="139"/>
        <v>92750.416289810179</v>
      </c>
      <c r="Y203" s="21">
        <f t="shared" si="139"/>
        <v>46679.308518372185</v>
      </c>
      <c r="Z203" s="21">
        <f t="shared" si="139"/>
        <v>70300.917935736419</v>
      </c>
      <c r="AA203" s="21">
        <f t="shared" si="139"/>
        <v>57929.347864200856</v>
      </c>
      <c r="AB203" s="21">
        <f t="shared" si="139"/>
        <v>46804.105229642351</v>
      </c>
      <c r="AC203" s="21">
        <f t="shared" si="139"/>
        <v>25960.414866206072</v>
      </c>
      <c r="AD203" s="21">
        <f t="shared" si="139"/>
        <v>9467.7132498078172</v>
      </c>
      <c r="AE203" s="21">
        <f t="shared" si="139"/>
        <v>807.44465647038146</v>
      </c>
      <c r="AF203" s="21">
        <f t="shared" si="139"/>
        <v>877.41610616397236</v>
      </c>
      <c r="AG203" s="3"/>
      <c r="AH203" s="3"/>
    </row>
    <row r="204" spans="1:34" x14ac:dyDescent="0.25">
      <c r="A204" s="71">
        <f>SUM(B204:AF204)</f>
        <v>1660897.5640169948</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35.306915345740542</v>
      </c>
      <c r="M204" s="60">
        <f t="shared" ref="M204" si="150">IF($A$64&lt;=M168,IF($B$64&gt;=M168,ABS(M203),0),0)</f>
        <v>35.53008653848638</v>
      </c>
      <c r="N204" s="60">
        <f t="shared" ref="N204" si="151">IF($A$64&lt;=N168,IF($B$64&gt;=N168,ABS(N203),0),0)</f>
        <v>37.773689605372475</v>
      </c>
      <c r="O204" s="60">
        <f t="shared" ref="O204" si="152">IF($A$64&lt;=O168,IF($B$64&gt;=O168,ABS(O203),0),0)</f>
        <v>63.964669385527671</v>
      </c>
      <c r="P204" s="60">
        <f t="shared" ref="P204" si="153">IF($A$64&lt;=P168,IF($B$64&gt;=P168,ABS(P203),0),0)</f>
        <v>691.80881797286611</v>
      </c>
      <c r="Q204" s="60">
        <f t="shared" ref="Q204" si="154">IF($A$64&lt;=Q168,IF($B$64&gt;=Q168,ABS(Q203),0),0)</f>
        <v>35924.489190266599</v>
      </c>
      <c r="R204" s="60">
        <f t="shared" ref="R204" si="155">IF($A$64&lt;=R168,IF($B$64&gt;=R168,ABS(R203),0),0)</f>
        <v>611931.80053745862</v>
      </c>
      <c r="S204" s="60">
        <f t="shared" ref="S204" si="156">IF($A$64&lt;=S168,IF($B$64&gt;=S168,ABS(S203),0),0)</f>
        <v>555868.69172237522</v>
      </c>
      <c r="T204" s="60">
        <f t="shared" ref="T204" si="157">IF($A$64&lt;=T168,IF($B$64&gt;=T168,ABS(T203),0),0)</f>
        <v>333291.01766533288</v>
      </c>
      <c r="U204" s="60">
        <f t="shared" ref="U204" si="158">IF($A$64&lt;=U168,IF($B$64&gt;=U168,ABS(U203),0),0)</f>
        <v>118024.85657956339</v>
      </c>
      <c r="V204" s="60">
        <f t="shared" ref="V204" si="159">IF($A$64&lt;=V168,IF($B$64&gt;=V168,ABS(V203),0),0)</f>
        <v>4992.3241431501474</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5930.406376183163</v>
      </c>
      <c r="C208" s="26">
        <f>INDEX(Comparison!$AM$3:$AS$33,G$14,$D$122)</f>
        <v>5930.4431337924134</v>
      </c>
      <c r="D208" s="26">
        <f>INDEX(Comparison!$AM$3:$AS$33,H$14,$D$122)</f>
        <v>5930.4206852693951</v>
      </c>
      <c r="E208" s="26">
        <f>INDEX(Comparison!$AM$3:$AS$33,I$14,$D$122)</f>
        <v>5930.413892464232</v>
      </c>
      <c r="F208" s="26">
        <f>INDEX(Comparison!$AM$3:$AS$33,J$14,$D$122)</f>
        <v>5930.4118224704844</v>
      </c>
      <c r="G208" s="26">
        <f>INDEX(Comparison!$AM$3:$AS$33,K$14,$D$122)</f>
        <v>5930.4110185898089</v>
      </c>
      <c r="H208" s="26">
        <f>INDEX(Comparison!$AM$3:$AS$33,L$14,$D$122)</f>
        <v>5930.4109382017532</v>
      </c>
      <c r="I208" s="26">
        <f>INDEX(Comparison!$AM$3:$AS$33,M$14,$D$122)</f>
        <v>5930.4106970375988</v>
      </c>
      <c r="J208" s="26">
        <f>INDEX(Comparison!$AM$3:$AS$33,N$14,$D$122)</f>
        <v>5930.4104156794438</v>
      </c>
      <c r="K208" s="26">
        <f>INDEX(Comparison!$AM$3:$AS$33,O$14,$D$122)</f>
        <v>5930.408164815165</v>
      </c>
      <c r="L208" s="26">
        <f>INDEX(Comparison!$AM$3:$AS$33,P$14,$D$122)</f>
        <v>5930.384691618081</v>
      </c>
      <c r="M208" s="26">
        <f>INDEX(Comparison!$AM$3:$AS$33,Q$14,$D$122)</f>
        <v>5930.150894248286</v>
      </c>
      <c r="N208" s="26">
        <f>INDEX(Comparison!$AM$3:$AS$33,R$14,$D$122)</f>
        <v>5927.8308007940832</v>
      </c>
      <c r="O208" s="26">
        <f>INDEX(Comparison!$AM$3:$AS$33,S$14,$D$122)</f>
        <v>5906.3450308766669</v>
      </c>
      <c r="P208" s="26">
        <f>INDEX(Comparison!$AM$3:$AS$33,T$14,$D$122)</f>
        <v>5787.3961464989843</v>
      </c>
      <c r="Q208" s="26">
        <f>INDEX(Comparison!$AM$3:$AS$33,U$14,$D$122)</f>
        <v>5645.7736928586964</v>
      </c>
      <c r="R208" s="26">
        <f>INDEX(Comparison!$AM$3:$AS$33,V$14,$D$122)</f>
        <v>5488.7797063617654</v>
      </c>
      <c r="S208" s="26">
        <f>INDEX(Comparison!$AM$3:$AS$33,W$14,$D$122)</f>
        <v>5295.6687137139643</v>
      </c>
      <c r="T208" s="26">
        <f>INDEX(Comparison!$AM$3:$AS$33,X$14,$D$122)</f>
        <v>5062.6547205141496</v>
      </c>
      <c r="U208" s="26">
        <f>INDEX(Comparison!$AM$3:$AS$33,Y$14,$D$122)</f>
        <v>4762.2359802766141</v>
      </c>
      <c r="V208" s="26">
        <f>INDEX(Comparison!$AM$3:$AS$33,Z$14,$D$122)</f>
        <v>4428.9407335348296</v>
      </c>
      <c r="W208" s="26">
        <f>INDEX(Comparison!$AM$3:$AS$33,AA$14,$D$122)</f>
        <v>4111.7161259908762</v>
      </c>
      <c r="X208" s="26">
        <f>INDEX(Comparison!$AM$3:$AS$33,AB$14,$D$122)</f>
        <v>3814.2268394370481</v>
      </c>
      <c r="Y208" s="26">
        <f>INDEX(Comparison!$AM$3:$AS$33,AC$14,$D$122)</f>
        <v>3517.7803393025779</v>
      </c>
      <c r="Z208" s="26">
        <f>INDEX(Comparison!$AM$3:$AS$33,AD$14,$D$122)</f>
        <v>3195.2414492417452</v>
      </c>
      <c r="AA208" s="26">
        <f>INDEX(Comparison!$AM$3:$AS$33,AE$14,$D$122)</f>
        <v>2791.4157044377589</v>
      </c>
      <c r="AB208" s="26">
        <f>INDEX(Comparison!$AM$3:$AS$33,AF$14,$D$122)</f>
        <v>2312.1801528163464</v>
      </c>
      <c r="AC208" s="26">
        <f>INDEX(Comparison!$AM$3:$AS$33,AG$14,$D$122)</f>
        <v>1761.4184833894965</v>
      </c>
      <c r="AD208" s="26">
        <f>INDEX(Comparison!$AM$3:$AS$33,AH$14,$D$122)</f>
        <v>1165.0893454090649</v>
      </c>
      <c r="AE208" s="26">
        <f>INDEX(Comparison!$AM$3:$AS$33,AI$14,$D$122)</f>
        <v>692.87414966525068</v>
      </c>
      <c r="AF208" s="26">
        <f>INDEX(Comparison!$AM$3:$AS$33,AJ$14,$D$122)</f>
        <v>393.89092728068977</v>
      </c>
      <c r="AG208" s="26"/>
      <c r="AH208" s="26"/>
    </row>
    <row r="209" spans="1:34" x14ac:dyDescent="0.25">
      <c r="A209" s="70" t="s">
        <v>22</v>
      </c>
      <c r="B209" s="27">
        <f>($C$17+SUM(B210:B240))*$B$51</f>
        <v>5930.407899999982</v>
      </c>
      <c r="C209" s="27">
        <f t="shared" ref="C209:AF209" si="170">($C$17+SUM(C210:C240))*$B$51</f>
        <v>5930.4078999998173</v>
      </c>
      <c r="D209" s="27">
        <f t="shared" si="170"/>
        <v>5930.4078999981648</v>
      </c>
      <c r="E209" s="27">
        <f t="shared" si="170"/>
        <v>5930.4078999816493</v>
      </c>
      <c r="F209" s="27">
        <f t="shared" si="170"/>
        <v>5930.4078998164914</v>
      </c>
      <c r="G209" s="27">
        <f t="shared" si="170"/>
        <v>5930.4078981649081</v>
      </c>
      <c r="H209" s="27">
        <f t="shared" si="170"/>
        <v>5930.407881649071</v>
      </c>
      <c r="I209" s="27">
        <f t="shared" si="170"/>
        <v>5930.4077164907258</v>
      </c>
      <c r="J209" s="27">
        <f t="shared" si="170"/>
        <v>5930.406064908726</v>
      </c>
      <c r="K209" s="27">
        <f t="shared" si="170"/>
        <v>5930.3895492342872</v>
      </c>
      <c r="L209" s="27">
        <f t="shared" si="170"/>
        <v>5930.2244070449733</v>
      </c>
      <c r="M209" s="27">
        <f t="shared" si="170"/>
        <v>5928.5744397966982</v>
      </c>
      <c r="N209" s="27">
        <f t="shared" si="170"/>
        <v>5912.2193730252839</v>
      </c>
      <c r="O209" s="27">
        <f t="shared" si="170"/>
        <v>5762.3074374861517</v>
      </c>
      <c r="P209" s="27">
        <f t="shared" si="170"/>
        <v>5073.4623309646686</v>
      </c>
      <c r="Q209" s="27">
        <f t="shared" si="170"/>
        <v>4899.7329496811581</v>
      </c>
      <c r="R209" s="27">
        <f t="shared" si="170"/>
        <v>4899.7099856994146</v>
      </c>
      <c r="S209" s="27">
        <f t="shared" si="170"/>
        <v>4899.4805867775049</v>
      </c>
      <c r="T209" s="27">
        <f t="shared" si="170"/>
        <v>4897.1915990238549</v>
      </c>
      <c r="U209" s="27">
        <f t="shared" si="170"/>
        <v>4874.7943745421426</v>
      </c>
      <c r="V209" s="27">
        <f t="shared" si="170"/>
        <v>4693.3775721389329</v>
      </c>
      <c r="W209" s="27">
        <f t="shared" si="170"/>
        <v>4289.6292270894583</v>
      </c>
      <c r="X209" s="27">
        <f t="shared" si="170"/>
        <v>4063.333078498712</v>
      </c>
      <c r="Y209" s="27">
        <f t="shared" si="170"/>
        <v>3756.0960369363675</v>
      </c>
      <c r="Z209" s="27">
        <f t="shared" si="170"/>
        <v>3424.4487846807024</v>
      </c>
      <c r="AA209" s="27">
        <f t="shared" si="170"/>
        <v>2979.0561729203946</v>
      </c>
      <c r="AB209" s="27">
        <f t="shared" si="170"/>
        <v>2447.0254886153166</v>
      </c>
      <c r="AC209" s="27">
        <f t="shared" si="170"/>
        <v>1836.7278443311011</v>
      </c>
      <c r="AD209" s="27">
        <f t="shared" si="170"/>
        <v>1181.360045688873</v>
      </c>
      <c r="AE209" s="27">
        <f t="shared" si="170"/>
        <v>695.05870303609549</v>
      </c>
      <c r="AF209" s="27">
        <f t="shared" si="170"/>
        <v>389.64600107906932</v>
      </c>
      <c r="AG209" s="27"/>
      <c r="AH209" s="27"/>
    </row>
    <row r="210" spans="1:34" x14ac:dyDescent="0.25">
      <c r="B210" s="3">
        <f t="shared" ref="B210:AF210" si="171">$C18*EXP(-B$207/$A18/EXP(-$D$126))</f>
        <v>0.17379452430407627</v>
      </c>
      <c r="C210" s="3">
        <f t="shared" si="171"/>
        <v>0.1737945243040484</v>
      </c>
      <c r="D210" s="3">
        <f t="shared" si="171"/>
        <v>0.1737945243037699</v>
      </c>
      <c r="E210" s="3">
        <f t="shared" si="171"/>
        <v>0.17379452430098499</v>
      </c>
      <c r="F210" s="3">
        <f t="shared" si="171"/>
        <v>0.17379452427313555</v>
      </c>
      <c r="G210" s="3">
        <f t="shared" si="171"/>
        <v>0.17379452399464151</v>
      </c>
      <c r="H210" s="3">
        <f t="shared" si="171"/>
        <v>0.1737945212097009</v>
      </c>
      <c r="I210" s="3">
        <f t="shared" si="171"/>
        <v>0.1737944933602974</v>
      </c>
      <c r="J210" s="3">
        <f t="shared" si="171"/>
        <v>0.17379421486650773</v>
      </c>
      <c r="K210" s="3">
        <f t="shared" si="171"/>
        <v>0.17379142995315558</v>
      </c>
      <c r="L210" s="3">
        <f t="shared" si="171"/>
        <v>0.17376358327394686</v>
      </c>
      <c r="M210" s="3">
        <f t="shared" si="171"/>
        <v>0.17348536176766227</v>
      </c>
      <c r="N210" s="3">
        <f t="shared" si="171"/>
        <v>0.1707275304763495</v>
      </c>
      <c r="O210" s="3">
        <f t="shared" si="171"/>
        <v>0.14544901420537337</v>
      </c>
      <c r="P210" s="3">
        <f t="shared" si="171"/>
        <v>2.9294292863699587E-2</v>
      </c>
      <c r="Q210" s="3">
        <f t="shared" si="171"/>
        <v>3.2174024483227387E-9</v>
      </c>
      <c r="R210" s="3">
        <f t="shared" si="171"/>
        <v>8.2172987663671591E-79</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9.0899647473980161E-2</v>
      </c>
      <c r="C211" s="3">
        <f t="shared" si="172"/>
        <v>9.0899647473980161E-2</v>
      </c>
      <c r="D211" s="3">
        <f t="shared" si="172"/>
        <v>9.0899647473980161E-2</v>
      </c>
      <c r="E211" s="3">
        <f t="shared" si="172"/>
        <v>9.0899647473980161E-2</v>
      </c>
      <c r="F211" s="3">
        <f t="shared" si="172"/>
        <v>9.0899647473980161E-2</v>
      </c>
      <c r="G211" s="3">
        <f t="shared" si="172"/>
        <v>9.0899647473980119E-2</v>
      </c>
      <c r="H211" s="3">
        <f t="shared" si="172"/>
        <v>9.0899647473979744E-2</v>
      </c>
      <c r="I211" s="3">
        <f t="shared" si="172"/>
        <v>9.0899647473976011E-2</v>
      </c>
      <c r="J211" s="3">
        <f t="shared" si="172"/>
        <v>9.0899647473938708E-2</v>
      </c>
      <c r="K211" s="3">
        <f t="shared" si="172"/>
        <v>9.089964747356559E-2</v>
      </c>
      <c r="L211" s="3">
        <f t="shared" si="172"/>
        <v>9.0899647469834421E-2</v>
      </c>
      <c r="M211" s="3">
        <f t="shared" si="172"/>
        <v>9.0899647432522809E-2</v>
      </c>
      <c r="N211" s="3">
        <f t="shared" si="172"/>
        <v>9.0899647059406743E-2</v>
      </c>
      <c r="O211" s="3">
        <f t="shared" si="172"/>
        <v>9.0899643328246085E-2</v>
      </c>
      <c r="P211" s="3">
        <f t="shared" si="172"/>
        <v>9.0899606016647899E-2</v>
      </c>
      <c r="Q211" s="3">
        <f t="shared" si="172"/>
        <v>9.089923290150842E-2</v>
      </c>
      <c r="R211" s="3">
        <f t="shared" si="172"/>
        <v>9.0895501834346429E-2</v>
      </c>
      <c r="S211" s="3">
        <f t="shared" si="172"/>
        <v>9.0858199584724353E-2</v>
      </c>
      <c r="T211" s="3">
        <f t="shared" si="172"/>
        <v>9.048601801061143E-2</v>
      </c>
      <c r="U211" s="3">
        <f t="shared" si="172"/>
        <v>8.6847031239173408E-2</v>
      </c>
      <c r="V211" s="3">
        <f t="shared" si="172"/>
        <v>5.7608952892193588E-2</v>
      </c>
      <c r="W211" s="3">
        <f t="shared" si="172"/>
        <v>9.5025469604491841E-4</v>
      </c>
      <c r="X211" s="3">
        <f t="shared" si="172"/>
        <v>1.4169040921331748E-21</v>
      </c>
      <c r="Y211" s="3">
        <f t="shared" si="172"/>
        <v>7.6974124013567033E-200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3.1881256705136286E-2</v>
      </c>
      <c r="C212" s="3">
        <f t="shared" si="173"/>
        <v>3.1881256705136286E-2</v>
      </c>
      <c r="D212" s="3">
        <f t="shared" si="173"/>
        <v>3.1881256705136286E-2</v>
      </c>
      <c r="E212" s="3">
        <f t="shared" si="173"/>
        <v>3.1881256705136286E-2</v>
      </c>
      <c r="F212" s="3">
        <f t="shared" si="173"/>
        <v>3.1881256705136286E-2</v>
      </c>
      <c r="G212" s="3">
        <f t="shared" si="173"/>
        <v>3.1881256705136286E-2</v>
      </c>
      <c r="H212" s="3">
        <f t="shared" si="173"/>
        <v>3.1881256705136272E-2</v>
      </c>
      <c r="I212" s="3">
        <f t="shared" si="173"/>
        <v>3.1881256705136155E-2</v>
      </c>
      <c r="J212" s="3">
        <f t="shared" si="173"/>
        <v>3.1881256705134975E-2</v>
      </c>
      <c r="K212" s="3">
        <f t="shared" si="173"/>
        <v>3.1881256705123172E-2</v>
      </c>
      <c r="L212" s="3">
        <f t="shared" si="173"/>
        <v>3.188125670500512E-2</v>
      </c>
      <c r="M212" s="3">
        <f t="shared" si="173"/>
        <v>3.1881256703824627E-2</v>
      </c>
      <c r="N212" s="3">
        <f t="shared" si="173"/>
        <v>3.1881256692019688E-2</v>
      </c>
      <c r="O212" s="3">
        <f t="shared" si="173"/>
        <v>3.1881256573970285E-2</v>
      </c>
      <c r="P212" s="3">
        <f t="shared" si="173"/>
        <v>3.1881255393476311E-2</v>
      </c>
      <c r="Q212" s="3">
        <f t="shared" si="173"/>
        <v>3.1881243588538964E-2</v>
      </c>
      <c r="R212" s="3">
        <f t="shared" si="173"/>
        <v>3.1881125539405863E-2</v>
      </c>
      <c r="S212" s="3">
        <f t="shared" si="173"/>
        <v>3.1879945072115674E-2</v>
      </c>
      <c r="T212" s="3">
        <f t="shared" si="173"/>
        <v>3.1868142802960561E-2</v>
      </c>
      <c r="U212" s="3">
        <f t="shared" si="173"/>
        <v>3.1750360157094308E-2</v>
      </c>
      <c r="V212" s="3">
        <f t="shared" si="173"/>
        <v>3.0596212628981094E-2</v>
      </c>
      <c r="W212" s="3">
        <f t="shared" si="173"/>
        <v>2.1127972068673818E-2</v>
      </c>
      <c r="X212" s="3">
        <f t="shared" si="173"/>
        <v>5.2090586905134293E-4</v>
      </c>
      <c r="Y212" s="3">
        <f t="shared" si="173"/>
        <v>4.3228843465425745E-20</v>
      </c>
      <c r="Z212" s="3">
        <f t="shared" si="173"/>
        <v>6.697570238356651E-181</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5.4295186308030693E-2</v>
      </c>
      <c r="C213" s="3">
        <f t="shared" si="174"/>
        <v>5.4295186308030693E-2</v>
      </c>
      <c r="D213" s="3">
        <f t="shared" si="174"/>
        <v>5.4295186308030693E-2</v>
      </c>
      <c r="E213" s="3">
        <f t="shared" si="174"/>
        <v>5.4295186308030693E-2</v>
      </c>
      <c r="F213" s="3">
        <f t="shared" si="174"/>
        <v>5.4295186308030693E-2</v>
      </c>
      <c r="G213" s="3">
        <f t="shared" si="174"/>
        <v>5.4295186308030693E-2</v>
      </c>
      <c r="H213" s="3">
        <f t="shared" si="174"/>
        <v>5.4295186308030693E-2</v>
      </c>
      <c r="I213" s="3">
        <f t="shared" si="174"/>
        <v>5.4295186308030673E-2</v>
      </c>
      <c r="J213" s="3">
        <f t="shared" si="174"/>
        <v>5.4295186308030492E-2</v>
      </c>
      <c r="K213" s="3">
        <f t="shared" si="174"/>
        <v>5.4295186308028681E-2</v>
      </c>
      <c r="L213" s="3">
        <f t="shared" si="174"/>
        <v>5.4295186308010543E-2</v>
      </c>
      <c r="M213" s="3">
        <f t="shared" si="174"/>
        <v>5.4295186307829181E-2</v>
      </c>
      <c r="N213" s="3">
        <f t="shared" si="174"/>
        <v>5.4295186306015604E-2</v>
      </c>
      <c r="O213" s="3">
        <f t="shared" si="174"/>
        <v>5.4295186287879826E-2</v>
      </c>
      <c r="P213" s="3">
        <f t="shared" si="174"/>
        <v>5.4295186106522016E-2</v>
      </c>
      <c r="Q213" s="3">
        <f t="shared" si="174"/>
        <v>5.4295184292943915E-2</v>
      </c>
      <c r="R213" s="3">
        <f t="shared" si="174"/>
        <v>5.4295166157166258E-2</v>
      </c>
      <c r="S213" s="3">
        <f t="shared" si="174"/>
        <v>5.429498479972291E-2</v>
      </c>
      <c r="T213" s="3">
        <f t="shared" si="174"/>
        <v>5.4293171258606561E-2</v>
      </c>
      <c r="U213" s="3">
        <f t="shared" si="174"/>
        <v>5.427503917874707E-2</v>
      </c>
      <c r="V213" s="3">
        <f t="shared" si="174"/>
        <v>5.4094051099211969E-2</v>
      </c>
      <c r="W213" s="3">
        <f t="shared" si="174"/>
        <v>5.2317034656726727E-2</v>
      </c>
      <c r="X213" s="3">
        <f t="shared" si="174"/>
        <v>3.7460990092629938E-2</v>
      </c>
      <c r="Y213" s="3">
        <f t="shared" si="174"/>
        <v>1.3272128152479799E-3</v>
      </c>
      <c r="Z213" s="3">
        <f t="shared" si="174"/>
        <v>4.1357446393063379E-18</v>
      </c>
      <c r="AA213" s="3">
        <f t="shared" si="174"/>
        <v>3.5701396602541427E-163</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5.1307510130975835E-2</v>
      </c>
      <c r="C214" s="3">
        <f t="shared" si="175"/>
        <v>5.1307510130975835E-2</v>
      </c>
      <c r="D214" s="3">
        <f t="shared" si="175"/>
        <v>5.1307510130975835E-2</v>
      </c>
      <c r="E214" s="3">
        <f t="shared" si="175"/>
        <v>5.1307510130975835E-2</v>
      </c>
      <c r="F214" s="3">
        <f t="shared" si="175"/>
        <v>5.1307510130975835E-2</v>
      </c>
      <c r="G214" s="3">
        <f t="shared" si="175"/>
        <v>5.1307510130975835E-2</v>
      </c>
      <c r="H214" s="3">
        <f t="shared" si="175"/>
        <v>5.1307510130975835E-2</v>
      </c>
      <c r="I214" s="3">
        <f t="shared" si="175"/>
        <v>5.1307510130975835E-2</v>
      </c>
      <c r="J214" s="3">
        <f t="shared" si="175"/>
        <v>5.1307510130975821E-2</v>
      </c>
      <c r="K214" s="3">
        <f t="shared" si="175"/>
        <v>5.1307510130975661E-2</v>
      </c>
      <c r="L214" s="3">
        <f t="shared" si="175"/>
        <v>5.1307510130974114E-2</v>
      </c>
      <c r="M214" s="3">
        <f t="shared" si="175"/>
        <v>5.1307510130958654E-2</v>
      </c>
      <c r="N214" s="3">
        <f t="shared" si="175"/>
        <v>5.1307510130804056E-2</v>
      </c>
      <c r="O214" s="3">
        <f t="shared" si="175"/>
        <v>5.1307510129258084E-2</v>
      </c>
      <c r="P214" s="3">
        <f t="shared" si="175"/>
        <v>5.1307510113798332E-2</v>
      </c>
      <c r="Q214" s="3">
        <f t="shared" si="175"/>
        <v>5.1307509959200831E-2</v>
      </c>
      <c r="R214" s="3">
        <f t="shared" si="175"/>
        <v>5.1307508413225837E-2</v>
      </c>
      <c r="S214" s="3">
        <f t="shared" si="175"/>
        <v>5.1307492953478417E-2</v>
      </c>
      <c r="T214" s="3">
        <f t="shared" si="175"/>
        <v>5.1307338356260446E-2</v>
      </c>
      <c r="U214" s="3">
        <f t="shared" si="175"/>
        <v>5.1305792409700832E-2</v>
      </c>
      <c r="V214" s="3">
        <f t="shared" si="175"/>
        <v>5.1290335505832042E-2</v>
      </c>
      <c r="W214" s="3">
        <f t="shared" si="175"/>
        <v>5.1136022354508488E-2</v>
      </c>
      <c r="X214" s="3">
        <f t="shared" si="175"/>
        <v>4.9618196581893315E-2</v>
      </c>
      <c r="Y214" s="3">
        <f t="shared" si="175"/>
        <v>3.6709739092648581E-2</v>
      </c>
      <c r="Z214" s="3">
        <f t="shared" si="175"/>
        <v>1.8037839670590179E-3</v>
      </c>
      <c r="AA214" s="3">
        <f t="shared" si="175"/>
        <v>1.4798468338492923E-16</v>
      </c>
      <c r="AB214" s="3">
        <f t="shared" si="175"/>
        <v>2.0442745426844822E-147</v>
      </c>
      <c r="AC214" s="3">
        <f t="shared" si="175"/>
        <v>0</v>
      </c>
      <c r="AD214" s="3">
        <f t="shared" si="175"/>
        <v>0</v>
      </c>
      <c r="AE214" s="3">
        <f t="shared" si="175"/>
        <v>0</v>
      </c>
      <c r="AF214" s="3">
        <f t="shared" si="175"/>
        <v>0</v>
      </c>
      <c r="AG214" s="3"/>
      <c r="AH214" s="3"/>
    </row>
    <row r="215" spans="1:34" x14ac:dyDescent="0.25">
      <c r="B215" s="3">
        <f t="shared" ref="B215:AF215" si="176">$C23*EXP(-B$207/$A23/EXP(-$D$126))</f>
        <v>7.4663981933644916E-2</v>
      </c>
      <c r="C215" s="3">
        <f t="shared" si="176"/>
        <v>7.4663981933644916E-2</v>
      </c>
      <c r="D215" s="3">
        <f t="shared" si="176"/>
        <v>7.4663981933644916E-2</v>
      </c>
      <c r="E215" s="3">
        <f t="shared" si="176"/>
        <v>7.4663981933644916E-2</v>
      </c>
      <c r="F215" s="3">
        <f t="shared" si="176"/>
        <v>7.4663981933644916E-2</v>
      </c>
      <c r="G215" s="3">
        <f t="shared" si="176"/>
        <v>7.4663981933644916E-2</v>
      </c>
      <c r="H215" s="3">
        <f t="shared" si="176"/>
        <v>7.4663981933644916E-2</v>
      </c>
      <c r="I215" s="3">
        <f t="shared" si="176"/>
        <v>7.4663981933644916E-2</v>
      </c>
      <c r="J215" s="3">
        <f t="shared" si="176"/>
        <v>7.4663981933644916E-2</v>
      </c>
      <c r="K215" s="3">
        <f t="shared" si="176"/>
        <v>7.4663981933644888E-2</v>
      </c>
      <c r="L215" s="3">
        <f t="shared" si="176"/>
        <v>7.4663981933644694E-2</v>
      </c>
      <c r="M215" s="3">
        <f t="shared" si="176"/>
        <v>7.4663981933642667E-2</v>
      </c>
      <c r="N215" s="3">
        <f t="shared" si="176"/>
        <v>7.4663981933622364E-2</v>
      </c>
      <c r="O215" s="3">
        <f t="shared" si="176"/>
        <v>7.4663981933419415E-2</v>
      </c>
      <c r="P215" s="3">
        <f t="shared" si="176"/>
        <v>7.4663981931389969E-2</v>
      </c>
      <c r="Q215" s="3">
        <f t="shared" si="176"/>
        <v>7.4663981911095426E-2</v>
      </c>
      <c r="R215" s="3">
        <f t="shared" si="176"/>
        <v>7.4663981708150001E-2</v>
      </c>
      <c r="S215" s="3">
        <f t="shared" si="176"/>
        <v>7.4663979678695744E-2</v>
      </c>
      <c r="T215" s="3">
        <f t="shared" si="176"/>
        <v>7.466395938415625E-2</v>
      </c>
      <c r="U215" s="3">
        <f t="shared" si="176"/>
        <v>7.4663756439064755E-2</v>
      </c>
      <c r="V215" s="3">
        <f t="shared" si="176"/>
        <v>7.4661727018489041E-2</v>
      </c>
      <c r="W215" s="3">
        <f t="shared" si="176"/>
        <v>7.4641435846354562E-2</v>
      </c>
      <c r="X215" s="3">
        <f t="shared" si="176"/>
        <v>7.4438827182404549E-2</v>
      </c>
      <c r="Y215" s="3">
        <f t="shared" si="176"/>
        <v>7.2442743699863532E-2</v>
      </c>
      <c r="Z215" s="3">
        <f t="shared" si="176"/>
        <v>5.5201207118920757E-2</v>
      </c>
      <c r="AA215" s="3">
        <f t="shared" si="176"/>
        <v>3.6432201776424602E-3</v>
      </c>
      <c r="AB215" s="3">
        <f t="shared" si="176"/>
        <v>5.7128636154553696E-15</v>
      </c>
      <c r="AC215" s="3">
        <f t="shared" si="176"/>
        <v>5.1349738003472265E-133</v>
      </c>
      <c r="AD215" s="3">
        <f t="shared" si="176"/>
        <v>0</v>
      </c>
      <c r="AE215" s="3">
        <f t="shared" si="176"/>
        <v>0</v>
      </c>
      <c r="AF215" s="3">
        <f t="shared" si="176"/>
        <v>0</v>
      </c>
      <c r="AG215" s="3"/>
      <c r="AH215" s="3"/>
    </row>
    <row r="216" spans="1:34" x14ac:dyDescent="0.25">
      <c r="B216" s="3">
        <f t="shared" ref="B216:AF216" si="177">$C24*EXP(-B$207/$A24/EXP(-$D$126))</f>
        <v>9.0647969973627479E-2</v>
      </c>
      <c r="C216" s="3">
        <f t="shared" si="177"/>
        <v>9.0647969973627479E-2</v>
      </c>
      <c r="D216" s="3">
        <f t="shared" si="177"/>
        <v>9.0647969973627479E-2</v>
      </c>
      <c r="E216" s="3">
        <f t="shared" si="177"/>
        <v>9.0647969973627479E-2</v>
      </c>
      <c r="F216" s="3">
        <f t="shared" si="177"/>
        <v>9.0647969973627479E-2</v>
      </c>
      <c r="G216" s="3">
        <f t="shared" si="177"/>
        <v>9.0647969973627479E-2</v>
      </c>
      <c r="H216" s="3">
        <f t="shared" si="177"/>
        <v>9.0647969973627479E-2</v>
      </c>
      <c r="I216" s="3">
        <f t="shared" si="177"/>
        <v>9.0647969973627479E-2</v>
      </c>
      <c r="J216" s="3">
        <f t="shared" si="177"/>
        <v>9.0647969973627479E-2</v>
      </c>
      <c r="K216" s="3">
        <f t="shared" si="177"/>
        <v>9.0647969973627479E-2</v>
      </c>
      <c r="L216" s="3">
        <f t="shared" si="177"/>
        <v>9.0647969973627465E-2</v>
      </c>
      <c r="M216" s="3">
        <f t="shared" si="177"/>
        <v>9.0647969973627229E-2</v>
      </c>
      <c r="N216" s="3">
        <f t="shared" si="177"/>
        <v>9.0647969973625009E-2</v>
      </c>
      <c r="O216" s="3">
        <f t="shared" si="177"/>
        <v>9.0647969973602777E-2</v>
      </c>
      <c r="P216" s="3">
        <f t="shared" si="177"/>
        <v>9.0647969973380524E-2</v>
      </c>
      <c r="Q216" s="3">
        <f t="shared" si="177"/>
        <v>9.0647969971157857E-2</v>
      </c>
      <c r="R216" s="3">
        <f t="shared" si="177"/>
        <v>9.0647969948931276E-2</v>
      </c>
      <c r="S216" s="3">
        <f t="shared" si="177"/>
        <v>9.0647969726665389E-2</v>
      </c>
      <c r="T216" s="3">
        <f t="shared" si="177"/>
        <v>9.0647967504006624E-2</v>
      </c>
      <c r="U216" s="3">
        <f t="shared" si="177"/>
        <v>9.0647945277421968E-2</v>
      </c>
      <c r="V216" s="3">
        <f t="shared" si="177"/>
        <v>9.0647723011875167E-2</v>
      </c>
      <c r="W216" s="3">
        <f t="shared" si="177"/>
        <v>9.0645500386381181E-2</v>
      </c>
      <c r="X216" s="3">
        <f t="shared" si="177"/>
        <v>9.0623277128577276E-2</v>
      </c>
      <c r="Y216" s="3">
        <f t="shared" si="177"/>
        <v>9.0401343992392136E-2</v>
      </c>
      <c r="Z216" s="3">
        <f t="shared" si="177"/>
        <v>8.8211686926456381E-2</v>
      </c>
      <c r="AA216" s="3">
        <f t="shared" si="177"/>
        <v>6.9030104404650655E-2</v>
      </c>
      <c r="AB216" s="3">
        <f t="shared" si="177"/>
        <v>5.9451464628329093E-3</v>
      </c>
      <c r="AC216" s="3">
        <f t="shared" si="177"/>
        <v>1.3347589394559258E-13</v>
      </c>
      <c r="AD216" s="3">
        <f t="shared" si="177"/>
        <v>4.3431580895150559E-120</v>
      </c>
      <c r="AE216" s="3">
        <f t="shared" si="177"/>
        <v>0</v>
      </c>
      <c r="AF216" s="3">
        <f t="shared" si="177"/>
        <v>0</v>
      </c>
      <c r="AG216" s="3"/>
      <c r="AH216" s="3"/>
    </row>
    <row r="217" spans="1:34" x14ac:dyDescent="0.25">
      <c r="B217" s="3">
        <f t="shared" ref="B217:AF217" si="178">$C25*EXP(-B$207/$A25/EXP(-$D$126))</f>
        <v>0.10513898706376987</v>
      </c>
      <c r="C217" s="3">
        <f t="shared" si="178"/>
        <v>0.10513898706376987</v>
      </c>
      <c r="D217" s="3">
        <f t="shared" si="178"/>
        <v>0.10513898706376987</v>
      </c>
      <c r="E217" s="3">
        <f t="shared" si="178"/>
        <v>0.10513898706376987</v>
      </c>
      <c r="F217" s="3">
        <f t="shared" si="178"/>
        <v>0.10513898706376987</v>
      </c>
      <c r="G217" s="3">
        <f t="shared" si="178"/>
        <v>0.10513898706376987</v>
      </c>
      <c r="H217" s="3">
        <f t="shared" si="178"/>
        <v>0.10513898706376987</v>
      </c>
      <c r="I217" s="3">
        <f t="shared" si="178"/>
        <v>0.10513898706376987</v>
      </c>
      <c r="J217" s="3">
        <f t="shared" si="178"/>
        <v>0.10513898706376987</v>
      </c>
      <c r="K217" s="3">
        <f t="shared" si="178"/>
        <v>0.10513898706376987</v>
      </c>
      <c r="L217" s="3">
        <f t="shared" si="178"/>
        <v>0.10513898706376987</v>
      </c>
      <c r="M217" s="3">
        <f t="shared" si="178"/>
        <v>0.10513898706376984</v>
      </c>
      <c r="N217" s="3">
        <f t="shared" si="178"/>
        <v>0.1051389870637696</v>
      </c>
      <c r="O217" s="3">
        <f t="shared" si="178"/>
        <v>0.10513898706376729</v>
      </c>
      <c r="P217" s="3">
        <f t="shared" si="178"/>
        <v>0.10513898706374403</v>
      </c>
      <c r="Q217" s="3">
        <f t="shared" si="178"/>
        <v>0.10513898706351148</v>
      </c>
      <c r="R217" s="3">
        <f t="shared" si="178"/>
        <v>0.10513898706118592</v>
      </c>
      <c r="S217" s="3">
        <f t="shared" si="178"/>
        <v>0.10513898703793045</v>
      </c>
      <c r="T217" s="3">
        <f t="shared" si="178"/>
        <v>0.10513898680537577</v>
      </c>
      <c r="U217" s="3">
        <f t="shared" si="178"/>
        <v>0.10513898447982893</v>
      </c>
      <c r="V217" s="3">
        <f t="shared" si="178"/>
        <v>0.10513896122436343</v>
      </c>
      <c r="W217" s="3">
        <f t="shared" si="178"/>
        <v>0.1051387286699913</v>
      </c>
      <c r="X217" s="3">
        <f t="shared" si="178"/>
        <v>0.10513640315456083</v>
      </c>
      <c r="Y217" s="3">
        <f t="shared" si="178"/>
        <v>0.10511315082910391</v>
      </c>
      <c r="Z217" s="3">
        <f t="shared" si="178"/>
        <v>0.10488091022795316</v>
      </c>
      <c r="AA217" s="3">
        <f t="shared" si="178"/>
        <v>0.102586539598345</v>
      </c>
      <c r="AB217" s="3">
        <f t="shared" si="178"/>
        <v>8.2229889953628801E-2</v>
      </c>
      <c r="AC217" s="3">
        <f t="shared" si="178"/>
        <v>9.0037409893835262E-3</v>
      </c>
      <c r="AD217" s="3">
        <f t="shared" si="178"/>
        <v>2.2302617403103898E-12</v>
      </c>
      <c r="AE217" s="3">
        <f t="shared" si="178"/>
        <v>1.9394752630251772E-108</v>
      </c>
      <c r="AF217" s="3">
        <f t="shared" si="178"/>
        <v>0</v>
      </c>
      <c r="AG217" s="3"/>
      <c r="AH217" s="3"/>
    </row>
    <row r="218" spans="1:34" x14ac:dyDescent="0.25">
      <c r="B218" s="3">
        <f t="shared" ref="B218:AF218" si="179">$C26*EXP(-B$207/$A26/EXP(-$D$126))</f>
        <v>0.12480864845095105</v>
      </c>
      <c r="C218" s="3">
        <f t="shared" si="179"/>
        <v>0.12480864845095105</v>
      </c>
      <c r="D218" s="3">
        <f t="shared" si="179"/>
        <v>0.12480864845095105</v>
      </c>
      <c r="E218" s="3">
        <f t="shared" si="179"/>
        <v>0.12480864845095105</v>
      </c>
      <c r="F218" s="3">
        <f t="shared" si="179"/>
        <v>0.12480864845095105</v>
      </c>
      <c r="G218" s="3">
        <f t="shared" si="179"/>
        <v>0.12480864845095105</v>
      </c>
      <c r="H218" s="3">
        <f t="shared" si="179"/>
        <v>0.12480864845095105</v>
      </c>
      <c r="I218" s="3">
        <f t="shared" si="179"/>
        <v>0.12480864845095105</v>
      </c>
      <c r="J218" s="3">
        <f t="shared" si="179"/>
        <v>0.12480864845095105</v>
      </c>
      <c r="K218" s="3">
        <f t="shared" si="179"/>
        <v>0.12480864845095105</v>
      </c>
      <c r="L218" s="3">
        <f t="shared" si="179"/>
        <v>0.12480864845095105</v>
      </c>
      <c r="M218" s="3">
        <f t="shared" si="179"/>
        <v>0.12480864845095105</v>
      </c>
      <c r="N218" s="3">
        <f t="shared" si="179"/>
        <v>0.12480864845095102</v>
      </c>
      <c r="O218" s="3">
        <f t="shared" si="179"/>
        <v>0.12480864845095077</v>
      </c>
      <c r="P218" s="3">
        <f t="shared" si="179"/>
        <v>0.12480864845094827</v>
      </c>
      <c r="Q218" s="3">
        <f t="shared" si="179"/>
        <v>0.12480864845092338</v>
      </c>
      <c r="R218" s="3">
        <f t="shared" si="179"/>
        <v>0.12480864845067435</v>
      </c>
      <c r="S218" s="3">
        <f t="shared" si="179"/>
        <v>0.12480864844818405</v>
      </c>
      <c r="T218" s="3">
        <f t="shared" si="179"/>
        <v>0.12480864842328099</v>
      </c>
      <c r="U218" s="3">
        <f t="shared" si="179"/>
        <v>0.12480864817425047</v>
      </c>
      <c r="V218" s="3">
        <f t="shared" si="179"/>
        <v>0.12480864568394529</v>
      </c>
      <c r="W218" s="3">
        <f t="shared" si="179"/>
        <v>0.12480862078089615</v>
      </c>
      <c r="X218" s="3">
        <f t="shared" si="179"/>
        <v>0.12480837175067805</v>
      </c>
      <c r="Y218" s="3">
        <f t="shared" si="179"/>
        <v>0.12480588147582586</v>
      </c>
      <c r="Z218" s="3">
        <f t="shared" si="179"/>
        <v>0.12478098145997611</v>
      </c>
      <c r="AA218" s="3">
        <f t="shared" si="179"/>
        <v>0.12453225436706605</v>
      </c>
      <c r="AB218" s="3">
        <f t="shared" si="179"/>
        <v>0.12207208947459047</v>
      </c>
      <c r="AC218" s="3">
        <f t="shared" si="179"/>
        <v>9.999117252817892E-2</v>
      </c>
      <c r="AD218" s="3">
        <f t="shared" si="179"/>
        <v>1.3596104332367694E-2</v>
      </c>
      <c r="AE218" s="3">
        <f t="shared" si="179"/>
        <v>2.9372625182978834E-11</v>
      </c>
      <c r="AF218" s="3">
        <f t="shared" si="179"/>
        <v>6.5046736422207131E-98</v>
      </c>
      <c r="AG218" s="3"/>
      <c r="AH218" s="3"/>
    </row>
    <row r="219" spans="1:34" x14ac:dyDescent="0.25">
      <c r="B219" s="3">
        <f t="shared" ref="B219:AF219" si="180">$C27*EXP(-B$207/$A27/EXP(-$D$126))</f>
        <v>8.8034867704118849E-2</v>
      </c>
      <c r="C219" s="3">
        <f t="shared" si="180"/>
        <v>8.8034867704118849E-2</v>
      </c>
      <c r="D219" s="3">
        <f t="shared" si="180"/>
        <v>8.8034867704118849E-2</v>
      </c>
      <c r="E219" s="3">
        <f t="shared" si="180"/>
        <v>8.8034867704118849E-2</v>
      </c>
      <c r="F219" s="3">
        <f t="shared" si="180"/>
        <v>8.8034867704118849E-2</v>
      </c>
      <c r="G219" s="3">
        <f t="shared" si="180"/>
        <v>8.8034867704118849E-2</v>
      </c>
      <c r="H219" s="3">
        <f t="shared" si="180"/>
        <v>8.8034867704118849E-2</v>
      </c>
      <c r="I219" s="3">
        <f t="shared" si="180"/>
        <v>8.8034867704118849E-2</v>
      </c>
      <c r="J219" s="3">
        <f t="shared" si="180"/>
        <v>8.8034867704118849E-2</v>
      </c>
      <c r="K219" s="3">
        <f t="shared" si="180"/>
        <v>8.8034867704118849E-2</v>
      </c>
      <c r="L219" s="3">
        <f t="shared" si="180"/>
        <v>8.8034867704118849E-2</v>
      </c>
      <c r="M219" s="3">
        <f t="shared" si="180"/>
        <v>8.8034867704118849E-2</v>
      </c>
      <c r="N219" s="3">
        <f t="shared" si="180"/>
        <v>8.8034867704118849E-2</v>
      </c>
      <c r="O219" s="3">
        <f t="shared" si="180"/>
        <v>8.8034867704118835E-2</v>
      </c>
      <c r="P219" s="3">
        <f t="shared" si="180"/>
        <v>8.8034867704118669E-2</v>
      </c>
      <c r="Q219" s="3">
        <f t="shared" si="180"/>
        <v>8.8034867704117087E-2</v>
      </c>
      <c r="R219" s="3">
        <f t="shared" si="180"/>
        <v>8.8034867704101252E-2</v>
      </c>
      <c r="S219" s="3">
        <f t="shared" si="180"/>
        <v>8.8034867703942782E-2</v>
      </c>
      <c r="T219" s="3">
        <f t="shared" si="180"/>
        <v>8.8034867702358216E-2</v>
      </c>
      <c r="U219" s="3">
        <f t="shared" si="180"/>
        <v>8.8034867686512613E-2</v>
      </c>
      <c r="V219" s="3">
        <f t="shared" si="180"/>
        <v>8.8034867528056421E-2</v>
      </c>
      <c r="W219" s="3">
        <f t="shared" si="180"/>
        <v>8.803486594349455E-2</v>
      </c>
      <c r="X219" s="3">
        <f t="shared" si="180"/>
        <v>8.803485009787744E-2</v>
      </c>
      <c r="Y219" s="3">
        <f t="shared" si="180"/>
        <v>8.8034691641863297E-2</v>
      </c>
      <c r="Z219" s="3">
        <f t="shared" si="180"/>
        <v>8.8033107097408095E-2</v>
      </c>
      <c r="AA219" s="3">
        <f t="shared" si="180"/>
        <v>8.8017263221391362E-2</v>
      </c>
      <c r="AB219" s="3">
        <f t="shared" si="180"/>
        <v>8.7858981210326384E-2</v>
      </c>
      <c r="AC219" s="3">
        <f t="shared" si="180"/>
        <v>8.6291732120036629E-2</v>
      </c>
      <c r="AD219" s="3">
        <f t="shared" si="180"/>
        <v>7.207745151908744E-2</v>
      </c>
      <c r="AE219" s="3">
        <f t="shared" si="180"/>
        <v>1.1915212257497204E-2</v>
      </c>
      <c r="AF219" s="3">
        <f t="shared" si="180"/>
        <v>1.8160399135398701E-10</v>
      </c>
      <c r="AG219" s="3"/>
      <c r="AH219" s="3"/>
    </row>
    <row r="220" spans="1:34" x14ac:dyDescent="0.25">
      <c r="B220" s="3">
        <f t="shared" ref="B220:AF220" si="181">$C28*EXP(-B$207/$A28/EXP(-$D$126))</f>
        <v>5.3040160566801761E-2</v>
      </c>
      <c r="C220" s="3">
        <f t="shared" si="181"/>
        <v>5.3040160566801761E-2</v>
      </c>
      <c r="D220" s="3">
        <f t="shared" si="181"/>
        <v>5.3040160566801761E-2</v>
      </c>
      <c r="E220" s="3">
        <f t="shared" si="181"/>
        <v>5.3040160566801761E-2</v>
      </c>
      <c r="F220" s="3">
        <f t="shared" si="181"/>
        <v>5.3040160566801761E-2</v>
      </c>
      <c r="G220" s="3">
        <f t="shared" si="181"/>
        <v>5.3040160566801761E-2</v>
      </c>
      <c r="H220" s="3">
        <f t="shared" si="181"/>
        <v>5.3040160566801761E-2</v>
      </c>
      <c r="I220" s="3">
        <f t="shared" si="181"/>
        <v>5.3040160566801761E-2</v>
      </c>
      <c r="J220" s="3">
        <f t="shared" si="181"/>
        <v>5.3040160566801761E-2</v>
      </c>
      <c r="K220" s="3">
        <f t="shared" si="181"/>
        <v>5.3040160566801761E-2</v>
      </c>
      <c r="L220" s="3">
        <f t="shared" si="181"/>
        <v>5.3040160566801761E-2</v>
      </c>
      <c r="M220" s="3">
        <f t="shared" si="181"/>
        <v>5.3040160566801761E-2</v>
      </c>
      <c r="N220" s="3">
        <f t="shared" si="181"/>
        <v>5.3040160566801761E-2</v>
      </c>
      <c r="O220" s="3">
        <f t="shared" si="181"/>
        <v>5.3040160566801761E-2</v>
      </c>
      <c r="P220" s="3">
        <f t="shared" si="181"/>
        <v>5.3040160566801747E-2</v>
      </c>
      <c r="Q220" s="3">
        <f t="shared" si="181"/>
        <v>5.3040160566801664E-2</v>
      </c>
      <c r="R220" s="3">
        <f t="shared" si="181"/>
        <v>5.3040160566800811E-2</v>
      </c>
      <c r="S220" s="3">
        <f t="shared" si="181"/>
        <v>5.3040160566792192E-2</v>
      </c>
      <c r="T220" s="3">
        <f t="shared" si="181"/>
        <v>5.3040160566706074E-2</v>
      </c>
      <c r="U220" s="3">
        <f t="shared" si="181"/>
        <v>5.3040160565844867E-2</v>
      </c>
      <c r="V220" s="3">
        <f t="shared" si="181"/>
        <v>5.3040160557232832E-2</v>
      </c>
      <c r="W220" s="3">
        <f t="shared" si="181"/>
        <v>5.3040160471112457E-2</v>
      </c>
      <c r="X220" s="3">
        <f t="shared" si="181"/>
        <v>5.3040159609908717E-2</v>
      </c>
      <c r="Y220" s="3">
        <f t="shared" si="181"/>
        <v>5.3040150997872113E-2</v>
      </c>
      <c r="Z220" s="3">
        <f t="shared" si="181"/>
        <v>5.3040064877582969E-2</v>
      </c>
      <c r="AA220" s="3">
        <f t="shared" si="181"/>
        <v>5.3039203682382234E-2</v>
      </c>
      <c r="AB220" s="3">
        <f t="shared" si="181"/>
        <v>5.3030592499400293E-2</v>
      </c>
      <c r="AC220" s="3">
        <f t="shared" si="181"/>
        <v>5.2944557525941863E-2</v>
      </c>
      <c r="AD220" s="3">
        <f t="shared" si="181"/>
        <v>5.2091847454886812E-2</v>
      </c>
      <c r="AE220" s="3">
        <f t="shared" si="181"/>
        <v>4.4284743130295574E-2</v>
      </c>
      <c r="AF220" s="3">
        <f t="shared" si="181"/>
        <v>8.7316803415839785E-3</v>
      </c>
      <c r="AG220" s="3"/>
      <c r="AH220" s="3"/>
    </row>
    <row r="221" spans="1:34" x14ac:dyDescent="0.25">
      <c r="B221" s="3">
        <f t="shared" ref="B221:AF221" si="182">$C29*EXP(-B$207/$A29/EXP(-$D$126))</f>
        <v>2.9418988584786216E-2</v>
      </c>
      <c r="C221" s="3">
        <f t="shared" si="182"/>
        <v>2.9418988584786216E-2</v>
      </c>
      <c r="D221" s="3">
        <f t="shared" si="182"/>
        <v>2.9418988584786216E-2</v>
      </c>
      <c r="E221" s="3">
        <f t="shared" si="182"/>
        <v>2.9418988584786216E-2</v>
      </c>
      <c r="F221" s="3">
        <f t="shared" si="182"/>
        <v>2.9418988584786216E-2</v>
      </c>
      <c r="G221" s="3">
        <f t="shared" si="182"/>
        <v>2.9418988584786216E-2</v>
      </c>
      <c r="H221" s="3">
        <f t="shared" si="182"/>
        <v>2.9418988584786216E-2</v>
      </c>
      <c r="I221" s="3">
        <f t="shared" si="182"/>
        <v>2.9418988584786216E-2</v>
      </c>
      <c r="J221" s="3">
        <f t="shared" si="182"/>
        <v>2.9418988584786216E-2</v>
      </c>
      <c r="K221" s="3">
        <f t="shared" si="182"/>
        <v>2.9418988584786216E-2</v>
      </c>
      <c r="L221" s="3">
        <f t="shared" si="182"/>
        <v>2.9418988584786216E-2</v>
      </c>
      <c r="M221" s="3">
        <f t="shared" si="182"/>
        <v>2.9418988584786216E-2</v>
      </c>
      <c r="N221" s="3">
        <f t="shared" si="182"/>
        <v>2.9418988584786216E-2</v>
      </c>
      <c r="O221" s="3">
        <f t="shared" si="182"/>
        <v>2.9418988584786216E-2</v>
      </c>
      <c r="P221" s="3">
        <f t="shared" si="182"/>
        <v>2.9418988584786216E-2</v>
      </c>
      <c r="Q221" s="3">
        <f t="shared" si="182"/>
        <v>2.9418988584786213E-2</v>
      </c>
      <c r="R221" s="3">
        <f t="shared" si="182"/>
        <v>2.9418988584786167E-2</v>
      </c>
      <c r="S221" s="3">
        <f t="shared" si="182"/>
        <v>2.9418988584785737E-2</v>
      </c>
      <c r="T221" s="3">
        <f t="shared" si="182"/>
        <v>2.9418988584781428E-2</v>
      </c>
      <c r="U221" s="3">
        <f t="shared" si="182"/>
        <v>2.9418988584738338E-2</v>
      </c>
      <c r="V221" s="3">
        <f t="shared" si="182"/>
        <v>2.9418988584307439E-2</v>
      </c>
      <c r="W221" s="3">
        <f t="shared" si="182"/>
        <v>2.9418988579998452E-2</v>
      </c>
      <c r="X221" s="3">
        <f t="shared" si="182"/>
        <v>2.9418988536908559E-2</v>
      </c>
      <c r="Y221" s="3">
        <f t="shared" si="182"/>
        <v>2.9418988106009639E-2</v>
      </c>
      <c r="Z221" s="3">
        <f t="shared" si="182"/>
        <v>2.9418983797020792E-2</v>
      </c>
      <c r="AA221" s="3">
        <f t="shared" si="182"/>
        <v>2.9418940707167048E-2</v>
      </c>
      <c r="AB221" s="3">
        <f t="shared" si="182"/>
        <v>2.9418509812100816E-2</v>
      </c>
      <c r="AC221" s="3">
        <f t="shared" si="182"/>
        <v>2.9414201208542511E-2</v>
      </c>
      <c r="AD221" s="3">
        <f t="shared" si="182"/>
        <v>2.9371149864555919E-2</v>
      </c>
      <c r="AE221" s="3">
        <f t="shared" si="182"/>
        <v>2.8944086857085542E-2</v>
      </c>
      <c r="AF221" s="3">
        <f t="shared" si="182"/>
        <v>2.5000511141817023E-2</v>
      </c>
      <c r="AG221" s="3"/>
      <c r="AH221" s="3"/>
    </row>
    <row r="222" spans="1:34" x14ac:dyDescent="0.25">
      <c r="B222" s="3">
        <f t="shared" ref="B222:AF222" si="183">$C30*EXP(-B$207/$A30/EXP(-$D$126))</f>
        <v>6.3753391533418529E-3</v>
      </c>
      <c r="C222" s="3">
        <f t="shared" si="183"/>
        <v>6.3753391533418529E-3</v>
      </c>
      <c r="D222" s="3">
        <f t="shared" si="183"/>
        <v>6.3753391533418529E-3</v>
      </c>
      <c r="E222" s="3">
        <f t="shared" si="183"/>
        <v>6.3753391533418529E-3</v>
      </c>
      <c r="F222" s="3">
        <f t="shared" si="183"/>
        <v>6.3753391533418529E-3</v>
      </c>
      <c r="G222" s="3">
        <f t="shared" si="183"/>
        <v>6.3753391533418529E-3</v>
      </c>
      <c r="H222" s="3">
        <f t="shared" si="183"/>
        <v>6.3753391533418529E-3</v>
      </c>
      <c r="I222" s="3">
        <f t="shared" si="183"/>
        <v>6.3753391533418529E-3</v>
      </c>
      <c r="J222" s="3">
        <f t="shared" si="183"/>
        <v>6.3753391533418529E-3</v>
      </c>
      <c r="K222" s="3">
        <f t="shared" si="183"/>
        <v>6.3753391533418529E-3</v>
      </c>
      <c r="L222" s="3">
        <f t="shared" si="183"/>
        <v>6.3753391533418529E-3</v>
      </c>
      <c r="M222" s="3">
        <f t="shared" si="183"/>
        <v>6.3753391533418529E-3</v>
      </c>
      <c r="N222" s="3">
        <f t="shared" si="183"/>
        <v>6.3753391533418529E-3</v>
      </c>
      <c r="O222" s="3">
        <f t="shared" si="183"/>
        <v>6.3753391533418529E-3</v>
      </c>
      <c r="P222" s="3">
        <f t="shared" si="183"/>
        <v>6.3753391533418529E-3</v>
      </c>
      <c r="Q222" s="3">
        <f t="shared" si="183"/>
        <v>6.3753391533418529E-3</v>
      </c>
      <c r="R222" s="3">
        <f t="shared" si="183"/>
        <v>6.3753391533418521E-3</v>
      </c>
      <c r="S222" s="3">
        <f t="shared" si="183"/>
        <v>6.3753391533418434E-3</v>
      </c>
      <c r="T222" s="3">
        <f t="shared" si="183"/>
        <v>6.3753391533417593E-3</v>
      </c>
      <c r="U222" s="3">
        <f t="shared" si="183"/>
        <v>6.3753391533409171E-3</v>
      </c>
      <c r="V222" s="3">
        <f t="shared" si="183"/>
        <v>6.3753391533324932E-3</v>
      </c>
      <c r="W222" s="3">
        <f t="shared" si="183"/>
        <v>6.3753391532482568E-3</v>
      </c>
      <c r="X222" s="3">
        <f t="shared" si="183"/>
        <v>6.3753391524058976E-3</v>
      </c>
      <c r="Y222" s="3">
        <f t="shared" si="183"/>
        <v>6.3753391439823016E-3</v>
      </c>
      <c r="Z222" s="3">
        <f t="shared" si="183"/>
        <v>6.3753390597463371E-3</v>
      </c>
      <c r="AA222" s="3">
        <f t="shared" si="183"/>
        <v>6.3753382173867557E-3</v>
      </c>
      <c r="AB222" s="3">
        <f t="shared" si="183"/>
        <v>6.3753297937970644E-3</v>
      </c>
      <c r="AC222" s="3">
        <f t="shared" si="183"/>
        <v>6.3752455585122884E-3</v>
      </c>
      <c r="AD222" s="3">
        <f t="shared" si="183"/>
        <v>6.3744032668757384E-3</v>
      </c>
      <c r="AE222" s="3">
        <f t="shared" si="183"/>
        <v>6.3659864686391662E-3</v>
      </c>
      <c r="AF222" s="3">
        <f t="shared" si="183"/>
        <v>6.2824273187201745E-3</v>
      </c>
      <c r="AG222" s="3"/>
      <c r="AH222" s="3"/>
    </row>
    <row r="223" spans="1:34" x14ac:dyDescent="0.25">
      <c r="B223" s="3">
        <f t="shared" ref="B223:AF223" si="184">$C31*EXP(-B$207/$A31/EXP(-$D$126))</f>
        <v>3.2709514210797811E-3</v>
      </c>
      <c r="C223" s="3">
        <f t="shared" si="184"/>
        <v>3.2709514210797811E-3</v>
      </c>
      <c r="D223" s="3">
        <f t="shared" si="184"/>
        <v>3.2709514210797811E-3</v>
      </c>
      <c r="E223" s="3">
        <f t="shared" si="184"/>
        <v>3.2709514210797811E-3</v>
      </c>
      <c r="F223" s="3">
        <f t="shared" si="184"/>
        <v>3.2709514210797811E-3</v>
      </c>
      <c r="G223" s="3">
        <f t="shared" si="184"/>
        <v>3.2709514210797811E-3</v>
      </c>
      <c r="H223" s="3">
        <f t="shared" si="184"/>
        <v>3.2709514210797811E-3</v>
      </c>
      <c r="I223" s="3">
        <f t="shared" si="184"/>
        <v>3.2709514210797811E-3</v>
      </c>
      <c r="J223" s="3">
        <f t="shared" si="184"/>
        <v>3.2709514210797811E-3</v>
      </c>
      <c r="K223" s="3">
        <f t="shared" si="184"/>
        <v>3.2709514210797811E-3</v>
      </c>
      <c r="L223" s="3">
        <f t="shared" si="184"/>
        <v>3.2709514210797811E-3</v>
      </c>
      <c r="M223" s="3">
        <f t="shared" si="184"/>
        <v>3.2709514210797811E-3</v>
      </c>
      <c r="N223" s="3">
        <f t="shared" si="184"/>
        <v>3.2709514210797811E-3</v>
      </c>
      <c r="O223" s="3">
        <f t="shared" si="184"/>
        <v>3.2709514210797811E-3</v>
      </c>
      <c r="P223" s="3">
        <f t="shared" si="184"/>
        <v>3.2709514210797811E-3</v>
      </c>
      <c r="Q223" s="3">
        <f t="shared" si="184"/>
        <v>3.2709514210797811E-3</v>
      </c>
      <c r="R223" s="3">
        <f t="shared" si="184"/>
        <v>3.2709514210797811E-3</v>
      </c>
      <c r="S223" s="3">
        <f t="shared" si="184"/>
        <v>3.2709514210797807E-3</v>
      </c>
      <c r="T223" s="3">
        <f t="shared" si="184"/>
        <v>3.2709514210797768E-3</v>
      </c>
      <c r="U223" s="3">
        <f t="shared" si="184"/>
        <v>3.2709514210797377E-3</v>
      </c>
      <c r="V223" s="3">
        <f t="shared" si="184"/>
        <v>3.2709514210793478E-3</v>
      </c>
      <c r="W223" s="3">
        <f t="shared" si="184"/>
        <v>3.2709514210754491E-3</v>
      </c>
      <c r="X223" s="3">
        <f t="shared" si="184"/>
        <v>3.2709514210364624E-3</v>
      </c>
      <c r="Y223" s="3">
        <f t="shared" si="184"/>
        <v>3.2709514206465972E-3</v>
      </c>
      <c r="Z223" s="3">
        <f t="shared" si="184"/>
        <v>3.2709514167479407E-3</v>
      </c>
      <c r="AA223" s="3">
        <f t="shared" si="184"/>
        <v>3.2709513777613784E-3</v>
      </c>
      <c r="AB223" s="3">
        <f t="shared" si="184"/>
        <v>3.2709509878957794E-3</v>
      </c>
      <c r="AC223" s="3">
        <f t="shared" si="184"/>
        <v>3.2709470892423463E-3</v>
      </c>
      <c r="AD223" s="3">
        <f t="shared" si="184"/>
        <v>3.2709081029635889E-3</v>
      </c>
      <c r="AE223" s="3">
        <f t="shared" si="184"/>
        <v>3.2705182657322709E-3</v>
      </c>
      <c r="AF223" s="3">
        <f t="shared" si="184"/>
        <v>3.2666224479178832E-3</v>
      </c>
      <c r="AG223" s="3"/>
      <c r="AH223" s="3"/>
    </row>
    <row r="224" spans="1:34" x14ac:dyDescent="0.25">
      <c r="B224" s="3">
        <f t="shared" ref="B224:AF224" si="185">$C32*EXP(-B$207/$A32/EXP(-$D$126))</f>
        <v>1.2755053961347703E-3</v>
      </c>
      <c r="C224" s="3">
        <f t="shared" si="185"/>
        <v>1.2755053961347703E-3</v>
      </c>
      <c r="D224" s="3">
        <f t="shared" si="185"/>
        <v>1.2755053961347703E-3</v>
      </c>
      <c r="E224" s="3">
        <f t="shared" si="185"/>
        <v>1.2755053961347703E-3</v>
      </c>
      <c r="F224" s="3">
        <f t="shared" si="185"/>
        <v>1.2755053961347703E-3</v>
      </c>
      <c r="G224" s="3">
        <f t="shared" si="185"/>
        <v>1.2755053961347703E-3</v>
      </c>
      <c r="H224" s="3">
        <f t="shared" si="185"/>
        <v>1.2755053961347703E-3</v>
      </c>
      <c r="I224" s="3">
        <f t="shared" si="185"/>
        <v>1.2755053961347703E-3</v>
      </c>
      <c r="J224" s="3">
        <f t="shared" si="185"/>
        <v>1.2755053961347703E-3</v>
      </c>
      <c r="K224" s="3">
        <f t="shared" si="185"/>
        <v>1.2755053961347703E-3</v>
      </c>
      <c r="L224" s="3">
        <f t="shared" si="185"/>
        <v>1.2755053961347703E-3</v>
      </c>
      <c r="M224" s="3">
        <f t="shared" si="185"/>
        <v>1.2755053961347703E-3</v>
      </c>
      <c r="N224" s="3">
        <f t="shared" si="185"/>
        <v>1.2755053961347703E-3</v>
      </c>
      <c r="O224" s="3">
        <f t="shared" si="185"/>
        <v>1.2755053961347703E-3</v>
      </c>
      <c r="P224" s="3">
        <f t="shared" si="185"/>
        <v>1.2755053961347703E-3</v>
      </c>
      <c r="Q224" s="3">
        <f t="shared" si="185"/>
        <v>1.2755053961347703E-3</v>
      </c>
      <c r="R224" s="3">
        <f t="shared" si="185"/>
        <v>1.2755053961347703E-3</v>
      </c>
      <c r="S224" s="3">
        <f t="shared" si="185"/>
        <v>1.2755053961347703E-3</v>
      </c>
      <c r="T224" s="3">
        <f t="shared" si="185"/>
        <v>1.2755053961347701E-3</v>
      </c>
      <c r="U224" s="3">
        <f t="shared" si="185"/>
        <v>1.2755053961347688E-3</v>
      </c>
      <c r="V224" s="3">
        <f t="shared" si="185"/>
        <v>1.2755053961347549E-3</v>
      </c>
      <c r="W224" s="3">
        <f t="shared" si="185"/>
        <v>1.2755053961346179E-3</v>
      </c>
      <c r="X224" s="3">
        <f t="shared" si="185"/>
        <v>1.2755053961332463E-3</v>
      </c>
      <c r="Y224" s="3">
        <f t="shared" si="185"/>
        <v>1.2755053961195323E-3</v>
      </c>
      <c r="Z224" s="3">
        <f t="shared" si="185"/>
        <v>1.2755053959823905E-3</v>
      </c>
      <c r="AA224" s="3">
        <f t="shared" si="185"/>
        <v>1.2755053946109729E-3</v>
      </c>
      <c r="AB224" s="3">
        <f t="shared" si="185"/>
        <v>1.275505380896796E-3</v>
      </c>
      <c r="AC224" s="3">
        <f t="shared" si="185"/>
        <v>1.2755052437550371E-3</v>
      </c>
      <c r="AD224" s="3">
        <f t="shared" si="185"/>
        <v>1.2755038723382579E-3</v>
      </c>
      <c r="AE224" s="3">
        <f t="shared" si="185"/>
        <v>1.2754901582515661E-3</v>
      </c>
      <c r="AF224" s="3">
        <f t="shared" si="185"/>
        <v>1.2753530254942709E-3</v>
      </c>
      <c r="AG224" s="3"/>
      <c r="AH224" s="3"/>
    </row>
    <row r="225" spans="2:34" x14ac:dyDescent="0.25">
      <c r="B225" s="3">
        <f t="shared" ref="B225:AF225" si="186">$C33*EXP(-B$207/$A33/EXP(-$D$126))</f>
        <v>0</v>
      </c>
      <c r="C225" s="3">
        <f t="shared" si="186"/>
        <v>0</v>
      </c>
      <c r="D225" s="3">
        <f t="shared" si="186"/>
        <v>0</v>
      </c>
      <c r="E225" s="3">
        <f t="shared" si="186"/>
        <v>0</v>
      </c>
      <c r="F225" s="3">
        <f t="shared" si="186"/>
        <v>0</v>
      </c>
      <c r="G225" s="3">
        <f t="shared" si="186"/>
        <v>0</v>
      </c>
      <c r="H225" s="3">
        <f t="shared" si="186"/>
        <v>0</v>
      </c>
      <c r="I225" s="3">
        <f t="shared" si="186"/>
        <v>0</v>
      </c>
      <c r="J225" s="3">
        <f t="shared" si="186"/>
        <v>0</v>
      </c>
      <c r="K225" s="3">
        <f t="shared" si="186"/>
        <v>0</v>
      </c>
      <c r="L225" s="3">
        <f t="shared" si="186"/>
        <v>0</v>
      </c>
      <c r="M225" s="3">
        <f t="shared" si="186"/>
        <v>0</v>
      </c>
      <c r="N225" s="3">
        <f t="shared" si="186"/>
        <v>0</v>
      </c>
      <c r="O225" s="3">
        <f t="shared" si="186"/>
        <v>0</v>
      </c>
      <c r="P225" s="3">
        <f t="shared" si="186"/>
        <v>0</v>
      </c>
      <c r="Q225" s="3">
        <f t="shared" si="186"/>
        <v>0</v>
      </c>
      <c r="R225" s="3">
        <f t="shared" si="186"/>
        <v>0</v>
      </c>
      <c r="S225" s="3">
        <f t="shared" si="186"/>
        <v>0</v>
      </c>
      <c r="T225" s="3">
        <f t="shared" si="186"/>
        <v>0</v>
      </c>
      <c r="U225" s="3">
        <f t="shared" si="186"/>
        <v>0</v>
      </c>
      <c r="V225" s="3">
        <f t="shared" si="186"/>
        <v>0</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1.0163894385292978E-5</v>
      </c>
      <c r="C226" s="3">
        <f t="shared" si="187"/>
        <v>1.0163894385292978E-5</v>
      </c>
      <c r="D226" s="3">
        <f t="shared" si="187"/>
        <v>1.0163894385292978E-5</v>
      </c>
      <c r="E226" s="3">
        <f t="shared" si="187"/>
        <v>1.0163894385292978E-5</v>
      </c>
      <c r="F226" s="3">
        <f t="shared" si="187"/>
        <v>1.0163894385292978E-5</v>
      </c>
      <c r="G226" s="3">
        <f t="shared" si="187"/>
        <v>1.0163894385292978E-5</v>
      </c>
      <c r="H226" s="3">
        <f t="shared" si="187"/>
        <v>1.0163894385292978E-5</v>
      </c>
      <c r="I226" s="3">
        <f t="shared" si="187"/>
        <v>1.0163894385292978E-5</v>
      </c>
      <c r="J226" s="3">
        <f t="shared" si="187"/>
        <v>1.0163894385292978E-5</v>
      </c>
      <c r="K226" s="3">
        <f t="shared" si="187"/>
        <v>1.0163894385292978E-5</v>
      </c>
      <c r="L226" s="3">
        <f t="shared" si="187"/>
        <v>1.0163894385292978E-5</v>
      </c>
      <c r="M226" s="3">
        <f t="shared" si="187"/>
        <v>1.0163894385292978E-5</v>
      </c>
      <c r="N226" s="3">
        <f t="shared" si="187"/>
        <v>1.0163894385292978E-5</v>
      </c>
      <c r="O226" s="3">
        <f t="shared" si="187"/>
        <v>1.0163894385292978E-5</v>
      </c>
      <c r="P226" s="3">
        <f t="shared" si="187"/>
        <v>1.0163894385292978E-5</v>
      </c>
      <c r="Q226" s="3">
        <f t="shared" si="187"/>
        <v>1.0163894385292978E-5</v>
      </c>
      <c r="R226" s="3">
        <f t="shared" si="187"/>
        <v>1.0163894385292978E-5</v>
      </c>
      <c r="S226" s="3">
        <f t="shared" si="187"/>
        <v>1.0163894385292978E-5</v>
      </c>
      <c r="T226" s="3">
        <f t="shared" si="187"/>
        <v>1.0163894385292978E-5</v>
      </c>
      <c r="U226" s="3">
        <f t="shared" si="187"/>
        <v>1.0163894385292978E-5</v>
      </c>
      <c r="V226" s="3">
        <f t="shared" si="187"/>
        <v>1.0163894385292976E-5</v>
      </c>
      <c r="W226" s="3">
        <f t="shared" si="187"/>
        <v>1.0163894385292968E-5</v>
      </c>
      <c r="X226" s="3">
        <f t="shared" si="187"/>
        <v>1.0163894385292878E-5</v>
      </c>
      <c r="Y226" s="3">
        <f t="shared" si="187"/>
        <v>1.0163894385291989E-5</v>
      </c>
      <c r="Z226" s="3">
        <f t="shared" si="187"/>
        <v>1.0163894385283098E-5</v>
      </c>
      <c r="AA226" s="3">
        <f t="shared" si="187"/>
        <v>1.016389438519417E-5</v>
      </c>
      <c r="AB226" s="3">
        <f t="shared" si="187"/>
        <v>1.0163894384304884E-5</v>
      </c>
      <c r="AC226" s="3">
        <f t="shared" si="187"/>
        <v>1.0163894375412039E-5</v>
      </c>
      <c r="AD226" s="3">
        <f t="shared" si="187"/>
        <v>1.016389428648358E-5</v>
      </c>
      <c r="AE226" s="3">
        <f t="shared" si="187"/>
        <v>1.0163893397199031E-5</v>
      </c>
      <c r="AF226" s="3">
        <f t="shared" si="187"/>
        <v>1.0163884504357836E-5</v>
      </c>
      <c r="AG226" s="3"/>
      <c r="AH226" s="3"/>
    </row>
    <row r="227" spans="2:34" x14ac:dyDescent="0.25">
      <c r="B227" s="3">
        <f t="shared" ref="B227:AF227" si="188">$C35*EXP(-B$207/$A35/EXP(-$D$126))</f>
        <v>2.5019775067814324E-5</v>
      </c>
      <c r="C227" s="3">
        <f t="shared" si="188"/>
        <v>2.5019775067814324E-5</v>
      </c>
      <c r="D227" s="3">
        <f t="shared" si="188"/>
        <v>2.5019775067814324E-5</v>
      </c>
      <c r="E227" s="3">
        <f t="shared" si="188"/>
        <v>2.5019775067814324E-5</v>
      </c>
      <c r="F227" s="3">
        <f t="shared" si="188"/>
        <v>2.5019775067814324E-5</v>
      </c>
      <c r="G227" s="3">
        <f t="shared" si="188"/>
        <v>2.5019775067814324E-5</v>
      </c>
      <c r="H227" s="3">
        <f t="shared" si="188"/>
        <v>2.5019775067814324E-5</v>
      </c>
      <c r="I227" s="3">
        <f t="shared" si="188"/>
        <v>2.5019775067814324E-5</v>
      </c>
      <c r="J227" s="3">
        <f t="shared" si="188"/>
        <v>2.5019775067814324E-5</v>
      </c>
      <c r="K227" s="3">
        <f t="shared" si="188"/>
        <v>2.5019775067814324E-5</v>
      </c>
      <c r="L227" s="3">
        <f t="shared" si="188"/>
        <v>2.5019775067814324E-5</v>
      </c>
      <c r="M227" s="3">
        <f t="shared" si="188"/>
        <v>2.5019775067814324E-5</v>
      </c>
      <c r="N227" s="3">
        <f t="shared" si="188"/>
        <v>2.5019775067814324E-5</v>
      </c>
      <c r="O227" s="3">
        <f t="shared" si="188"/>
        <v>2.5019775067814324E-5</v>
      </c>
      <c r="P227" s="3">
        <f t="shared" si="188"/>
        <v>2.5019775067814324E-5</v>
      </c>
      <c r="Q227" s="3">
        <f t="shared" si="188"/>
        <v>2.5019775067814324E-5</v>
      </c>
      <c r="R227" s="3">
        <f t="shared" si="188"/>
        <v>2.5019775067814324E-5</v>
      </c>
      <c r="S227" s="3">
        <f t="shared" si="188"/>
        <v>2.5019775067814324E-5</v>
      </c>
      <c r="T227" s="3">
        <f t="shared" si="188"/>
        <v>2.5019775067814324E-5</v>
      </c>
      <c r="U227" s="3">
        <f t="shared" si="188"/>
        <v>2.5019775067814324E-5</v>
      </c>
      <c r="V227" s="3">
        <f t="shared" si="188"/>
        <v>2.5019775067814324E-5</v>
      </c>
      <c r="W227" s="3">
        <f t="shared" si="188"/>
        <v>2.5019775067814321E-5</v>
      </c>
      <c r="X227" s="3">
        <f t="shared" si="188"/>
        <v>2.50197750678143E-5</v>
      </c>
      <c r="Y227" s="3">
        <f t="shared" si="188"/>
        <v>2.5019775067814104E-5</v>
      </c>
      <c r="Z227" s="3">
        <f t="shared" si="188"/>
        <v>2.5019775067812128E-5</v>
      </c>
      <c r="AA227" s="3">
        <f t="shared" si="188"/>
        <v>2.5019775067792382E-5</v>
      </c>
      <c r="AB227" s="3">
        <f t="shared" si="188"/>
        <v>2.5019775067594909E-5</v>
      </c>
      <c r="AC227" s="3">
        <f t="shared" si="188"/>
        <v>2.5019775065620166E-5</v>
      </c>
      <c r="AD227" s="3">
        <f t="shared" si="188"/>
        <v>2.5019775045872732E-5</v>
      </c>
      <c r="AE227" s="3">
        <f t="shared" si="188"/>
        <v>2.5019774848398418E-5</v>
      </c>
      <c r="AF227" s="3">
        <f t="shared" si="188"/>
        <v>2.5019772873655356E-5</v>
      </c>
      <c r="AG227" s="3"/>
      <c r="AH227" s="3"/>
    </row>
    <row r="228" spans="2:34" x14ac:dyDescent="0.25">
      <c r="B228" s="3">
        <f t="shared" ref="B228:AF228" si="189">$C36*EXP(-B$207/$A36/EXP(-$D$126))</f>
        <v>2.3706614690246962E-5</v>
      </c>
      <c r="C228" s="3">
        <f t="shared" si="189"/>
        <v>2.3706614690246962E-5</v>
      </c>
      <c r="D228" s="3">
        <f t="shared" si="189"/>
        <v>2.3706614690246962E-5</v>
      </c>
      <c r="E228" s="3">
        <f t="shared" si="189"/>
        <v>2.3706614690246962E-5</v>
      </c>
      <c r="F228" s="3">
        <f t="shared" si="189"/>
        <v>2.3706614690246962E-5</v>
      </c>
      <c r="G228" s="3">
        <f t="shared" si="189"/>
        <v>2.3706614690246962E-5</v>
      </c>
      <c r="H228" s="3">
        <f t="shared" si="189"/>
        <v>2.3706614690246962E-5</v>
      </c>
      <c r="I228" s="3">
        <f t="shared" si="189"/>
        <v>2.3706614690246962E-5</v>
      </c>
      <c r="J228" s="3">
        <f t="shared" si="189"/>
        <v>2.3706614690246962E-5</v>
      </c>
      <c r="K228" s="3">
        <f t="shared" si="189"/>
        <v>2.3706614690246962E-5</v>
      </c>
      <c r="L228" s="3">
        <f t="shared" si="189"/>
        <v>2.3706614690246962E-5</v>
      </c>
      <c r="M228" s="3">
        <f t="shared" si="189"/>
        <v>2.3706614690246962E-5</v>
      </c>
      <c r="N228" s="3">
        <f t="shared" si="189"/>
        <v>2.3706614690246962E-5</v>
      </c>
      <c r="O228" s="3">
        <f t="shared" si="189"/>
        <v>2.3706614690246962E-5</v>
      </c>
      <c r="P228" s="3">
        <f t="shared" si="189"/>
        <v>2.3706614690246962E-5</v>
      </c>
      <c r="Q228" s="3">
        <f t="shared" si="189"/>
        <v>2.3706614690246962E-5</v>
      </c>
      <c r="R228" s="3">
        <f t="shared" si="189"/>
        <v>2.3706614690246962E-5</v>
      </c>
      <c r="S228" s="3">
        <f t="shared" si="189"/>
        <v>2.3706614690246962E-5</v>
      </c>
      <c r="T228" s="3">
        <f t="shared" si="189"/>
        <v>2.3706614690246962E-5</v>
      </c>
      <c r="U228" s="3">
        <f t="shared" si="189"/>
        <v>2.3706614690246962E-5</v>
      </c>
      <c r="V228" s="3">
        <f t="shared" si="189"/>
        <v>2.3706614690246962E-5</v>
      </c>
      <c r="W228" s="3">
        <f t="shared" si="189"/>
        <v>2.3706614690246962E-5</v>
      </c>
      <c r="X228" s="3">
        <f t="shared" si="189"/>
        <v>2.3706614690246958E-5</v>
      </c>
      <c r="Y228" s="3">
        <f t="shared" si="189"/>
        <v>2.3706614690246945E-5</v>
      </c>
      <c r="Z228" s="3">
        <f t="shared" si="189"/>
        <v>2.3706614690246775E-5</v>
      </c>
      <c r="AA228" s="3">
        <f t="shared" si="189"/>
        <v>2.3706614690245085E-5</v>
      </c>
      <c r="AB228" s="3">
        <f t="shared" si="189"/>
        <v>2.3706614690228205E-5</v>
      </c>
      <c r="AC228" s="3">
        <f t="shared" si="189"/>
        <v>2.3706614690059418E-5</v>
      </c>
      <c r="AD228" s="3">
        <f t="shared" si="189"/>
        <v>2.3706614688371532E-5</v>
      </c>
      <c r="AE228" s="3">
        <f t="shared" si="189"/>
        <v>2.3706614671492663E-5</v>
      </c>
      <c r="AF228" s="3">
        <f t="shared" si="189"/>
        <v>2.370661450270397E-5</v>
      </c>
      <c r="AG228" s="3"/>
      <c r="AH228" s="3"/>
    </row>
    <row r="229" spans="2:34" x14ac:dyDescent="0.25">
      <c r="B229" s="3">
        <f t="shared" ref="B229:AF229" si="190">$C37*EXP(-B$207/$A37/EXP(-$D$126))</f>
        <v>3.9478614411466939E-5</v>
      </c>
      <c r="C229" s="3">
        <f t="shared" si="190"/>
        <v>3.9478614411466939E-5</v>
      </c>
      <c r="D229" s="3">
        <f t="shared" si="190"/>
        <v>3.9478614411466939E-5</v>
      </c>
      <c r="E229" s="3">
        <f t="shared" si="190"/>
        <v>3.9478614411466939E-5</v>
      </c>
      <c r="F229" s="3">
        <f t="shared" si="190"/>
        <v>3.9478614411466939E-5</v>
      </c>
      <c r="G229" s="3">
        <f t="shared" si="190"/>
        <v>3.9478614411466939E-5</v>
      </c>
      <c r="H229" s="3">
        <f t="shared" si="190"/>
        <v>3.9478614411466939E-5</v>
      </c>
      <c r="I229" s="3">
        <f t="shared" si="190"/>
        <v>3.9478614411466939E-5</v>
      </c>
      <c r="J229" s="3">
        <f t="shared" si="190"/>
        <v>3.9478614411466939E-5</v>
      </c>
      <c r="K229" s="3">
        <f t="shared" si="190"/>
        <v>3.9478614411466939E-5</v>
      </c>
      <c r="L229" s="3">
        <f t="shared" si="190"/>
        <v>3.9478614411466939E-5</v>
      </c>
      <c r="M229" s="3">
        <f t="shared" si="190"/>
        <v>3.9478614411466939E-5</v>
      </c>
      <c r="N229" s="3">
        <f t="shared" si="190"/>
        <v>3.9478614411466939E-5</v>
      </c>
      <c r="O229" s="3">
        <f t="shared" si="190"/>
        <v>3.9478614411466939E-5</v>
      </c>
      <c r="P229" s="3">
        <f t="shared" si="190"/>
        <v>3.9478614411466939E-5</v>
      </c>
      <c r="Q229" s="3">
        <f t="shared" si="190"/>
        <v>3.9478614411466939E-5</v>
      </c>
      <c r="R229" s="3">
        <f t="shared" si="190"/>
        <v>3.9478614411466939E-5</v>
      </c>
      <c r="S229" s="3">
        <f t="shared" si="190"/>
        <v>3.9478614411466939E-5</v>
      </c>
      <c r="T229" s="3">
        <f t="shared" si="190"/>
        <v>3.9478614411466939E-5</v>
      </c>
      <c r="U229" s="3">
        <f t="shared" si="190"/>
        <v>3.9478614411466939E-5</v>
      </c>
      <c r="V229" s="3">
        <f t="shared" si="190"/>
        <v>3.9478614411466939E-5</v>
      </c>
      <c r="W229" s="3">
        <f t="shared" si="190"/>
        <v>3.9478614411466939E-5</v>
      </c>
      <c r="X229" s="3">
        <f t="shared" si="190"/>
        <v>3.9478614411466939E-5</v>
      </c>
      <c r="Y229" s="3">
        <f t="shared" si="190"/>
        <v>3.9478614411466932E-5</v>
      </c>
      <c r="Z229" s="3">
        <f t="shared" si="190"/>
        <v>3.9478614411466912E-5</v>
      </c>
      <c r="AA229" s="3">
        <f t="shared" si="190"/>
        <v>3.9478614411466661E-5</v>
      </c>
      <c r="AB229" s="3">
        <f t="shared" si="190"/>
        <v>3.947861441146412E-5</v>
      </c>
      <c r="AC229" s="3">
        <f t="shared" si="190"/>
        <v>3.9478614411438763E-5</v>
      </c>
      <c r="AD229" s="3">
        <f t="shared" si="190"/>
        <v>3.9478614411185202E-5</v>
      </c>
      <c r="AE229" s="3">
        <f t="shared" si="190"/>
        <v>3.9478614408649592E-5</v>
      </c>
      <c r="AF229" s="3">
        <f t="shared" si="190"/>
        <v>3.9478614383293505E-5</v>
      </c>
      <c r="AG229" s="3"/>
      <c r="AH229" s="3"/>
    </row>
    <row r="230" spans="2:34" x14ac:dyDescent="0.25">
      <c r="B230" s="3">
        <f t="shared" ref="B230:AF230" si="191">$C38*EXP(-B$207/$A38/EXP(-$D$126))</f>
        <v>0</v>
      </c>
      <c r="C230" s="3">
        <f t="shared" si="191"/>
        <v>0</v>
      </c>
      <c r="D230" s="3">
        <f t="shared" si="191"/>
        <v>0</v>
      </c>
      <c r="E230" s="3">
        <f t="shared" si="191"/>
        <v>0</v>
      </c>
      <c r="F230" s="3">
        <f t="shared" si="191"/>
        <v>0</v>
      </c>
      <c r="G230" s="3">
        <f t="shared" si="191"/>
        <v>0</v>
      </c>
      <c r="H230" s="3">
        <f t="shared" si="191"/>
        <v>0</v>
      </c>
      <c r="I230" s="3">
        <f t="shared" si="191"/>
        <v>0</v>
      </c>
      <c r="J230" s="3">
        <f t="shared" si="191"/>
        <v>0</v>
      </c>
      <c r="K230" s="3">
        <f t="shared" si="191"/>
        <v>0</v>
      </c>
      <c r="L230" s="3">
        <f t="shared" si="191"/>
        <v>0</v>
      </c>
      <c r="M230" s="3">
        <f t="shared" si="191"/>
        <v>0</v>
      </c>
      <c r="N230" s="3">
        <f t="shared" si="191"/>
        <v>0</v>
      </c>
      <c r="O230" s="3">
        <f t="shared" si="191"/>
        <v>0</v>
      </c>
      <c r="P230" s="3">
        <f t="shared" si="191"/>
        <v>0</v>
      </c>
      <c r="Q230" s="3">
        <f t="shared" si="191"/>
        <v>0</v>
      </c>
      <c r="R230" s="3">
        <f t="shared" si="191"/>
        <v>0</v>
      </c>
      <c r="S230" s="3">
        <f t="shared" si="191"/>
        <v>0</v>
      </c>
      <c r="T230" s="3">
        <f t="shared" si="191"/>
        <v>0</v>
      </c>
      <c r="U230" s="3">
        <f t="shared" si="191"/>
        <v>0</v>
      </c>
      <c r="V230" s="3">
        <f t="shared" si="191"/>
        <v>0</v>
      </c>
      <c r="W230" s="3">
        <f t="shared" si="191"/>
        <v>0</v>
      </c>
      <c r="X230" s="3">
        <f t="shared" si="191"/>
        <v>0</v>
      </c>
      <c r="Y230" s="3">
        <f t="shared" si="191"/>
        <v>0</v>
      </c>
      <c r="Z230" s="3">
        <f t="shared" si="191"/>
        <v>0</v>
      </c>
      <c r="AA230" s="3">
        <f t="shared" si="191"/>
        <v>0</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6.5441532530599776E-5</v>
      </c>
      <c r="C231" s="3">
        <f t="shared" si="192"/>
        <v>6.5441532530599776E-5</v>
      </c>
      <c r="D231" s="3">
        <f t="shared" si="192"/>
        <v>6.5441532530599776E-5</v>
      </c>
      <c r="E231" s="3">
        <f t="shared" si="192"/>
        <v>6.5441532530599776E-5</v>
      </c>
      <c r="F231" s="3">
        <f t="shared" si="192"/>
        <v>6.5441532530599776E-5</v>
      </c>
      <c r="G231" s="3">
        <f t="shared" si="192"/>
        <v>6.5441532530599776E-5</v>
      </c>
      <c r="H231" s="3">
        <f t="shared" si="192"/>
        <v>6.5441532530599776E-5</v>
      </c>
      <c r="I231" s="3">
        <f t="shared" si="192"/>
        <v>6.5441532530599776E-5</v>
      </c>
      <c r="J231" s="3">
        <f t="shared" si="192"/>
        <v>6.5441532530599776E-5</v>
      </c>
      <c r="K231" s="3">
        <f t="shared" si="192"/>
        <v>6.5441532530599776E-5</v>
      </c>
      <c r="L231" s="3">
        <f t="shared" si="192"/>
        <v>6.5441532530599776E-5</v>
      </c>
      <c r="M231" s="3">
        <f t="shared" si="192"/>
        <v>6.5441532530599776E-5</v>
      </c>
      <c r="N231" s="3">
        <f t="shared" si="192"/>
        <v>6.5441532530599776E-5</v>
      </c>
      <c r="O231" s="3">
        <f t="shared" si="192"/>
        <v>6.5441532530599776E-5</v>
      </c>
      <c r="P231" s="3">
        <f t="shared" si="192"/>
        <v>6.5441532530599776E-5</v>
      </c>
      <c r="Q231" s="3">
        <f t="shared" si="192"/>
        <v>6.5441532530599776E-5</v>
      </c>
      <c r="R231" s="3">
        <f t="shared" si="192"/>
        <v>6.5441532530599776E-5</v>
      </c>
      <c r="S231" s="3">
        <f t="shared" si="192"/>
        <v>6.5441532530599776E-5</v>
      </c>
      <c r="T231" s="3">
        <f t="shared" si="192"/>
        <v>6.5441532530599776E-5</v>
      </c>
      <c r="U231" s="3">
        <f t="shared" si="192"/>
        <v>6.5441532530599776E-5</v>
      </c>
      <c r="V231" s="3">
        <f t="shared" si="192"/>
        <v>6.5441532530599776E-5</v>
      </c>
      <c r="W231" s="3">
        <f t="shared" si="192"/>
        <v>6.5441532530599776E-5</v>
      </c>
      <c r="X231" s="3">
        <f t="shared" si="192"/>
        <v>6.5441532530599776E-5</v>
      </c>
      <c r="Y231" s="3">
        <f t="shared" si="192"/>
        <v>6.5441532530599776E-5</v>
      </c>
      <c r="Z231" s="3">
        <f t="shared" si="192"/>
        <v>6.5441532530599776E-5</v>
      </c>
      <c r="AA231" s="3">
        <f t="shared" si="192"/>
        <v>6.5441532530599762E-5</v>
      </c>
      <c r="AB231" s="3">
        <f t="shared" si="192"/>
        <v>6.5441532530599654E-5</v>
      </c>
      <c r="AC231" s="3">
        <f t="shared" si="192"/>
        <v>6.544153253059861E-5</v>
      </c>
      <c r="AD231" s="3">
        <f t="shared" si="192"/>
        <v>6.5441532530588121E-5</v>
      </c>
      <c r="AE231" s="3">
        <f t="shared" si="192"/>
        <v>6.5441532530483265E-5</v>
      </c>
      <c r="AF231" s="3">
        <f t="shared" si="192"/>
        <v>6.5441532529434611E-5</v>
      </c>
      <c r="AG231" s="3"/>
      <c r="AH231" s="3"/>
    </row>
    <row r="232" spans="2:34" x14ac:dyDescent="0.25">
      <c r="B232" s="3">
        <f t="shared" ref="B232:AF232" si="193">$C40*EXP(-B$207/$A40/EXP(-$D$126))</f>
        <v>9.072554140189839E-6</v>
      </c>
      <c r="C232" s="3">
        <f t="shared" si="193"/>
        <v>9.072554140189839E-6</v>
      </c>
      <c r="D232" s="3">
        <f t="shared" si="193"/>
        <v>9.072554140189839E-6</v>
      </c>
      <c r="E232" s="3">
        <f t="shared" si="193"/>
        <v>9.072554140189839E-6</v>
      </c>
      <c r="F232" s="3">
        <f t="shared" si="193"/>
        <v>9.072554140189839E-6</v>
      </c>
      <c r="G232" s="3">
        <f t="shared" si="193"/>
        <v>9.072554140189839E-6</v>
      </c>
      <c r="H232" s="3">
        <f t="shared" si="193"/>
        <v>9.072554140189839E-6</v>
      </c>
      <c r="I232" s="3">
        <f t="shared" si="193"/>
        <v>9.072554140189839E-6</v>
      </c>
      <c r="J232" s="3">
        <f t="shared" si="193"/>
        <v>9.072554140189839E-6</v>
      </c>
      <c r="K232" s="3">
        <f t="shared" si="193"/>
        <v>9.072554140189839E-6</v>
      </c>
      <c r="L232" s="3">
        <f t="shared" si="193"/>
        <v>9.072554140189839E-6</v>
      </c>
      <c r="M232" s="3">
        <f t="shared" si="193"/>
        <v>9.072554140189839E-6</v>
      </c>
      <c r="N232" s="3">
        <f t="shared" si="193"/>
        <v>9.072554140189839E-6</v>
      </c>
      <c r="O232" s="3">
        <f t="shared" si="193"/>
        <v>9.072554140189839E-6</v>
      </c>
      <c r="P232" s="3">
        <f t="shared" si="193"/>
        <v>9.072554140189839E-6</v>
      </c>
      <c r="Q232" s="3">
        <f t="shared" si="193"/>
        <v>9.072554140189839E-6</v>
      </c>
      <c r="R232" s="3">
        <f t="shared" si="193"/>
        <v>9.072554140189839E-6</v>
      </c>
      <c r="S232" s="3">
        <f t="shared" si="193"/>
        <v>9.072554140189839E-6</v>
      </c>
      <c r="T232" s="3">
        <f t="shared" si="193"/>
        <v>9.072554140189839E-6</v>
      </c>
      <c r="U232" s="3">
        <f t="shared" si="193"/>
        <v>9.072554140189839E-6</v>
      </c>
      <c r="V232" s="3">
        <f t="shared" si="193"/>
        <v>9.072554140189839E-6</v>
      </c>
      <c r="W232" s="3">
        <f t="shared" si="193"/>
        <v>9.072554140189839E-6</v>
      </c>
      <c r="X232" s="3">
        <f t="shared" si="193"/>
        <v>9.072554140189839E-6</v>
      </c>
      <c r="Y232" s="3">
        <f t="shared" si="193"/>
        <v>9.072554140189839E-6</v>
      </c>
      <c r="Z232" s="3">
        <f t="shared" si="193"/>
        <v>9.072554140189839E-6</v>
      </c>
      <c r="AA232" s="3">
        <f t="shared" si="193"/>
        <v>9.072554140189839E-6</v>
      </c>
      <c r="AB232" s="3">
        <f t="shared" si="193"/>
        <v>9.0725541401898373E-6</v>
      </c>
      <c r="AC232" s="3">
        <f t="shared" si="193"/>
        <v>9.072554140189822E-6</v>
      </c>
      <c r="AD232" s="3">
        <f t="shared" si="193"/>
        <v>9.072554140189678E-6</v>
      </c>
      <c r="AE232" s="3">
        <f t="shared" si="193"/>
        <v>9.0725541401882228E-6</v>
      </c>
      <c r="AF232" s="3">
        <f t="shared" si="193"/>
        <v>9.0725541401736861E-6</v>
      </c>
      <c r="AG232" s="3"/>
      <c r="AH232" s="3"/>
    </row>
    <row r="233" spans="2:34" x14ac:dyDescent="0.25">
      <c r="B233" s="3">
        <f t="shared" ref="B233:AF233" si="194">$C41*EXP(-B$207/$A41/EXP(-$D$126))</f>
        <v>3.4648583404177175E-7</v>
      </c>
      <c r="C233" s="3">
        <f t="shared" si="194"/>
        <v>3.4648583404177175E-7</v>
      </c>
      <c r="D233" s="3">
        <f t="shared" si="194"/>
        <v>3.4648583404177175E-7</v>
      </c>
      <c r="E233" s="3">
        <f t="shared" si="194"/>
        <v>3.4648583404177175E-7</v>
      </c>
      <c r="F233" s="3">
        <f t="shared" si="194"/>
        <v>3.4648583404177175E-7</v>
      </c>
      <c r="G233" s="3">
        <f t="shared" si="194"/>
        <v>3.4648583404177175E-7</v>
      </c>
      <c r="H233" s="3">
        <f t="shared" si="194"/>
        <v>3.4648583404177175E-7</v>
      </c>
      <c r="I233" s="3">
        <f t="shared" si="194"/>
        <v>3.4648583404177175E-7</v>
      </c>
      <c r="J233" s="3">
        <f t="shared" si="194"/>
        <v>3.4648583404177175E-7</v>
      </c>
      <c r="K233" s="3">
        <f t="shared" si="194"/>
        <v>3.4648583404177175E-7</v>
      </c>
      <c r="L233" s="3">
        <f t="shared" si="194"/>
        <v>3.4648583404177175E-7</v>
      </c>
      <c r="M233" s="3">
        <f t="shared" si="194"/>
        <v>3.4648583404177175E-7</v>
      </c>
      <c r="N233" s="3">
        <f t="shared" si="194"/>
        <v>3.4648583404177175E-7</v>
      </c>
      <c r="O233" s="3">
        <f t="shared" si="194"/>
        <v>3.4648583404177175E-7</v>
      </c>
      <c r="P233" s="3">
        <f t="shared" si="194"/>
        <v>3.4648583404177175E-7</v>
      </c>
      <c r="Q233" s="3">
        <f t="shared" si="194"/>
        <v>3.4648583404177175E-7</v>
      </c>
      <c r="R233" s="3">
        <f t="shared" si="194"/>
        <v>3.4648583404177175E-7</v>
      </c>
      <c r="S233" s="3">
        <f t="shared" si="194"/>
        <v>3.4648583404177175E-7</v>
      </c>
      <c r="T233" s="3">
        <f t="shared" si="194"/>
        <v>3.4648583404177175E-7</v>
      </c>
      <c r="U233" s="3">
        <f t="shared" si="194"/>
        <v>3.4648583404177175E-7</v>
      </c>
      <c r="V233" s="3">
        <f t="shared" si="194"/>
        <v>3.4648583404177175E-7</v>
      </c>
      <c r="W233" s="3">
        <f t="shared" si="194"/>
        <v>3.4648583404177175E-7</v>
      </c>
      <c r="X233" s="3">
        <f t="shared" si="194"/>
        <v>3.4648583404177175E-7</v>
      </c>
      <c r="Y233" s="3">
        <f t="shared" si="194"/>
        <v>3.4648583404177175E-7</v>
      </c>
      <c r="Z233" s="3">
        <f t="shared" si="194"/>
        <v>3.4648583404177175E-7</v>
      </c>
      <c r="AA233" s="3">
        <f t="shared" si="194"/>
        <v>3.4648583404177175E-7</v>
      </c>
      <c r="AB233" s="3">
        <f t="shared" si="194"/>
        <v>3.4648583404177175E-7</v>
      </c>
      <c r="AC233" s="3">
        <f t="shared" si="194"/>
        <v>3.464858340417717E-7</v>
      </c>
      <c r="AD233" s="3">
        <f t="shared" si="194"/>
        <v>3.4648583404177112E-7</v>
      </c>
      <c r="AE233" s="3">
        <f t="shared" si="194"/>
        <v>3.4648583404176561E-7</v>
      </c>
      <c r="AF233" s="3">
        <f t="shared" si="194"/>
        <v>3.4648583404171002E-7</v>
      </c>
      <c r="AG233" s="3"/>
      <c r="AH233" s="3"/>
    </row>
    <row r="234" spans="2:34" x14ac:dyDescent="0.25">
      <c r="B234" s="3">
        <f t="shared" ref="B234:AF234" si="195">$C42*EXP(-B$207/$A42/EXP(-$D$126))</f>
        <v>0</v>
      </c>
      <c r="C234" s="3">
        <f t="shared" si="195"/>
        <v>0</v>
      </c>
      <c r="D234" s="3">
        <f t="shared" si="195"/>
        <v>0</v>
      </c>
      <c r="E234" s="3">
        <f t="shared" si="195"/>
        <v>0</v>
      </c>
      <c r="F234" s="3">
        <f t="shared" si="195"/>
        <v>0</v>
      </c>
      <c r="G234" s="3">
        <f t="shared" si="195"/>
        <v>0</v>
      </c>
      <c r="H234" s="3">
        <f t="shared" si="195"/>
        <v>0</v>
      </c>
      <c r="I234" s="3">
        <f t="shared" si="195"/>
        <v>0</v>
      </c>
      <c r="J234" s="3">
        <f t="shared" si="195"/>
        <v>0</v>
      </c>
      <c r="K234" s="3">
        <f t="shared" si="195"/>
        <v>0</v>
      </c>
      <c r="L234" s="3">
        <f t="shared" si="195"/>
        <v>0</v>
      </c>
      <c r="M234" s="3">
        <f t="shared" si="195"/>
        <v>0</v>
      </c>
      <c r="N234" s="3">
        <f t="shared" si="195"/>
        <v>0</v>
      </c>
      <c r="O234" s="3">
        <f t="shared" si="195"/>
        <v>0</v>
      </c>
      <c r="P234" s="3">
        <f t="shared" si="195"/>
        <v>0</v>
      </c>
      <c r="Q234" s="3">
        <f t="shared" si="195"/>
        <v>0</v>
      </c>
      <c r="R234" s="3">
        <f t="shared" si="195"/>
        <v>0</v>
      </c>
      <c r="S234" s="3">
        <f t="shared" si="195"/>
        <v>0</v>
      </c>
      <c r="T234" s="3">
        <f t="shared" si="195"/>
        <v>0</v>
      </c>
      <c r="U234" s="3">
        <f t="shared" si="195"/>
        <v>0</v>
      </c>
      <c r="V234" s="3">
        <f t="shared" si="195"/>
        <v>0</v>
      </c>
      <c r="W234" s="3">
        <f t="shared" si="195"/>
        <v>0</v>
      </c>
      <c r="X234" s="3">
        <f t="shared" si="195"/>
        <v>0</v>
      </c>
      <c r="Y234" s="3">
        <f t="shared" si="195"/>
        <v>0</v>
      </c>
      <c r="Z234" s="3">
        <f t="shared" si="195"/>
        <v>0</v>
      </c>
      <c r="AA234" s="3">
        <f t="shared" si="195"/>
        <v>0</v>
      </c>
      <c r="AB234" s="3">
        <f t="shared" si="195"/>
        <v>0</v>
      </c>
      <c r="AC234" s="3">
        <f t="shared" si="195"/>
        <v>0</v>
      </c>
      <c r="AD234" s="3">
        <f t="shared" si="195"/>
        <v>0</v>
      </c>
      <c r="AE234" s="3">
        <f t="shared" si="195"/>
        <v>0</v>
      </c>
      <c r="AF234" s="3">
        <f t="shared" si="195"/>
        <v>0</v>
      </c>
      <c r="AG234" s="3"/>
      <c r="AH234" s="3"/>
    </row>
    <row r="235" spans="2:34" x14ac:dyDescent="0.25">
      <c r="B235" s="3">
        <f t="shared" ref="B235:AF235" si="196">$C43*EXP(-B$207/$A43/EXP(-$D$126))</f>
        <v>0</v>
      </c>
      <c r="C235" s="3">
        <f t="shared" si="196"/>
        <v>0</v>
      </c>
      <c r="D235" s="3">
        <f t="shared" si="196"/>
        <v>0</v>
      </c>
      <c r="E235" s="3">
        <f t="shared" si="196"/>
        <v>0</v>
      </c>
      <c r="F235" s="3">
        <f t="shared" si="196"/>
        <v>0</v>
      </c>
      <c r="G235" s="3">
        <f t="shared" si="196"/>
        <v>0</v>
      </c>
      <c r="H235" s="3">
        <f t="shared" si="196"/>
        <v>0</v>
      </c>
      <c r="I235" s="3">
        <f t="shared" si="196"/>
        <v>0</v>
      </c>
      <c r="J235" s="3">
        <f t="shared" si="196"/>
        <v>0</v>
      </c>
      <c r="K235" s="3">
        <f t="shared" si="196"/>
        <v>0</v>
      </c>
      <c r="L235" s="3">
        <f t="shared" si="196"/>
        <v>0</v>
      </c>
      <c r="M235" s="3">
        <f t="shared" si="196"/>
        <v>0</v>
      </c>
      <c r="N235" s="3">
        <f t="shared" si="196"/>
        <v>0</v>
      </c>
      <c r="O235" s="3">
        <f t="shared" si="196"/>
        <v>0</v>
      </c>
      <c r="P235" s="3">
        <f t="shared" si="196"/>
        <v>0</v>
      </c>
      <c r="Q235" s="3">
        <f t="shared" si="196"/>
        <v>0</v>
      </c>
      <c r="R235" s="3">
        <f t="shared" si="196"/>
        <v>0</v>
      </c>
      <c r="S235" s="3">
        <f t="shared" si="196"/>
        <v>0</v>
      </c>
      <c r="T235" s="3">
        <f t="shared" si="196"/>
        <v>0</v>
      </c>
      <c r="U235" s="3">
        <f t="shared" si="196"/>
        <v>0</v>
      </c>
      <c r="V235" s="3">
        <f t="shared" si="196"/>
        <v>0</v>
      </c>
      <c r="W235" s="3">
        <f t="shared" si="196"/>
        <v>0</v>
      </c>
      <c r="X235" s="3">
        <f t="shared" si="196"/>
        <v>0</v>
      </c>
      <c r="Y235" s="3">
        <f t="shared" si="196"/>
        <v>0</v>
      </c>
      <c r="Z235" s="3">
        <f t="shared" si="196"/>
        <v>0</v>
      </c>
      <c r="AA235" s="3">
        <f t="shared" si="196"/>
        <v>0</v>
      </c>
      <c r="AB235" s="3">
        <f t="shared" si="196"/>
        <v>0</v>
      </c>
      <c r="AC235" s="3">
        <f t="shared" si="196"/>
        <v>0</v>
      </c>
      <c r="AD235" s="3">
        <f t="shared" si="196"/>
        <v>0</v>
      </c>
      <c r="AE235" s="3">
        <f t="shared" si="196"/>
        <v>0</v>
      </c>
      <c r="AF235" s="3">
        <f t="shared" si="196"/>
        <v>0</v>
      </c>
      <c r="AG235" s="3"/>
      <c r="AH235" s="3"/>
    </row>
    <row r="236" spans="2:34" x14ac:dyDescent="0.25">
      <c r="B236" s="3">
        <f t="shared" ref="B236:AF236" si="197">$C44*EXP(-B$207/$A44/EXP(-$D$126))</f>
        <v>0</v>
      </c>
      <c r="C236" s="3">
        <f t="shared" si="197"/>
        <v>0</v>
      </c>
      <c r="D236" s="3">
        <f t="shared" si="197"/>
        <v>0</v>
      </c>
      <c r="E236" s="3">
        <f t="shared" si="197"/>
        <v>0</v>
      </c>
      <c r="F236" s="3">
        <f t="shared" si="197"/>
        <v>0</v>
      </c>
      <c r="G236" s="3">
        <f t="shared" si="197"/>
        <v>0</v>
      </c>
      <c r="H236" s="3">
        <f t="shared" si="197"/>
        <v>0</v>
      </c>
      <c r="I236" s="3">
        <f t="shared" si="197"/>
        <v>0</v>
      </c>
      <c r="J236" s="3">
        <f t="shared" si="197"/>
        <v>0</v>
      </c>
      <c r="K236" s="3">
        <f t="shared" si="197"/>
        <v>0</v>
      </c>
      <c r="L236" s="3">
        <f t="shared" si="197"/>
        <v>0</v>
      </c>
      <c r="M236" s="3">
        <f t="shared" si="197"/>
        <v>0</v>
      </c>
      <c r="N236" s="3">
        <f t="shared" si="197"/>
        <v>0</v>
      </c>
      <c r="O236" s="3">
        <f t="shared" si="197"/>
        <v>0</v>
      </c>
      <c r="P236" s="3">
        <f t="shared" si="197"/>
        <v>0</v>
      </c>
      <c r="Q236" s="3">
        <f t="shared" si="197"/>
        <v>0</v>
      </c>
      <c r="R236" s="3">
        <f t="shared" si="197"/>
        <v>0</v>
      </c>
      <c r="S236" s="3">
        <f t="shared" si="197"/>
        <v>0</v>
      </c>
      <c r="T236" s="3">
        <f t="shared" si="197"/>
        <v>0</v>
      </c>
      <c r="U236" s="3">
        <f t="shared" si="197"/>
        <v>0</v>
      </c>
      <c r="V236" s="3">
        <f t="shared" si="197"/>
        <v>0</v>
      </c>
      <c r="W236" s="3">
        <f t="shared" si="197"/>
        <v>0</v>
      </c>
      <c r="X236" s="3">
        <f t="shared" si="197"/>
        <v>0</v>
      </c>
      <c r="Y236" s="3">
        <f t="shared" si="197"/>
        <v>0</v>
      </c>
      <c r="Z236" s="3">
        <f t="shared" si="197"/>
        <v>0</v>
      </c>
      <c r="AA236" s="3">
        <f t="shared" si="197"/>
        <v>0</v>
      </c>
      <c r="AB236" s="3">
        <f t="shared" si="197"/>
        <v>0</v>
      </c>
      <c r="AC236" s="3">
        <f t="shared" si="197"/>
        <v>0</v>
      </c>
      <c r="AD236" s="3">
        <f t="shared" si="197"/>
        <v>0</v>
      </c>
      <c r="AE236" s="3">
        <f t="shared" si="197"/>
        <v>0</v>
      </c>
      <c r="AF236" s="3">
        <f t="shared" si="197"/>
        <v>0</v>
      </c>
      <c r="AG236" s="3"/>
      <c r="AH236" s="3"/>
    </row>
    <row r="237" spans="2:34" x14ac:dyDescent="0.25">
      <c r="B237" s="3">
        <f t="shared" ref="B237:AF237" si="198">$C45*EXP(-B$207/$A45/EXP(-$D$126))</f>
        <v>0</v>
      </c>
      <c r="C237" s="3">
        <f t="shared" si="198"/>
        <v>0</v>
      </c>
      <c r="D237" s="3">
        <f t="shared" si="198"/>
        <v>0</v>
      </c>
      <c r="E237" s="3">
        <f t="shared" si="198"/>
        <v>0</v>
      </c>
      <c r="F237" s="3">
        <f t="shared" si="198"/>
        <v>0</v>
      </c>
      <c r="G237" s="3">
        <f t="shared" si="198"/>
        <v>0</v>
      </c>
      <c r="H237" s="3">
        <f t="shared" si="198"/>
        <v>0</v>
      </c>
      <c r="I237" s="3">
        <f t="shared" si="198"/>
        <v>0</v>
      </c>
      <c r="J237" s="3">
        <f t="shared" si="198"/>
        <v>0</v>
      </c>
      <c r="K237" s="3">
        <f t="shared" si="198"/>
        <v>0</v>
      </c>
      <c r="L237" s="3">
        <f t="shared" si="198"/>
        <v>0</v>
      </c>
      <c r="M237" s="3">
        <f t="shared" si="198"/>
        <v>0</v>
      </c>
      <c r="N237" s="3">
        <f t="shared" si="198"/>
        <v>0</v>
      </c>
      <c r="O237" s="3">
        <f t="shared" si="198"/>
        <v>0</v>
      </c>
      <c r="P237" s="3">
        <f t="shared" si="198"/>
        <v>0</v>
      </c>
      <c r="Q237" s="3">
        <f t="shared" si="198"/>
        <v>0</v>
      </c>
      <c r="R237" s="3">
        <f t="shared" si="198"/>
        <v>0</v>
      </c>
      <c r="S237" s="3">
        <f t="shared" si="198"/>
        <v>0</v>
      </c>
      <c r="T237" s="3">
        <f t="shared" si="198"/>
        <v>0</v>
      </c>
      <c r="U237" s="3">
        <f t="shared" si="198"/>
        <v>0</v>
      </c>
      <c r="V237" s="3">
        <f t="shared" si="198"/>
        <v>0</v>
      </c>
      <c r="W237" s="3">
        <f t="shared" si="198"/>
        <v>0</v>
      </c>
      <c r="X237" s="3">
        <f t="shared" si="198"/>
        <v>0</v>
      </c>
      <c r="Y237" s="3">
        <f t="shared" si="198"/>
        <v>0</v>
      </c>
      <c r="Z237" s="3">
        <f t="shared" si="198"/>
        <v>0</v>
      </c>
      <c r="AA237" s="3">
        <f t="shared" si="198"/>
        <v>0</v>
      </c>
      <c r="AB237" s="3">
        <f t="shared" si="198"/>
        <v>0</v>
      </c>
      <c r="AC237" s="3">
        <f t="shared" si="198"/>
        <v>0</v>
      </c>
      <c r="AD237" s="3">
        <f t="shared" si="198"/>
        <v>0</v>
      </c>
      <c r="AE237" s="3">
        <f t="shared" si="198"/>
        <v>0</v>
      </c>
      <c r="AF237" s="3">
        <f t="shared" si="198"/>
        <v>0</v>
      </c>
      <c r="AG237" s="3"/>
      <c r="AH237" s="3"/>
    </row>
    <row r="238" spans="2:34" x14ac:dyDescent="0.25">
      <c r="B238" s="3">
        <f t="shared" ref="B238:AF238" si="199">$C46*EXP(-B$207/$A46/EXP(-$D$126))</f>
        <v>0</v>
      </c>
      <c r="C238" s="3">
        <f t="shared" si="199"/>
        <v>0</v>
      </c>
      <c r="D238" s="3">
        <f t="shared" si="199"/>
        <v>0</v>
      </c>
      <c r="E238" s="3">
        <f t="shared" si="199"/>
        <v>0</v>
      </c>
      <c r="F238" s="3">
        <f t="shared" si="199"/>
        <v>0</v>
      </c>
      <c r="G238" s="3">
        <f t="shared" si="199"/>
        <v>0</v>
      </c>
      <c r="H238" s="3">
        <f t="shared" si="199"/>
        <v>0</v>
      </c>
      <c r="I238" s="3">
        <f t="shared" si="199"/>
        <v>0</v>
      </c>
      <c r="J238" s="3">
        <f t="shared" si="199"/>
        <v>0</v>
      </c>
      <c r="K238" s="3">
        <f t="shared" si="199"/>
        <v>0</v>
      </c>
      <c r="L238" s="3">
        <f t="shared" si="199"/>
        <v>0</v>
      </c>
      <c r="M238" s="3">
        <f t="shared" si="199"/>
        <v>0</v>
      </c>
      <c r="N238" s="3">
        <f t="shared" si="199"/>
        <v>0</v>
      </c>
      <c r="O238" s="3">
        <f t="shared" si="199"/>
        <v>0</v>
      </c>
      <c r="P238" s="3">
        <f t="shared" si="199"/>
        <v>0</v>
      </c>
      <c r="Q238" s="3">
        <f t="shared" si="199"/>
        <v>0</v>
      </c>
      <c r="R238" s="3">
        <f t="shared" si="199"/>
        <v>0</v>
      </c>
      <c r="S238" s="3">
        <f t="shared" si="199"/>
        <v>0</v>
      </c>
      <c r="T238" s="3">
        <f t="shared" si="199"/>
        <v>0</v>
      </c>
      <c r="U238" s="3">
        <f t="shared" si="199"/>
        <v>0</v>
      </c>
      <c r="V238" s="3">
        <f t="shared" si="199"/>
        <v>0</v>
      </c>
      <c r="W238" s="3">
        <f t="shared" si="199"/>
        <v>0</v>
      </c>
      <c r="X238" s="3">
        <f t="shared" si="199"/>
        <v>0</v>
      </c>
      <c r="Y238" s="3">
        <f t="shared" si="199"/>
        <v>0</v>
      </c>
      <c r="Z238" s="3">
        <f t="shared" si="199"/>
        <v>0</v>
      </c>
      <c r="AA238" s="3">
        <f t="shared" si="199"/>
        <v>0</v>
      </c>
      <c r="AB238" s="3">
        <f t="shared" si="199"/>
        <v>0</v>
      </c>
      <c r="AC238" s="3">
        <f t="shared" si="199"/>
        <v>0</v>
      </c>
      <c r="AD238" s="3">
        <f t="shared" si="199"/>
        <v>0</v>
      </c>
      <c r="AE238" s="3">
        <f t="shared" si="199"/>
        <v>0</v>
      </c>
      <c r="AF238" s="3">
        <f t="shared" si="199"/>
        <v>0</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2.6390969703261771E-3</v>
      </c>
      <c r="C240" s="3">
        <f t="shared" si="201"/>
        <v>2.6390969703261771E-3</v>
      </c>
      <c r="D240" s="3">
        <f t="shared" si="201"/>
        <v>2.6390969703261771E-3</v>
      </c>
      <c r="E240" s="3">
        <f t="shared" si="201"/>
        <v>2.6390969703261771E-3</v>
      </c>
      <c r="F240" s="3">
        <f t="shared" si="201"/>
        <v>2.6390969703261771E-3</v>
      </c>
      <c r="G240" s="3">
        <f t="shared" si="201"/>
        <v>2.6390969703261771E-3</v>
      </c>
      <c r="H240" s="3">
        <f t="shared" si="201"/>
        <v>2.6390969703261771E-3</v>
      </c>
      <c r="I240" s="3">
        <f t="shared" si="201"/>
        <v>2.6390969703261771E-3</v>
      </c>
      <c r="J240" s="3">
        <f t="shared" si="201"/>
        <v>2.6390969703261771E-3</v>
      </c>
      <c r="K240" s="3">
        <f t="shared" si="201"/>
        <v>2.6390969703261771E-3</v>
      </c>
      <c r="L240" s="3">
        <f t="shared" si="201"/>
        <v>2.6390969703261771E-3</v>
      </c>
      <c r="M240" s="3">
        <f t="shared" si="201"/>
        <v>2.6390969703261771E-3</v>
      </c>
      <c r="N240" s="3">
        <f t="shared" si="201"/>
        <v>2.6390969703261771E-3</v>
      </c>
      <c r="O240" s="3">
        <f t="shared" si="201"/>
        <v>2.6390969703261771E-3</v>
      </c>
      <c r="P240" s="3">
        <f t="shared" si="201"/>
        <v>2.6390969703261771E-3</v>
      </c>
      <c r="Q240" s="3">
        <f t="shared" si="201"/>
        <v>2.6390969703261771E-3</v>
      </c>
      <c r="R240" s="3">
        <f t="shared" si="201"/>
        <v>2.6390969703261771E-3</v>
      </c>
      <c r="S240" s="3">
        <f t="shared" si="201"/>
        <v>2.6390969703261771E-3</v>
      </c>
      <c r="T240" s="3">
        <f t="shared" si="201"/>
        <v>2.6390969703261771E-3</v>
      </c>
      <c r="U240" s="3">
        <f t="shared" si="201"/>
        <v>2.6390969703261771E-3</v>
      </c>
      <c r="V240" s="3">
        <f t="shared" si="201"/>
        <v>2.6390969703261771E-3</v>
      </c>
      <c r="W240" s="3">
        <f t="shared" si="201"/>
        <v>2.6390969703261771E-3</v>
      </c>
      <c r="X240" s="3">
        <f t="shared" si="201"/>
        <v>2.6390969703261771E-3</v>
      </c>
      <c r="Y240" s="3">
        <f t="shared" si="201"/>
        <v>2.6390969703261771E-3</v>
      </c>
      <c r="Z240" s="3">
        <f t="shared" si="201"/>
        <v>2.6390969703261771E-3</v>
      </c>
      <c r="AA240" s="3">
        <f t="shared" si="201"/>
        <v>2.6390969703261771E-3</v>
      </c>
      <c r="AB240" s="3">
        <f t="shared" si="201"/>
        <v>2.6390969703261771E-3</v>
      </c>
      <c r="AC240" s="3">
        <f t="shared" si="201"/>
        <v>2.6390969703261771E-3</v>
      </c>
      <c r="AD240" s="3">
        <f t="shared" si="201"/>
        <v>2.6390969703261771E-3</v>
      </c>
      <c r="AE240" s="3">
        <f t="shared" si="201"/>
        <v>2.6390969703261771E-3</v>
      </c>
      <c r="AF240" s="3">
        <f t="shared" si="201"/>
        <v>2.6390969703261771E-3</v>
      </c>
      <c r="AG240" s="3"/>
      <c r="AH240" s="3"/>
    </row>
    <row r="241" spans="1:34" x14ac:dyDescent="0.25">
      <c r="A241" s="79">
        <f>AVERAGE(B241:AF241)</f>
        <v>1.8741172187113332E-2</v>
      </c>
      <c r="B241" s="80">
        <f>IF($A$64&lt;=B207,IF($B$64&gt;=B207,ABS((B209-B208)/B208),0),0)</f>
        <v>0</v>
      </c>
      <c r="C241" s="80">
        <f t="shared" ref="C241:AF241" si="202">IF($A$64&lt;=C207,IF($B$64&gt;=C207,ABS((C209-C208)/C208),0),0)</f>
        <v>0</v>
      </c>
      <c r="D241" s="80">
        <f t="shared" si="202"/>
        <v>0</v>
      </c>
      <c r="E241" s="80">
        <f t="shared" si="202"/>
        <v>0</v>
      </c>
      <c r="F241" s="80">
        <f t="shared" si="202"/>
        <v>0</v>
      </c>
      <c r="G241" s="80">
        <f t="shared" si="202"/>
        <v>0</v>
      </c>
      <c r="H241" s="80">
        <f t="shared" si="202"/>
        <v>0</v>
      </c>
      <c r="I241" s="80">
        <f t="shared" si="202"/>
        <v>0</v>
      </c>
      <c r="J241" s="80">
        <f t="shared" si="202"/>
        <v>0</v>
      </c>
      <c r="K241" s="80">
        <f t="shared" si="202"/>
        <v>0</v>
      </c>
      <c r="L241" s="80">
        <f t="shared" si="202"/>
        <v>2.7027685629604761E-5</v>
      </c>
      <c r="M241" s="80">
        <f t="shared" si="202"/>
        <v>2.6583715654129441E-4</v>
      </c>
      <c r="N241" s="80">
        <f t="shared" si="202"/>
        <v>2.6335818773214727E-3</v>
      </c>
      <c r="O241" s="80">
        <f t="shared" si="202"/>
        <v>2.43869250166606E-2</v>
      </c>
      <c r="P241" s="80">
        <f t="shared" si="202"/>
        <v>0.12336010832197851</v>
      </c>
      <c r="Q241" s="80">
        <f t="shared" si="202"/>
        <v>0.13214145372514677</v>
      </c>
      <c r="R241" s="80">
        <f t="shared" si="202"/>
        <v>0.10732252926449026</v>
      </c>
      <c r="S241" s="80">
        <f t="shared" si="202"/>
        <v>7.4813616250289247E-2</v>
      </c>
      <c r="T241" s="80">
        <f t="shared" si="202"/>
        <v>3.2683074518163213E-2</v>
      </c>
      <c r="U241" s="80">
        <f t="shared" si="202"/>
        <v>2.3635618800013882E-2</v>
      </c>
      <c r="V241" s="80">
        <f t="shared" si="202"/>
        <v>5.9706565184278443E-2</v>
      </c>
      <c r="W241" s="80">
        <f t="shared" si="202"/>
        <v>0</v>
      </c>
      <c r="X241" s="80">
        <f t="shared" si="202"/>
        <v>0</v>
      </c>
      <c r="Y241" s="80">
        <f t="shared" si="202"/>
        <v>0</v>
      </c>
      <c r="Z241" s="80">
        <f t="shared" si="202"/>
        <v>0</v>
      </c>
      <c r="AA241" s="80">
        <f t="shared" si="202"/>
        <v>0</v>
      </c>
      <c r="AB241" s="80">
        <f t="shared" si="202"/>
        <v>0</v>
      </c>
      <c r="AC241" s="80">
        <f t="shared" si="202"/>
        <v>0</v>
      </c>
      <c r="AD241" s="80">
        <f t="shared" si="202"/>
        <v>0</v>
      </c>
      <c r="AE241" s="80">
        <f t="shared" si="202"/>
        <v>0</v>
      </c>
      <c r="AF241" s="80">
        <f t="shared" si="202"/>
        <v>0</v>
      </c>
    </row>
    <row r="242" spans="1:34" x14ac:dyDescent="0.25">
      <c r="B242" s="21">
        <f>(B209-B208)^2</f>
        <v>2.3220176976146665E-6</v>
      </c>
      <c r="C242" s="21">
        <f t="shared" ref="C242:AF242" si="203">(C209-C208)^2</f>
        <v>1.241420140701153E-3</v>
      </c>
      <c r="D242" s="21">
        <f t="shared" si="203"/>
        <v>1.6346316043269003E-4</v>
      </c>
      <c r="E242" s="21">
        <f t="shared" si="203"/>
        <v>3.59098475047934E-5</v>
      </c>
      <c r="F242" s="21">
        <f t="shared" si="203"/>
        <v>1.5387214348474503E-5</v>
      </c>
      <c r="G242" s="21">
        <f t="shared" si="203"/>
        <v>9.7370515613546259E-6</v>
      </c>
      <c r="H242" s="21">
        <f t="shared" si="203"/>
        <v>9.3425142991261692E-6</v>
      </c>
      <c r="I242" s="21">
        <f t="shared" si="203"/>
        <v>8.8836596621777462E-6</v>
      </c>
      <c r="J242" s="21">
        <f t="shared" si="203"/>
        <v>1.8929205838799183E-5</v>
      </c>
      <c r="K242" s="21">
        <f t="shared" si="203"/>
        <v>3.4653985141975315E-4</v>
      </c>
      <c r="L242" s="21">
        <f t="shared" si="203"/>
        <v>2.5691144376309316E-2</v>
      </c>
      <c r="M242" s="21">
        <f t="shared" si="203"/>
        <v>2.4852086379309242</v>
      </c>
      <c r="N242" s="21">
        <f t="shared" si="203"/>
        <v>243.71667698043885</v>
      </c>
      <c r="O242" s="21">
        <f t="shared" si="203"/>
        <v>20746.828309731391</v>
      </c>
      <c r="P242" s="21">
        <f t="shared" si="203"/>
        <v>509701.49296338635</v>
      </c>
      <c r="Q242" s="21">
        <f t="shared" si="203"/>
        <v>556576.7904808938</v>
      </c>
      <c r="R242" s="21">
        <f t="shared" si="203"/>
        <v>347003.13580122008</v>
      </c>
      <c r="S242" s="21">
        <f t="shared" si="203"/>
        <v>156965.03192542007</v>
      </c>
      <c r="T242" s="21">
        <f t="shared" si="203"/>
        <v>27378.044573312032</v>
      </c>
      <c r="U242" s="21">
        <f t="shared" si="203"/>
        <v>12669.392119634154</v>
      </c>
      <c r="V242" s="21">
        <f t="shared" si="203"/>
        <v>69926.841610932577</v>
      </c>
      <c r="W242" s="21">
        <f t="shared" si="203"/>
        <v>31653.071542514277</v>
      </c>
      <c r="X242" s="21">
        <f t="shared" si="203"/>
        <v>62053.918339446856</v>
      </c>
      <c r="Y242" s="21">
        <f t="shared" si="203"/>
        <v>56794.371738679816</v>
      </c>
      <c r="Z242" s="21">
        <f t="shared" si="203"/>
        <v>52536.002619026651</v>
      </c>
      <c r="AA242" s="21">
        <f t="shared" si="203"/>
        <v>35208.945412383</v>
      </c>
      <c r="AB242" s="21">
        <f t="shared" si="203"/>
        <v>18183.264586737023</v>
      </c>
      <c r="AC242" s="21">
        <f t="shared" si="203"/>
        <v>5671.4998454328816</v>
      </c>
      <c r="AD242" s="21">
        <f t="shared" si="203"/>
        <v>264.73568759534817</v>
      </c>
      <c r="AE242" s="21">
        <f t="shared" si="203"/>
        <v>4.772273430069423</v>
      </c>
      <c r="AF242" s="21">
        <f t="shared" si="203"/>
        <v>18.019398457203774</v>
      </c>
      <c r="AG242" s="3"/>
      <c r="AH242" s="3"/>
    </row>
    <row r="243" spans="1:34" x14ac:dyDescent="0.25">
      <c r="A243" s="71">
        <f>SUM(B243:AF243)</f>
        <v>1701213.785361293</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2.5691144376309316E-2</v>
      </c>
      <c r="M243" s="60">
        <f t="shared" ref="M243" si="214">IF($A$64&lt;=M207,IF($B$64&gt;=M207,ABS(M242),0),0)</f>
        <v>2.4852086379309242</v>
      </c>
      <c r="N243" s="60">
        <f t="shared" ref="N243" si="215">IF($A$64&lt;=N207,IF($B$64&gt;=N207,ABS(N242),0),0)</f>
        <v>243.71667698043885</v>
      </c>
      <c r="O243" s="60">
        <f t="shared" ref="O243" si="216">IF($A$64&lt;=O207,IF($B$64&gt;=O207,ABS(O242),0),0)</f>
        <v>20746.828309731391</v>
      </c>
      <c r="P243" s="60">
        <f t="shared" ref="P243" si="217">IF($A$64&lt;=P207,IF($B$64&gt;=P207,ABS(P242),0),0)</f>
        <v>509701.49296338635</v>
      </c>
      <c r="Q243" s="60">
        <f t="shared" ref="Q243" si="218">IF($A$64&lt;=Q207,IF($B$64&gt;=Q207,ABS(Q242),0),0)</f>
        <v>556576.7904808938</v>
      </c>
      <c r="R243" s="60">
        <f t="shared" ref="R243" si="219">IF($A$64&lt;=R207,IF($B$64&gt;=R207,ABS(R242),0),0)</f>
        <v>347003.13580122008</v>
      </c>
      <c r="S243" s="60">
        <f t="shared" ref="S243" si="220">IF($A$64&lt;=S207,IF($B$64&gt;=S207,ABS(S242),0),0)</f>
        <v>156965.03192542007</v>
      </c>
      <c r="T243" s="60">
        <f t="shared" ref="T243" si="221">IF($A$64&lt;=T207,IF($B$64&gt;=T207,ABS(T242),0),0)</f>
        <v>27378.044573312032</v>
      </c>
      <c r="U243" s="60">
        <f t="shared" ref="U243" si="222">IF($A$64&lt;=U207,IF($B$64&gt;=U207,ABS(U242),0),0)</f>
        <v>12669.392119634154</v>
      </c>
      <c r="V243" s="60">
        <f t="shared" ref="V243" si="223">IF($A$64&lt;=V207,IF($B$64&gt;=V207,ABS(V242),0),0)</f>
        <v>69926.841610932577</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5924.2874974527258</v>
      </c>
      <c r="C247" s="26">
        <f>INDEX(Comparison!$AM$3:$AS$33,G$14,$E$122)</f>
        <v>5924.3241993050724</v>
      </c>
      <c r="D247" s="26">
        <f>INDEX(Comparison!$AM$3:$AS$33,H$14,$E$122)</f>
        <v>5924.3017770264787</v>
      </c>
      <c r="E247" s="26">
        <f>INDEX(Comparison!$AM$3:$AS$33,I$14,$E$122)</f>
        <v>5924.2949982314785</v>
      </c>
      <c r="F247" s="26">
        <f>INDEX(Comparison!$AM$3:$AS$33,J$14,$E$122)</f>
        <v>5924.2929325070927</v>
      </c>
      <c r="G247" s="26">
        <f>INDEX(Comparison!$AM$3:$AS$33,K$14,$E$122)</f>
        <v>5924.292050062164</v>
      </c>
      <c r="H247" s="26">
        <f>INDEX(Comparison!$AM$3:$AS$33,L$14,$E$122)</f>
        <v>5924.2896233399624</v>
      </c>
      <c r="I247" s="26">
        <f>INDEX(Comparison!$AM$3:$AS$33,M$14,$E$122)</f>
        <v>5924.2686453119095</v>
      </c>
      <c r="J247" s="26">
        <f>INDEX(Comparison!$AM$3:$AS$33,N$14,$E$122)</f>
        <v>5924.0589935262078</v>
      </c>
      <c r="K247" s="26">
        <f>INDEX(Comparison!$AM$3:$AS$33,O$14,$E$122)</f>
        <v>5921.976437640149</v>
      </c>
      <c r="L247" s="26">
        <f>INDEX(Comparison!$AM$3:$AS$33,P$14,$E$122)</f>
        <v>5902.5412392933085</v>
      </c>
      <c r="M247" s="26">
        <f>INDEX(Comparison!$AM$3:$AS$33,Q$14,$E$122)</f>
        <v>5788.7691117948852</v>
      </c>
      <c r="N247" s="26">
        <f>INDEX(Comparison!$AM$3:$AS$33,R$14,$E$122)</f>
        <v>5647.748615055857</v>
      </c>
      <c r="O247" s="26">
        <f>INDEX(Comparison!$AM$3:$AS$33,S$14,$E$122)</f>
        <v>5493.0807600988655</v>
      </c>
      <c r="P247" s="26">
        <f>INDEX(Comparison!$AM$3:$AS$33,T$14,$E$122)</f>
        <v>5310.1724689095536</v>
      </c>
      <c r="Q247" s="26">
        <f>INDEX(Comparison!$AM$3:$AS$33,U$14,$E$122)</f>
        <v>5116.9183384452708</v>
      </c>
      <c r="R247" s="26">
        <f>INDEX(Comparison!$AM$3:$AS$33,V$14,$E$122)</f>
        <v>4889.0072432178858</v>
      </c>
      <c r="S247" s="26">
        <f>INDEX(Comparison!$AM$3:$AS$33,W$14,$E$122)</f>
        <v>4599.1409750767552</v>
      </c>
      <c r="T247" s="26">
        <f>INDEX(Comparison!$AM$3:$AS$33,X$14,$E$122)</f>
        <v>4272.3926167684576</v>
      </c>
      <c r="U247" s="26">
        <f>INDEX(Comparison!$AM$3:$AS$33,Y$14,$E$122)</f>
        <v>3941.1470093551798</v>
      </c>
      <c r="V247" s="26">
        <f>INDEX(Comparison!$AM$3:$AS$33,Z$14,$E$122)</f>
        <v>3608.495032401398</v>
      </c>
      <c r="W247" s="26">
        <f>INDEX(Comparison!$AM$3:$AS$33,AA$14,$E$122)</f>
        <v>3262.5462100054015</v>
      </c>
      <c r="X247" s="26">
        <f>INDEX(Comparison!$AM$3:$AS$33,AB$14,$E$122)</f>
        <v>2841.314577864513</v>
      </c>
      <c r="Y247" s="26">
        <f>INDEX(Comparison!$AM$3:$AS$33,AC$14,$E$122)</f>
        <v>2350.4004054830193</v>
      </c>
      <c r="Z247" s="26">
        <f>INDEX(Comparison!$AM$3:$AS$33,AD$14,$E$122)</f>
        <v>1794.2797745605371</v>
      </c>
      <c r="AA247" s="26">
        <f>INDEX(Comparison!$AM$3:$AS$33,AE$14,$E$122)</f>
        <v>1192.7526197056241</v>
      </c>
      <c r="AB247" s="26">
        <f>INDEX(Comparison!$AM$3:$AS$33,AF$14,$E$122)</f>
        <v>712.56207316539314</v>
      </c>
      <c r="AC247" s="26">
        <f>INDEX(Comparison!$AM$3:$AS$33,AG$14,$E$122)</f>
        <v>405.79350694215293</v>
      </c>
      <c r="AD247" s="26">
        <f>INDEX(Comparison!$AM$3:$AS$33,AH$14,$E$122)</f>
        <v>227.75650575396227</v>
      </c>
      <c r="AE247" s="26">
        <f>INDEX(Comparison!$AM$3:$AS$33,AI$14,$E$122)</f>
        <v>157.27484077697326</v>
      </c>
      <c r="AF247" s="26">
        <f>INDEX(Comparison!$AM$3:$AS$33,AJ$14,$E$122)</f>
        <v>137.32830205333357</v>
      </c>
      <c r="AG247" s="26"/>
      <c r="AH247" s="26"/>
    </row>
    <row r="248" spans="1:34" x14ac:dyDescent="0.25">
      <c r="A248" s="70" t="s">
        <v>22</v>
      </c>
      <c r="B248" s="27">
        <f>($C$17+SUM(B249:B279))*$B$51</f>
        <v>5930.4078999885314</v>
      </c>
      <c r="C248" s="27">
        <f t="shared" ref="C248:AF248" si="234">($C$17+SUM(C249:C279))*$B$51</f>
        <v>5930.4078998853065</v>
      </c>
      <c r="D248" s="27">
        <f t="shared" si="234"/>
        <v>5930.4078988530637</v>
      </c>
      <c r="E248" s="27">
        <f t="shared" si="234"/>
        <v>5930.4078885306371</v>
      </c>
      <c r="F248" s="27">
        <f t="shared" si="234"/>
        <v>5930.4077853063727</v>
      </c>
      <c r="G248" s="27">
        <f t="shared" si="234"/>
        <v>5930.4067530642997</v>
      </c>
      <c r="H248" s="27">
        <f t="shared" si="234"/>
        <v>5930.3964307004317</v>
      </c>
      <c r="I248" s="27">
        <f t="shared" si="234"/>
        <v>5930.2932127474969</v>
      </c>
      <c r="J248" s="27">
        <f t="shared" si="234"/>
        <v>5929.2616015824015</v>
      </c>
      <c r="K248" s="27">
        <f t="shared" si="234"/>
        <v>5919.0021163048041</v>
      </c>
      <c r="L248" s="27">
        <f t="shared" si="234"/>
        <v>5821.8655676671206</v>
      </c>
      <c r="M248" s="27">
        <f t="shared" si="234"/>
        <v>5238.4516293507049</v>
      </c>
      <c r="N248" s="27">
        <f t="shared" si="234"/>
        <v>4899.7490318593855</v>
      </c>
      <c r="O248" s="27">
        <f t="shared" si="234"/>
        <v>4899.7195459187906</v>
      </c>
      <c r="P248" s="27">
        <f t="shared" si="234"/>
        <v>4899.576158140394</v>
      </c>
      <c r="Q248" s="27">
        <f t="shared" si="234"/>
        <v>4898.1442352978365</v>
      </c>
      <c r="R248" s="27">
        <f t="shared" si="234"/>
        <v>4884.0186628645697</v>
      </c>
      <c r="S248" s="27">
        <f t="shared" si="234"/>
        <v>4760.4143996163948</v>
      </c>
      <c r="T248" s="27">
        <f t="shared" si="234"/>
        <v>4340.8482006693848</v>
      </c>
      <c r="U248" s="27">
        <f t="shared" si="234"/>
        <v>4112.1474832008753</v>
      </c>
      <c r="V248" s="27">
        <f t="shared" si="234"/>
        <v>3814.5083326487938</v>
      </c>
      <c r="W248" s="27">
        <f t="shared" si="234"/>
        <v>3496.5611492409021</v>
      </c>
      <c r="X248" s="27">
        <f t="shared" si="234"/>
        <v>3074.828259209889</v>
      </c>
      <c r="Y248" s="27">
        <f t="shared" si="234"/>
        <v>2563.2406668038839</v>
      </c>
      <c r="Z248" s="27">
        <f t="shared" si="234"/>
        <v>1973.0161365776514</v>
      </c>
      <c r="AA248" s="27">
        <f t="shared" si="234"/>
        <v>1321.3900929390304</v>
      </c>
      <c r="AB248" s="27">
        <f t="shared" si="234"/>
        <v>793.43861344165839</v>
      </c>
      <c r="AC248" s="27">
        <f t="shared" si="234"/>
        <v>449.26951501705099</v>
      </c>
      <c r="AD248" s="27">
        <f t="shared" si="234"/>
        <v>249.79275567446348</v>
      </c>
      <c r="AE248" s="27">
        <f t="shared" si="234"/>
        <v>165.88322058766266</v>
      </c>
      <c r="AF248" s="27">
        <f t="shared" si="234"/>
        <v>140.90901734647417</v>
      </c>
      <c r="AG248" s="27"/>
      <c r="AH248" s="27"/>
    </row>
    <row r="249" spans="1:34" x14ac:dyDescent="0.25">
      <c r="B249" s="3">
        <f t="shared" ref="B249:AF249" si="235">$C18*EXP(-B$246/$A18/EXP(-$E$126))</f>
        <v>0.17379452430214537</v>
      </c>
      <c r="C249" s="3">
        <f t="shared" si="235"/>
        <v>0.17379452428473943</v>
      </c>
      <c r="D249" s="3">
        <f t="shared" si="235"/>
        <v>0.17379452411068017</v>
      </c>
      <c r="E249" s="3">
        <f t="shared" si="235"/>
        <v>0.1737945223700873</v>
      </c>
      <c r="F249" s="3">
        <f t="shared" si="235"/>
        <v>0.17379450496415982</v>
      </c>
      <c r="G249" s="3">
        <f t="shared" si="235"/>
        <v>0.17379433090498095</v>
      </c>
      <c r="H249" s="3">
        <f t="shared" si="235"/>
        <v>0.17379259032278016</v>
      </c>
      <c r="I249" s="3">
        <f t="shared" si="235"/>
        <v>0.17377518545951703</v>
      </c>
      <c r="J249" s="3">
        <f t="shared" si="235"/>
        <v>0.17360123266586755</v>
      </c>
      <c r="K249" s="3">
        <f t="shared" si="235"/>
        <v>0.17187125320804622</v>
      </c>
      <c r="L249" s="3">
        <f t="shared" si="235"/>
        <v>0.15549185132968099</v>
      </c>
      <c r="M249" s="3">
        <f t="shared" si="235"/>
        <v>5.7115178975167748E-2</v>
      </c>
      <c r="N249" s="3">
        <f t="shared" si="235"/>
        <v>2.5538219660227927E-6</v>
      </c>
      <c r="O249" s="3">
        <f t="shared" si="235"/>
        <v>8.1579563822688772E-50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9.0899647473980161E-2</v>
      </c>
      <c r="C250" s="3">
        <f t="shared" si="236"/>
        <v>9.0899647473980161E-2</v>
      </c>
      <c r="D250" s="3">
        <f t="shared" si="236"/>
        <v>9.0899647473980133E-2</v>
      </c>
      <c r="E250" s="3">
        <f t="shared" si="236"/>
        <v>9.0899647473979897E-2</v>
      </c>
      <c r="F250" s="3">
        <f t="shared" si="236"/>
        <v>9.0899647473977566E-2</v>
      </c>
      <c r="G250" s="3">
        <f t="shared" si="236"/>
        <v>9.0899647473954251E-2</v>
      </c>
      <c r="H250" s="3">
        <f t="shared" si="236"/>
        <v>9.0899647473721049E-2</v>
      </c>
      <c r="I250" s="3">
        <f t="shared" si="236"/>
        <v>9.0899647471389067E-2</v>
      </c>
      <c r="J250" s="3">
        <f t="shared" si="236"/>
        <v>9.0899647448069248E-2</v>
      </c>
      <c r="K250" s="3">
        <f t="shared" si="236"/>
        <v>9.0899647214871038E-2</v>
      </c>
      <c r="L250" s="3">
        <f t="shared" si="236"/>
        <v>9.0899644882888944E-2</v>
      </c>
      <c r="M250" s="3">
        <f t="shared" si="236"/>
        <v>9.0899621563071395E-2</v>
      </c>
      <c r="N250" s="3">
        <f t="shared" si="236"/>
        <v>9.0899388365224806E-2</v>
      </c>
      <c r="O250" s="3">
        <f t="shared" si="236"/>
        <v>9.0897056419662739E-2</v>
      </c>
      <c r="P250" s="3">
        <f t="shared" si="236"/>
        <v>9.0873740254112045E-2</v>
      </c>
      <c r="Q250" s="3">
        <f t="shared" si="236"/>
        <v>9.0640907293507267E-2</v>
      </c>
      <c r="R250" s="3">
        <f t="shared" si="236"/>
        <v>8.8345137304898985E-2</v>
      </c>
      <c r="S250" s="3">
        <f t="shared" si="236"/>
        <v>6.8354436905540578E-2</v>
      </c>
      <c r="T250" s="3">
        <f t="shared" si="236"/>
        <v>5.255418546975206E-3</v>
      </c>
      <c r="U250" s="3">
        <f t="shared" si="236"/>
        <v>3.793266044927447E-14</v>
      </c>
      <c r="V250" s="3">
        <f t="shared" si="236"/>
        <v>1.4557045666761221E-125</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3.1881256705136286E-2</v>
      </c>
      <c r="C251" s="3">
        <f t="shared" si="237"/>
        <v>3.1881256705136286E-2</v>
      </c>
      <c r="D251" s="3">
        <f t="shared" si="237"/>
        <v>3.1881256705136286E-2</v>
      </c>
      <c r="E251" s="3">
        <f t="shared" si="237"/>
        <v>3.1881256705136279E-2</v>
      </c>
      <c r="F251" s="3">
        <f t="shared" si="237"/>
        <v>3.1881256705136203E-2</v>
      </c>
      <c r="G251" s="3">
        <f t="shared" si="237"/>
        <v>3.1881256705135468E-2</v>
      </c>
      <c r="H251" s="3">
        <f t="shared" si="237"/>
        <v>3.1881256705128092E-2</v>
      </c>
      <c r="I251" s="3">
        <f t="shared" si="237"/>
        <v>3.188125670505431E-2</v>
      </c>
      <c r="J251" s="3">
        <f t="shared" si="237"/>
        <v>3.1881256704316498E-2</v>
      </c>
      <c r="K251" s="3">
        <f t="shared" si="237"/>
        <v>3.1881256696938386E-2</v>
      </c>
      <c r="L251" s="3">
        <f t="shared" si="237"/>
        <v>3.18812566231573E-2</v>
      </c>
      <c r="M251" s="3">
        <f t="shared" si="237"/>
        <v>3.188125588534646E-2</v>
      </c>
      <c r="N251" s="3">
        <f t="shared" si="237"/>
        <v>3.1881248507238946E-2</v>
      </c>
      <c r="O251" s="3">
        <f t="shared" si="237"/>
        <v>3.188117472625774E-2</v>
      </c>
      <c r="P251" s="3">
        <f t="shared" si="237"/>
        <v>3.1880436925836697E-2</v>
      </c>
      <c r="Q251" s="3">
        <f t="shared" si="237"/>
        <v>3.1873059860648832E-2</v>
      </c>
      <c r="R251" s="3">
        <f t="shared" si="237"/>
        <v>3.1799383030668857E-2</v>
      </c>
      <c r="S251" s="3">
        <f t="shared" si="237"/>
        <v>3.1071917078631796E-2</v>
      </c>
      <c r="T251" s="3">
        <f t="shared" si="237"/>
        <v>2.4652536040442617E-2</v>
      </c>
      <c r="U251" s="3">
        <f t="shared" si="237"/>
        <v>2.4366723428400883E-3</v>
      </c>
      <c r="V251" s="3">
        <f t="shared" si="237"/>
        <v>2.1684651618954311E-13</v>
      </c>
      <c r="W251" s="3">
        <f t="shared" si="237"/>
        <v>6.7562483096755862E-114</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5.4295186308030693E-2</v>
      </c>
      <c r="C252" s="3">
        <f t="shared" si="238"/>
        <v>5.4295186308030693E-2</v>
      </c>
      <c r="D252" s="3">
        <f t="shared" si="238"/>
        <v>5.4295186308030693E-2</v>
      </c>
      <c r="E252" s="3">
        <f t="shared" si="238"/>
        <v>5.4295186308030693E-2</v>
      </c>
      <c r="F252" s="3">
        <f t="shared" si="238"/>
        <v>5.429518630803068E-2</v>
      </c>
      <c r="G252" s="3">
        <f t="shared" si="238"/>
        <v>5.4295186308030569E-2</v>
      </c>
      <c r="H252" s="3">
        <f t="shared" si="238"/>
        <v>5.4295186308029431E-2</v>
      </c>
      <c r="I252" s="3">
        <f t="shared" si="238"/>
        <v>5.4295186308018099E-2</v>
      </c>
      <c r="J252" s="3">
        <f t="shared" si="238"/>
        <v>5.4295186307904753E-2</v>
      </c>
      <c r="K252" s="3">
        <f t="shared" si="238"/>
        <v>5.4295186306771263E-2</v>
      </c>
      <c r="L252" s="3">
        <f t="shared" si="238"/>
        <v>5.4295186295436365E-2</v>
      </c>
      <c r="M252" s="3">
        <f t="shared" si="238"/>
        <v>5.429518618208741E-2</v>
      </c>
      <c r="N252" s="3">
        <f t="shared" si="238"/>
        <v>5.4295185048597858E-2</v>
      </c>
      <c r="O252" s="3">
        <f t="shared" si="238"/>
        <v>5.4295173713703633E-2</v>
      </c>
      <c r="P252" s="3">
        <f t="shared" si="238"/>
        <v>5.4295060364891512E-2</v>
      </c>
      <c r="Q252" s="3">
        <f t="shared" si="238"/>
        <v>5.4293926889784988E-2</v>
      </c>
      <c r="R252" s="3">
        <f t="shared" si="238"/>
        <v>5.4282593440084854E-2</v>
      </c>
      <c r="S252" s="3">
        <f t="shared" si="238"/>
        <v>5.4169388979124829E-2</v>
      </c>
      <c r="T252" s="3">
        <f t="shared" si="238"/>
        <v>5.3050248088629577E-2</v>
      </c>
      <c r="U252" s="3">
        <f t="shared" si="238"/>
        <v>4.3054866090774226E-2</v>
      </c>
      <c r="V252" s="3">
        <f t="shared" si="238"/>
        <v>5.3379005590951725E-3</v>
      </c>
      <c r="W252" s="3">
        <f t="shared" si="238"/>
        <v>4.5798667267783318E-12</v>
      </c>
      <c r="X252" s="3">
        <f t="shared" si="238"/>
        <v>9.9009405710654267E-103</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5.1307510130975835E-2</v>
      </c>
      <c r="C253" s="3">
        <f t="shared" si="239"/>
        <v>5.1307510130975835E-2</v>
      </c>
      <c r="D253" s="3">
        <f t="shared" si="239"/>
        <v>5.1307510130975835E-2</v>
      </c>
      <c r="E253" s="3">
        <f t="shared" si="239"/>
        <v>5.1307510130975835E-2</v>
      </c>
      <c r="F253" s="3">
        <f t="shared" si="239"/>
        <v>5.1307510130975835E-2</v>
      </c>
      <c r="G253" s="3">
        <f t="shared" si="239"/>
        <v>5.1307510130975821E-2</v>
      </c>
      <c r="H253" s="3">
        <f t="shared" si="239"/>
        <v>5.1307510130975724E-2</v>
      </c>
      <c r="I253" s="3">
        <f t="shared" si="239"/>
        <v>5.1307510130974766E-2</v>
      </c>
      <c r="J253" s="3">
        <f t="shared" si="239"/>
        <v>5.13075101309651E-2</v>
      </c>
      <c r="K253" s="3">
        <f t="shared" si="239"/>
        <v>5.1307510130868476E-2</v>
      </c>
      <c r="L253" s="3">
        <f t="shared" si="239"/>
        <v>5.1307510129902242E-2</v>
      </c>
      <c r="M253" s="3">
        <f t="shared" si="239"/>
        <v>5.1307510120239867E-2</v>
      </c>
      <c r="N253" s="3">
        <f t="shared" si="239"/>
        <v>5.1307510023616151E-2</v>
      </c>
      <c r="O253" s="3">
        <f t="shared" si="239"/>
        <v>5.1307509057379012E-2</v>
      </c>
      <c r="P253" s="3">
        <f t="shared" si="239"/>
        <v>5.1307499395008657E-2</v>
      </c>
      <c r="Q253" s="3">
        <f t="shared" si="239"/>
        <v>5.1307402771405143E-2</v>
      </c>
      <c r="R253" s="3">
        <f t="shared" si="239"/>
        <v>5.1306436545377969E-2</v>
      </c>
      <c r="S253" s="3">
        <f t="shared" si="239"/>
        <v>5.1296775285833165E-2</v>
      </c>
      <c r="T253" s="3">
        <f t="shared" si="239"/>
        <v>5.1200262693383077E-2</v>
      </c>
      <c r="U253" s="3">
        <f t="shared" si="239"/>
        <v>5.0245067736793936E-2</v>
      </c>
      <c r="V253" s="3">
        <f t="shared" si="239"/>
        <v>4.162036689609841E-2</v>
      </c>
      <c r="W253" s="3">
        <f t="shared" si="239"/>
        <v>6.3303917562737948E-3</v>
      </c>
      <c r="X253" s="3">
        <f t="shared" si="239"/>
        <v>4.1944731189306019E-11</v>
      </c>
      <c r="Y253" s="3">
        <f t="shared" si="239"/>
        <v>6.8414112695784081E-93</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7.4663981933644916E-2</v>
      </c>
      <c r="C254" s="3">
        <f t="shared" si="240"/>
        <v>7.4663981933644916E-2</v>
      </c>
      <c r="D254" s="3">
        <f t="shared" si="240"/>
        <v>7.4663981933644916E-2</v>
      </c>
      <c r="E254" s="3">
        <f t="shared" si="240"/>
        <v>7.4663981933644916E-2</v>
      </c>
      <c r="F254" s="3">
        <f t="shared" si="240"/>
        <v>7.4663981933644916E-2</v>
      </c>
      <c r="G254" s="3">
        <f t="shared" si="240"/>
        <v>7.4663981933644916E-2</v>
      </c>
      <c r="H254" s="3">
        <f t="shared" si="240"/>
        <v>7.4663981933644902E-2</v>
      </c>
      <c r="I254" s="3">
        <f t="shared" si="240"/>
        <v>7.4663981933644777E-2</v>
      </c>
      <c r="J254" s="3">
        <f t="shared" si="240"/>
        <v>7.46639819336435E-2</v>
      </c>
      <c r="K254" s="3">
        <f t="shared" si="240"/>
        <v>7.466398193363083E-2</v>
      </c>
      <c r="L254" s="3">
        <f t="shared" si="240"/>
        <v>7.4663981933503987E-2</v>
      </c>
      <c r="M254" s="3">
        <f t="shared" si="240"/>
        <v>7.4663981932235571E-2</v>
      </c>
      <c r="N254" s="3">
        <f t="shared" si="240"/>
        <v>7.4663981919551439E-2</v>
      </c>
      <c r="O254" s="3">
        <f t="shared" si="240"/>
        <v>7.4663981792710193E-2</v>
      </c>
      <c r="P254" s="3">
        <f t="shared" si="240"/>
        <v>7.4663980524297652E-2</v>
      </c>
      <c r="Q254" s="3">
        <f t="shared" si="240"/>
        <v>7.4663967840173512E-2</v>
      </c>
      <c r="R254" s="3">
        <f t="shared" si="240"/>
        <v>7.4663840999050574E-2</v>
      </c>
      <c r="S254" s="3">
        <f t="shared" si="240"/>
        <v>7.4662572599672627E-2</v>
      </c>
      <c r="T254" s="3">
        <f t="shared" si="240"/>
        <v>7.464988979095849E-2</v>
      </c>
      <c r="U254" s="3">
        <f t="shared" si="240"/>
        <v>7.4523180135888156E-2</v>
      </c>
      <c r="V254" s="3">
        <f t="shared" si="240"/>
        <v>7.3267852686957124E-2</v>
      </c>
      <c r="W254" s="3">
        <f t="shared" si="240"/>
        <v>6.1820755169832257E-2</v>
      </c>
      <c r="X254" s="3">
        <f t="shared" si="240"/>
        <v>1.1306878596505308E-2</v>
      </c>
      <c r="Y254" s="3">
        <f t="shared" si="240"/>
        <v>4.7361664992367008E-10</v>
      </c>
      <c r="Z254" s="3">
        <f t="shared" si="240"/>
        <v>7.8753395150791461E-84</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9.0647969973627479E-2</v>
      </c>
      <c r="C255" s="3">
        <f t="shared" si="241"/>
        <v>9.0647969973627479E-2</v>
      </c>
      <c r="D255" s="3">
        <f t="shared" si="241"/>
        <v>9.0647969973627479E-2</v>
      </c>
      <c r="E255" s="3">
        <f t="shared" si="241"/>
        <v>9.0647969973627479E-2</v>
      </c>
      <c r="F255" s="3">
        <f t="shared" si="241"/>
        <v>9.0647969973627479E-2</v>
      </c>
      <c r="G255" s="3">
        <f t="shared" si="241"/>
        <v>9.0647969973627479E-2</v>
      </c>
      <c r="H255" s="3">
        <f t="shared" si="241"/>
        <v>9.0647969973627479E-2</v>
      </c>
      <c r="I255" s="3">
        <f t="shared" si="241"/>
        <v>9.0647969973627465E-2</v>
      </c>
      <c r="J255" s="3">
        <f t="shared" si="241"/>
        <v>9.0647969973627326E-2</v>
      </c>
      <c r="K255" s="3">
        <f t="shared" si="241"/>
        <v>9.0647969973625939E-2</v>
      </c>
      <c r="L255" s="3">
        <f t="shared" si="241"/>
        <v>9.0647969973612047E-2</v>
      </c>
      <c r="M255" s="3">
        <f t="shared" si="241"/>
        <v>9.064796997347313E-2</v>
      </c>
      <c r="N255" s="3">
        <f t="shared" si="241"/>
        <v>9.0647969972083964E-2</v>
      </c>
      <c r="O255" s="3">
        <f t="shared" si="241"/>
        <v>9.0647969958192298E-2</v>
      </c>
      <c r="P255" s="3">
        <f t="shared" si="241"/>
        <v>9.0647969819275739E-2</v>
      </c>
      <c r="Q255" s="3">
        <f t="shared" si="241"/>
        <v>9.064796843011004E-2</v>
      </c>
      <c r="R255" s="3">
        <f t="shared" si="241"/>
        <v>9.0647954538454228E-2</v>
      </c>
      <c r="S255" s="3">
        <f t="shared" si="241"/>
        <v>9.0647815622013239E-2</v>
      </c>
      <c r="T255" s="3">
        <f t="shared" si="241"/>
        <v>9.0646426469312105E-2</v>
      </c>
      <c r="U255" s="3">
        <f t="shared" si="241"/>
        <v>9.0632536113107912E-2</v>
      </c>
      <c r="V255" s="3">
        <f t="shared" si="241"/>
        <v>9.0493749565418308E-2</v>
      </c>
      <c r="W255" s="3">
        <f t="shared" si="241"/>
        <v>8.9117519445493329E-2</v>
      </c>
      <c r="X255" s="3">
        <f t="shared" si="241"/>
        <v>7.6455397660574298E-2</v>
      </c>
      <c r="Y255" s="3">
        <f t="shared" si="241"/>
        <v>1.6514246808685216E-2</v>
      </c>
      <c r="Z255" s="3">
        <f t="shared" si="241"/>
        <v>3.6506060155873894E-9</v>
      </c>
      <c r="AA255" s="3">
        <f t="shared" si="241"/>
        <v>1.0172481458624361E-75</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0.10513898706376987</v>
      </c>
      <c r="C256" s="3">
        <f t="shared" si="242"/>
        <v>0.10513898706376987</v>
      </c>
      <c r="D256" s="3">
        <f t="shared" si="242"/>
        <v>0.10513898706376987</v>
      </c>
      <c r="E256" s="3">
        <f t="shared" si="242"/>
        <v>0.10513898706376987</v>
      </c>
      <c r="F256" s="3">
        <f t="shared" si="242"/>
        <v>0.10513898706376987</v>
      </c>
      <c r="G256" s="3">
        <f t="shared" si="242"/>
        <v>0.10513898706376987</v>
      </c>
      <c r="H256" s="3">
        <f t="shared" si="242"/>
        <v>0.10513898706376987</v>
      </c>
      <c r="I256" s="3">
        <f t="shared" si="242"/>
        <v>0.10513898706376987</v>
      </c>
      <c r="J256" s="3">
        <f t="shared" si="242"/>
        <v>0.10513898706376985</v>
      </c>
      <c r="K256" s="3">
        <f t="shared" si="242"/>
        <v>0.1051389870637697</v>
      </c>
      <c r="L256" s="3">
        <f t="shared" si="242"/>
        <v>0.10513898706376826</v>
      </c>
      <c r="M256" s="3">
        <f t="shared" si="242"/>
        <v>0.10513898706375371</v>
      </c>
      <c r="N256" s="3">
        <f t="shared" si="242"/>
        <v>0.10513898706360837</v>
      </c>
      <c r="O256" s="3">
        <f t="shared" si="242"/>
        <v>0.10513898706215491</v>
      </c>
      <c r="P256" s="3">
        <f t="shared" si="242"/>
        <v>0.10513898704762019</v>
      </c>
      <c r="Q256" s="3">
        <f t="shared" si="242"/>
        <v>0.10513898690227309</v>
      </c>
      <c r="R256" s="3">
        <f t="shared" si="242"/>
        <v>0.10513898544880218</v>
      </c>
      <c r="S256" s="3">
        <f t="shared" si="242"/>
        <v>0.10513897091409405</v>
      </c>
      <c r="T256" s="3">
        <f t="shared" si="242"/>
        <v>0.10513882556712327</v>
      </c>
      <c r="U256" s="3">
        <f t="shared" si="242"/>
        <v>0.10513737210846678</v>
      </c>
      <c r="V256" s="3">
        <f t="shared" si="242"/>
        <v>0.10512283862696452</v>
      </c>
      <c r="W256" s="3">
        <f t="shared" si="242"/>
        <v>0.10497761426170962</v>
      </c>
      <c r="X256" s="3">
        <f t="shared" si="242"/>
        <v>0.10353635929935386</v>
      </c>
      <c r="Y256" s="3">
        <f t="shared" si="242"/>
        <v>9.0168490369486126E-2</v>
      </c>
      <c r="Z256" s="3">
        <f t="shared" si="242"/>
        <v>2.2629444281405346E-2</v>
      </c>
      <c r="AA256" s="3">
        <f t="shared" si="242"/>
        <v>2.2431834513767085E-8</v>
      </c>
      <c r="AB256" s="3">
        <f t="shared" si="242"/>
        <v>2.0548202000303851E-68</v>
      </c>
      <c r="AC256" s="3">
        <f t="shared" si="242"/>
        <v>0</v>
      </c>
      <c r="AD256" s="3">
        <f t="shared" si="242"/>
        <v>0</v>
      </c>
      <c r="AE256" s="3">
        <f t="shared" si="242"/>
        <v>0</v>
      </c>
      <c r="AF256" s="3">
        <f t="shared" si="242"/>
        <v>0</v>
      </c>
      <c r="AG256" s="3"/>
      <c r="AH256" s="3"/>
    </row>
    <row r="257" spans="2:34" x14ac:dyDescent="0.25">
      <c r="B257" s="3">
        <f t="shared" ref="B257:AF257" si="243">$C26*EXP(-B$246/$A26/EXP(-$E$126))</f>
        <v>0.12480864845095105</v>
      </c>
      <c r="C257" s="3">
        <f t="shared" si="243"/>
        <v>0.12480864845095105</v>
      </c>
      <c r="D257" s="3">
        <f t="shared" si="243"/>
        <v>0.12480864845095105</v>
      </c>
      <c r="E257" s="3">
        <f t="shared" si="243"/>
        <v>0.12480864845095105</v>
      </c>
      <c r="F257" s="3">
        <f t="shared" si="243"/>
        <v>0.12480864845095105</v>
      </c>
      <c r="G257" s="3">
        <f t="shared" si="243"/>
        <v>0.12480864845095105</v>
      </c>
      <c r="H257" s="3">
        <f t="shared" si="243"/>
        <v>0.12480864845095105</v>
      </c>
      <c r="I257" s="3">
        <f t="shared" si="243"/>
        <v>0.12480864845095105</v>
      </c>
      <c r="J257" s="3">
        <f t="shared" si="243"/>
        <v>0.12480864845095105</v>
      </c>
      <c r="K257" s="3">
        <f t="shared" si="243"/>
        <v>0.12480864845095103</v>
      </c>
      <c r="L257" s="3">
        <f t="shared" si="243"/>
        <v>0.12480864845095088</v>
      </c>
      <c r="M257" s="3">
        <f t="shared" si="243"/>
        <v>0.12480864845094931</v>
      </c>
      <c r="N257" s="3">
        <f t="shared" si="243"/>
        <v>0.12480864845093376</v>
      </c>
      <c r="O257" s="3">
        <f t="shared" si="243"/>
        <v>0.1248086484507781</v>
      </c>
      <c r="P257" s="3">
        <f t="shared" si="243"/>
        <v>0.12480864844922167</v>
      </c>
      <c r="Q257" s="3">
        <f t="shared" si="243"/>
        <v>0.12480864843365722</v>
      </c>
      <c r="R257" s="3">
        <f t="shared" si="243"/>
        <v>0.12480864827801269</v>
      </c>
      <c r="S257" s="3">
        <f t="shared" si="243"/>
        <v>0.12480864672156751</v>
      </c>
      <c r="T257" s="3">
        <f t="shared" si="243"/>
        <v>0.1248086311571167</v>
      </c>
      <c r="U257" s="3">
        <f t="shared" si="243"/>
        <v>0.12480847551271534</v>
      </c>
      <c r="V257" s="3">
        <f t="shared" si="243"/>
        <v>0.12480691907937712</v>
      </c>
      <c r="W257" s="3">
        <f t="shared" si="243"/>
        <v>0.12479135581348402</v>
      </c>
      <c r="X257" s="3">
        <f t="shared" si="243"/>
        <v>0.12463582985421509</v>
      </c>
      <c r="Y257" s="3">
        <f t="shared" si="243"/>
        <v>0.12309119115879556</v>
      </c>
      <c r="Z257" s="3">
        <f t="shared" si="243"/>
        <v>0.10865947982683903</v>
      </c>
      <c r="AA257" s="3">
        <f t="shared" si="243"/>
        <v>3.1222961551767146E-2</v>
      </c>
      <c r="AB257" s="3">
        <f t="shared" si="243"/>
        <v>1.1982262243851354E-7</v>
      </c>
      <c r="AC257" s="3">
        <f t="shared" si="243"/>
        <v>8.3020640767647947E-62</v>
      </c>
      <c r="AD257" s="3">
        <f t="shared" si="243"/>
        <v>0</v>
      </c>
      <c r="AE257" s="3">
        <f t="shared" si="243"/>
        <v>0</v>
      </c>
      <c r="AF257" s="3">
        <f t="shared" si="243"/>
        <v>0</v>
      </c>
      <c r="AG257" s="3"/>
      <c r="AH257" s="3"/>
    </row>
    <row r="258" spans="2:34" x14ac:dyDescent="0.25">
      <c r="B258" s="3">
        <f t="shared" ref="B258:AF258" si="244">$C27*EXP(-B$246/$A27/EXP(-$E$126))</f>
        <v>8.8034867704118849E-2</v>
      </c>
      <c r="C258" s="3">
        <f t="shared" si="244"/>
        <v>8.8034867704118849E-2</v>
      </c>
      <c r="D258" s="3">
        <f t="shared" si="244"/>
        <v>8.8034867704118849E-2</v>
      </c>
      <c r="E258" s="3">
        <f t="shared" si="244"/>
        <v>8.8034867704118849E-2</v>
      </c>
      <c r="F258" s="3">
        <f t="shared" si="244"/>
        <v>8.8034867704118849E-2</v>
      </c>
      <c r="G258" s="3">
        <f t="shared" si="244"/>
        <v>8.8034867704118849E-2</v>
      </c>
      <c r="H258" s="3">
        <f t="shared" si="244"/>
        <v>8.8034867704118849E-2</v>
      </c>
      <c r="I258" s="3">
        <f t="shared" si="244"/>
        <v>8.8034867704118849E-2</v>
      </c>
      <c r="J258" s="3">
        <f t="shared" si="244"/>
        <v>8.8034867704118849E-2</v>
      </c>
      <c r="K258" s="3">
        <f t="shared" si="244"/>
        <v>8.8034867704118849E-2</v>
      </c>
      <c r="L258" s="3">
        <f t="shared" si="244"/>
        <v>8.8034867704118835E-2</v>
      </c>
      <c r="M258" s="3">
        <f t="shared" si="244"/>
        <v>8.8034867704118738E-2</v>
      </c>
      <c r="N258" s="3">
        <f t="shared" si="244"/>
        <v>8.8034867704117739E-2</v>
      </c>
      <c r="O258" s="3">
        <f t="shared" si="244"/>
        <v>8.8034867704107844E-2</v>
      </c>
      <c r="P258" s="3">
        <f t="shared" si="244"/>
        <v>8.8034867704008812E-2</v>
      </c>
      <c r="Q258" s="3">
        <f t="shared" si="244"/>
        <v>8.8034867703018452E-2</v>
      </c>
      <c r="R258" s="3">
        <f t="shared" si="244"/>
        <v>8.8034867693114915E-2</v>
      </c>
      <c r="S258" s="3">
        <f t="shared" si="244"/>
        <v>8.8034867594079511E-2</v>
      </c>
      <c r="T258" s="3">
        <f t="shared" si="244"/>
        <v>8.8034866603725517E-2</v>
      </c>
      <c r="U258" s="3">
        <f t="shared" si="244"/>
        <v>8.8034856700186181E-2</v>
      </c>
      <c r="V258" s="3">
        <f t="shared" si="244"/>
        <v>8.8034757664854038E-2</v>
      </c>
      <c r="W258" s="3">
        <f t="shared" si="244"/>
        <v>8.8033767317660216E-2</v>
      </c>
      <c r="X258" s="3">
        <f t="shared" si="244"/>
        <v>8.8023864458451478E-2</v>
      </c>
      <c r="Y258" s="3">
        <f t="shared" si="244"/>
        <v>8.7924897113820816E-2</v>
      </c>
      <c r="Z258" s="3">
        <f t="shared" si="244"/>
        <v>8.6941322996443235E-2</v>
      </c>
      <c r="AA258" s="3">
        <f t="shared" si="244"/>
        <v>7.7690873223112147E-2</v>
      </c>
      <c r="AB258" s="3">
        <f t="shared" si="244"/>
        <v>2.5223629863906607E-2</v>
      </c>
      <c r="AC258" s="3">
        <f t="shared" si="244"/>
        <v>3.2823387914162408E-7</v>
      </c>
      <c r="AD258" s="3">
        <f t="shared" si="244"/>
        <v>4.5702673959239896E-56</v>
      </c>
      <c r="AE258" s="3">
        <f t="shared" si="244"/>
        <v>0</v>
      </c>
      <c r="AF258" s="3">
        <f t="shared" si="244"/>
        <v>0</v>
      </c>
      <c r="AG258" s="3"/>
      <c r="AH258" s="3"/>
    </row>
    <row r="259" spans="2:34" x14ac:dyDescent="0.25">
      <c r="B259" s="3">
        <f t="shared" ref="B259:AF259" si="245">$C28*EXP(-B$246/$A28/EXP(-$E$126))</f>
        <v>5.3040160566801761E-2</v>
      </c>
      <c r="C259" s="3">
        <f t="shared" si="245"/>
        <v>5.3040160566801761E-2</v>
      </c>
      <c r="D259" s="3">
        <f t="shared" si="245"/>
        <v>5.3040160566801761E-2</v>
      </c>
      <c r="E259" s="3">
        <f t="shared" si="245"/>
        <v>5.3040160566801761E-2</v>
      </c>
      <c r="F259" s="3">
        <f t="shared" si="245"/>
        <v>5.3040160566801761E-2</v>
      </c>
      <c r="G259" s="3">
        <f t="shared" si="245"/>
        <v>5.3040160566801761E-2</v>
      </c>
      <c r="H259" s="3">
        <f t="shared" si="245"/>
        <v>5.3040160566801761E-2</v>
      </c>
      <c r="I259" s="3">
        <f t="shared" si="245"/>
        <v>5.3040160566801761E-2</v>
      </c>
      <c r="J259" s="3">
        <f t="shared" si="245"/>
        <v>5.3040160566801761E-2</v>
      </c>
      <c r="K259" s="3">
        <f t="shared" si="245"/>
        <v>5.3040160566801761E-2</v>
      </c>
      <c r="L259" s="3">
        <f t="shared" si="245"/>
        <v>5.3040160566801761E-2</v>
      </c>
      <c r="M259" s="3">
        <f t="shared" si="245"/>
        <v>5.3040160566801754E-2</v>
      </c>
      <c r="N259" s="3">
        <f t="shared" si="245"/>
        <v>5.3040160566801706E-2</v>
      </c>
      <c r="O259" s="3">
        <f t="shared" si="245"/>
        <v>5.3040160566801157E-2</v>
      </c>
      <c r="P259" s="3">
        <f t="shared" si="245"/>
        <v>5.304016056679578E-2</v>
      </c>
      <c r="Q259" s="3">
        <f t="shared" si="245"/>
        <v>5.3040160566741955E-2</v>
      </c>
      <c r="R259" s="3">
        <f t="shared" si="245"/>
        <v>5.3040160566203698E-2</v>
      </c>
      <c r="S259" s="3">
        <f t="shared" si="245"/>
        <v>5.3040160560821163E-2</v>
      </c>
      <c r="T259" s="3">
        <f t="shared" si="245"/>
        <v>5.3040160506995775E-2</v>
      </c>
      <c r="U259" s="3">
        <f t="shared" si="245"/>
        <v>5.3040159968741903E-2</v>
      </c>
      <c r="V259" s="3">
        <f t="shared" si="245"/>
        <v>5.3040154586203474E-2</v>
      </c>
      <c r="W259" s="3">
        <f t="shared" si="245"/>
        <v>5.3040100760849224E-2</v>
      </c>
      <c r="X259" s="3">
        <f t="shared" si="245"/>
        <v>5.3039562510310952E-2</v>
      </c>
      <c r="Y259" s="3">
        <f t="shared" si="245"/>
        <v>5.3034180305338033E-2</v>
      </c>
      <c r="Z259" s="3">
        <f t="shared" si="245"/>
        <v>5.2980388285310605E-2</v>
      </c>
      <c r="AA259" s="3">
        <f t="shared" si="245"/>
        <v>5.2445459810272488E-2</v>
      </c>
      <c r="AB259" s="3">
        <f t="shared" si="245"/>
        <v>4.7384412772360412E-2</v>
      </c>
      <c r="AC259" s="3">
        <f t="shared" si="245"/>
        <v>1.7175585764822861E-2</v>
      </c>
      <c r="AD259" s="3">
        <f t="shared" si="245"/>
        <v>6.7246874297128826E-7</v>
      </c>
      <c r="AE259" s="3">
        <f t="shared" si="245"/>
        <v>5.6921659863526283E-51</v>
      </c>
      <c r="AF259" s="3">
        <f t="shared" si="245"/>
        <v>0</v>
      </c>
      <c r="AG259" s="3"/>
      <c r="AH259" s="3"/>
    </row>
    <row r="260" spans="2:34" x14ac:dyDescent="0.25">
      <c r="B260" s="3">
        <f t="shared" ref="B260:AF260" si="246">$C29*EXP(-B$246/$A29/EXP(-$E$126))</f>
        <v>2.9418988584786216E-2</v>
      </c>
      <c r="C260" s="3">
        <f t="shared" si="246"/>
        <v>2.9418988584786216E-2</v>
      </c>
      <c r="D260" s="3">
        <f t="shared" si="246"/>
        <v>2.9418988584786216E-2</v>
      </c>
      <c r="E260" s="3">
        <f t="shared" si="246"/>
        <v>2.9418988584786216E-2</v>
      </c>
      <c r="F260" s="3">
        <f t="shared" si="246"/>
        <v>2.9418988584786216E-2</v>
      </c>
      <c r="G260" s="3">
        <f t="shared" si="246"/>
        <v>2.9418988584786216E-2</v>
      </c>
      <c r="H260" s="3">
        <f t="shared" si="246"/>
        <v>2.9418988584786216E-2</v>
      </c>
      <c r="I260" s="3">
        <f t="shared" si="246"/>
        <v>2.9418988584786216E-2</v>
      </c>
      <c r="J260" s="3">
        <f t="shared" si="246"/>
        <v>2.9418988584786216E-2</v>
      </c>
      <c r="K260" s="3">
        <f t="shared" si="246"/>
        <v>2.9418988584786216E-2</v>
      </c>
      <c r="L260" s="3">
        <f t="shared" si="246"/>
        <v>2.9418988584786216E-2</v>
      </c>
      <c r="M260" s="3">
        <f t="shared" si="246"/>
        <v>2.9418988584786216E-2</v>
      </c>
      <c r="N260" s="3">
        <f t="shared" si="246"/>
        <v>2.9418988584786213E-2</v>
      </c>
      <c r="O260" s="3">
        <f t="shared" si="246"/>
        <v>2.9418988584786188E-2</v>
      </c>
      <c r="P260" s="3">
        <f t="shared" si="246"/>
        <v>2.9418988584785914E-2</v>
      </c>
      <c r="Q260" s="3">
        <f t="shared" si="246"/>
        <v>2.9418988584783225E-2</v>
      </c>
      <c r="R260" s="3">
        <f t="shared" si="246"/>
        <v>2.9418988584756292E-2</v>
      </c>
      <c r="S260" s="3">
        <f t="shared" si="246"/>
        <v>2.941898858448698E-2</v>
      </c>
      <c r="T260" s="3">
        <f t="shared" si="246"/>
        <v>2.9418988581793856E-2</v>
      </c>
      <c r="U260" s="3">
        <f t="shared" si="246"/>
        <v>2.9418988554862593E-2</v>
      </c>
      <c r="V260" s="3">
        <f t="shared" si="246"/>
        <v>2.941898828555E-2</v>
      </c>
      <c r="W260" s="3">
        <f t="shared" si="246"/>
        <v>2.9418985592424202E-2</v>
      </c>
      <c r="X260" s="3">
        <f t="shared" si="246"/>
        <v>2.9418958661179766E-2</v>
      </c>
      <c r="Y260" s="3">
        <f t="shared" si="246"/>
        <v>2.9418689350091363E-2</v>
      </c>
      <c r="Z260" s="3">
        <f t="shared" si="246"/>
        <v>2.9415996374798692E-2</v>
      </c>
      <c r="AA260" s="3">
        <f t="shared" si="246"/>
        <v>2.938908017641393E-2</v>
      </c>
      <c r="AB260" s="3">
        <f t="shared" si="246"/>
        <v>2.9121269066898381E-2</v>
      </c>
      <c r="AC260" s="3">
        <f t="shared" si="246"/>
        <v>2.6573779722134483E-2</v>
      </c>
      <c r="AD260" s="3">
        <f t="shared" si="246"/>
        <v>1.0638580084231623E-2</v>
      </c>
      <c r="AE260" s="3">
        <f t="shared" si="246"/>
        <v>1.125089397499425E-6</v>
      </c>
      <c r="AF260" s="3">
        <f t="shared" si="246"/>
        <v>1.9688864980573837E-46</v>
      </c>
      <c r="AG260" s="3"/>
      <c r="AH260" s="3"/>
    </row>
    <row r="261" spans="2:34" x14ac:dyDescent="0.25">
      <c r="B261" s="3">
        <f t="shared" ref="B261:AF261" si="247">$C30*EXP(-B$246/$A30/EXP(-$E$126))</f>
        <v>6.3753391533418529E-3</v>
      </c>
      <c r="C261" s="3">
        <f t="shared" si="247"/>
        <v>6.3753391533418529E-3</v>
      </c>
      <c r="D261" s="3">
        <f t="shared" si="247"/>
        <v>6.3753391533418529E-3</v>
      </c>
      <c r="E261" s="3">
        <f t="shared" si="247"/>
        <v>6.3753391533418529E-3</v>
      </c>
      <c r="F261" s="3">
        <f t="shared" si="247"/>
        <v>6.3753391533418529E-3</v>
      </c>
      <c r="G261" s="3">
        <f t="shared" si="247"/>
        <v>6.3753391533418529E-3</v>
      </c>
      <c r="H261" s="3">
        <f t="shared" si="247"/>
        <v>6.3753391533418529E-3</v>
      </c>
      <c r="I261" s="3">
        <f t="shared" si="247"/>
        <v>6.3753391533418529E-3</v>
      </c>
      <c r="J261" s="3">
        <f t="shared" si="247"/>
        <v>6.3753391533418529E-3</v>
      </c>
      <c r="K261" s="3">
        <f t="shared" si="247"/>
        <v>6.3753391533418529E-3</v>
      </c>
      <c r="L261" s="3">
        <f t="shared" si="247"/>
        <v>6.3753391533418529E-3</v>
      </c>
      <c r="M261" s="3">
        <f t="shared" si="247"/>
        <v>6.3753391533418529E-3</v>
      </c>
      <c r="N261" s="3">
        <f t="shared" si="247"/>
        <v>6.3753391533418529E-3</v>
      </c>
      <c r="O261" s="3">
        <f t="shared" si="247"/>
        <v>6.3753391533418521E-3</v>
      </c>
      <c r="P261" s="3">
        <f t="shared" si="247"/>
        <v>6.3753391533418469E-3</v>
      </c>
      <c r="Q261" s="3">
        <f t="shared" si="247"/>
        <v>6.375339153341794E-3</v>
      </c>
      <c r="R261" s="3">
        <f t="shared" si="247"/>
        <v>6.3753391533412683E-3</v>
      </c>
      <c r="S261" s="3">
        <f t="shared" si="247"/>
        <v>6.3753391533360026E-3</v>
      </c>
      <c r="T261" s="3">
        <f t="shared" si="247"/>
        <v>6.3753391532833555E-3</v>
      </c>
      <c r="U261" s="3">
        <f t="shared" si="247"/>
        <v>6.375339152756879E-3</v>
      </c>
      <c r="V261" s="3">
        <f t="shared" si="247"/>
        <v>6.3753391474921164E-3</v>
      </c>
      <c r="W261" s="3">
        <f t="shared" si="247"/>
        <v>6.3753390948444889E-3</v>
      </c>
      <c r="X261" s="3">
        <f t="shared" si="247"/>
        <v>6.375338568368233E-3</v>
      </c>
      <c r="Y261" s="3">
        <f t="shared" si="247"/>
        <v>6.3753333036080662E-3</v>
      </c>
      <c r="Z261" s="3">
        <f t="shared" si="247"/>
        <v>6.3752806562455263E-3</v>
      </c>
      <c r="AA261" s="3">
        <f t="shared" si="247"/>
        <v>6.3747542065313726E-3</v>
      </c>
      <c r="AB261" s="3">
        <f t="shared" si="247"/>
        <v>6.3694920997843692E-3</v>
      </c>
      <c r="AC261" s="3">
        <f t="shared" si="247"/>
        <v>6.3171093430012927E-3</v>
      </c>
      <c r="AD261" s="3">
        <f t="shared" si="247"/>
        <v>5.8164004994569838E-3</v>
      </c>
      <c r="AE261" s="3">
        <f t="shared" si="247"/>
        <v>2.5469087882064242E-3</v>
      </c>
      <c r="AF261" s="3">
        <f t="shared" si="247"/>
        <v>6.6009171370343285E-7</v>
      </c>
      <c r="AG261" s="3"/>
      <c r="AH261" s="3"/>
    </row>
    <row r="262" spans="2:34" x14ac:dyDescent="0.25">
      <c r="B262" s="3">
        <f t="shared" ref="B262:AF262" si="248">$C31*EXP(-B$246/$A31/EXP(-$E$126))</f>
        <v>3.2709514210797811E-3</v>
      </c>
      <c r="C262" s="3">
        <f t="shared" si="248"/>
        <v>3.2709514210797811E-3</v>
      </c>
      <c r="D262" s="3">
        <f t="shared" si="248"/>
        <v>3.2709514210797811E-3</v>
      </c>
      <c r="E262" s="3">
        <f t="shared" si="248"/>
        <v>3.2709514210797811E-3</v>
      </c>
      <c r="F262" s="3">
        <f t="shared" si="248"/>
        <v>3.2709514210797811E-3</v>
      </c>
      <c r="G262" s="3">
        <f t="shared" si="248"/>
        <v>3.2709514210797811E-3</v>
      </c>
      <c r="H262" s="3">
        <f t="shared" si="248"/>
        <v>3.2709514210797811E-3</v>
      </c>
      <c r="I262" s="3">
        <f t="shared" si="248"/>
        <v>3.2709514210797811E-3</v>
      </c>
      <c r="J262" s="3">
        <f t="shared" si="248"/>
        <v>3.2709514210797811E-3</v>
      </c>
      <c r="K262" s="3">
        <f t="shared" si="248"/>
        <v>3.2709514210797811E-3</v>
      </c>
      <c r="L262" s="3">
        <f t="shared" si="248"/>
        <v>3.2709514210797811E-3</v>
      </c>
      <c r="M262" s="3">
        <f t="shared" si="248"/>
        <v>3.2709514210797811E-3</v>
      </c>
      <c r="N262" s="3">
        <f t="shared" si="248"/>
        <v>3.2709514210797811E-3</v>
      </c>
      <c r="O262" s="3">
        <f t="shared" si="248"/>
        <v>3.2709514210797811E-3</v>
      </c>
      <c r="P262" s="3">
        <f t="shared" si="248"/>
        <v>3.2709514210797807E-3</v>
      </c>
      <c r="Q262" s="3">
        <f t="shared" si="248"/>
        <v>3.2709514210797785E-3</v>
      </c>
      <c r="R262" s="3">
        <f t="shared" si="248"/>
        <v>3.2709514210797538E-3</v>
      </c>
      <c r="S262" s="3">
        <f t="shared" si="248"/>
        <v>3.27095142107951E-3</v>
      </c>
      <c r="T262" s="3">
        <f t="shared" si="248"/>
        <v>3.2709514210770736E-3</v>
      </c>
      <c r="U262" s="3">
        <f t="shared" si="248"/>
        <v>3.2709514210527068E-3</v>
      </c>
      <c r="V262" s="3">
        <f t="shared" si="248"/>
        <v>3.2709514208090402E-3</v>
      </c>
      <c r="W262" s="3">
        <f t="shared" si="248"/>
        <v>3.270951418372373E-3</v>
      </c>
      <c r="X262" s="3">
        <f t="shared" si="248"/>
        <v>3.2709513940057024E-3</v>
      </c>
      <c r="Y262" s="3">
        <f t="shared" si="248"/>
        <v>3.2709511503390015E-3</v>
      </c>
      <c r="Z262" s="3">
        <f t="shared" si="248"/>
        <v>3.270948713672991E-3</v>
      </c>
      <c r="AA262" s="3">
        <f t="shared" si="248"/>
        <v>3.2709243471127215E-3</v>
      </c>
      <c r="AB262" s="3">
        <f t="shared" si="248"/>
        <v>3.2706806914931789E-3</v>
      </c>
      <c r="AC262" s="3">
        <f t="shared" si="248"/>
        <v>3.2682451333378849E-3</v>
      </c>
      <c r="AD262" s="3">
        <f t="shared" si="248"/>
        <v>3.2439890812571938E-3</v>
      </c>
      <c r="AE262" s="3">
        <f t="shared" si="248"/>
        <v>3.0111125570969786E-3</v>
      </c>
      <c r="AF262" s="3">
        <f t="shared" si="248"/>
        <v>1.4295621866626889E-3</v>
      </c>
      <c r="AG262" s="3"/>
      <c r="AH262" s="3"/>
    </row>
    <row r="263" spans="2:34" x14ac:dyDescent="0.25">
      <c r="B263" s="3">
        <f t="shared" ref="B263:AF263" si="249">$C32*EXP(-B$246/$A32/EXP(-$E$126))</f>
        <v>1.2755053961347703E-3</v>
      </c>
      <c r="C263" s="3">
        <f t="shared" si="249"/>
        <v>1.2755053961347703E-3</v>
      </c>
      <c r="D263" s="3">
        <f t="shared" si="249"/>
        <v>1.2755053961347703E-3</v>
      </c>
      <c r="E263" s="3">
        <f t="shared" si="249"/>
        <v>1.2755053961347703E-3</v>
      </c>
      <c r="F263" s="3">
        <f t="shared" si="249"/>
        <v>1.2755053961347703E-3</v>
      </c>
      <c r="G263" s="3">
        <f t="shared" si="249"/>
        <v>1.2755053961347703E-3</v>
      </c>
      <c r="H263" s="3">
        <f t="shared" si="249"/>
        <v>1.2755053961347703E-3</v>
      </c>
      <c r="I263" s="3">
        <f t="shared" si="249"/>
        <v>1.2755053961347703E-3</v>
      </c>
      <c r="J263" s="3">
        <f t="shared" si="249"/>
        <v>1.2755053961347703E-3</v>
      </c>
      <c r="K263" s="3">
        <f t="shared" si="249"/>
        <v>1.2755053961347703E-3</v>
      </c>
      <c r="L263" s="3">
        <f t="shared" si="249"/>
        <v>1.2755053961347703E-3</v>
      </c>
      <c r="M263" s="3">
        <f t="shared" si="249"/>
        <v>1.2755053961347703E-3</v>
      </c>
      <c r="N263" s="3">
        <f t="shared" si="249"/>
        <v>1.2755053961347703E-3</v>
      </c>
      <c r="O263" s="3">
        <f t="shared" si="249"/>
        <v>1.2755053961347703E-3</v>
      </c>
      <c r="P263" s="3">
        <f t="shared" si="249"/>
        <v>1.2755053961347703E-3</v>
      </c>
      <c r="Q263" s="3">
        <f t="shared" si="249"/>
        <v>1.2755053961347701E-3</v>
      </c>
      <c r="R263" s="3">
        <f t="shared" si="249"/>
        <v>1.2755053961347692E-3</v>
      </c>
      <c r="S263" s="3">
        <f t="shared" si="249"/>
        <v>1.2755053961347608E-3</v>
      </c>
      <c r="T263" s="3">
        <f t="shared" si="249"/>
        <v>1.2755053961346749E-3</v>
      </c>
      <c r="U263" s="3">
        <f t="shared" si="249"/>
        <v>1.2755053961338179E-3</v>
      </c>
      <c r="V263" s="3">
        <f t="shared" si="249"/>
        <v>1.2755053961252464E-3</v>
      </c>
      <c r="W263" s="3">
        <f t="shared" si="249"/>
        <v>1.2755053960395327E-3</v>
      </c>
      <c r="X263" s="3">
        <f t="shared" si="249"/>
        <v>1.2755053951823941E-3</v>
      </c>
      <c r="Y263" s="3">
        <f t="shared" si="249"/>
        <v>1.2755053866110094E-3</v>
      </c>
      <c r="Z263" s="3">
        <f t="shared" si="249"/>
        <v>1.2755053008971634E-3</v>
      </c>
      <c r="AA263" s="3">
        <f t="shared" si="249"/>
        <v>1.2755044437590206E-3</v>
      </c>
      <c r="AB263" s="3">
        <f t="shared" si="249"/>
        <v>1.2754958724092741E-3</v>
      </c>
      <c r="AC263" s="3">
        <f t="shared" si="249"/>
        <v>1.275410162079701E-3</v>
      </c>
      <c r="AD263" s="3">
        <f t="shared" si="249"/>
        <v>1.2745533754944345E-3</v>
      </c>
      <c r="AE263" s="3">
        <f t="shared" si="249"/>
        <v>1.2660171020828634E-3</v>
      </c>
      <c r="AF263" s="3">
        <f t="shared" si="249"/>
        <v>1.1837364527489793E-3</v>
      </c>
      <c r="AG263" s="3"/>
      <c r="AH263" s="3"/>
    </row>
    <row r="264" spans="2:34" x14ac:dyDescent="0.25">
      <c r="B264" s="3">
        <f t="shared" ref="B264:AF264" si="250">$C33*EXP(-B$246/$A33/EXP(-$E$126))</f>
        <v>0</v>
      </c>
      <c r="C264" s="3">
        <f t="shared" si="250"/>
        <v>0</v>
      </c>
      <c r="D264" s="3">
        <f t="shared" si="250"/>
        <v>0</v>
      </c>
      <c r="E264" s="3">
        <f t="shared" si="250"/>
        <v>0</v>
      </c>
      <c r="F264" s="3">
        <f t="shared" si="250"/>
        <v>0</v>
      </c>
      <c r="G264" s="3">
        <f t="shared" si="250"/>
        <v>0</v>
      </c>
      <c r="H264" s="3">
        <f t="shared" si="250"/>
        <v>0</v>
      </c>
      <c r="I264" s="3">
        <f t="shared" si="250"/>
        <v>0</v>
      </c>
      <c r="J264" s="3">
        <f t="shared" si="250"/>
        <v>0</v>
      </c>
      <c r="K264" s="3">
        <f t="shared" si="250"/>
        <v>0</v>
      </c>
      <c r="L264" s="3">
        <f t="shared" si="250"/>
        <v>0</v>
      </c>
      <c r="M264" s="3">
        <f t="shared" si="250"/>
        <v>0</v>
      </c>
      <c r="N264" s="3">
        <f t="shared" si="250"/>
        <v>0</v>
      </c>
      <c r="O264" s="3">
        <f t="shared" si="250"/>
        <v>0</v>
      </c>
      <c r="P264" s="3">
        <f t="shared" si="250"/>
        <v>0</v>
      </c>
      <c r="Q264" s="3">
        <f t="shared" si="250"/>
        <v>0</v>
      </c>
      <c r="R264" s="3">
        <f t="shared" si="250"/>
        <v>0</v>
      </c>
      <c r="S264" s="3">
        <f t="shared" si="250"/>
        <v>0</v>
      </c>
      <c r="T264" s="3">
        <f t="shared" si="250"/>
        <v>0</v>
      </c>
      <c r="U264" s="3">
        <f t="shared" si="250"/>
        <v>0</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1.0163894385292978E-5</v>
      </c>
      <c r="C265" s="3">
        <f t="shared" si="251"/>
        <v>1.0163894385292978E-5</v>
      </c>
      <c r="D265" s="3">
        <f t="shared" si="251"/>
        <v>1.0163894385292978E-5</v>
      </c>
      <c r="E265" s="3">
        <f t="shared" si="251"/>
        <v>1.0163894385292978E-5</v>
      </c>
      <c r="F265" s="3">
        <f t="shared" si="251"/>
        <v>1.0163894385292978E-5</v>
      </c>
      <c r="G265" s="3">
        <f t="shared" si="251"/>
        <v>1.0163894385292978E-5</v>
      </c>
      <c r="H265" s="3">
        <f t="shared" si="251"/>
        <v>1.0163894385292978E-5</v>
      </c>
      <c r="I265" s="3">
        <f t="shared" si="251"/>
        <v>1.0163894385292978E-5</v>
      </c>
      <c r="J265" s="3">
        <f t="shared" si="251"/>
        <v>1.0163894385292978E-5</v>
      </c>
      <c r="K265" s="3">
        <f t="shared" si="251"/>
        <v>1.0163894385292978E-5</v>
      </c>
      <c r="L265" s="3">
        <f t="shared" si="251"/>
        <v>1.0163894385292978E-5</v>
      </c>
      <c r="M265" s="3">
        <f t="shared" si="251"/>
        <v>1.0163894385292978E-5</v>
      </c>
      <c r="N265" s="3">
        <f t="shared" si="251"/>
        <v>1.0163894385292978E-5</v>
      </c>
      <c r="O265" s="3">
        <f t="shared" si="251"/>
        <v>1.0163894385292978E-5</v>
      </c>
      <c r="P265" s="3">
        <f t="shared" si="251"/>
        <v>1.0163894385292978E-5</v>
      </c>
      <c r="Q265" s="3">
        <f t="shared" si="251"/>
        <v>1.0163894385292978E-5</v>
      </c>
      <c r="R265" s="3">
        <f t="shared" si="251"/>
        <v>1.0163894385292978E-5</v>
      </c>
      <c r="S265" s="3">
        <f t="shared" si="251"/>
        <v>1.0163894385292976E-5</v>
      </c>
      <c r="T265" s="3">
        <f t="shared" si="251"/>
        <v>1.0163894385292973E-5</v>
      </c>
      <c r="U265" s="3">
        <f t="shared" si="251"/>
        <v>1.0163894385292915E-5</v>
      </c>
      <c r="V265" s="3">
        <f t="shared" si="251"/>
        <v>1.0163894385292362E-5</v>
      </c>
      <c r="W265" s="3">
        <f t="shared" si="251"/>
        <v>1.0163894385286802E-5</v>
      </c>
      <c r="X265" s="3">
        <f t="shared" si="251"/>
        <v>1.0163894385231223E-5</v>
      </c>
      <c r="Y265" s="3">
        <f t="shared" si="251"/>
        <v>1.0163894384675418E-5</v>
      </c>
      <c r="Z265" s="3">
        <f t="shared" si="251"/>
        <v>1.0163894379117373E-5</v>
      </c>
      <c r="AA265" s="3">
        <f t="shared" si="251"/>
        <v>1.0163894323536927E-5</v>
      </c>
      <c r="AB265" s="3">
        <f t="shared" si="251"/>
        <v>1.016389376773249E-5</v>
      </c>
      <c r="AC265" s="3">
        <f t="shared" si="251"/>
        <v>1.0163888209689775E-5</v>
      </c>
      <c r="AD265" s="3">
        <f t="shared" si="251"/>
        <v>1.0163832629429805E-5</v>
      </c>
      <c r="AE265" s="3">
        <f t="shared" si="251"/>
        <v>1.0163276843546276E-5</v>
      </c>
      <c r="AF265" s="3">
        <f t="shared" si="251"/>
        <v>1.0157720655990012E-5</v>
      </c>
      <c r="AG265" s="3"/>
      <c r="AH265" s="3"/>
    </row>
    <row r="266" spans="2:34" x14ac:dyDescent="0.25">
      <c r="B266" s="3">
        <f t="shared" ref="B266:AF266" si="252">$C35*EXP(-B$246/$A35/EXP(-$E$126))</f>
        <v>2.5019775067814324E-5</v>
      </c>
      <c r="C266" s="3">
        <f t="shared" si="252"/>
        <v>2.5019775067814324E-5</v>
      </c>
      <c r="D266" s="3">
        <f t="shared" si="252"/>
        <v>2.5019775067814324E-5</v>
      </c>
      <c r="E266" s="3">
        <f t="shared" si="252"/>
        <v>2.5019775067814324E-5</v>
      </c>
      <c r="F266" s="3">
        <f t="shared" si="252"/>
        <v>2.5019775067814324E-5</v>
      </c>
      <c r="G266" s="3">
        <f t="shared" si="252"/>
        <v>2.5019775067814324E-5</v>
      </c>
      <c r="H266" s="3">
        <f t="shared" si="252"/>
        <v>2.5019775067814324E-5</v>
      </c>
      <c r="I266" s="3">
        <f t="shared" si="252"/>
        <v>2.5019775067814324E-5</v>
      </c>
      <c r="J266" s="3">
        <f t="shared" si="252"/>
        <v>2.5019775067814324E-5</v>
      </c>
      <c r="K266" s="3">
        <f t="shared" si="252"/>
        <v>2.5019775067814324E-5</v>
      </c>
      <c r="L266" s="3">
        <f t="shared" si="252"/>
        <v>2.5019775067814324E-5</v>
      </c>
      <c r="M266" s="3">
        <f t="shared" si="252"/>
        <v>2.5019775067814324E-5</v>
      </c>
      <c r="N266" s="3">
        <f t="shared" si="252"/>
        <v>2.5019775067814324E-5</v>
      </c>
      <c r="O266" s="3">
        <f t="shared" si="252"/>
        <v>2.5019775067814324E-5</v>
      </c>
      <c r="P266" s="3">
        <f t="shared" si="252"/>
        <v>2.5019775067814324E-5</v>
      </c>
      <c r="Q266" s="3">
        <f t="shared" si="252"/>
        <v>2.5019775067814324E-5</v>
      </c>
      <c r="R266" s="3">
        <f t="shared" si="252"/>
        <v>2.5019775067814324E-5</v>
      </c>
      <c r="S266" s="3">
        <f t="shared" si="252"/>
        <v>2.5019775067814324E-5</v>
      </c>
      <c r="T266" s="3">
        <f t="shared" si="252"/>
        <v>2.5019775067814324E-5</v>
      </c>
      <c r="U266" s="3">
        <f t="shared" si="252"/>
        <v>2.501977506781431E-5</v>
      </c>
      <c r="V266" s="3">
        <f t="shared" si="252"/>
        <v>2.5019775067814188E-5</v>
      </c>
      <c r="W266" s="3">
        <f t="shared" si="252"/>
        <v>2.5019775067812952E-5</v>
      </c>
      <c r="X266" s="3">
        <f t="shared" si="252"/>
        <v>2.5019775067800609E-5</v>
      </c>
      <c r="Y266" s="3">
        <f t="shared" si="252"/>
        <v>2.5019775067677189E-5</v>
      </c>
      <c r="Z266" s="3">
        <f t="shared" si="252"/>
        <v>2.5019775066442971E-5</v>
      </c>
      <c r="AA266" s="3">
        <f t="shared" si="252"/>
        <v>2.5019775054100789E-5</v>
      </c>
      <c r="AB266" s="3">
        <f t="shared" si="252"/>
        <v>2.5019774930678992E-5</v>
      </c>
      <c r="AC266" s="3">
        <f t="shared" si="252"/>
        <v>2.5019773696461037E-5</v>
      </c>
      <c r="AD266" s="3">
        <f t="shared" si="252"/>
        <v>2.5019761354284826E-5</v>
      </c>
      <c r="AE266" s="3">
        <f t="shared" si="252"/>
        <v>2.501963793285759E-5</v>
      </c>
      <c r="AF266" s="3">
        <f t="shared" si="252"/>
        <v>2.5018403752070517E-5</v>
      </c>
      <c r="AG266" s="3"/>
      <c r="AH266" s="3"/>
    </row>
    <row r="267" spans="2:34" x14ac:dyDescent="0.25">
      <c r="B267" s="3">
        <f t="shared" ref="B267:AF267" si="253">$C36*EXP(-B$246/$A36/EXP(-$E$126))</f>
        <v>2.3706614690246962E-5</v>
      </c>
      <c r="C267" s="3">
        <f t="shared" si="253"/>
        <v>2.3706614690246962E-5</v>
      </c>
      <c r="D267" s="3">
        <f t="shared" si="253"/>
        <v>2.3706614690246962E-5</v>
      </c>
      <c r="E267" s="3">
        <f t="shared" si="253"/>
        <v>2.3706614690246962E-5</v>
      </c>
      <c r="F267" s="3">
        <f t="shared" si="253"/>
        <v>2.3706614690246962E-5</v>
      </c>
      <c r="G267" s="3">
        <f t="shared" si="253"/>
        <v>2.3706614690246962E-5</v>
      </c>
      <c r="H267" s="3">
        <f t="shared" si="253"/>
        <v>2.3706614690246962E-5</v>
      </c>
      <c r="I267" s="3">
        <f t="shared" si="253"/>
        <v>2.3706614690246962E-5</v>
      </c>
      <c r="J267" s="3">
        <f t="shared" si="253"/>
        <v>2.3706614690246962E-5</v>
      </c>
      <c r="K267" s="3">
        <f t="shared" si="253"/>
        <v>2.3706614690246962E-5</v>
      </c>
      <c r="L267" s="3">
        <f t="shared" si="253"/>
        <v>2.3706614690246962E-5</v>
      </c>
      <c r="M267" s="3">
        <f t="shared" si="253"/>
        <v>2.3706614690246962E-5</v>
      </c>
      <c r="N267" s="3">
        <f t="shared" si="253"/>
        <v>2.3706614690246962E-5</v>
      </c>
      <c r="O267" s="3">
        <f t="shared" si="253"/>
        <v>2.3706614690246962E-5</v>
      </c>
      <c r="P267" s="3">
        <f t="shared" si="253"/>
        <v>2.3706614690246962E-5</v>
      </c>
      <c r="Q267" s="3">
        <f t="shared" si="253"/>
        <v>2.3706614690246962E-5</v>
      </c>
      <c r="R267" s="3">
        <f t="shared" si="253"/>
        <v>2.3706614690246962E-5</v>
      </c>
      <c r="S267" s="3">
        <f t="shared" si="253"/>
        <v>2.3706614690246962E-5</v>
      </c>
      <c r="T267" s="3">
        <f t="shared" si="253"/>
        <v>2.3706614690246962E-5</v>
      </c>
      <c r="U267" s="3">
        <f t="shared" si="253"/>
        <v>2.3706614690246962E-5</v>
      </c>
      <c r="V267" s="3">
        <f t="shared" si="253"/>
        <v>2.3706614690246951E-5</v>
      </c>
      <c r="W267" s="3">
        <f t="shared" si="253"/>
        <v>2.3706614690246843E-5</v>
      </c>
      <c r="X267" s="3">
        <f t="shared" si="253"/>
        <v>2.3706614690245789E-5</v>
      </c>
      <c r="Y267" s="3">
        <f t="shared" si="253"/>
        <v>2.3706614690235239E-5</v>
      </c>
      <c r="Z267" s="3">
        <f t="shared" si="253"/>
        <v>2.3706614690129746E-5</v>
      </c>
      <c r="AA267" s="3">
        <f t="shared" si="253"/>
        <v>2.3706614689074814E-5</v>
      </c>
      <c r="AB267" s="3">
        <f t="shared" si="253"/>
        <v>2.3706614678525489E-5</v>
      </c>
      <c r="AC267" s="3">
        <f t="shared" si="253"/>
        <v>2.3706614573032259E-5</v>
      </c>
      <c r="AD267" s="3">
        <f t="shared" si="253"/>
        <v>2.370661351809995E-5</v>
      </c>
      <c r="AE267" s="3">
        <f t="shared" si="253"/>
        <v>2.3706602968779463E-5</v>
      </c>
      <c r="AF267" s="3">
        <f t="shared" si="253"/>
        <v>2.3706497475832775E-5</v>
      </c>
      <c r="AG267" s="3"/>
      <c r="AH267" s="3"/>
    </row>
    <row r="268" spans="2:34" x14ac:dyDescent="0.25">
      <c r="B268" s="3">
        <f t="shared" ref="B268:AF268" si="254">$C37*EXP(-B$246/$A37/EXP(-$E$126))</f>
        <v>3.9478614411466939E-5</v>
      </c>
      <c r="C268" s="3">
        <f t="shared" si="254"/>
        <v>3.9478614411466939E-5</v>
      </c>
      <c r="D268" s="3">
        <f t="shared" si="254"/>
        <v>3.9478614411466939E-5</v>
      </c>
      <c r="E268" s="3">
        <f t="shared" si="254"/>
        <v>3.9478614411466939E-5</v>
      </c>
      <c r="F268" s="3">
        <f t="shared" si="254"/>
        <v>3.9478614411466939E-5</v>
      </c>
      <c r="G268" s="3">
        <f t="shared" si="254"/>
        <v>3.9478614411466939E-5</v>
      </c>
      <c r="H268" s="3">
        <f t="shared" si="254"/>
        <v>3.9478614411466939E-5</v>
      </c>
      <c r="I268" s="3">
        <f t="shared" si="254"/>
        <v>3.9478614411466939E-5</v>
      </c>
      <c r="J268" s="3">
        <f t="shared" si="254"/>
        <v>3.9478614411466939E-5</v>
      </c>
      <c r="K268" s="3">
        <f t="shared" si="254"/>
        <v>3.9478614411466939E-5</v>
      </c>
      <c r="L268" s="3">
        <f t="shared" si="254"/>
        <v>3.9478614411466939E-5</v>
      </c>
      <c r="M268" s="3">
        <f t="shared" si="254"/>
        <v>3.9478614411466939E-5</v>
      </c>
      <c r="N268" s="3">
        <f t="shared" si="254"/>
        <v>3.9478614411466939E-5</v>
      </c>
      <c r="O268" s="3">
        <f t="shared" si="254"/>
        <v>3.9478614411466939E-5</v>
      </c>
      <c r="P268" s="3">
        <f t="shared" si="254"/>
        <v>3.9478614411466939E-5</v>
      </c>
      <c r="Q268" s="3">
        <f t="shared" si="254"/>
        <v>3.9478614411466939E-5</v>
      </c>
      <c r="R268" s="3">
        <f t="shared" si="254"/>
        <v>3.9478614411466939E-5</v>
      </c>
      <c r="S268" s="3">
        <f t="shared" si="254"/>
        <v>3.9478614411466939E-5</v>
      </c>
      <c r="T268" s="3">
        <f t="shared" si="254"/>
        <v>3.9478614411466939E-5</v>
      </c>
      <c r="U268" s="3">
        <f t="shared" si="254"/>
        <v>3.9478614411466939E-5</v>
      </c>
      <c r="V268" s="3">
        <f t="shared" si="254"/>
        <v>3.9478614411466939E-5</v>
      </c>
      <c r="W268" s="3">
        <f t="shared" si="254"/>
        <v>3.9478614411466918E-5</v>
      </c>
      <c r="X268" s="3">
        <f t="shared" si="254"/>
        <v>3.9478614411466763E-5</v>
      </c>
      <c r="Y268" s="3">
        <f t="shared" si="254"/>
        <v>3.9478614411465177E-5</v>
      </c>
      <c r="Z268" s="3">
        <f t="shared" si="254"/>
        <v>3.9478614411449334E-5</v>
      </c>
      <c r="AA268" s="3">
        <f t="shared" si="254"/>
        <v>3.9478614411290858E-5</v>
      </c>
      <c r="AB268" s="3">
        <f t="shared" si="254"/>
        <v>3.9478614409706093E-5</v>
      </c>
      <c r="AC268" s="3">
        <f t="shared" si="254"/>
        <v>3.9478614393858493E-5</v>
      </c>
      <c r="AD268" s="3">
        <f t="shared" si="254"/>
        <v>3.947861423538247E-5</v>
      </c>
      <c r="AE268" s="3">
        <f t="shared" si="254"/>
        <v>3.9478612650622308E-5</v>
      </c>
      <c r="AF268" s="3">
        <f t="shared" si="254"/>
        <v>3.9478596803024179E-5</v>
      </c>
      <c r="AG268" s="3"/>
      <c r="AH268" s="3"/>
    </row>
    <row r="269" spans="2:34" x14ac:dyDescent="0.25">
      <c r="B269" s="3">
        <f t="shared" ref="B269:AF269" si="255">$C38*EXP(-B$246/$A38/EXP(-$E$126))</f>
        <v>0</v>
      </c>
      <c r="C269" s="3">
        <f t="shared" si="255"/>
        <v>0</v>
      </c>
      <c r="D269" s="3">
        <f t="shared" si="255"/>
        <v>0</v>
      </c>
      <c r="E269" s="3">
        <f t="shared" si="255"/>
        <v>0</v>
      </c>
      <c r="F269" s="3">
        <f t="shared" si="255"/>
        <v>0</v>
      </c>
      <c r="G269" s="3">
        <f t="shared" si="255"/>
        <v>0</v>
      </c>
      <c r="H269" s="3">
        <f t="shared" si="255"/>
        <v>0</v>
      </c>
      <c r="I269" s="3">
        <f t="shared" si="255"/>
        <v>0</v>
      </c>
      <c r="J269" s="3">
        <f t="shared" si="255"/>
        <v>0</v>
      </c>
      <c r="K269" s="3">
        <f t="shared" si="255"/>
        <v>0</v>
      </c>
      <c r="L269" s="3">
        <f t="shared" si="255"/>
        <v>0</v>
      </c>
      <c r="M269" s="3">
        <f t="shared" si="255"/>
        <v>0</v>
      </c>
      <c r="N269" s="3">
        <f t="shared" si="255"/>
        <v>0</v>
      </c>
      <c r="O269" s="3">
        <f t="shared" si="255"/>
        <v>0</v>
      </c>
      <c r="P269" s="3">
        <f t="shared" si="255"/>
        <v>0</v>
      </c>
      <c r="Q269" s="3">
        <f t="shared" si="255"/>
        <v>0</v>
      </c>
      <c r="R269" s="3">
        <f t="shared" si="255"/>
        <v>0</v>
      </c>
      <c r="S269" s="3">
        <f t="shared" si="255"/>
        <v>0</v>
      </c>
      <c r="T269" s="3">
        <f t="shared" si="255"/>
        <v>0</v>
      </c>
      <c r="U269" s="3">
        <f t="shared" si="255"/>
        <v>0</v>
      </c>
      <c r="V269" s="3">
        <f t="shared" si="255"/>
        <v>0</v>
      </c>
      <c r="W269" s="3">
        <f t="shared" si="255"/>
        <v>0</v>
      </c>
      <c r="X269" s="3">
        <f t="shared" si="255"/>
        <v>0</v>
      </c>
      <c r="Y269" s="3">
        <f t="shared" si="255"/>
        <v>0</v>
      </c>
      <c r="Z269" s="3">
        <f t="shared" si="255"/>
        <v>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6.5441532530599776E-5</v>
      </c>
      <c r="C270" s="3">
        <f t="shared" si="256"/>
        <v>6.5441532530599776E-5</v>
      </c>
      <c r="D270" s="3">
        <f t="shared" si="256"/>
        <v>6.5441532530599776E-5</v>
      </c>
      <c r="E270" s="3">
        <f t="shared" si="256"/>
        <v>6.5441532530599776E-5</v>
      </c>
      <c r="F270" s="3">
        <f t="shared" si="256"/>
        <v>6.5441532530599776E-5</v>
      </c>
      <c r="G270" s="3">
        <f t="shared" si="256"/>
        <v>6.5441532530599776E-5</v>
      </c>
      <c r="H270" s="3">
        <f t="shared" si="256"/>
        <v>6.5441532530599776E-5</v>
      </c>
      <c r="I270" s="3">
        <f t="shared" si="256"/>
        <v>6.5441532530599776E-5</v>
      </c>
      <c r="J270" s="3">
        <f t="shared" si="256"/>
        <v>6.5441532530599776E-5</v>
      </c>
      <c r="K270" s="3">
        <f t="shared" si="256"/>
        <v>6.5441532530599776E-5</v>
      </c>
      <c r="L270" s="3">
        <f t="shared" si="256"/>
        <v>6.5441532530599776E-5</v>
      </c>
      <c r="M270" s="3">
        <f t="shared" si="256"/>
        <v>6.5441532530599776E-5</v>
      </c>
      <c r="N270" s="3">
        <f t="shared" si="256"/>
        <v>6.5441532530599776E-5</v>
      </c>
      <c r="O270" s="3">
        <f t="shared" si="256"/>
        <v>6.5441532530599776E-5</v>
      </c>
      <c r="P270" s="3">
        <f t="shared" si="256"/>
        <v>6.5441532530599776E-5</v>
      </c>
      <c r="Q270" s="3">
        <f t="shared" si="256"/>
        <v>6.5441532530599776E-5</v>
      </c>
      <c r="R270" s="3">
        <f t="shared" si="256"/>
        <v>6.5441532530599776E-5</v>
      </c>
      <c r="S270" s="3">
        <f t="shared" si="256"/>
        <v>6.5441532530599776E-5</v>
      </c>
      <c r="T270" s="3">
        <f t="shared" si="256"/>
        <v>6.5441532530599776E-5</v>
      </c>
      <c r="U270" s="3">
        <f t="shared" si="256"/>
        <v>6.5441532530599776E-5</v>
      </c>
      <c r="V270" s="3">
        <f t="shared" si="256"/>
        <v>6.5441532530599776E-5</v>
      </c>
      <c r="W270" s="3">
        <f t="shared" si="256"/>
        <v>6.5441532530599776E-5</v>
      </c>
      <c r="X270" s="3">
        <f t="shared" si="256"/>
        <v>6.5441532530599762E-5</v>
      </c>
      <c r="Y270" s="3">
        <f t="shared" si="256"/>
        <v>6.5441532530599708E-5</v>
      </c>
      <c r="Z270" s="3">
        <f t="shared" si="256"/>
        <v>6.5441532530599044E-5</v>
      </c>
      <c r="AA270" s="3">
        <f t="shared" si="256"/>
        <v>6.5441532530592498E-5</v>
      </c>
      <c r="AB270" s="3">
        <f t="shared" si="256"/>
        <v>6.5441532530526958E-5</v>
      </c>
      <c r="AC270" s="3">
        <f t="shared" si="256"/>
        <v>6.5441532529871544E-5</v>
      </c>
      <c r="AD270" s="3">
        <f t="shared" si="256"/>
        <v>6.544153252331742E-5</v>
      </c>
      <c r="AE270" s="3">
        <f t="shared" si="256"/>
        <v>6.5441532457776193E-5</v>
      </c>
      <c r="AF270" s="3">
        <f t="shared" si="256"/>
        <v>6.5441531802363931E-5</v>
      </c>
      <c r="AG270" s="3"/>
      <c r="AH270" s="3"/>
    </row>
    <row r="271" spans="2:34" x14ac:dyDescent="0.25">
      <c r="B271" s="3">
        <f t="shared" ref="B271:AF271" si="257">$C40*EXP(-B$246/$A40/EXP(-$E$126))</f>
        <v>9.072554140189839E-6</v>
      </c>
      <c r="C271" s="3">
        <f t="shared" si="257"/>
        <v>9.072554140189839E-6</v>
      </c>
      <c r="D271" s="3">
        <f t="shared" si="257"/>
        <v>9.072554140189839E-6</v>
      </c>
      <c r="E271" s="3">
        <f t="shared" si="257"/>
        <v>9.072554140189839E-6</v>
      </c>
      <c r="F271" s="3">
        <f t="shared" si="257"/>
        <v>9.072554140189839E-6</v>
      </c>
      <c r="G271" s="3">
        <f t="shared" si="257"/>
        <v>9.072554140189839E-6</v>
      </c>
      <c r="H271" s="3">
        <f t="shared" si="257"/>
        <v>9.072554140189839E-6</v>
      </c>
      <c r="I271" s="3">
        <f t="shared" si="257"/>
        <v>9.072554140189839E-6</v>
      </c>
      <c r="J271" s="3">
        <f t="shared" si="257"/>
        <v>9.072554140189839E-6</v>
      </c>
      <c r="K271" s="3">
        <f t="shared" si="257"/>
        <v>9.072554140189839E-6</v>
      </c>
      <c r="L271" s="3">
        <f t="shared" si="257"/>
        <v>9.072554140189839E-6</v>
      </c>
      <c r="M271" s="3">
        <f t="shared" si="257"/>
        <v>9.072554140189839E-6</v>
      </c>
      <c r="N271" s="3">
        <f t="shared" si="257"/>
        <v>9.072554140189839E-6</v>
      </c>
      <c r="O271" s="3">
        <f t="shared" si="257"/>
        <v>9.072554140189839E-6</v>
      </c>
      <c r="P271" s="3">
        <f t="shared" si="257"/>
        <v>9.072554140189839E-6</v>
      </c>
      <c r="Q271" s="3">
        <f t="shared" si="257"/>
        <v>9.072554140189839E-6</v>
      </c>
      <c r="R271" s="3">
        <f t="shared" si="257"/>
        <v>9.072554140189839E-6</v>
      </c>
      <c r="S271" s="3">
        <f t="shared" si="257"/>
        <v>9.072554140189839E-6</v>
      </c>
      <c r="T271" s="3">
        <f t="shared" si="257"/>
        <v>9.072554140189839E-6</v>
      </c>
      <c r="U271" s="3">
        <f t="shared" si="257"/>
        <v>9.072554140189839E-6</v>
      </c>
      <c r="V271" s="3">
        <f t="shared" si="257"/>
        <v>9.072554140189839E-6</v>
      </c>
      <c r="W271" s="3">
        <f t="shared" si="257"/>
        <v>9.072554140189839E-6</v>
      </c>
      <c r="X271" s="3">
        <f t="shared" si="257"/>
        <v>9.072554140189839E-6</v>
      </c>
      <c r="Y271" s="3">
        <f t="shared" si="257"/>
        <v>9.0725541401898373E-6</v>
      </c>
      <c r="Z271" s="3">
        <f t="shared" si="257"/>
        <v>9.0725541401898288E-6</v>
      </c>
      <c r="AA271" s="3">
        <f t="shared" si="257"/>
        <v>9.072554140189739E-6</v>
      </c>
      <c r="AB271" s="3">
        <f t="shared" si="257"/>
        <v>9.0725541401888293E-6</v>
      </c>
      <c r="AC271" s="3">
        <f t="shared" si="257"/>
        <v>9.072554140179744E-6</v>
      </c>
      <c r="AD271" s="3">
        <f t="shared" si="257"/>
        <v>9.0725541400888794E-6</v>
      </c>
      <c r="AE271" s="3">
        <f t="shared" si="257"/>
        <v>9.0725541391802418E-6</v>
      </c>
      <c r="AF271" s="3">
        <f t="shared" si="257"/>
        <v>9.0725541300938669E-6</v>
      </c>
      <c r="AG271" s="3"/>
      <c r="AH271" s="3"/>
    </row>
    <row r="272" spans="2:34" x14ac:dyDescent="0.25">
      <c r="B272" s="3">
        <f t="shared" ref="B272:AF272" si="258">$C41*EXP(-B$246/$A41/EXP(-$E$126))</f>
        <v>3.4648583404177175E-7</v>
      </c>
      <c r="C272" s="3">
        <f t="shared" si="258"/>
        <v>3.4648583404177175E-7</v>
      </c>
      <c r="D272" s="3">
        <f t="shared" si="258"/>
        <v>3.4648583404177175E-7</v>
      </c>
      <c r="E272" s="3">
        <f t="shared" si="258"/>
        <v>3.4648583404177175E-7</v>
      </c>
      <c r="F272" s="3">
        <f t="shared" si="258"/>
        <v>3.4648583404177175E-7</v>
      </c>
      <c r="G272" s="3">
        <f t="shared" si="258"/>
        <v>3.4648583404177175E-7</v>
      </c>
      <c r="H272" s="3">
        <f t="shared" si="258"/>
        <v>3.4648583404177175E-7</v>
      </c>
      <c r="I272" s="3">
        <f t="shared" si="258"/>
        <v>3.4648583404177175E-7</v>
      </c>
      <c r="J272" s="3">
        <f t="shared" si="258"/>
        <v>3.4648583404177175E-7</v>
      </c>
      <c r="K272" s="3">
        <f t="shared" si="258"/>
        <v>3.4648583404177175E-7</v>
      </c>
      <c r="L272" s="3">
        <f t="shared" si="258"/>
        <v>3.4648583404177175E-7</v>
      </c>
      <c r="M272" s="3">
        <f t="shared" si="258"/>
        <v>3.4648583404177175E-7</v>
      </c>
      <c r="N272" s="3">
        <f t="shared" si="258"/>
        <v>3.4648583404177175E-7</v>
      </c>
      <c r="O272" s="3">
        <f t="shared" si="258"/>
        <v>3.4648583404177175E-7</v>
      </c>
      <c r="P272" s="3">
        <f t="shared" si="258"/>
        <v>3.4648583404177175E-7</v>
      </c>
      <c r="Q272" s="3">
        <f t="shared" si="258"/>
        <v>3.4648583404177175E-7</v>
      </c>
      <c r="R272" s="3">
        <f t="shared" si="258"/>
        <v>3.4648583404177175E-7</v>
      </c>
      <c r="S272" s="3">
        <f t="shared" si="258"/>
        <v>3.4648583404177175E-7</v>
      </c>
      <c r="T272" s="3">
        <f t="shared" si="258"/>
        <v>3.4648583404177175E-7</v>
      </c>
      <c r="U272" s="3">
        <f t="shared" si="258"/>
        <v>3.4648583404177175E-7</v>
      </c>
      <c r="V272" s="3">
        <f t="shared" si="258"/>
        <v>3.4648583404177175E-7</v>
      </c>
      <c r="W272" s="3">
        <f t="shared" si="258"/>
        <v>3.4648583404177175E-7</v>
      </c>
      <c r="X272" s="3">
        <f t="shared" si="258"/>
        <v>3.4648583404177175E-7</v>
      </c>
      <c r="Y272" s="3">
        <f t="shared" si="258"/>
        <v>3.4648583404177175E-7</v>
      </c>
      <c r="Z272" s="3">
        <f t="shared" si="258"/>
        <v>3.464858340417717E-7</v>
      </c>
      <c r="AA272" s="3">
        <f t="shared" si="258"/>
        <v>3.4648583404177138E-7</v>
      </c>
      <c r="AB272" s="3">
        <f t="shared" si="258"/>
        <v>3.4648583404176789E-7</v>
      </c>
      <c r="AC272" s="3">
        <f t="shared" si="258"/>
        <v>3.4648583404173321E-7</v>
      </c>
      <c r="AD272" s="3">
        <f t="shared" si="258"/>
        <v>3.4648583404138619E-7</v>
      </c>
      <c r="AE272" s="3">
        <f t="shared" si="258"/>
        <v>3.4648583403791606E-7</v>
      </c>
      <c r="AF272" s="3">
        <f t="shared" si="258"/>
        <v>3.4648583400321465E-7</v>
      </c>
      <c r="AG272" s="3"/>
      <c r="AH272" s="3"/>
    </row>
    <row r="273" spans="1:34" x14ac:dyDescent="0.25">
      <c r="B273" s="3">
        <f t="shared" ref="B273:AF273" si="259">$C42*EXP(-B$246/$A42/EXP(-$E$126))</f>
        <v>0</v>
      </c>
      <c r="C273" s="3">
        <f t="shared" si="259"/>
        <v>0</v>
      </c>
      <c r="D273" s="3">
        <f t="shared" si="259"/>
        <v>0</v>
      </c>
      <c r="E273" s="3">
        <f t="shared" si="259"/>
        <v>0</v>
      </c>
      <c r="F273" s="3">
        <f t="shared" si="259"/>
        <v>0</v>
      </c>
      <c r="G273" s="3">
        <f t="shared" si="259"/>
        <v>0</v>
      </c>
      <c r="H273" s="3">
        <f t="shared" si="259"/>
        <v>0</v>
      </c>
      <c r="I273" s="3">
        <f t="shared" si="259"/>
        <v>0</v>
      </c>
      <c r="J273" s="3">
        <f t="shared" si="259"/>
        <v>0</v>
      </c>
      <c r="K273" s="3">
        <f t="shared" si="259"/>
        <v>0</v>
      </c>
      <c r="L273" s="3">
        <f t="shared" si="259"/>
        <v>0</v>
      </c>
      <c r="M273" s="3">
        <f t="shared" si="259"/>
        <v>0</v>
      </c>
      <c r="N273" s="3">
        <f t="shared" si="259"/>
        <v>0</v>
      </c>
      <c r="O273" s="3">
        <f t="shared" si="259"/>
        <v>0</v>
      </c>
      <c r="P273" s="3">
        <f t="shared" si="259"/>
        <v>0</v>
      </c>
      <c r="Q273" s="3">
        <f t="shared" si="259"/>
        <v>0</v>
      </c>
      <c r="R273" s="3">
        <f t="shared" si="259"/>
        <v>0</v>
      </c>
      <c r="S273" s="3">
        <f t="shared" si="259"/>
        <v>0</v>
      </c>
      <c r="T273" s="3">
        <f t="shared" si="259"/>
        <v>0</v>
      </c>
      <c r="U273" s="3">
        <f t="shared" si="259"/>
        <v>0</v>
      </c>
      <c r="V273" s="3">
        <f t="shared" si="259"/>
        <v>0</v>
      </c>
      <c r="W273" s="3">
        <f t="shared" si="259"/>
        <v>0</v>
      </c>
      <c r="X273" s="3">
        <f t="shared" si="259"/>
        <v>0</v>
      </c>
      <c r="Y273" s="3">
        <f t="shared" si="259"/>
        <v>0</v>
      </c>
      <c r="Z273" s="3">
        <f t="shared" si="259"/>
        <v>0</v>
      </c>
      <c r="AA273" s="3">
        <f t="shared" si="259"/>
        <v>0</v>
      </c>
      <c r="AB273" s="3">
        <f t="shared" si="259"/>
        <v>0</v>
      </c>
      <c r="AC273" s="3">
        <f t="shared" si="259"/>
        <v>0</v>
      </c>
      <c r="AD273" s="3">
        <f t="shared" si="259"/>
        <v>0</v>
      </c>
      <c r="AE273" s="3">
        <f t="shared" si="259"/>
        <v>0</v>
      </c>
      <c r="AF273" s="3">
        <f t="shared" si="259"/>
        <v>0</v>
      </c>
      <c r="AG273" s="3"/>
      <c r="AH273" s="3"/>
    </row>
    <row r="274" spans="1:34" x14ac:dyDescent="0.25">
      <c r="B274" s="3">
        <f t="shared" ref="B274:AF274" si="260">$C43*EXP(-B$246/$A43/EXP(-$E$126))</f>
        <v>0</v>
      </c>
      <c r="C274" s="3">
        <f t="shared" si="260"/>
        <v>0</v>
      </c>
      <c r="D274" s="3">
        <f t="shared" si="260"/>
        <v>0</v>
      </c>
      <c r="E274" s="3">
        <f t="shared" si="260"/>
        <v>0</v>
      </c>
      <c r="F274" s="3">
        <f t="shared" si="260"/>
        <v>0</v>
      </c>
      <c r="G274" s="3">
        <f t="shared" si="260"/>
        <v>0</v>
      </c>
      <c r="H274" s="3">
        <f t="shared" si="260"/>
        <v>0</v>
      </c>
      <c r="I274" s="3">
        <f t="shared" si="260"/>
        <v>0</v>
      </c>
      <c r="J274" s="3">
        <f t="shared" si="260"/>
        <v>0</v>
      </c>
      <c r="K274" s="3">
        <f t="shared" si="260"/>
        <v>0</v>
      </c>
      <c r="L274" s="3">
        <f t="shared" si="260"/>
        <v>0</v>
      </c>
      <c r="M274" s="3">
        <f t="shared" si="260"/>
        <v>0</v>
      </c>
      <c r="N274" s="3">
        <f t="shared" si="260"/>
        <v>0</v>
      </c>
      <c r="O274" s="3">
        <f t="shared" si="260"/>
        <v>0</v>
      </c>
      <c r="P274" s="3">
        <f t="shared" si="260"/>
        <v>0</v>
      </c>
      <c r="Q274" s="3">
        <f t="shared" si="260"/>
        <v>0</v>
      </c>
      <c r="R274" s="3">
        <f t="shared" si="260"/>
        <v>0</v>
      </c>
      <c r="S274" s="3">
        <f t="shared" si="260"/>
        <v>0</v>
      </c>
      <c r="T274" s="3">
        <f t="shared" si="260"/>
        <v>0</v>
      </c>
      <c r="U274" s="3">
        <f t="shared" si="260"/>
        <v>0</v>
      </c>
      <c r="V274" s="3">
        <f t="shared" si="260"/>
        <v>0</v>
      </c>
      <c r="W274" s="3">
        <f t="shared" si="260"/>
        <v>0</v>
      </c>
      <c r="X274" s="3">
        <f t="shared" si="260"/>
        <v>0</v>
      </c>
      <c r="Y274" s="3">
        <f t="shared" si="260"/>
        <v>0</v>
      </c>
      <c r="Z274" s="3">
        <f t="shared" si="260"/>
        <v>0</v>
      </c>
      <c r="AA274" s="3">
        <f t="shared" si="260"/>
        <v>0</v>
      </c>
      <c r="AB274" s="3">
        <f t="shared" si="260"/>
        <v>0</v>
      </c>
      <c r="AC274" s="3">
        <f t="shared" si="260"/>
        <v>0</v>
      </c>
      <c r="AD274" s="3">
        <f t="shared" si="260"/>
        <v>0</v>
      </c>
      <c r="AE274" s="3">
        <f t="shared" si="260"/>
        <v>0</v>
      </c>
      <c r="AF274" s="3">
        <f t="shared" si="260"/>
        <v>0</v>
      </c>
      <c r="AG274" s="3"/>
      <c r="AH274" s="3"/>
    </row>
    <row r="275" spans="1:34" x14ac:dyDescent="0.25">
      <c r="B275" s="3">
        <f t="shared" ref="B275:AF275" si="261">$C44*EXP(-B$246/$A44/EXP(-$E$126))</f>
        <v>0</v>
      </c>
      <c r="C275" s="3">
        <f t="shared" si="261"/>
        <v>0</v>
      </c>
      <c r="D275" s="3">
        <f t="shared" si="261"/>
        <v>0</v>
      </c>
      <c r="E275" s="3">
        <f t="shared" si="261"/>
        <v>0</v>
      </c>
      <c r="F275" s="3">
        <f t="shared" si="261"/>
        <v>0</v>
      </c>
      <c r="G275" s="3">
        <f t="shared" si="261"/>
        <v>0</v>
      </c>
      <c r="H275" s="3">
        <f t="shared" si="261"/>
        <v>0</v>
      </c>
      <c r="I275" s="3">
        <f t="shared" si="261"/>
        <v>0</v>
      </c>
      <c r="J275" s="3">
        <f t="shared" si="261"/>
        <v>0</v>
      </c>
      <c r="K275" s="3">
        <f t="shared" si="261"/>
        <v>0</v>
      </c>
      <c r="L275" s="3">
        <f t="shared" si="261"/>
        <v>0</v>
      </c>
      <c r="M275" s="3">
        <f t="shared" si="261"/>
        <v>0</v>
      </c>
      <c r="N275" s="3">
        <f t="shared" si="261"/>
        <v>0</v>
      </c>
      <c r="O275" s="3">
        <f t="shared" si="261"/>
        <v>0</v>
      </c>
      <c r="P275" s="3">
        <f t="shared" si="261"/>
        <v>0</v>
      </c>
      <c r="Q275" s="3">
        <f t="shared" si="261"/>
        <v>0</v>
      </c>
      <c r="R275" s="3">
        <f t="shared" si="261"/>
        <v>0</v>
      </c>
      <c r="S275" s="3">
        <f t="shared" si="261"/>
        <v>0</v>
      </c>
      <c r="T275" s="3">
        <f t="shared" si="261"/>
        <v>0</v>
      </c>
      <c r="U275" s="3">
        <f t="shared" si="261"/>
        <v>0</v>
      </c>
      <c r="V275" s="3">
        <f t="shared" si="261"/>
        <v>0</v>
      </c>
      <c r="W275" s="3">
        <f t="shared" si="261"/>
        <v>0</v>
      </c>
      <c r="X275" s="3">
        <f t="shared" si="261"/>
        <v>0</v>
      </c>
      <c r="Y275" s="3">
        <f t="shared" si="261"/>
        <v>0</v>
      </c>
      <c r="Z275" s="3">
        <f t="shared" si="261"/>
        <v>0</v>
      </c>
      <c r="AA275" s="3">
        <f t="shared" si="261"/>
        <v>0</v>
      </c>
      <c r="AB275" s="3">
        <f t="shared" si="261"/>
        <v>0</v>
      </c>
      <c r="AC275" s="3">
        <f t="shared" si="261"/>
        <v>0</v>
      </c>
      <c r="AD275" s="3">
        <f t="shared" si="261"/>
        <v>0</v>
      </c>
      <c r="AE275" s="3">
        <f t="shared" si="261"/>
        <v>0</v>
      </c>
      <c r="AF275" s="3">
        <f t="shared" si="261"/>
        <v>0</v>
      </c>
      <c r="AG275" s="3"/>
      <c r="AH275" s="3"/>
    </row>
    <row r="276" spans="1:34" x14ac:dyDescent="0.25">
      <c r="B276" s="3">
        <f t="shared" ref="B276:AF276" si="262">$C45*EXP(-B$246/$A45/EXP(-$E$126))</f>
        <v>0</v>
      </c>
      <c r="C276" s="3">
        <f t="shared" si="262"/>
        <v>0</v>
      </c>
      <c r="D276" s="3">
        <f t="shared" si="262"/>
        <v>0</v>
      </c>
      <c r="E276" s="3">
        <f t="shared" si="262"/>
        <v>0</v>
      </c>
      <c r="F276" s="3">
        <f t="shared" si="262"/>
        <v>0</v>
      </c>
      <c r="G276" s="3">
        <f t="shared" si="262"/>
        <v>0</v>
      </c>
      <c r="H276" s="3">
        <f t="shared" si="262"/>
        <v>0</v>
      </c>
      <c r="I276" s="3">
        <f t="shared" si="262"/>
        <v>0</v>
      </c>
      <c r="J276" s="3">
        <f t="shared" si="262"/>
        <v>0</v>
      </c>
      <c r="K276" s="3">
        <f t="shared" si="262"/>
        <v>0</v>
      </c>
      <c r="L276" s="3">
        <f t="shared" si="262"/>
        <v>0</v>
      </c>
      <c r="M276" s="3">
        <f t="shared" si="262"/>
        <v>0</v>
      </c>
      <c r="N276" s="3">
        <f t="shared" si="262"/>
        <v>0</v>
      </c>
      <c r="O276" s="3">
        <f t="shared" si="262"/>
        <v>0</v>
      </c>
      <c r="P276" s="3">
        <f t="shared" si="262"/>
        <v>0</v>
      </c>
      <c r="Q276" s="3">
        <f t="shared" si="262"/>
        <v>0</v>
      </c>
      <c r="R276" s="3">
        <f t="shared" si="262"/>
        <v>0</v>
      </c>
      <c r="S276" s="3">
        <f t="shared" si="262"/>
        <v>0</v>
      </c>
      <c r="T276" s="3">
        <f t="shared" si="262"/>
        <v>0</v>
      </c>
      <c r="U276" s="3">
        <f t="shared" si="262"/>
        <v>0</v>
      </c>
      <c r="V276" s="3">
        <f t="shared" si="262"/>
        <v>0</v>
      </c>
      <c r="W276" s="3">
        <f t="shared" si="262"/>
        <v>0</v>
      </c>
      <c r="X276" s="3">
        <f t="shared" si="262"/>
        <v>0</v>
      </c>
      <c r="Y276" s="3">
        <f t="shared" si="262"/>
        <v>0</v>
      </c>
      <c r="Z276" s="3">
        <f t="shared" si="262"/>
        <v>0</v>
      </c>
      <c r="AA276" s="3">
        <f t="shared" si="262"/>
        <v>0</v>
      </c>
      <c r="AB276" s="3">
        <f t="shared" si="262"/>
        <v>0</v>
      </c>
      <c r="AC276" s="3">
        <f t="shared" si="262"/>
        <v>0</v>
      </c>
      <c r="AD276" s="3">
        <f t="shared" si="262"/>
        <v>0</v>
      </c>
      <c r="AE276" s="3">
        <f t="shared" si="262"/>
        <v>0</v>
      </c>
      <c r="AF276" s="3">
        <f t="shared" si="262"/>
        <v>0</v>
      </c>
      <c r="AG276" s="3"/>
      <c r="AH276" s="3"/>
    </row>
    <row r="277" spans="1:34" x14ac:dyDescent="0.25">
      <c r="B277" s="3">
        <f t="shared" ref="B277:AF277" si="263">$C46*EXP(-B$246/$A46/EXP(-$E$126))</f>
        <v>0</v>
      </c>
      <c r="C277" s="3">
        <f t="shared" si="263"/>
        <v>0</v>
      </c>
      <c r="D277" s="3">
        <f t="shared" si="263"/>
        <v>0</v>
      </c>
      <c r="E277" s="3">
        <f t="shared" si="263"/>
        <v>0</v>
      </c>
      <c r="F277" s="3">
        <f t="shared" si="263"/>
        <v>0</v>
      </c>
      <c r="G277" s="3">
        <f t="shared" si="263"/>
        <v>0</v>
      </c>
      <c r="H277" s="3">
        <f t="shared" si="263"/>
        <v>0</v>
      </c>
      <c r="I277" s="3">
        <f t="shared" si="263"/>
        <v>0</v>
      </c>
      <c r="J277" s="3">
        <f t="shared" si="263"/>
        <v>0</v>
      </c>
      <c r="K277" s="3">
        <f t="shared" si="263"/>
        <v>0</v>
      </c>
      <c r="L277" s="3">
        <f t="shared" si="263"/>
        <v>0</v>
      </c>
      <c r="M277" s="3">
        <f t="shared" si="263"/>
        <v>0</v>
      </c>
      <c r="N277" s="3">
        <f t="shared" si="263"/>
        <v>0</v>
      </c>
      <c r="O277" s="3">
        <f t="shared" si="263"/>
        <v>0</v>
      </c>
      <c r="P277" s="3">
        <f t="shared" si="263"/>
        <v>0</v>
      </c>
      <c r="Q277" s="3">
        <f t="shared" si="263"/>
        <v>0</v>
      </c>
      <c r="R277" s="3">
        <f t="shared" si="263"/>
        <v>0</v>
      </c>
      <c r="S277" s="3">
        <f t="shared" si="263"/>
        <v>0</v>
      </c>
      <c r="T277" s="3">
        <f t="shared" si="263"/>
        <v>0</v>
      </c>
      <c r="U277" s="3">
        <f t="shared" si="263"/>
        <v>0</v>
      </c>
      <c r="V277" s="3">
        <f t="shared" si="263"/>
        <v>0</v>
      </c>
      <c r="W277" s="3">
        <f t="shared" si="263"/>
        <v>0</v>
      </c>
      <c r="X277" s="3">
        <f t="shared" si="263"/>
        <v>0</v>
      </c>
      <c r="Y277" s="3">
        <f t="shared" si="263"/>
        <v>0</v>
      </c>
      <c r="Z277" s="3">
        <f t="shared" si="263"/>
        <v>0</v>
      </c>
      <c r="AA277" s="3">
        <f t="shared" si="263"/>
        <v>0</v>
      </c>
      <c r="AB277" s="3">
        <f t="shared" si="263"/>
        <v>0</v>
      </c>
      <c r="AC277" s="3">
        <f t="shared" si="263"/>
        <v>0</v>
      </c>
      <c r="AD277" s="3">
        <f t="shared" si="263"/>
        <v>0</v>
      </c>
      <c r="AE277" s="3">
        <f t="shared" si="263"/>
        <v>0</v>
      </c>
      <c r="AF277" s="3">
        <f t="shared" si="263"/>
        <v>0</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2.6390969703261771E-3</v>
      </c>
      <c r="C279" s="3">
        <f t="shared" si="265"/>
        <v>2.6390969703261771E-3</v>
      </c>
      <c r="D279" s="3">
        <f t="shared" si="265"/>
        <v>2.6390969703261771E-3</v>
      </c>
      <c r="E279" s="3">
        <f t="shared" si="265"/>
        <v>2.6390969703261771E-3</v>
      </c>
      <c r="F279" s="3">
        <f t="shared" si="265"/>
        <v>2.6390969703261771E-3</v>
      </c>
      <c r="G279" s="3">
        <f t="shared" si="265"/>
        <v>2.6390969703261771E-3</v>
      </c>
      <c r="H279" s="3">
        <f t="shared" si="265"/>
        <v>2.6390969703261771E-3</v>
      </c>
      <c r="I279" s="3">
        <f t="shared" si="265"/>
        <v>2.6390969703261771E-3</v>
      </c>
      <c r="J279" s="3">
        <f t="shared" si="265"/>
        <v>2.6390969703261771E-3</v>
      </c>
      <c r="K279" s="3">
        <f t="shared" si="265"/>
        <v>2.6390969703261771E-3</v>
      </c>
      <c r="L279" s="3">
        <f t="shared" si="265"/>
        <v>2.6390969703261771E-3</v>
      </c>
      <c r="M279" s="3">
        <f t="shared" si="265"/>
        <v>2.6390969703261771E-3</v>
      </c>
      <c r="N279" s="3">
        <f t="shared" si="265"/>
        <v>2.6390969703261771E-3</v>
      </c>
      <c r="O279" s="3">
        <f t="shared" si="265"/>
        <v>2.6390969703261771E-3</v>
      </c>
      <c r="P279" s="3">
        <f t="shared" si="265"/>
        <v>2.6390969703261771E-3</v>
      </c>
      <c r="Q279" s="3">
        <f t="shared" si="265"/>
        <v>2.6390969703261771E-3</v>
      </c>
      <c r="R279" s="3">
        <f t="shared" si="265"/>
        <v>2.6390969703261771E-3</v>
      </c>
      <c r="S279" s="3">
        <f t="shared" si="265"/>
        <v>2.6390969703261771E-3</v>
      </c>
      <c r="T279" s="3">
        <f t="shared" si="265"/>
        <v>2.6390969703261771E-3</v>
      </c>
      <c r="U279" s="3">
        <f t="shared" si="265"/>
        <v>2.6390969703261771E-3</v>
      </c>
      <c r="V279" s="3">
        <f t="shared" si="265"/>
        <v>2.6390969703261771E-3</v>
      </c>
      <c r="W279" s="3">
        <f t="shared" si="265"/>
        <v>2.6390969703261771E-3</v>
      </c>
      <c r="X279" s="3">
        <f t="shared" si="265"/>
        <v>2.6390969703261771E-3</v>
      </c>
      <c r="Y279" s="3">
        <f t="shared" si="265"/>
        <v>2.6390969703261771E-3</v>
      </c>
      <c r="Z279" s="3">
        <f t="shared" si="265"/>
        <v>2.6390969703261771E-3</v>
      </c>
      <c r="AA279" s="3">
        <f t="shared" si="265"/>
        <v>2.6390969703261771E-3</v>
      </c>
      <c r="AB279" s="3">
        <f t="shared" si="265"/>
        <v>2.6390969703261771E-3</v>
      </c>
      <c r="AC279" s="3">
        <f t="shared" si="265"/>
        <v>2.6390969703261771E-3</v>
      </c>
      <c r="AD279" s="3">
        <f t="shared" si="265"/>
        <v>2.6390969703261771E-3</v>
      </c>
      <c r="AE279" s="3">
        <f t="shared" si="265"/>
        <v>2.6390969703261771E-3</v>
      </c>
      <c r="AF279" s="3">
        <f t="shared" si="265"/>
        <v>2.6390969703261771E-3</v>
      </c>
      <c r="AG279" s="3"/>
      <c r="AH279" s="3"/>
    </row>
    <row r="280" spans="1:34" x14ac:dyDescent="0.25">
      <c r="A280" s="79">
        <f>AVERAGE(B280:AF280)</f>
        <v>2.82563030993991E-2</v>
      </c>
      <c r="B280" s="80">
        <f>IF($D$61&lt;=B246,IF($E$61&gt;=B246,ABS((B248-B247)/B247),0),0)</f>
        <v>1.0331035653548587E-3</v>
      </c>
      <c r="C280" s="80">
        <f t="shared" ref="C280:AF280" si="266">IF($D$61&lt;=C246,IF($E$61&gt;=C246,ABS((C248-C247)/C247),0),0)</f>
        <v>1.0269020356697782E-3</v>
      </c>
      <c r="D280" s="80">
        <f t="shared" si="266"/>
        <v>1.0306905448779734E-3</v>
      </c>
      <c r="E280" s="80">
        <f t="shared" si="266"/>
        <v>1.0318342184147528E-3</v>
      </c>
      <c r="F280" s="80">
        <f t="shared" si="266"/>
        <v>1.0321658413829109E-3</v>
      </c>
      <c r="G280" s="80">
        <f t="shared" si="266"/>
        <v>1.0321407098881159E-3</v>
      </c>
      <c r="H280" s="80">
        <f t="shared" si="266"/>
        <v>1.0308083751358506E-3</v>
      </c>
      <c r="I280" s="80">
        <f t="shared" si="266"/>
        <v>1.0169301556496556E-3</v>
      </c>
      <c r="J280" s="80">
        <f t="shared" si="266"/>
        <v>8.7821678715202403E-4</v>
      </c>
      <c r="K280" s="80">
        <f t="shared" si="266"/>
        <v>5.0225146396059921E-4</v>
      </c>
      <c r="L280" s="80">
        <f t="shared" si="266"/>
        <v>1.3667955606837404E-2</v>
      </c>
      <c r="M280" s="80">
        <f t="shared" si="266"/>
        <v>9.5066407351242069E-2</v>
      </c>
      <c r="N280" s="80">
        <f t="shared" si="266"/>
        <v>0.13244208164691371</v>
      </c>
      <c r="O280" s="80">
        <f t="shared" si="266"/>
        <v>0.10801975068165492</v>
      </c>
      <c r="P280" s="80">
        <f t="shared" si="266"/>
        <v>7.7322594166790923E-2</v>
      </c>
      <c r="Q280" s="80">
        <f t="shared" si="266"/>
        <v>4.2755050731160746E-2</v>
      </c>
      <c r="R280" s="80">
        <f t="shared" si="266"/>
        <v>1.0203667340105461E-3</v>
      </c>
      <c r="S280" s="80">
        <f t="shared" si="266"/>
        <v>3.5065988499504097E-2</v>
      </c>
      <c r="T280" s="80">
        <f t="shared" si="266"/>
        <v>1.6022774599939615E-2</v>
      </c>
      <c r="U280" s="80">
        <f t="shared" si="266"/>
        <v>4.3388504270403583E-2</v>
      </c>
      <c r="V280" s="80">
        <f t="shared" si="266"/>
        <v>5.7091196855631285E-2</v>
      </c>
      <c r="W280" s="80">
        <f t="shared" si="266"/>
        <v>7.1727701056872747E-2</v>
      </c>
      <c r="X280" s="80">
        <f t="shared" si="266"/>
        <v>8.2185085440585448E-2</v>
      </c>
      <c r="Y280" s="80">
        <f t="shared" si="266"/>
        <v>9.0554894742338507E-2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37.459327200295917</v>
      </c>
      <c r="C281" s="21">
        <f t="shared" ref="C281:AF281" si="267">(C248-C247)^2</f>
        <v>37.011412749940824</v>
      </c>
      <c r="D281" s="21">
        <f t="shared" si="267"/>
        <v>37.284723761097339</v>
      </c>
      <c r="E281" s="21">
        <f t="shared" si="267"/>
        <v>37.367427809547408</v>
      </c>
      <c r="F281" s="21">
        <f t="shared" si="267"/>
        <v>37.391424756862641</v>
      </c>
      <c r="G281" s="21">
        <f t="shared" si="267"/>
        <v>37.389592804327151</v>
      </c>
      <c r="H281" s="21">
        <f t="shared" si="267"/>
        <v>37.293096137881378</v>
      </c>
      <c r="I281" s="21">
        <f t="shared" si="267"/>
        <v>36.295412785940314</v>
      </c>
      <c r="J281" s="21">
        <f t="shared" si="267"/>
        <v>27.067130586370961</v>
      </c>
      <c r="K281" s="21">
        <f t="shared" si="267"/>
        <v>8.8465874058881013</v>
      </c>
      <c r="L281" s="21">
        <f t="shared" si="267"/>
        <v>6508.5639923365115</v>
      </c>
      <c r="M281" s="21">
        <f t="shared" si="267"/>
        <v>302849.33148370072</v>
      </c>
      <c r="N281" s="21">
        <f t="shared" si="267"/>
        <v>559503.37646209518</v>
      </c>
      <c r="O281" s="21">
        <f t="shared" si="267"/>
        <v>352077.53049325279</v>
      </c>
      <c r="P281" s="21">
        <f t="shared" si="267"/>
        <v>168589.33041724426</v>
      </c>
      <c r="Q281" s="21">
        <f t="shared" si="267"/>
        <v>47862.108207964215</v>
      </c>
      <c r="R281" s="21">
        <f t="shared" si="267"/>
        <v>24.885933941491764</v>
      </c>
      <c r="S281" s="21">
        <f t="shared" si="267"/>
        <v>26009.117462742815</v>
      </c>
      <c r="T281" s="21">
        <f t="shared" si="267"/>
        <v>4686.1669672168828</v>
      </c>
      <c r="U281" s="21">
        <f t="shared" si="267"/>
        <v>29241.162055452398</v>
      </c>
      <c r="V281" s="21">
        <f t="shared" si="267"/>
        <v>42441.479878823659</v>
      </c>
      <c r="W281" s="21">
        <f t="shared" si="267"/>
        <v>54762.991785395039</v>
      </c>
      <c r="X281" s="21">
        <f t="shared" si="267"/>
        <v>54528.639375469793</v>
      </c>
      <c r="Y281" s="21">
        <f t="shared" si="267"/>
        <v>45300.976839133909</v>
      </c>
      <c r="Z281" s="21">
        <f t="shared" si="267"/>
        <v>31946.687107112935</v>
      </c>
      <c r="AA281" s="21">
        <f t="shared" si="267"/>
        <v>16547.599519875337</v>
      </c>
      <c r="AB281" s="21">
        <f t="shared" si="267"/>
        <v>6541.0147670583547</v>
      </c>
      <c r="AC281" s="21">
        <f t="shared" si="267"/>
        <v>1890.1632781286014</v>
      </c>
      <c r="AD281" s="21">
        <f t="shared" si="267"/>
        <v>485.59631055878941</v>
      </c>
      <c r="AE281" s="21">
        <f t="shared" si="267"/>
        <v>74.104202965084866</v>
      </c>
      <c r="AF281" s="21">
        <f t="shared" si="267"/>
        <v>12.82152201053097</v>
      </c>
      <c r="AG281" s="3"/>
      <c r="AH281" s="3"/>
    </row>
    <row r="282" spans="1:34" s="3" customFormat="1" x14ac:dyDescent="0.25">
      <c r="A282" s="71">
        <f>SUM(B282:AF282)</f>
        <v>1694719.0674907677</v>
      </c>
      <c r="B282" s="21">
        <f>IF($D$61&lt;=B246,IF($E$61&gt;=B246,ABS(B281),0),0)</f>
        <v>37.459327200295917</v>
      </c>
      <c r="C282" s="21">
        <f t="shared" ref="C282:AF282" si="268">IF($D$61&lt;=C246,IF($E$61&gt;=C246,ABS(C281),0),0)</f>
        <v>37.011412749940824</v>
      </c>
      <c r="D282" s="21">
        <f t="shared" si="268"/>
        <v>37.284723761097339</v>
      </c>
      <c r="E282" s="21">
        <f t="shared" si="268"/>
        <v>37.367427809547408</v>
      </c>
      <c r="F282" s="21">
        <f t="shared" si="268"/>
        <v>37.391424756862641</v>
      </c>
      <c r="G282" s="21">
        <f t="shared" si="268"/>
        <v>37.389592804327151</v>
      </c>
      <c r="H282" s="21">
        <f t="shared" si="268"/>
        <v>37.293096137881378</v>
      </c>
      <c r="I282" s="21">
        <f t="shared" si="268"/>
        <v>36.295412785940314</v>
      </c>
      <c r="J282" s="21">
        <f t="shared" si="268"/>
        <v>27.067130586370961</v>
      </c>
      <c r="K282" s="21">
        <f t="shared" si="268"/>
        <v>8.8465874058881013</v>
      </c>
      <c r="L282" s="21">
        <f t="shared" si="268"/>
        <v>6508.5639923365115</v>
      </c>
      <c r="M282" s="21">
        <f t="shared" si="268"/>
        <v>302849.33148370072</v>
      </c>
      <c r="N282" s="21">
        <f t="shared" si="268"/>
        <v>559503.37646209518</v>
      </c>
      <c r="O282" s="21">
        <f t="shared" si="268"/>
        <v>352077.53049325279</v>
      </c>
      <c r="P282" s="21">
        <f t="shared" si="268"/>
        <v>168589.33041724426</v>
      </c>
      <c r="Q282" s="21">
        <f t="shared" si="268"/>
        <v>47862.108207964215</v>
      </c>
      <c r="R282" s="21">
        <f t="shared" si="268"/>
        <v>24.885933941491764</v>
      </c>
      <c r="S282" s="21">
        <f t="shared" si="268"/>
        <v>26009.117462742815</v>
      </c>
      <c r="T282" s="21">
        <f t="shared" si="268"/>
        <v>4686.1669672168828</v>
      </c>
      <c r="U282" s="21">
        <f t="shared" si="268"/>
        <v>29241.162055452398</v>
      </c>
      <c r="V282" s="21">
        <f t="shared" si="268"/>
        <v>42441.479878823659</v>
      </c>
      <c r="W282" s="21">
        <f t="shared" si="268"/>
        <v>54762.991785395039</v>
      </c>
      <c r="X282" s="21">
        <f t="shared" si="268"/>
        <v>54528.639375469793</v>
      </c>
      <c r="Y282" s="21">
        <f t="shared" si="268"/>
        <v>45300.976839133909</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5916.6915694579875</v>
      </c>
      <c r="C286" s="26">
        <f>INDEX(Comparison!$AM$3:$AS$33,G$14,$F$122)</f>
        <v>5916.7227160627044</v>
      </c>
      <c r="D286" s="26">
        <f>INDEX(Comparison!$AM$3:$AS$33,H$14,$F$122)</f>
        <v>5916.6446401256508</v>
      </c>
      <c r="E286" s="26">
        <f>INDEX(Comparison!$AM$3:$AS$33,I$14,$F$122)</f>
        <v>5916.0822262002403</v>
      </c>
      <c r="F286" s="26">
        <f>INDEX(Comparison!$AM$3:$AS$33,J$14,$F$122)</f>
        <v>5910.6250002955303</v>
      </c>
      <c r="G286" s="26">
        <f>INDEX(Comparison!$AM$3:$AS$33,K$14,$F$122)</f>
        <v>5865.0413696390469</v>
      </c>
      <c r="H286" s="26">
        <f>INDEX(Comparison!$AM$3:$AS$33,L$14,$F$122)</f>
        <v>5722.4751414535358</v>
      </c>
      <c r="I286" s="26">
        <f>INDEX(Comparison!$AM$3:$AS$33,M$14,$F$122)</f>
        <v>5576.9650996615301</v>
      </c>
      <c r="J286" s="26">
        <f>INDEX(Comparison!$AM$3:$AS$33,N$14,$F$122)</f>
        <v>5410.5738362167167</v>
      </c>
      <c r="K286" s="26">
        <f>INDEX(Comparison!$AM$3:$AS$33,O$14,$F$122)</f>
        <v>5216.1277029195053</v>
      </c>
      <c r="L286" s="26">
        <f>INDEX(Comparison!$AM$3:$AS$33,P$14,$F$122)</f>
        <v>5018.4752297884525</v>
      </c>
      <c r="M286" s="26">
        <f>INDEX(Comparison!$AM$3:$AS$33,Q$14,$F$122)</f>
        <v>4771.2929786824907</v>
      </c>
      <c r="N286" s="26">
        <f>INDEX(Comparison!$AM$3:$AS$33,R$14,$F$122)</f>
        <v>4502.260327638488</v>
      </c>
      <c r="O286" s="26">
        <f>INDEX(Comparison!$AM$3:$AS$33,S$14,$F$122)</f>
        <v>4239.8922301770135</v>
      </c>
      <c r="P286" s="26">
        <f>INDEX(Comparison!$AM$3:$AS$33,T$14,$F$122)</f>
        <v>3958.4879028609685</v>
      </c>
      <c r="Q286" s="26">
        <f>INDEX(Comparison!$AM$3:$AS$33,U$14,$F$122)</f>
        <v>3659.7650677599231</v>
      </c>
      <c r="R286" s="26">
        <f>INDEX(Comparison!$AM$3:$AS$33,V$14,$F$122)</f>
        <v>3268.126124643903</v>
      </c>
      <c r="S286" s="26">
        <f>INDEX(Comparison!$AM$3:$AS$33,W$14,$F$122)</f>
        <v>2768.9657420868534</v>
      </c>
      <c r="T286" s="26">
        <f>INDEX(Comparison!$AM$3:$AS$33,X$14,$F$122)</f>
        <v>2204.5974524100161</v>
      </c>
      <c r="U286" s="26">
        <f>INDEX(Comparison!$AM$3:$AS$33,Y$14,$F$122)</f>
        <v>1586.454168957242</v>
      </c>
      <c r="V286" s="26">
        <f>INDEX(Comparison!$AM$3:$AS$33,Z$14,$F$122)</f>
        <v>1000.0232976856266</v>
      </c>
      <c r="W286" s="26">
        <f>INDEX(Comparison!$AM$3:$AS$33,AA$14,$F$122)</f>
        <v>576.00660610456418</v>
      </c>
      <c r="X286" s="26">
        <f>INDEX(Comparison!$AM$3:$AS$33,AB$14,$F$122)</f>
        <v>321.80010935687142</v>
      </c>
      <c r="Y286" s="26">
        <f>INDEX(Comparison!$AM$3:$AS$33,AC$14,$F$122)</f>
        <v>187.89777287454069</v>
      </c>
      <c r="Z286" s="26">
        <f>INDEX(Comparison!$AM$3:$AS$33,AD$14,$F$122)</f>
        <v>146.32445551645827</v>
      </c>
      <c r="AA286" s="26">
        <f>INDEX(Comparison!$AM$3:$AS$33,AE$14,$F$122)</f>
        <v>132.67557886184474</v>
      </c>
      <c r="AB286" s="26">
        <f>INDEX(Comparison!$AM$3:$AS$33,AF$14,$F$122)</f>
        <v>124.09266721325585</v>
      </c>
      <c r="AC286" s="26">
        <f>INDEX(Comparison!$AM$3:$AS$33,AG$14,$F$122)</f>
        <v>123.97220489326934</v>
      </c>
      <c r="AD286" s="26">
        <f>INDEX(Comparison!$AM$3:$AS$33,AH$14,$F$122)</f>
        <v>123.97018586453261</v>
      </c>
      <c r="AE286" s="26">
        <f>INDEX(Comparison!$AM$3:$AS$33,AI$14,$F$122)</f>
        <v>123.96849358445334</v>
      </c>
      <c r="AF286" s="26">
        <f>INDEX(Comparison!$AM$3:$AS$33,AJ$14,$F$122)</f>
        <v>123.96695327212331</v>
      </c>
      <c r="AG286" s="26"/>
      <c r="AH286" s="26"/>
    </row>
    <row r="287" spans="1:34" x14ac:dyDescent="0.25">
      <c r="A287" s="70" t="s">
        <v>22</v>
      </c>
      <c r="B287" s="27">
        <f>($C$17+SUM(B288:B318))*$B$51</f>
        <v>5930.4031406869808</v>
      </c>
      <c r="C287" s="27">
        <f t="shared" ref="C287:AF287" si="269">($C$17+SUM(C288:C318))*$B$51</f>
        <v>5930.3603078587594</v>
      </c>
      <c r="D287" s="27">
        <f t="shared" si="269"/>
        <v>5929.9320774676562</v>
      </c>
      <c r="E287" s="27">
        <f t="shared" si="269"/>
        <v>5925.6595476322855</v>
      </c>
      <c r="F287" s="27">
        <f t="shared" si="269"/>
        <v>5883.8967929586133</v>
      </c>
      <c r="G287" s="27">
        <f t="shared" si="269"/>
        <v>5549.2322300652168</v>
      </c>
      <c r="H287" s="27">
        <f t="shared" si="269"/>
        <v>4909.9133327190557</v>
      </c>
      <c r="I287" s="27">
        <f t="shared" si="269"/>
        <v>4899.7288679973944</v>
      </c>
      <c r="J287" s="27">
        <f t="shared" si="269"/>
        <v>4899.669362564513</v>
      </c>
      <c r="K287" s="27">
        <f t="shared" si="269"/>
        <v>4899.0746450673187</v>
      </c>
      <c r="L287" s="27">
        <f t="shared" si="269"/>
        <v>4893.1610213093973</v>
      </c>
      <c r="M287" s="27">
        <f t="shared" si="269"/>
        <v>4837.2517691024168</v>
      </c>
      <c r="N287" s="27">
        <f t="shared" si="269"/>
        <v>4503.316403021573</v>
      </c>
      <c r="O287" s="27">
        <f t="shared" si="269"/>
        <v>4204.0763532471274</v>
      </c>
      <c r="P287" s="27">
        <f t="shared" si="269"/>
        <v>3943.3980203714441</v>
      </c>
      <c r="Q287" s="27">
        <f t="shared" si="269"/>
        <v>3635.4563054824202</v>
      </c>
      <c r="R287" s="27">
        <f t="shared" si="269"/>
        <v>3263.8158176753268</v>
      </c>
      <c r="S287" s="27">
        <f t="shared" si="269"/>
        <v>2787.307809282599</v>
      </c>
      <c r="T287" s="27">
        <f t="shared" si="269"/>
        <v>2227.3236192609857</v>
      </c>
      <c r="U287" s="27">
        <f t="shared" si="269"/>
        <v>1590.911387031718</v>
      </c>
      <c r="V287" s="27">
        <f t="shared" si="269"/>
        <v>977.22110369805262</v>
      </c>
      <c r="W287" s="27">
        <f t="shared" si="269"/>
        <v>557.21088413565917</v>
      </c>
      <c r="X287" s="27">
        <f t="shared" si="269"/>
        <v>306.0132467853216</v>
      </c>
      <c r="Y287" s="27">
        <f t="shared" si="269"/>
        <v>180.08996162870372</v>
      </c>
      <c r="Z287" s="27">
        <f t="shared" si="269"/>
        <v>147.33936748649606</v>
      </c>
      <c r="AA287" s="27">
        <f t="shared" si="269"/>
        <v>131.58124480489275</v>
      </c>
      <c r="AB287" s="27">
        <f t="shared" si="269"/>
        <v>125.74667305152762</v>
      </c>
      <c r="AC287" s="27">
        <f t="shared" si="269"/>
        <v>125.39011852032128</v>
      </c>
      <c r="AD287" s="27">
        <f t="shared" si="269"/>
        <v>125.31829788225811</v>
      </c>
      <c r="AE287" s="27">
        <f t="shared" si="269"/>
        <v>125.18327589723867</v>
      </c>
      <c r="AF287" s="27">
        <f t="shared" si="269"/>
        <v>125.03467414263123</v>
      </c>
      <c r="AG287" s="27"/>
      <c r="AH287" s="27"/>
    </row>
    <row r="288" spans="1:34" x14ac:dyDescent="0.25">
      <c r="B288" s="3">
        <f t="shared" ref="B288:AF288" si="270">$C18*EXP(-B$285/$A18/EXP(-$F$126))</f>
        <v>0.17379372177709668</v>
      </c>
      <c r="C288" s="3">
        <f t="shared" si="270"/>
        <v>0.173786499201012</v>
      </c>
      <c r="D288" s="3">
        <f t="shared" si="270"/>
        <v>0.17371428994680638</v>
      </c>
      <c r="E288" s="3">
        <f t="shared" si="270"/>
        <v>0.1729938455334839</v>
      </c>
      <c r="F288" s="3">
        <f t="shared" si="270"/>
        <v>0.16595170788849095</v>
      </c>
      <c r="G288" s="3">
        <f t="shared" si="270"/>
        <v>0.10951975429821197</v>
      </c>
      <c r="H288" s="3">
        <f t="shared" si="270"/>
        <v>1.7163260964576956E-3</v>
      </c>
      <c r="I288" s="3">
        <f t="shared" si="270"/>
        <v>1.5334628422176729E-21</v>
      </c>
      <c r="J288" s="3">
        <f t="shared" si="270"/>
        <v>4.9705880011711152E-202</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9.0899647473872636E-2</v>
      </c>
      <c r="C289" s="3">
        <f t="shared" si="271"/>
        <v>9.0899647472904965E-2</v>
      </c>
      <c r="D289" s="3">
        <f t="shared" si="271"/>
        <v>9.0899647463228178E-2</v>
      </c>
      <c r="E289" s="3">
        <f t="shared" si="271"/>
        <v>9.0899647366460307E-2</v>
      </c>
      <c r="F289" s="3">
        <f t="shared" si="271"/>
        <v>9.0899646398781633E-2</v>
      </c>
      <c r="G289" s="3">
        <f t="shared" si="271"/>
        <v>9.0899636721995386E-2</v>
      </c>
      <c r="H289" s="3">
        <f t="shared" si="271"/>
        <v>9.0899539954189659E-2</v>
      </c>
      <c r="I289" s="3">
        <f t="shared" si="271"/>
        <v>9.0898572281798165E-2</v>
      </c>
      <c r="J289" s="3">
        <f t="shared" si="271"/>
        <v>9.0888896124440427E-2</v>
      </c>
      <c r="K289" s="3">
        <f t="shared" si="271"/>
        <v>9.0792191184282986E-2</v>
      </c>
      <c r="L289" s="3">
        <f t="shared" si="271"/>
        <v>8.9830782880956472E-2</v>
      </c>
      <c r="M289" s="3">
        <f t="shared" si="271"/>
        <v>8.0759208795094226E-2</v>
      </c>
      <c r="N289" s="3">
        <f t="shared" si="271"/>
        <v>2.7852280748741728E-2</v>
      </c>
      <c r="O289" s="3">
        <f t="shared" si="271"/>
        <v>6.6305239979951225E-7</v>
      </c>
      <c r="P289" s="3">
        <f t="shared" si="271"/>
        <v>3.8763119667016809E-53</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3.1881256705132886E-2</v>
      </c>
      <c r="C290" s="3">
        <f t="shared" si="272"/>
        <v>3.1881256705102265E-2</v>
      </c>
      <c r="D290" s="3">
        <f t="shared" si="272"/>
        <v>3.1881256704796107E-2</v>
      </c>
      <c r="E290" s="3">
        <f t="shared" si="272"/>
        <v>3.1881256701734487E-2</v>
      </c>
      <c r="F290" s="3">
        <f t="shared" si="272"/>
        <v>3.188125667111831E-2</v>
      </c>
      <c r="G290" s="3">
        <f t="shared" si="272"/>
        <v>3.1881256364956513E-2</v>
      </c>
      <c r="H290" s="3">
        <f t="shared" si="272"/>
        <v>3.1881253303338707E-2</v>
      </c>
      <c r="I290" s="3">
        <f t="shared" si="272"/>
        <v>3.1881222687176858E-2</v>
      </c>
      <c r="J290" s="3">
        <f t="shared" si="272"/>
        <v>3.1880916527175396E-2</v>
      </c>
      <c r="K290" s="3">
        <f t="shared" si="272"/>
        <v>3.1877855088861574E-2</v>
      </c>
      <c r="L290" s="3">
        <f t="shared" si="272"/>
        <v>3.1847256870057197E-2</v>
      </c>
      <c r="M290" s="3">
        <f t="shared" si="272"/>
        <v>3.154288538664074E-2</v>
      </c>
      <c r="N290" s="3">
        <f t="shared" si="272"/>
        <v>2.8654661945236751E-2</v>
      </c>
      <c r="O290" s="3">
        <f t="shared" si="272"/>
        <v>1.0968165683230668E-2</v>
      </c>
      <c r="P290" s="3">
        <f t="shared" si="272"/>
        <v>7.4049329794092759E-7</v>
      </c>
      <c r="Q290" s="3">
        <f t="shared" si="272"/>
        <v>1.4567748384684808E-48</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5.4295186308030166E-2</v>
      </c>
      <c r="C291" s="3">
        <f t="shared" si="273"/>
        <v>5.4295186308025468E-2</v>
      </c>
      <c r="D291" s="3">
        <f t="shared" si="273"/>
        <v>5.429518630797843E-2</v>
      </c>
      <c r="E291" s="3">
        <f t="shared" si="273"/>
        <v>5.4295186307508077E-2</v>
      </c>
      <c r="F291" s="3">
        <f t="shared" si="273"/>
        <v>5.4295186302804554E-2</v>
      </c>
      <c r="G291" s="3">
        <f t="shared" si="273"/>
        <v>5.4295186255769297E-2</v>
      </c>
      <c r="H291" s="3">
        <f t="shared" si="273"/>
        <v>5.4295185785416769E-2</v>
      </c>
      <c r="I291" s="3">
        <f t="shared" si="273"/>
        <v>5.42951810818917E-2</v>
      </c>
      <c r="J291" s="3">
        <f t="shared" si="273"/>
        <v>5.4295134046663383E-2</v>
      </c>
      <c r="K291" s="3">
        <f t="shared" si="273"/>
        <v>5.4294663696621247E-2</v>
      </c>
      <c r="L291" s="3">
        <f t="shared" si="273"/>
        <v>5.4289960420295297E-2</v>
      </c>
      <c r="M291" s="3">
        <f t="shared" si="273"/>
        <v>5.424295005939072E-2</v>
      </c>
      <c r="N291" s="3">
        <f t="shared" si="273"/>
        <v>5.3775079521905286E-2</v>
      </c>
      <c r="O291" s="3">
        <f t="shared" si="273"/>
        <v>4.9312686560453803E-2</v>
      </c>
      <c r="P291" s="3">
        <f t="shared" si="273"/>
        <v>2.0736463257981574E-2</v>
      </c>
      <c r="Q291" s="3">
        <f t="shared" si="273"/>
        <v>3.5850475163728131E-6</v>
      </c>
      <c r="R291" s="3">
        <f t="shared" si="273"/>
        <v>8.552581328600839E-44</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5.1307510130975786E-2</v>
      </c>
      <c r="C292" s="3">
        <f t="shared" si="274"/>
        <v>5.1307510130975391E-2</v>
      </c>
      <c r="D292" s="3">
        <f t="shared" si="274"/>
        <v>5.130751013097138E-2</v>
      </c>
      <c r="E292" s="3">
        <f t="shared" si="274"/>
        <v>5.1307510130931287E-2</v>
      </c>
      <c r="F292" s="3">
        <f t="shared" si="274"/>
        <v>5.1307510130530337E-2</v>
      </c>
      <c r="G292" s="3">
        <f t="shared" si="274"/>
        <v>5.1307510126520836E-2</v>
      </c>
      <c r="H292" s="3">
        <f t="shared" si="274"/>
        <v>5.1307510086425888E-2</v>
      </c>
      <c r="I292" s="3">
        <f t="shared" si="274"/>
        <v>5.1307509685476378E-2</v>
      </c>
      <c r="J292" s="3">
        <f t="shared" si="274"/>
        <v>5.1307505675981448E-2</v>
      </c>
      <c r="K292" s="3">
        <f t="shared" si="274"/>
        <v>5.13074655810494E-2</v>
      </c>
      <c r="L292" s="3">
        <f t="shared" si="274"/>
        <v>5.13070646334522E-2</v>
      </c>
      <c r="M292" s="3">
        <f t="shared" si="274"/>
        <v>5.1303055329804684E-2</v>
      </c>
      <c r="N292" s="3">
        <f t="shared" si="274"/>
        <v>5.1262979520803949E-2</v>
      </c>
      <c r="O292" s="3">
        <f t="shared" si="274"/>
        <v>5.0863939207446585E-2</v>
      </c>
      <c r="P292" s="3">
        <f t="shared" si="274"/>
        <v>4.7040449051259682E-2</v>
      </c>
      <c r="Q292" s="3">
        <f t="shared" si="274"/>
        <v>2.1532087341125238E-2</v>
      </c>
      <c r="R292" s="3">
        <f t="shared" si="274"/>
        <v>8.6942649687438151E-6</v>
      </c>
      <c r="S292" s="3">
        <f t="shared" si="274"/>
        <v>1.0016137115873242E-39</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7.4663981933644902E-2</v>
      </c>
      <c r="C293" s="3">
        <f t="shared" si="275"/>
        <v>7.466398193364486E-2</v>
      </c>
      <c r="D293" s="3">
        <f t="shared" si="275"/>
        <v>7.4663981933644333E-2</v>
      </c>
      <c r="E293" s="3">
        <f t="shared" si="275"/>
        <v>7.4663981933639059E-2</v>
      </c>
      <c r="F293" s="3">
        <f t="shared" si="275"/>
        <v>7.4663981933586435E-2</v>
      </c>
      <c r="G293" s="3">
        <f t="shared" si="275"/>
        <v>7.4663981933060092E-2</v>
      </c>
      <c r="H293" s="3">
        <f t="shared" si="275"/>
        <v>7.4663981927796691E-2</v>
      </c>
      <c r="I293" s="3">
        <f t="shared" si="275"/>
        <v>7.4663981875162683E-2</v>
      </c>
      <c r="J293" s="3">
        <f t="shared" si="275"/>
        <v>7.4663981348822545E-2</v>
      </c>
      <c r="K293" s="3">
        <f t="shared" si="275"/>
        <v>7.4663976085421413E-2</v>
      </c>
      <c r="L293" s="3">
        <f t="shared" si="275"/>
        <v>7.4663923451430483E-2</v>
      </c>
      <c r="M293" s="3">
        <f t="shared" si="275"/>
        <v>7.4663397113562027E-2</v>
      </c>
      <c r="N293" s="3">
        <f t="shared" si="275"/>
        <v>7.4658133938943924E-2</v>
      </c>
      <c r="O293" s="3">
        <f t="shared" si="275"/>
        <v>7.4605522594101345E-2</v>
      </c>
      <c r="P293" s="3">
        <f t="shared" si="275"/>
        <v>7.4081443968269892E-2</v>
      </c>
      <c r="Q293" s="3">
        <f t="shared" si="275"/>
        <v>6.9038931143094451E-2</v>
      </c>
      <c r="R293" s="3">
        <f t="shared" si="275"/>
        <v>3.4114598215855385E-2</v>
      </c>
      <c r="S293" s="3">
        <f t="shared" si="275"/>
        <v>2.9607536809285425E-5</v>
      </c>
      <c r="T293" s="3">
        <f t="shared" si="275"/>
        <v>7.1783139593171419E-36</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9.0647969973627479E-2</v>
      </c>
      <c r="C294" s="3">
        <f t="shared" si="276"/>
        <v>9.0647969973627465E-2</v>
      </c>
      <c r="D294" s="3">
        <f t="shared" si="276"/>
        <v>9.0647969973627424E-2</v>
      </c>
      <c r="E294" s="3">
        <f t="shared" si="276"/>
        <v>9.0647969973626841E-2</v>
      </c>
      <c r="F294" s="3">
        <f t="shared" si="276"/>
        <v>9.0647969973621081E-2</v>
      </c>
      <c r="G294" s="3">
        <f t="shared" si="276"/>
        <v>9.0647969973563433E-2</v>
      </c>
      <c r="H294" s="3">
        <f t="shared" si="276"/>
        <v>9.0647969972986978E-2</v>
      </c>
      <c r="I294" s="3">
        <f t="shared" si="276"/>
        <v>9.0647969967222505E-2</v>
      </c>
      <c r="J294" s="3">
        <f t="shared" si="276"/>
        <v>9.0647969909577714E-2</v>
      </c>
      <c r="K294" s="3">
        <f t="shared" si="276"/>
        <v>9.064796933312988E-2</v>
      </c>
      <c r="L294" s="3">
        <f t="shared" si="276"/>
        <v>9.0647963568651735E-2</v>
      </c>
      <c r="M294" s="3">
        <f t="shared" si="276"/>
        <v>9.0647905923890396E-2</v>
      </c>
      <c r="N294" s="3">
        <f t="shared" si="276"/>
        <v>9.0647329478293237E-2</v>
      </c>
      <c r="O294" s="3">
        <f t="shared" si="276"/>
        <v>9.0641565223932172E-2</v>
      </c>
      <c r="P294" s="3">
        <f t="shared" si="276"/>
        <v>9.0583942836634859E-2</v>
      </c>
      <c r="Q294" s="3">
        <f t="shared" si="276"/>
        <v>9.0009729860473259E-2</v>
      </c>
      <c r="R294" s="3">
        <f t="shared" si="276"/>
        <v>8.4464037743951989E-2</v>
      </c>
      <c r="S294" s="3">
        <f t="shared" si="276"/>
        <v>4.4719366549145774E-2</v>
      </c>
      <c r="T294" s="3">
        <f t="shared" si="276"/>
        <v>7.7398703723191272E-5</v>
      </c>
      <c r="U294" s="3">
        <f t="shared" si="276"/>
        <v>1.8668702178510761E-32</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0.10513898706376987</v>
      </c>
      <c r="C295" s="3">
        <f t="shared" si="277"/>
        <v>0.10513898706376987</v>
      </c>
      <c r="D295" s="3">
        <f t="shared" si="277"/>
        <v>0.10513898706376985</v>
      </c>
      <c r="E295" s="3">
        <f t="shared" si="277"/>
        <v>0.1051389870637698</v>
      </c>
      <c r="F295" s="3">
        <f t="shared" si="277"/>
        <v>0.1051389870637692</v>
      </c>
      <c r="G295" s="3">
        <f t="shared" si="277"/>
        <v>0.10513898706376316</v>
      </c>
      <c r="H295" s="3">
        <f t="shared" si="277"/>
        <v>0.10513898706370285</v>
      </c>
      <c r="I295" s="3">
        <f t="shared" si="277"/>
        <v>0.10513898706309972</v>
      </c>
      <c r="J295" s="3">
        <f t="shared" si="277"/>
        <v>0.10513898705706839</v>
      </c>
      <c r="K295" s="3">
        <f t="shared" si="277"/>
        <v>0.10513898699675521</v>
      </c>
      <c r="L295" s="3">
        <f t="shared" si="277"/>
        <v>0.10513898639362329</v>
      </c>
      <c r="M295" s="3">
        <f t="shared" si="277"/>
        <v>0.10513898036230435</v>
      </c>
      <c r="N295" s="3">
        <f t="shared" si="277"/>
        <v>0.10513892004913385</v>
      </c>
      <c r="O295" s="3">
        <f t="shared" si="277"/>
        <v>0.10513831691933175</v>
      </c>
      <c r="P295" s="3">
        <f t="shared" si="277"/>
        <v>0.10513228581159967</v>
      </c>
      <c r="Q295" s="3">
        <f t="shared" si="277"/>
        <v>0.10507199375912293</v>
      </c>
      <c r="R295" s="3">
        <f t="shared" si="277"/>
        <v>0.10447097168690327</v>
      </c>
      <c r="S295" s="3">
        <f t="shared" si="277"/>
        <v>9.8646627813811782E-2</v>
      </c>
      <c r="T295" s="3">
        <f t="shared" si="277"/>
        <v>5.5583813505265971E-2</v>
      </c>
      <c r="U295" s="3">
        <f t="shared" si="277"/>
        <v>1.793119769980309E-4</v>
      </c>
      <c r="V295" s="3">
        <f t="shared" si="277"/>
        <v>2.1888645689665775E-29</v>
      </c>
      <c r="W295" s="3">
        <f t="shared" si="277"/>
        <v>1.6081065347530435E-278</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0.12480864845095105</v>
      </c>
      <c r="C296" s="3">
        <f t="shared" si="278"/>
        <v>0.12480864845095105</v>
      </c>
      <c r="D296" s="3">
        <f t="shared" si="278"/>
        <v>0.12480864845095105</v>
      </c>
      <c r="E296" s="3">
        <f t="shared" si="278"/>
        <v>0.12480864845095103</v>
      </c>
      <c r="F296" s="3">
        <f t="shared" si="278"/>
        <v>0.12480864845095098</v>
      </c>
      <c r="G296" s="3">
        <f t="shared" si="278"/>
        <v>0.12480864845095033</v>
      </c>
      <c r="H296" s="3">
        <f t="shared" si="278"/>
        <v>0.12480864845094387</v>
      </c>
      <c r="I296" s="3">
        <f t="shared" si="278"/>
        <v>0.12480864845087929</v>
      </c>
      <c r="J296" s="3">
        <f t="shared" si="278"/>
        <v>0.12480864845023341</v>
      </c>
      <c r="K296" s="3">
        <f t="shared" si="278"/>
        <v>0.1248086484437748</v>
      </c>
      <c r="L296" s="3">
        <f t="shared" si="278"/>
        <v>0.12480864837918859</v>
      </c>
      <c r="M296" s="3">
        <f t="shared" si="278"/>
        <v>0.12480864773332651</v>
      </c>
      <c r="N296" s="3">
        <f t="shared" si="278"/>
        <v>0.12480864127470581</v>
      </c>
      <c r="O296" s="3">
        <f t="shared" si="278"/>
        <v>0.12480857668851725</v>
      </c>
      <c r="P296" s="3">
        <f t="shared" si="278"/>
        <v>0.12480793082846972</v>
      </c>
      <c r="Q296" s="3">
        <f t="shared" si="278"/>
        <v>0.12480147241181277</v>
      </c>
      <c r="R296" s="3">
        <f t="shared" si="278"/>
        <v>0.12473690662353767</v>
      </c>
      <c r="S296" s="3">
        <f t="shared" si="278"/>
        <v>0.1240930830562445</v>
      </c>
      <c r="T296" s="3">
        <f t="shared" si="278"/>
        <v>0.11783481488166904</v>
      </c>
      <c r="U296" s="3">
        <f t="shared" si="278"/>
        <v>7.0231851292853684E-2</v>
      </c>
      <c r="V296" s="3">
        <f t="shared" si="278"/>
        <v>3.9731873333550925E-4</v>
      </c>
      <c r="W296" s="3">
        <f t="shared" si="278"/>
        <v>1.3340997423516585E-26</v>
      </c>
      <c r="X296" s="3">
        <f t="shared" si="278"/>
        <v>2.4304174834660384E-251</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8.8034867704118849E-2</v>
      </c>
      <c r="C297" s="3">
        <f t="shared" si="279"/>
        <v>8.8034867704118849E-2</v>
      </c>
      <c r="D297" s="3">
        <f t="shared" si="279"/>
        <v>8.8034867704118849E-2</v>
      </c>
      <c r="E297" s="3">
        <f t="shared" si="279"/>
        <v>8.8034867704118849E-2</v>
      </c>
      <c r="F297" s="3">
        <f t="shared" si="279"/>
        <v>8.8034867704118849E-2</v>
      </c>
      <c r="G297" s="3">
        <f t="shared" si="279"/>
        <v>8.8034867704118794E-2</v>
      </c>
      <c r="H297" s="3">
        <f t="shared" si="279"/>
        <v>8.8034867704118391E-2</v>
      </c>
      <c r="I297" s="3">
        <f t="shared" si="279"/>
        <v>8.8034867704114284E-2</v>
      </c>
      <c r="J297" s="3">
        <f t="shared" si="279"/>
        <v>8.8034867704073191E-2</v>
      </c>
      <c r="K297" s="3">
        <f t="shared" si="279"/>
        <v>8.8034867703662228E-2</v>
      </c>
      <c r="L297" s="3">
        <f t="shared" si="279"/>
        <v>8.8034867699552655E-2</v>
      </c>
      <c r="M297" s="3">
        <f t="shared" si="279"/>
        <v>8.8034867658456958E-2</v>
      </c>
      <c r="N297" s="3">
        <f t="shared" si="279"/>
        <v>8.8034867247499926E-2</v>
      </c>
      <c r="O297" s="3">
        <f t="shared" si="279"/>
        <v>8.8034863137929686E-2</v>
      </c>
      <c r="P297" s="3">
        <f t="shared" si="279"/>
        <v>8.8034822042237823E-2</v>
      </c>
      <c r="Q297" s="3">
        <f t="shared" si="279"/>
        <v>8.8034411086374373E-2</v>
      </c>
      <c r="R297" s="3">
        <f t="shared" si="279"/>
        <v>8.8030301633249528E-2</v>
      </c>
      <c r="S297" s="3">
        <f t="shared" si="279"/>
        <v>8.7989217651151239E-2</v>
      </c>
      <c r="T297" s="3">
        <f t="shared" si="279"/>
        <v>8.7579430925396259E-2</v>
      </c>
      <c r="U297" s="3">
        <f t="shared" si="279"/>
        <v>8.3585076769788394E-2</v>
      </c>
      <c r="V297" s="3">
        <f t="shared" si="279"/>
        <v>5.2407689511558213E-2</v>
      </c>
      <c r="W297" s="3">
        <f t="shared" si="279"/>
        <v>4.9210490209915855E-4</v>
      </c>
      <c r="X297" s="3">
        <f t="shared" si="279"/>
        <v>2.6223126466093237E-24</v>
      </c>
      <c r="Y297" s="3">
        <f t="shared" si="279"/>
        <v>4.8411913758572335E-227</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5.3040160566801761E-2</v>
      </c>
      <c r="C298" s="3">
        <f t="shared" si="280"/>
        <v>5.3040160566801761E-2</v>
      </c>
      <c r="D298" s="3">
        <f t="shared" si="280"/>
        <v>5.3040160566801761E-2</v>
      </c>
      <c r="E298" s="3">
        <f t="shared" si="280"/>
        <v>5.3040160566801761E-2</v>
      </c>
      <c r="F298" s="3">
        <f t="shared" si="280"/>
        <v>5.3040160566801761E-2</v>
      </c>
      <c r="G298" s="3">
        <f t="shared" si="280"/>
        <v>5.3040160566801761E-2</v>
      </c>
      <c r="H298" s="3">
        <f t="shared" si="280"/>
        <v>5.304016056680174E-2</v>
      </c>
      <c r="I298" s="3">
        <f t="shared" si="280"/>
        <v>5.3040160566801511E-2</v>
      </c>
      <c r="J298" s="3">
        <f t="shared" si="280"/>
        <v>5.3040160566799284E-2</v>
      </c>
      <c r="K298" s="3">
        <f t="shared" si="280"/>
        <v>5.3040160566776948E-2</v>
      </c>
      <c r="L298" s="3">
        <f t="shared" si="280"/>
        <v>5.3040160566553592E-2</v>
      </c>
      <c r="M298" s="3">
        <f t="shared" si="280"/>
        <v>5.3040160564320052E-2</v>
      </c>
      <c r="N298" s="3">
        <f t="shared" si="280"/>
        <v>5.3040160541984682E-2</v>
      </c>
      <c r="O298" s="3">
        <f t="shared" si="280"/>
        <v>5.3040160318630999E-2</v>
      </c>
      <c r="P298" s="3">
        <f t="shared" si="280"/>
        <v>5.3040158085094186E-2</v>
      </c>
      <c r="Q298" s="3">
        <f t="shared" si="280"/>
        <v>5.3040135749731272E-2</v>
      </c>
      <c r="R298" s="3">
        <f t="shared" si="280"/>
        <v>5.3039912396619371E-2</v>
      </c>
      <c r="S298" s="3">
        <f t="shared" si="280"/>
        <v>5.3037678917229714E-2</v>
      </c>
      <c r="T298" s="3">
        <f t="shared" si="280"/>
        <v>5.3015349295457086E-2</v>
      </c>
      <c r="U298" s="3">
        <f t="shared" si="280"/>
        <v>5.2792569485177625E-2</v>
      </c>
      <c r="V298" s="3">
        <f t="shared" si="280"/>
        <v>5.0615616505036674E-2</v>
      </c>
      <c r="W298" s="3">
        <f t="shared" si="280"/>
        <v>3.3220169092138714E-2</v>
      </c>
      <c r="X298" s="3">
        <f t="shared" si="280"/>
        <v>4.9269132535524921E-4</v>
      </c>
      <c r="Y298" s="3">
        <f t="shared" si="280"/>
        <v>2.5369136638614929E-22</v>
      </c>
      <c r="Z298" s="3">
        <f t="shared" si="280"/>
        <v>3.3236356197097723E-205</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2.9418988584786216E-2</v>
      </c>
      <c r="C299" s="3">
        <f t="shared" si="281"/>
        <v>2.9418988584786216E-2</v>
      </c>
      <c r="D299" s="3">
        <f t="shared" si="281"/>
        <v>2.9418988584786216E-2</v>
      </c>
      <c r="E299" s="3">
        <f t="shared" si="281"/>
        <v>2.9418988584786216E-2</v>
      </c>
      <c r="F299" s="3">
        <f t="shared" si="281"/>
        <v>2.9418988584786216E-2</v>
      </c>
      <c r="G299" s="3">
        <f t="shared" si="281"/>
        <v>2.9418988584786216E-2</v>
      </c>
      <c r="H299" s="3">
        <f t="shared" si="281"/>
        <v>2.9418988584786216E-2</v>
      </c>
      <c r="I299" s="3">
        <f t="shared" si="281"/>
        <v>2.9418988584786202E-2</v>
      </c>
      <c r="J299" s="3">
        <f t="shared" si="281"/>
        <v>2.9418988584786091E-2</v>
      </c>
      <c r="K299" s="3">
        <f t="shared" si="281"/>
        <v>2.9418988584784974E-2</v>
      </c>
      <c r="L299" s="3">
        <f t="shared" si="281"/>
        <v>2.9418988584773799E-2</v>
      </c>
      <c r="M299" s="3">
        <f t="shared" si="281"/>
        <v>2.9418988584662048E-2</v>
      </c>
      <c r="N299" s="3">
        <f t="shared" si="281"/>
        <v>2.9418988583544504E-2</v>
      </c>
      <c r="O299" s="3">
        <f t="shared" si="281"/>
        <v>2.9418988572369117E-2</v>
      </c>
      <c r="P299" s="3">
        <f t="shared" si="281"/>
        <v>2.9418988460615234E-2</v>
      </c>
      <c r="Q299" s="3">
        <f t="shared" si="281"/>
        <v>2.9418987343076426E-2</v>
      </c>
      <c r="R299" s="3">
        <f t="shared" si="281"/>
        <v>2.9418976167690673E-2</v>
      </c>
      <c r="S299" s="3">
        <f t="shared" si="281"/>
        <v>2.9418864414066635E-2</v>
      </c>
      <c r="T299" s="3">
        <f t="shared" si="281"/>
        <v>2.9417746901174435E-2</v>
      </c>
      <c r="U299" s="3">
        <f t="shared" si="281"/>
        <v>2.9406574106744389E-2</v>
      </c>
      <c r="V299" s="3">
        <f t="shared" si="281"/>
        <v>2.929507928385355E-2</v>
      </c>
      <c r="W299" s="3">
        <f t="shared" si="281"/>
        <v>2.820311884208165E-2</v>
      </c>
      <c r="X299" s="3">
        <f t="shared" si="281"/>
        <v>1.9289533938373331E-2</v>
      </c>
      <c r="Y299" s="3">
        <f t="shared" si="281"/>
        <v>4.3208352416347591E-4</v>
      </c>
      <c r="Z299" s="3">
        <f t="shared" si="281"/>
        <v>1.3741287467064981E-20</v>
      </c>
      <c r="AA299" s="3">
        <f t="shared" si="281"/>
        <v>1.4542015780008989E-185</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6.3753391533418529E-3</v>
      </c>
      <c r="C300" s="3">
        <f t="shared" si="282"/>
        <v>6.3753391533418529E-3</v>
      </c>
      <c r="D300" s="3">
        <f t="shared" si="282"/>
        <v>6.3753391533418529E-3</v>
      </c>
      <c r="E300" s="3">
        <f t="shared" si="282"/>
        <v>6.3753391533418529E-3</v>
      </c>
      <c r="F300" s="3">
        <f t="shared" si="282"/>
        <v>6.3753391533418529E-3</v>
      </c>
      <c r="G300" s="3">
        <f t="shared" si="282"/>
        <v>6.3753391533418529E-3</v>
      </c>
      <c r="H300" s="3">
        <f t="shared" si="282"/>
        <v>6.3753391533418529E-3</v>
      </c>
      <c r="I300" s="3">
        <f t="shared" si="282"/>
        <v>6.3753391533418529E-3</v>
      </c>
      <c r="J300" s="3">
        <f t="shared" si="282"/>
        <v>6.3753391533418512E-3</v>
      </c>
      <c r="K300" s="3">
        <f t="shared" si="282"/>
        <v>6.3753391533418287E-3</v>
      </c>
      <c r="L300" s="3">
        <f t="shared" si="282"/>
        <v>6.3753391533416101E-3</v>
      </c>
      <c r="M300" s="3">
        <f t="shared" si="282"/>
        <v>6.3753391533394261E-3</v>
      </c>
      <c r="N300" s="3">
        <f t="shared" si="282"/>
        <v>6.375339153317579E-3</v>
      </c>
      <c r="O300" s="3">
        <f t="shared" si="282"/>
        <v>6.3753391530991131E-3</v>
      </c>
      <c r="P300" s="3">
        <f t="shared" si="282"/>
        <v>6.3753391509144474E-3</v>
      </c>
      <c r="Q300" s="3">
        <f t="shared" si="282"/>
        <v>6.3753391290678014E-3</v>
      </c>
      <c r="R300" s="3">
        <f t="shared" si="282"/>
        <v>6.3753389106013473E-3</v>
      </c>
      <c r="S300" s="3">
        <f t="shared" si="282"/>
        <v>6.3753367259372111E-3</v>
      </c>
      <c r="T300" s="3">
        <f t="shared" si="282"/>
        <v>6.3753148793370224E-3</v>
      </c>
      <c r="U300" s="3">
        <f t="shared" si="282"/>
        <v>6.3750964174525398E-3</v>
      </c>
      <c r="V300" s="3">
        <f t="shared" si="282"/>
        <v>6.3729122102952817E-3</v>
      </c>
      <c r="W300" s="3">
        <f t="shared" si="282"/>
        <v>6.3511112553300076E-3</v>
      </c>
      <c r="X300" s="3">
        <f t="shared" si="282"/>
        <v>6.1371617092679433E-3</v>
      </c>
      <c r="Y300" s="3">
        <f t="shared" si="282"/>
        <v>4.3565833642332614E-3</v>
      </c>
      <c r="Z300" s="3">
        <f t="shared" si="282"/>
        <v>1.4155677150124853E-4</v>
      </c>
      <c r="AA300" s="3">
        <f t="shared" si="282"/>
        <v>1.8568501289756975E-19</v>
      </c>
      <c r="AB300" s="3">
        <f t="shared" si="282"/>
        <v>2.8005213179128289E-168</v>
      </c>
      <c r="AC300" s="3">
        <f t="shared" si="282"/>
        <v>0</v>
      </c>
      <c r="AD300" s="3">
        <f t="shared" si="282"/>
        <v>0</v>
      </c>
      <c r="AE300" s="3">
        <f t="shared" si="282"/>
        <v>0</v>
      </c>
      <c r="AF300" s="3">
        <f t="shared" si="282"/>
        <v>0</v>
      </c>
      <c r="AG300" s="3"/>
      <c r="AH300" s="3"/>
    </row>
    <row r="301" spans="2:34" x14ac:dyDescent="0.25">
      <c r="B301" s="3">
        <f t="shared" ref="B301:AF301" si="283">$C31*EXP(-B$285/$A31/EXP(-$F$126))</f>
        <v>3.2709514210797811E-3</v>
      </c>
      <c r="C301" s="3">
        <f t="shared" si="283"/>
        <v>3.2709514210797811E-3</v>
      </c>
      <c r="D301" s="3">
        <f t="shared" si="283"/>
        <v>3.2709514210797811E-3</v>
      </c>
      <c r="E301" s="3">
        <f t="shared" si="283"/>
        <v>3.2709514210797811E-3</v>
      </c>
      <c r="F301" s="3">
        <f t="shared" si="283"/>
        <v>3.2709514210797811E-3</v>
      </c>
      <c r="G301" s="3">
        <f t="shared" si="283"/>
        <v>3.2709514210797811E-3</v>
      </c>
      <c r="H301" s="3">
        <f t="shared" si="283"/>
        <v>3.2709514210797811E-3</v>
      </c>
      <c r="I301" s="3">
        <f t="shared" si="283"/>
        <v>3.2709514210797811E-3</v>
      </c>
      <c r="J301" s="3">
        <f t="shared" si="283"/>
        <v>3.2709514210797811E-3</v>
      </c>
      <c r="K301" s="3">
        <f t="shared" si="283"/>
        <v>3.2709514210797798E-3</v>
      </c>
      <c r="L301" s="3">
        <f t="shared" si="283"/>
        <v>3.2709514210797698E-3</v>
      </c>
      <c r="M301" s="3">
        <f t="shared" si="283"/>
        <v>3.2709514210796688E-3</v>
      </c>
      <c r="N301" s="3">
        <f t="shared" si="283"/>
        <v>3.2709514210786574E-3</v>
      </c>
      <c r="O301" s="3">
        <f t="shared" si="283"/>
        <v>3.2709514210685462E-3</v>
      </c>
      <c r="P301" s="3">
        <f t="shared" si="283"/>
        <v>3.2709514209674348E-3</v>
      </c>
      <c r="Q301" s="3">
        <f t="shared" si="283"/>
        <v>3.2709514199563156E-3</v>
      </c>
      <c r="R301" s="3">
        <f t="shared" si="283"/>
        <v>3.2709514098451281E-3</v>
      </c>
      <c r="S301" s="3">
        <f t="shared" si="283"/>
        <v>3.2709513087332558E-3</v>
      </c>
      <c r="T301" s="3">
        <f t="shared" si="283"/>
        <v>3.270950297614701E-3</v>
      </c>
      <c r="U301" s="3">
        <f t="shared" si="283"/>
        <v>3.2709401864463427E-3</v>
      </c>
      <c r="V301" s="3">
        <f t="shared" si="283"/>
        <v>3.2708390764818033E-3</v>
      </c>
      <c r="W301" s="3">
        <f t="shared" si="283"/>
        <v>3.269828148721315E-3</v>
      </c>
      <c r="X301" s="3">
        <f t="shared" si="283"/>
        <v>3.2597360399635469E-3</v>
      </c>
      <c r="Y301" s="3">
        <f t="shared" si="283"/>
        <v>3.160512361598449E-3</v>
      </c>
      <c r="Z301" s="3">
        <f t="shared" si="283"/>
        <v>2.3201073788180313E-3</v>
      </c>
      <c r="AA301" s="3">
        <f t="shared" si="283"/>
        <v>1.0544208990407791E-4</v>
      </c>
      <c r="AB301" s="3">
        <f t="shared" si="283"/>
        <v>3.9634483631890267E-18</v>
      </c>
      <c r="AC301" s="3">
        <f t="shared" si="283"/>
        <v>2.231850997345405E-152</v>
      </c>
      <c r="AD301" s="3">
        <f t="shared" si="283"/>
        <v>0</v>
      </c>
      <c r="AE301" s="3">
        <f t="shared" si="283"/>
        <v>0</v>
      </c>
      <c r="AF301" s="3">
        <f t="shared" si="283"/>
        <v>0</v>
      </c>
      <c r="AG301" s="3"/>
      <c r="AH301" s="3"/>
    </row>
    <row r="302" spans="2:34" x14ac:dyDescent="0.25">
      <c r="B302" s="3">
        <f t="shared" ref="B302:AF302" si="284">$C32*EXP(-B$285/$A32/EXP(-$F$126))</f>
        <v>1.2755053961347703E-3</v>
      </c>
      <c r="C302" s="3">
        <f t="shared" si="284"/>
        <v>1.2755053961347703E-3</v>
      </c>
      <c r="D302" s="3">
        <f t="shared" si="284"/>
        <v>1.2755053961347703E-3</v>
      </c>
      <c r="E302" s="3">
        <f t="shared" si="284"/>
        <v>1.2755053961347703E-3</v>
      </c>
      <c r="F302" s="3">
        <f t="shared" si="284"/>
        <v>1.2755053961347703E-3</v>
      </c>
      <c r="G302" s="3">
        <f t="shared" si="284"/>
        <v>1.2755053961347703E-3</v>
      </c>
      <c r="H302" s="3">
        <f t="shared" si="284"/>
        <v>1.2755053961347703E-3</v>
      </c>
      <c r="I302" s="3">
        <f t="shared" si="284"/>
        <v>1.2755053961347703E-3</v>
      </c>
      <c r="J302" s="3">
        <f t="shared" si="284"/>
        <v>1.2755053961347703E-3</v>
      </c>
      <c r="K302" s="3">
        <f t="shared" si="284"/>
        <v>1.2755053961347703E-3</v>
      </c>
      <c r="L302" s="3">
        <f t="shared" si="284"/>
        <v>1.2755053961347699E-3</v>
      </c>
      <c r="M302" s="3">
        <f t="shared" si="284"/>
        <v>1.2755053961347664E-3</v>
      </c>
      <c r="N302" s="3">
        <f t="shared" si="284"/>
        <v>1.2755053961347308E-3</v>
      </c>
      <c r="O302" s="3">
        <f t="shared" si="284"/>
        <v>1.275505396134375E-3</v>
      </c>
      <c r="P302" s="3">
        <f t="shared" si="284"/>
        <v>1.2755053961308182E-3</v>
      </c>
      <c r="Q302" s="3">
        <f t="shared" si="284"/>
        <v>1.2755053960952505E-3</v>
      </c>
      <c r="R302" s="3">
        <f t="shared" si="284"/>
        <v>1.2755053957395725E-3</v>
      </c>
      <c r="S302" s="3">
        <f t="shared" si="284"/>
        <v>1.2755053921827929E-3</v>
      </c>
      <c r="T302" s="3">
        <f t="shared" si="284"/>
        <v>1.2755053566149972E-3</v>
      </c>
      <c r="U302" s="3">
        <f t="shared" si="284"/>
        <v>1.2755050009370938E-3</v>
      </c>
      <c r="V302" s="3">
        <f t="shared" si="284"/>
        <v>1.2755014441635161E-3</v>
      </c>
      <c r="W302" s="3">
        <f t="shared" si="284"/>
        <v>1.2754658769732329E-3</v>
      </c>
      <c r="X302" s="3">
        <f t="shared" si="284"/>
        <v>1.275110259614089E-3</v>
      </c>
      <c r="Y302" s="3">
        <f t="shared" si="284"/>
        <v>1.2715595347683488E-3</v>
      </c>
      <c r="Z302" s="3">
        <f t="shared" si="284"/>
        <v>1.2365915807987606E-3</v>
      </c>
      <c r="AA302" s="3">
        <f t="shared" si="284"/>
        <v>9.3566880585264358E-4</v>
      </c>
      <c r="AB302" s="3">
        <f t="shared" si="284"/>
        <v>5.7554701500387847E-5</v>
      </c>
      <c r="AC302" s="3">
        <f t="shared" si="284"/>
        <v>4.4634158989790001E-17</v>
      </c>
      <c r="AD302" s="3">
        <f t="shared" si="284"/>
        <v>3.5118249369831452E-138</v>
      </c>
      <c r="AE302" s="3">
        <f t="shared" si="284"/>
        <v>0</v>
      </c>
      <c r="AF302" s="3">
        <f t="shared" si="284"/>
        <v>0</v>
      </c>
      <c r="AG302" s="3"/>
      <c r="AH302" s="3"/>
    </row>
    <row r="303" spans="2:34" x14ac:dyDescent="0.25">
      <c r="B303" s="3">
        <f t="shared" ref="B303:AF303" si="285">$C33*EXP(-B$285/$A33/EXP(-$F$126))</f>
        <v>0</v>
      </c>
      <c r="C303" s="3">
        <f t="shared" si="285"/>
        <v>0</v>
      </c>
      <c r="D303" s="3">
        <f t="shared" si="285"/>
        <v>0</v>
      </c>
      <c r="E303" s="3">
        <f t="shared" si="285"/>
        <v>0</v>
      </c>
      <c r="F303" s="3">
        <f t="shared" si="285"/>
        <v>0</v>
      </c>
      <c r="G303" s="3">
        <f t="shared" si="285"/>
        <v>0</v>
      </c>
      <c r="H303" s="3">
        <f t="shared" si="285"/>
        <v>0</v>
      </c>
      <c r="I303" s="3">
        <f t="shared" si="285"/>
        <v>0</v>
      </c>
      <c r="J303" s="3">
        <f t="shared" si="285"/>
        <v>0</v>
      </c>
      <c r="K303" s="3">
        <f t="shared" si="285"/>
        <v>0</v>
      </c>
      <c r="L303" s="3">
        <f t="shared" si="285"/>
        <v>0</v>
      </c>
      <c r="M303" s="3">
        <f t="shared" si="285"/>
        <v>0</v>
      </c>
      <c r="N303" s="3">
        <f t="shared" si="285"/>
        <v>0</v>
      </c>
      <c r="O303" s="3">
        <f t="shared" si="285"/>
        <v>0</v>
      </c>
      <c r="P303" s="3">
        <f t="shared" si="285"/>
        <v>0</v>
      </c>
      <c r="Q303" s="3">
        <f t="shared" si="285"/>
        <v>0</v>
      </c>
      <c r="R303" s="3">
        <f t="shared" si="285"/>
        <v>0</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1.0163894385292978E-5</v>
      </c>
      <c r="C304" s="3">
        <f t="shared" si="286"/>
        <v>1.0163894385292978E-5</v>
      </c>
      <c r="D304" s="3">
        <f t="shared" si="286"/>
        <v>1.0163894385292978E-5</v>
      </c>
      <c r="E304" s="3">
        <f t="shared" si="286"/>
        <v>1.0163894385292978E-5</v>
      </c>
      <c r="F304" s="3">
        <f t="shared" si="286"/>
        <v>1.0163894385292978E-5</v>
      </c>
      <c r="G304" s="3">
        <f t="shared" si="286"/>
        <v>1.0163894385292978E-5</v>
      </c>
      <c r="H304" s="3">
        <f t="shared" si="286"/>
        <v>1.0163894385292978E-5</v>
      </c>
      <c r="I304" s="3">
        <f t="shared" si="286"/>
        <v>1.0163894385292978E-5</v>
      </c>
      <c r="J304" s="3">
        <f t="shared" si="286"/>
        <v>1.0163894385292978E-5</v>
      </c>
      <c r="K304" s="3">
        <f t="shared" si="286"/>
        <v>1.0163894385292978E-5</v>
      </c>
      <c r="L304" s="3">
        <f t="shared" si="286"/>
        <v>1.0163894385292978E-5</v>
      </c>
      <c r="M304" s="3">
        <f t="shared" si="286"/>
        <v>1.0163894385292978E-5</v>
      </c>
      <c r="N304" s="3">
        <f t="shared" si="286"/>
        <v>1.0163894385292976E-5</v>
      </c>
      <c r="O304" s="3">
        <f t="shared" si="286"/>
        <v>1.0163894385292953E-5</v>
      </c>
      <c r="P304" s="3">
        <f t="shared" si="286"/>
        <v>1.0163894385292722E-5</v>
      </c>
      <c r="Q304" s="3">
        <f t="shared" si="286"/>
        <v>1.0163894385290415E-5</v>
      </c>
      <c r="R304" s="3">
        <f t="shared" si="286"/>
        <v>1.0163894385267352E-5</v>
      </c>
      <c r="S304" s="3">
        <f t="shared" si="286"/>
        <v>1.0163894385036715E-5</v>
      </c>
      <c r="T304" s="3">
        <f t="shared" si="286"/>
        <v>1.0163894382730351E-5</v>
      </c>
      <c r="U304" s="3">
        <f t="shared" si="286"/>
        <v>1.0163894359666703E-5</v>
      </c>
      <c r="V304" s="3">
        <f t="shared" si="286"/>
        <v>1.0163894129030236E-5</v>
      </c>
      <c r="W304" s="3">
        <f t="shared" si="286"/>
        <v>1.0163891822665845E-5</v>
      </c>
      <c r="X304" s="3">
        <f t="shared" si="286"/>
        <v>1.0163868759050722E-5</v>
      </c>
      <c r="Y304" s="3">
        <f t="shared" si="286"/>
        <v>1.0163638125777907E-5</v>
      </c>
      <c r="Z304" s="3">
        <f t="shared" si="286"/>
        <v>1.0161332080867804E-5</v>
      </c>
      <c r="AA304" s="3">
        <f t="shared" si="286"/>
        <v>1.0138300389419671E-5</v>
      </c>
      <c r="AB304" s="3">
        <f t="shared" si="286"/>
        <v>9.9108352413159419E-6</v>
      </c>
      <c r="AC304" s="3">
        <f t="shared" si="286"/>
        <v>7.8988028146567647E-6</v>
      </c>
      <c r="AD304" s="3">
        <f t="shared" si="286"/>
        <v>8.1671668935847157E-7</v>
      </c>
      <c r="AE304" s="3">
        <f t="shared" si="286"/>
        <v>1.1407041232423996E-16</v>
      </c>
      <c r="AF304" s="3">
        <f t="shared" si="286"/>
        <v>3.2224695444434172E-115</v>
      </c>
      <c r="AG304" s="3"/>
      <c r="AH304" s="3"/>
    </row>
    <row r="305" spans="1:34" x14ac:dyDescent="0.25">
      <c r="B305" s="3">
        <f t="shared" ref="B305:AF305" si="287">$C35*EXP(-B$285/$A35/EXP(-$F$126))</f>
        <v>2.5019775067814324E-5</v>
      </c>
      <c r="C305" s="3">
        <f t="shared" si="287"/>
        <v>2.5019775067814324E-5</v>
      </c>
      <c r="D305" s="3">
        <f t="shared" si="287"/>
        <v>2.5019775067814324E-5</v>
      </c>
      <c r="E305" s="3">
        <f t="shared" si="287"/>
        <v>2.5019775067814324E-5</v>
      </c>
      <c r="F305" s="3">
        <f t="shared" si="287"/>
        <v>2.5019775067814324E-5</v>
      </c>
      <c r="G305" s="3">
        <f t="shared" si="287"/>
        <v>2.5019775067814324E-5</v>
      </c>
      <c r="H305" s="3">
        <f t="shared" si="287"/>
        <v>2.5019775067814324E-5</v>
      </c>
      <c r="I305" s="3">
        <f t="shared" si="287"/>
        <v>2.5019775067814324E-5</v>
      </c>
      <c r="J305" s="3">
        <f t="shared" si="287"/>
        <v>2.5019775067814324E-5</v>
      </c>
      <c r="K305" s="3">
        <f t="shared" si="287"/>
        <v>2.5019775067814324E-5</v>
      </c>
      <c r="L305" s="3">
        <f t="shared" si="287"/>
        <v>2.5019775067814324E-5</v>
      </c>
      <c r="M305" s="3">
        <f t="shared" si="287"/>
        <v>2.5019775067814324E-5</v>
      </c>
      <c r="N305" s="3">
        <f t="shared" si="287"/>
        <v>2.5019775067814324E-5</v>
      </c>
      <c r="O305" s="3">
        <f t="shared" si="287"/>
        <v>2.5019775067814317E-5</v>
      </c>
      <c r="P305" s="3">
        <f t="shared" si="287"/>
        <v>2.501977506781427E-5</v>
      </c>
      <c r="Q305" s="3">
        <f t="shared" si="287"/>
        <v>2.5019775067813755E-5</v>
      </c>
      <c r="R305" s="3">
        <f t="shared" si="287"/>
        <v>2.5019775067808632E-5</v>
      </c>
      <c r="S305" s="3">
        <f t="shared" si="287"/>
        <v>2.501977506775742E-5</v>
      </c>
      <c r="T305" s="3">
        <f t="shared" si="287"/>
        <v>2.5019775067245267E-5</v>
      </c>
      <c r="U305" s="3">
        <f t="shared" si="287"/>
        <v>2.501977506212376E-5</v>
      </c>
      <c r="V305" s="3">
        <f t="shared" si="287"/>
        <v>2.5019775010908682E-5</v>
      </c>
      <c r="W305" s="3">
        <f t="shared" si="287"/>
        <v>2.5019774498757915E-5</v>
      </c>
      <c r="X305" s="3">
        <f t="shared" si="287"/>
        <v>2.5019769377250825E-5</v>
      </c>
      <c r="Y305" s="3">
        <f t="shared" si="287"/>
        <v>2.5019718162237573E-5</v>
      </c>
      <c r="Z305" s="3">
        <f t="shared" si="287"/>
        <v>2.5019206017871019E-5</v>
      </c>
      <c r="AA305" s="3">
        <f t="shared" si="287"/>
        <v>2.5014085150757364E-5</v>
      </c>
      <c r="AB305" s="3">
        <f t="shared" si="287"/>
        <v>2.4962934091167482E-5</v>
      </c>
      <c r="AC305" s="3">
        <f t="shared" si="287"/>
        <v>2.4457141253755735E-5</v>
      </c>
      <c r="AD305" s="3">
        <f t="shared" si="287"/>
        <v>1.9929954611091057E-5</v>
      </c>
      <c r="AE305" s="3">
        <f t="shared" si="287"/>
        <v>2.5734307578756312E-6</v>
      </c>
      <c r="AF305" s="3">
        <f t="shared" si="287"/>
        <v>3.3156926371170395E-15</v>
      </c>
      <c r="AG305" s="3"/>
      <c r="AH305" s="3"/>
    </row>
    <row r="306" spans="1:34" x14ac:dyDescent="0.25">
      <c r="B306" s="3">
        <f t="shared" ref="B306:AF306" si="288">$C36*EXP(-B$285/$A36/EXP(-$F$126))</f>
        <v>2.3706614690246962E-5</v>
      </c>
      <c r="C306" s="3">
        <f t="shared" si="288"/>
        <v>2.3706614690246962E-5</v>
      </c>
      <c r="D306" s="3">
        <f t="shared" si="288"/>
        <v>2.3706614690246962E-5</v>
      </c>
      <c r="E306" s="3">
        <f t="shared" si="288"/>
        <v>2.3706614690246962E-5</v>
      </c>
      <c r="F306" s="3">
        <f t="shared" si="288"/>
        <v>2.3706614690246962E-5</v>
      </c>
      <c r="G306" s="3">
        <f t="shared" si="288"/>
        <v>2.3706614690246962E-5</v>
      </c>
      <c r="H306" s="3">
        <f t="shared" si="288"/>
        <v>2.3706614690246962E-5</v>
      </c>
      <c r="I306" s="3">
        <f t="shared" si="288"/>
        <v>2.3706614690246962E-5</v>
      </c>
      <c r="J306" s="3">
        <f t="shared" si="288"/>
        <v>2.3706614690246962E-5</v>
      </c>
      <c r="K306" s="3">
        <f t="shared" si="288"/>
        <v>2.3706614690246962E-5</v>
      </c>
      <c r="L306" s="3">
        <f t="shared" si="288"/>
        <v>2.3706614690246962E-5</v>
      </c>
      <c r="M306" s="3">
        <f t="shared" si="288"/>
        <v>2.3706614690246962E-5</v>
      </c>
      <c r="N306" s="3">
        <f t="shared" si="288"/>
        <v>2.3706614690246962E-5</v>
      </c>
      <c r="O306" s="3">
        <f t="shared" si="288"/>
        <v>2.3706614690246962E-5</v>
      </c>
      <c r="P306" s="3">
        <f t="shared" si="288"/>
        <v>2.3706614690246955E-5</v>
      </c>
      <c r="Q306" s="3">
        <f t="shared" si="288"/>
        <v>2.3706614690246914E-5</v>
      </c>
      <c r="R306" s="3">
        <f t="shared" si="288"/>
        <v>2.3706614690246474E-5</v>
      </c>
      <c r="S306" s="3">
        <f t="shared" si="288"/>
        <v>2.3706614690242096E-5</v>
      </c>
      <c r="T306" s="3">
        <f t="shared" si="288"/>
        <v>2.3706614690198322E-5</v>
      </c>
      <c r="U306" s="3">
        <f t="shared" si="288"/>
        <v>2.3706614689760568E-5</v>
      </c>
      <c r="V306" s="3">
        <f t="shared" si="288"/>
        <v>2.3706614685383024E-5</v>
      </c>
      <c r="W306" s="3">
        <f t="shared" si="288"/>
        <v>2.3706614641607579E-5</v>
      </c>
      <c r="X306" s="3">
        <f t="shared" si="288"/>
        <v>2.3706614203853138E-5</v>
      </c>
      <c r="Y306" s="3">
        <f t="shared" si="288"/>
        <v>2.3706609826309194E-5</v>
      </c>
      <c r="Z306" s="3">
        <f t="shared" si="288"/>
        <v>2.370656605091419E-5</v>
      </c>
      <c r="AA306" s="3">
        <f t="shared" si="288"/>
        <v>2.3706128301409945E-5</v>
      </c>
      <c r="AB306" s="3">
        <f t="shared" si="288"/>
        <v>2.3701751250918206E-5</v>
      </c>
      <c r="AC306" s="3">
        <f t="shared" si="288"/>
        <v>2.3658025170714013E-5</v>
      </c>
      <c r="AD306" s="3">
        <f t="shared" si="288"/>
        <v>2.322517663731918E-5</v>
      </c>
      <c r="AE306" s="3">
        <f t="shared" si="288"/>
        <v>1.9309204726367821E-5</v>
      </c>
      <c r="AF306" s="3">
        <f t="shared" si="288"/>
        <v>3.0466179909312755E-6</v>
      </c>
      <c r="AG306" s="3"/>
      <c r="AH306" s="3"/>
    </row>
    <row r="307" spans="1:34" x14ac:dyDescent="0.25">
      <c r="B307" s="3">
        <f t="shared" ref="B307:AF307" si="289">$C37*EXP(-B$285/$A37/EXP(-$F$126))</f>
        <v>3.9478614411466939E-5</v>
      </c>
      <c r="C307" s="3">
        <f t="shared" si="289"/>
        <v>3.9478614411466939E-5</v>
      </c>
      <c r="D307" s="3">
        <f t="shared" si="289"/>
        <v>3.9478614411466939E-5</v>
      </c>
      <c r="E307" s="3">
        <f t="shared" si="289"/>
        <v>3.9478614411466939E-5</v>
      </c>
      <c r="F307" s="3">
        <f t="shared" si="289"/>
        <v>3.9478614411466939E-5</v>
      </c>
      <c r="G307" s="3">
        <f t="shared" si="289"/>
        <v>3.9478614411466939E-5</v>
      </c>
      <c r="H307" s="3">
        <f t="shared" si="289"/>
        <v>3.9478614411466939E-5</v>
      </c>
      <c r="I307" s="3">
        <f t="shared" si="289"/>
        <v>3.9478614411466939E-5</v>
      </c>
      <c r="J307" s="3">
        <f t="shared" si="289"/>
        <v>3.9478614411466939E-5</v>
      </c>
      <c r="K307" s="3">
        <f t="shared" si="289"/>
        <v>3.9478614411466939E-5</v>
      </c>
      <c r="L307" s="3">
        <f t="shared" si="289"/>
        <v>3.9478614411466939E-5</v>
      </c>
      <c r="M307" s="3">
        <f t="shared" si="289"/>
        <v>3.9478614411466939E-5</v>
      </c>
      <c r="N307" s="3">
        <f t="shared" si="289"/>
        <v>3.9478614411466939E-5</v>
      </c>
      <c r="O307" s="3">
        <f t="shared" si="289"/>
        <v>3.9478614411466939E-5</v>
      </c>
      <c r="P307" s="3">
        <f t="shared" si="289"/>
        <v>3.9478614411466939E-5</v>
      </c>
      <c r="Q307" s="3">
        <f t="shared" si="289"/>
        <v>3.9478614411466932E-5</v>
      </c>
      <c r="R307" s="3">
        <f t="shared" si="289"/>
        <v>3.9478614411466864E-5</v>
      </c>
      <c r="S307" s="3">
        <f t="shared" si="289"/>
        <v>3.9478614411466207E-5</v>
      </c>
      <c r="T307" s="3">
        <f t="shared" si="289"/>
        <v>3.9478614411459634E-5</v>
      </c>
      <c r="U307" s="3">
        <f t="shared" si="289"/>
        <v>3.947861441139387E-5</v>
      </c>
      <c r="V307" s="3">
        <f t="shared" si="289"/>
        <v>3.9478614410736261E-5</v>
      </c>
      <c r="W307" s="3">
        <f t="shared" si="289"/>
        <v>3.9478614404160141E-5</v>
      </c>
      <c r="X307" s="3">
        <f t="shared" si="289"/>
        <v>3.9478614338398976E-5</v>
      </c>
      <c r="Y307" s="3">
        <f t="shared" si="289"/>
        <v>3.9478613680787302E-5</v>
      </c>
      <c r="Z307" s="3">
        <f t="shared" si="289"/>
        <v>3.947860710467122E-5</v>
      </c>
      <c r="AA307" s="3">
        <f t="shared" si="289"/>
        <v>3.9478541343570601E-5</v>
      </c>
      <c r="AB307" s="3">
        <f t="shared" si="289"/>
        <v>3.9477883738589132E-5</v>
      </c>
      <c r="AC307" s="3">
        <f t="shared" si="289"/>
        <v>3.9471308291209281E-5</v>
      </c>
      <c r="AD307" s="3">
        <f t="shared" si="289"/>
        <v>3.940561402378154E-5</v>
      </c>
      <c r="AE307" s="3">
        <f t="shared" si="289"/>
        <v>3.8754655044679985E-5</v>
      </c>
      <c r="AF307" s="3">
        <f t="shared" si="289"/>
        <v>3.2808142311862207E-5</v>
      </c>
      <c r="AG307" s="3"/>
      <c r="AH307" s="3"/>
    </row>
    <row r="308" spans="1:34" x14ac:dyDescent="0.25">
      <c r="B308" s="3">
        <f t="shared" ref="B308:AF308" si="290">$C38*EXP(-B$285/$A38/EXP(-$F$126))</f>
        <v>0</v>
      </c>
      <c r="C308" s="3">
        <f t="shared" si="290"/>
        <v>0</v>
      </c>
      <c r="D308" s="3">
        <f t="shared" si="290"/>
        <v>0</v>
      </c>
      <c r="E308" s="3">
        <f t="shared" si="290"/>
        <v>0</v>
      </c>
      <c r="F308" s="3">
        <f t="shared" si="290"/>
        <v>0</v>
      </c>
      <c r="G308" s="3">
        <f t="shared" si="290"/>
        <v>0</v>
      </c>
      <c r="H308" s="3">
        <f t="shared" si="290"/>
        <v>0</v>
      </c>
      <c r="I308" s="3">
        <f t="shared" si="290"/>
        <v>0</v>
      </c>
      <c r="J308" s="3">
        <f t="shared" si="290"/>
        <v>0</v>
      </c>
      <c r="K308" s="3">
        <f t="shared" si="290"/>
        <v>0</v>
      </c>
      <c r="L308" s="3">
        <f t="shared" si="290"/>
        <v>0</v>
      </c>
      <c r="M308" s="3">
        <f t="shared" si="290"/>
        <v>0</v>
      </c>
      <c r="N308" s="3">
        <f t="shared" si="290"/>
        <v>0</v>
      </c>
      <c r="O308" s="3">
        <f t="shared" si="290"/>
        <v>0</v>
      </c>
      <c r="P308" s="3">
        <f t="shared" si="290"/>
        <v>0</v>
      </c>
      <c r="Q308" s="3">
        <f t="shared" si="290"/>
        <v>0</v>
      </c>
      <c r="R308" s="3">
        <f t="shared" si="290"/>
        <v>0</v>
      </c>
      <c r="S308" s="3">
        <f t="shared" si="290"/>
        <v>0</v>
      </c>
      <c r="T308" s="3">
        <f t="shared" si="290"/>
        <v>0</v>
      </c>
      <c r="U308" s="3">
        <f t="shared" si="290"/>
        <v>0</v>
      </c>
      <c r="V308" s="3">
        <f t="shared" si="290"/>
        <v>0</v>
      </c>
      <c r="W308" s="3">
        <f t="shared" si="290"/>
        <v>0</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6.5441532530599776E-5</v>
      </c>
      <c r="C309" s="3">
        <f t="shared" si="291"/>
        <v>6.5441532530599776E-5</v>
      </c>
      <c r="D309" s="3">
        <f t="shared" si="291"/>
        <v>6.5441532530599776E-5</v>
      </c>
      <c r="E309" s="3">
        <f t="shared" si="291"/>
        <v>6.5441532530599776E-5</v>
      </c>
      <c r="F309" s="3">
        <f t="shared" si="291"/>
        <v>6.5441532530599776E-5</v>
      </c>
      <c r="G309" s="3">
        <f t="shared" si="291"/>
        <v>6.5441532530599776E-5</v>
      </c>
      <c r="H309" s="3">
        <f t="shared" si="291"/>
        <v>6.5441532530599776E-5</v>
      </c>
      <c r="I309" s="3">
        <f t="shared" si="291"/>
        <v>6.5441532530599776E-5</v>
      </c>
      <c r="J309" s="3">
        <f t="shared" si="291"/>
        <v>6.5441532530599776E-5</v>
      </c>
      <c r="K309" s="3">
        <f t="shared" si="291"/>
        <v>6.5441532530599776E-5</v>
      </c>
      <c r="L309" s="3">
        <f t="shared" si="291"/>
        <v>6.5441532530599776E-5</v>
      </c>
      <c r="M309" s="3">
        <f t="shared" si="291"/>
        <v>6.5441532530599776E-5</v>
      </c>
      <c r="N309" s="3">
        <f t="shared" si="291"/>
        <v>6.5441532530599776E-5</v>
      </c>
      <c r="O309" s="3">
        <f t="shared" si="291"/>
        <v>6.5441532530599776E-5</v>
      </c>
      <c r="P309" s="3">
        <f t="shared" si="291"/>
        <v>6.5441532530599776E-5</v>
      </c>
      <c r="Q309" s="3">
        <f t="shared" si="291"/>
        <v>6.5441532530599776E-5</v>
      </c>
      <c r="R309" s="3">
        <f t="shared" si="291"/>
        <v>6.5441532530599776E-5</v>
      </c>
      <c r="S309" s="3">
        <f t="shared" si="291"/>
        <v>6.5441532530599749E-5</v>
      </c>
      <c r="T309" s="3">
        <f t="shared" si="291"/>
        <v>6.5441532530599464E-5</v>
      </c>
      <c r="U309" s="3">
        <f t="shared" si="291"/>
        <v>6.5441532530596754E-5</v>
      </c>
      <c r="V309" s="3">
        <f t="shared" si="291"/>
        <v>6.5441532530569554E-5</v>
      </c>
      <c r="W309" s="3">
        <f t="shared" si="291"/>
        <v>6.5441532530297595E-5</v>
      </c>
      <c r="X309" s="3">
        <f t="shared" si="291"/>
        <v>6.5441532527577887E-5</v>
      </c>
      <c r="Y309" s="3">
        <f t="shared" si="291"/>
        <v>6.544153250038092E-5</v>
      </c>
      <c r="Z309" s="3">
        <f t="shared" si="291"/>
        <v>6.5441532228411217E-5</v>
      </c>
      <c r="AA309" s="3">
        <f t="shared" si="291"/>
        <v>6.5441529508714245E-5</v>
      </c>
      <c r="AB309" s="3">
        <f t="shared" si="291"/>
        <v>6.5441502311750828E-5</v>
      </c>
      <c r="AC309" s="3">
        <f t="shared" si="291"/>
        <v>6.544123034273825E-5</v>
      </c>
      <c r="AD309" s="3">
        <f t="shared" si="291"/>
        <v>6.5438510714777048E-5</v>
      </c>
      <c r="AE309" s="3">
        <f t="shared" si="291"/>
        <v>6.5411320650665268E-5</v>
      </c>
      <c r="AF309" s="3">
        <f t="shared" si="291"/>
        <v>6.5140040604877157E-5</v>
      </c>
      <c r="AG309" s="3"/>
      <c r="AH309" s="3"/>
    </row>
    <row r="310" spans="1:34" x14ac:dyDescent="0.25">
      <c r="B310" s="3">
        <f t="shared" ref="B310:AF310" si="292">$C40*EXP(-B$285/$A40/EXP(-$F$126))</f>
        <v>9.072554140189839E-6</v>
      </c>
      <c r="C310" s="3">
        <f t="shared" si="292"/>
        <v>9.072554140189839E-6</v>
      </c>
      <c r="D310" s="3">
        <f t="shared" si="292"/>
        <v>9.072554140189839E-6</v>
      </c>
      <c r="E310" s="3">
        <f t="shared" si="292"/>
        <v>9.072554140189839E-6</v>
      </c>
      <c r="F310" s="3">
        <f t="shared" si="292"/>
        <v>9.072554140189839E-6</v>
      </c>
      <c r="G310" s="3">
        <f t="shared" si="292"/>
        <v>9.072554140189839E-6</v>
      </c>
      <c r="H310" s="3">
        <f t="shared" si="292"/>
        <v>9.072554140189839E-6</v>
      </c>
      <c r="I310" s="3">
        <f t="shared" si="292"/>
        <v>9.072554140189839E-6</v>
      </c>
      <c r="J310" s="3">
        <f t="shared" si="292"/>
        <v>9.072554140189839E-6</v>
      </c>
      <c r="K310" s="3">
        <f t="shared" si="292"/>
        <v>9.072554140189839E-6</v>
      </c>
      <c r="L310" s="3">
        <f t="shared" si="292"/>
        <v>9.072554140189839E-6</v>
      </c>
      <c r="M310" s="3">
        <f t="shared" si="292"/>
        <v>9.072554140189839E-6</v>
      </c>
      <c r="N310" s="3">
        <f t="shared" si="292"/>
        <v>9.072554140189839E-6</v>
      </c>
      <c r="O310" s="3">
        <f t="shared" si="292"/>
        <v>9.072554140189839E-6</v>
      </c>
      <c r="P310" s="3">
        <f t="shared" si="292"/>
        <v>9.072554140189839E-6</v>
      </c>
      <c r="Q310" s="3">
        <f t="shared" si="292"/>
        <v>9.072554140189839E-6</v>
      </c>
      <c r="R310" s="3">
        <f t="shared" si="292"/>
        <v>9.072554140189839E-6</v>
      </c>
      <c r="S310" s="3">
        <f t="shared" si="292"/>
        <v>9.072554140189839E-6</v>
      </c>
      <c r="T310" s="3">
        <f t="shared" si="292"/>
        <v>9.0725541401898356E-6</v>
      </c>
      <c r="U310" s="3">
        <f t="shared" si="292"/>
        <v>9.0725541401897966E-6</v>
      </c>
      <c r="V310" s="3">
        <f t="shared" si="292"/>
        <v>9.0725541401894205E-6</v>
      </c>
      <c r="W310" s="3">
        <f t="shared" si="292"/>
        <v>9.0725541401856496E-6</v>
      </c>
      <c r="X310" s="3">
        <f t="shared" si="292"/>
        <v>9.0725541401479447E-6</v>
      </c>
      <c r="Y310" s="3">
        <f t="shared" si="292"/>
        <v>9.0725541397708965E-6</v>
      </c>
      <c r="Z310" s="3">
        <f t="shared" si="292"/>
        <v>9.0725541360004174E-6</v>
      </c>
      <c r="AA310" s="3">
        <f t="shared" si="292"/>
        <v>9.0725540982956182E-6</v>
      </c>
      <c r="AB310" s="3">
        <f t="shared" si="292"/>
        <v>9.072553721247633E-6</v>
      </c>
      <c r="AC310" s="3">
        <f t="shared" si="292"/>
        <v>9.0725499507686495E-6</v>
      </c>
      <c r="AD310" s="3">
        <f t="shared" si="292"/>
        <v>9.07251224606499E-6</v>
      </c>
      <c r="AE310" s="3">
        <f t="shared" si="292"/>
        <v>9.0721352076466489E-6</v>
      </c>
      <c r="AF310" s="3">
        <f t="shared" si="292"/>
        <v>9.0683656851554985E-6</v>
      </c>
      <c r="AG310" s="3"/>
      <c r="AH310" s="3"/>
    </row>
    <row r="311" spans="1:34" x14ac:dyDescent="0.25">
      <c r="B311" s="3">
        <f t="shared" ref="B311:AF311" si="293">$C41*EXP(-B$285/$A41/EXP(-$F$126))</f>
        <v>3.4648583404177175E-7</v>
      </c>
      <c r="C311" s="3">
        <f t="shared" si="293"/>
        <v>3.4648583404177175E-7</v>
      </c>
      <c r="D311" s="3">
        <f t="shared" si="293"/>
        <v>3.4648583404177175E-7</v>
      </c>
      <c r="E311" s="3">
        <f t="shared" si="293"/>
        <v>3.4648583404177175E-7</v>
      </c>
      <c r="F311" s="3">
        <f t="shared" si="293"/>
        <v>3.4648583404177175E-7</v>
      </c>
      <c r="G311" s="3">
        <f t="shared" si="293"/>
        <v>3.4648583404177175E-7</v>
      </c>
      <c r="H311" s="3">
        <f t="shared" si="293"/>
        <v>3.4648583404177175E-7</v>
      </c>
      <c r="I311" s="3">
        <f t="shared" si="293"/>
        <v>3.4648583404177175E-7</v>
      </c>
      <c r="J311" s="3">
        <f t="shared" si="293"/>
        <v>3.4648583404177175E-7</v>
      </c>
      <c r="K311" s="3">
        <f t="shared" si="293"/>
        <v>3.4648583404177175E-7</v>
      </c>
      <c r="L311" s="3">
        <f t="shared" si="293"/>
        <v>3.4648583404177175E-7</v>
      </c>
      <c r="M311" s="3">
        <f t="shared" si="293"/>
        <v>3.4648583404177175E-7</v>
      </c>
      <c r="N311" s="3">
        <f t="shared" si="293"/>
        <v>3.4648583404177175E-7</v>
      </c>
      <c r="O311" s="3">
        <f t="shared" si="293"/>
        <v>3.4648583404177175E-7</v>
      </c>
      <c r="P311" s="3">
        <f t="shared" si="293"/>
        <v>3.4648583404177175E-7</v>
      </c>
      <c r="Q311" s="3">
        <f t="shared" si="293"/>
        <v>3.4648583404177175E-7</v>
      </c>
      <c r="R311" s="3">
        <f t="shared" si="293"/>
        <v>3.4648583404177175E-7</v>
      </c>
      <c r="S311" s="3">
        <f t="shared" si="293"/>
        <v>3.4648583404177175E-7</v>
      </c>
      <c r="T311" s="3">
        <f t="shared" si="293"/>
        <v>3.4648583404177175E-7</v>
      </c>
      <c r="U311" s="3">
        <f t="shared" si="293"/>
        <v>3.4648583404177159E-7</v>
      </c>
      <c r="V311" s="3">
        <f t="shared" si="293"/>
        <v>3.4648583404177011E-7</v>
      </c>
      <c r="W311" s="3">
        <f t="shared" si="293"/>
        <v>3.4648583404175576E-7</v>
      </c>
      <c r="X311" s="3">
        <f t="shared" si="293"/>
        <v>3.4648583404161177E-7</v>
      </c>
      <c r="Y311" s="3">
        <f t="shared" si="293"/>
        <v>3.4648583404017181E-7</v>
      </c>
      <c r="Z311" s="3">
        <f t="shared" si="293"/>
        <v>3.4648583402577215E-7</v>
      </c>
      <c r="AA311" s="3">
        <f t="shared" si="293"/>
        <v>3.4648583388177543E-7</v>
      </c>
      <c r="AB311" s="3">
        <f t="shared" si="293"/>
        <v>3.4648583244180841E-7</v>
      </c>
      <c r="AC311" s="3">
        <f t="shared" si="293"/>
        <v>3.464858180421384E-7</v>
      </c>
      <c r="AD311" s="3">
        <f t="shared" si="293"/>
        <v>3.4648567404547159E-7</v>
      </c>
      <c r="AE311" s="3">
        <f t="shared" si="293"/>
        <v>3.4648423408209493E-7</v>
      </c>
      <c r="AF311" s="3">
        <f t="shared" si="293"/>
        <v>3.4646983477746405E-7</v>
      </c>
      <c r="AG311" s="3"/>
      <c r="AH311" s="3"/>
    </row>
    <row r="312" spans="1:34" x14ac:dyDescent="0.25">
      <c r="B312" s="3">
        <f t="shared" ref="B312:AF312" si="294">$C42*EXP(-B$285/$A42/EXP(-$F$126))</f>
        <v>0</v>
      </c>
      <c r="C312" s="3">
        <f t="shared" si="294"/>
        <v>0</v>
      </c>
      <c r="D312" s="3">
        <f t="shared" si="294"/>
        <v>0</v>
      </c>
      <c r="E312" s="3">
        <f t="shared" si="294"/>
        <v>0</v>
      </c>
      <c r="F312" s="3">
        <f t="shared" si="294"/>
        <v>0</v>
      </c>
      <c r="G312" s="3">
        <f t="shared" si="294"/>
        <v>0</v>
      </c>
      <c r="H312" s="3">
        <f t="shared" si="294"/>
        <v>0</v>
      </c>
      <c r="I312" s="3">
        <f t="shared" si="294"/>
        <v>0</v>
      </c>
      <c r="J312" s="3">
        <f t="shared" si="294"/>
        <v>0</v>
      </c>
      <c r="K312" s="3">
        <f t="shared" si="294"/>
        <v>0</v>
      </c>
      <c r="L312" s="3">
        <f t="shared" si="294"/>
        <v>0</v>
      </c>
      <c r="M312" s="3">
        <f t="shared" si="294"/>
        <v>0</v>
      </c>
      <c r="N312" s="3">
        <f t="shared" si="294"/>
        <v>0</v>
      </c>
      <c r="O312" s="3">
        <f t="shared" si="294"/>
        <v>0</v>
      </c>
      <c r="P312" s="3">
        <f t="shared" si="294"/>
        <v>0</v>
      </c>
      <c r="Q312" s="3">
        <f t="shared" si="294"/>
        <v>0</v>
      </c>
      <c r="R312" s="3">
        <f t="shared" si="294"/>
        <v>0</v>
      </c>
      <c r="S312" s="3">
        <f t="shared" si="294"/>
        <v>0</v>
      </c>
      <c r="T312" s="3">
        <f t="shared" si="294"/>
        <v>0</v>
      </c>
      <c r="U312" s="3">
        <f t="shared" si="294"/>
        <v>0</v>
      </c>
      <c r="V312" s="3">
        <f t="shared" si="294"/>
        <v>0</v>
      </c>
      <c r="W312" s="3">
        <f t="shared" si="294"/>
        <v>0</v>
      </c>
      <c r="X312" s="3">
        <f t="shared" si="294"/>
        <v>0</v>
      </c>
      <c r="Y312" s="3">
        <f t="shared" si="294"/>
        <v>0</v>
      </c>
      <c r="Z312" s="3">
        <f t="shared" si="294"/>
        <v>0</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0</v>
      </c>
      <c r="C313" s="3">
        <f t="shared" si="295"/>
        <v>0</v>
      </c>
      <c r="D313" s="3">
        <f t="shared" si="295"/>
        <v>0</v>
      </c>
      <c r="E313" s="3">
        <f t="shared" si="295"/>
        <v>0</v>
      </c>
      <c r="F313" s="3">
        <f t="shared" si="295"/>
        <v>0</v>
      </c>
      <c r="G313" s="3">
        <f t="shared" si="295"/>
        <v>0</v>
      </c>
      <c r="H313" s="3">
        <f t="shared" si="295"/>
        <v>0</v>
      </c>
      <c r="I313" s="3">
        <f t="shared" si="295"/>
        <v>0</v>
      </c>
      <c r="J313" s="3">
        <f t="shared" si="295"/>
        <v>0</v>
      </c>
      <c r="K313" s="3">
        <f t="shared" si="295"/>
        <v>0</v>
      </c>
      <c r="L313" s="3">
        <f t="shared" si="295"/>
        <v>0</v>
      </c>
      <c r="M313" s="3">
        <f t="shared" si="295"/>
        <v>0</v>
      </c>
      <c r="N313" s="3">
        <f t="shared" si="295"/>
        <v>0</v>
      </c>
      <c r="O313" s="3">
        <f t="shared" si="295"/>
        <v>0</v>
      </c>
      <c r="P313" s="3">
        <f t="shared" si="295"/>
        <v>0</v>
      </c>
      <c r="Q313" s="3">
        <f t="shared" si="295"/>
        <v>0</v>
      </c>
      <c r="R313" s="3">
        <f t="shared" si="295"/>
        <v>0</v>
      </c>
      <c r="S313" s="3">
        <f t="shared" si="295"/>
        <v>0</v>
      </c>
      <c r="T313" s="3">
        <f t="shared" si="295"/>
        <v>0</v>
      </c>
      <c r="U313" s="3">
        <f t="shared" si="295"/>
        <v>0</v>
      </c>
      <c r="V313" s="3">
        <f t="shared" si="295"/>
        <v>0</v>
      </c>
      <c r="W313" s="3">
        <f t="shared" si="295"/>
        <v>0</v>
      </c>
      <c r="X313" s="3">
        <f t="shared" si="295"/>
        <v>0</v>
      </c>
      <c r="Y313" s="3">
        <f t="shared" si="295"/>
        <v>0</v>
      </c>
      <c r="Z313" s="3">
        <f t="shared" si="295"/>
        <v>0</v>
      </c>
      <c r="AA313" s="3">
        <f t="shared" si="295"/>
        <v>0</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0</v>
      </c>
      <c r="C314" s="3">
        <f t="shared" si="296"/>
        <v>0</v>
      </c>
      <c r="D314" s="3">
        <f t="shared" si="296"/>
        <v>0</v>
      </c>
      <c r="E314" s="3">
        <f t="shared" si="296"/>
        <v>0</v>
      </c>
      <c r="F314" s="3">
        <f t="shared" si="296"/>
        <v>0</v>
      </c>
      <c r="G314" s="3">
        <f t="shared" si="296"/>
        <v>0</v>
      </c>
      <c r="H314" s="3">
        <f t="shared" si="296"/>
        <v>0</v>
      </c>
      <c r="I314" s="3">
        <f t="shared" si="296"/>
        <v>0</v>
      </c>
      <c r="J314" s="3">
        <f t="shared" si="296"/>
        <v>0</v>
      </c>
      <c r="K314" s="3">
        <f t="shared" si="296"/>
        <v>0</v>
      </c>
      <c r="L314" s="3">
        <f t="shared" si="296"/>
        <v>0</v>
      </c>
      <c r="M314" s="3">
        <f t="shared" si="296"/>
        <v>0</v>
      </c>
      <c r="N314" s="3">
        <f t="shared" si="296"/>
        <v>0</v>
      </c>
      <c r="O314" s="3">
        <f t="shared" si="296"/>
        <v>0</v>
      </c>
      <c r="P314" s="3">
        <f t="shared" si="296"/>
        <v>0</v>
      </c>
      <c r="Q314" s="3">
        <f t="shared" si="296"/>
        <v>0</v>
      </c>
      <c r="R314" s="3">
        <f t="shared" si="296"/>
        <v>0</v>
      </c>
      <c r="S314" s="3">
        <f t="shared" si="296"/>
        <v>0</v>
      </c>
      <c r="T314" s="3">
        <f t="shared" si="296"/>
        <v>0</v>
      </c>
      <c r="U314" s="3">
        <f t="shared" si="296"/>
        <v>0</v>
      </c>
      <c r="V314" s="3">
        <f t="shared" si="296"/>
        <v>0</v>
      </c>
      <c r="W314" s="3">
        <f t="shared" si="296"/>
        <v>0</v>
      </c>
      <c r="X314" s="3">
        <f t="shared" si="296"/>
        <v>0</v>
      </c>
      <c r="Y314" s="3">
        <f t="shared" si="296"/>
        <v>0</v>
      </c>
      <c r="Z314" s="3">
        <f t="shared" si="296"/>
        <v>0</v>
      </c>
      <c r="AA314" s="3">
        <f t="shared" si="296"/>
        <v>0</v>
      </c>
      <c r="AB314" s="3">
        <f t="shared" si="296"/>
        <v>0</v>
      </c>
      <c r="AC314" s="3">
        <f t="shared" si="296"/>
        <v>0</v>
      </c>
      <c r="AD314" s="3">
        <f t="shared" si="296"/>
        <v>0</v>
      </c>
      <c r="AE314" s="3">
        <f t="shared" si="296"/>
        <v>0</v>
      </c>
      <c r="AF314" s="3">
        <f t="shared" si="296"/>
        <v>0</v>
      </c>
      <c r="AG314" s="3"/>
      <c r="AH314" s="3"/>
    </row>
    <row r="315" spans="1:34" x14ac:dyDescent="0.25">
      <c r="B315" s="3">
        <f t="shared" ref="B315:AF315" si="297">$C45*EXP(-B$285/$A45/EXP(-$F$126))</f>
        <v>0</v>
      </c>
      <c r="C315" s="3">
        <f t="shared" si="297"/>
        <v>0</v>
      </c>
      <c r="D315" s="3">
        <f t="shared" si="297"/>
        <v>0</v>
      </c>
      <c r="E315" s="3">
        <f t="shared" si="297"/>
        <v>0</v>
      </c>
      <c r="F315" s="3">
        <f t="shared" si="297"/>
        <v>0</v>
      </c>
      <c r="G315" s="3">
        <f t="shared" si="297"/>
        <v>0</v>
      </c>
      <c r="H315" s="3">
        <f t="shared" si="297"/>
        <v>0</v>
      </c>
      <c r="I315" s="3">
        <f t="shared" si="297"/>
        <v>0</v>
      </c>
      <c r="J315" s="3">
        <f t="shared" si="297"/>
        <v>0</v>
      </c>
      <c r="K315" s="3">
        <f t="shared" si="297"/>
        <v>0</v>
      </c>
      <c r="L315" s="3">
        <f t="shared" si="297"/>
        <v>0</v>
      </c>
      <c r="M315" s="3">
        <f t="shared" si="297"/>
        <v>0</v>
      </c>
      <c r="N315" s="3">
        <f t="shared" si="297"/>
        <v>0</v>
      </c>
      <c r="O315" s="3">
        <f t="shared" si="297"/>
        <v>0</v>
      </c>
      <c r="P315" s="3">
        <f t="shared" si="297"/>
        <v>0</v>
      </c>
      <c r="Q315" s="3">
        <f t="shared" si="297"/>
        <v>0</v>
      </c>
      <c r="R315" s="3">
        <f t="shared" si="297"/>
        <v>0</v>
      </c>
      <c r="S315" s="3">
        <f t="shared" si="297"/>
        <v>0</v>
      </c>
      <c r="T315" s="3">
        <f t="shared" si="297"/>
        <v>0</v>
      </c>
      <c r="U315" s="3">
        <f t="shared" si="297"/>
        <v>0</v>
      </c>
      <c r="V315" s="3">
        <f t="shared" si="297"/>
        <v>0</v>
      </c>
      <c r="W315" s="3">
        <f t="shared" si="297"/>
        <v>0</v>
      </c>
      <c r="X315" s="3">
        <f t="shared" si="297"/>
        <v>0</v>
      </c>
      <c r="Y315" s="3">
        <f t="shared" si="297"/>
        <v>0</v>
      </c>
      <c r="Z315" s="3">
        <f t="shared" si="297"/>
        <v>0</v>
      </c>
      <c r="AA315" s="3">
        <f t="shared" si="297"/>
        <v>0</v>
      </c>
      <c r="AB315" s="3">
        <f t="shared" si="297"/>
        <v>0</v>
      </c>
      <c r="AC315" s="3">
        <f t="shared" si="297"/>
        <v>0</v>
      </c>
      <c r="AD315" s="3">
        <f t="shared" si="297"/>
        <v>0</v>
      </c>
      <c r="AE315" s="3">
        <f t="shared" si="297"/>
        <v>0</v>
      </c>
      <c r="AF315" s="3">
        <f t="shared" si="297"/>
        <v>0</v>
      </c>
      <c r="AG315" s="3"/>
      <c r="AH315" s="3"/>
    </row>
    <row r="316" spans="1:34" x14ac:dyDescent="0.25">
      <c r="B316" s="3">
        <f t="shared" ref="B316:AF316" si="298">$C46*EXP(-B$285/$A46/EXP(-$F$126))</f>
        <v>0</v>
      </c>
      <c r="C316" s="3">
        <f t="shared" si="298"/>
        <v>0</v>
      </c>
      <c r="D316" s="3">
        <f t="shared" si="298"/>
        <v>0</v>
      </c>
      <c r="E316" s="3">
        <f t="shared" si="298"/>
        <v>0</v>
      </c>
      <c r="F316" s="3">
        <f t="shared" si="298"/>
        <v>0</v>
      </c>
      <c r="G316" s="3">
        <f t="shared" si="298"/>
        <v>0</v>
      </c>
      <c r="H316" s="3">
        <f t="shared" si="298"/>
        <v>0</v>
      </c>
      <c r="I316" s="3">
        <f t="shared" si="298"/>
        <v>0</v>
      </c>
      <c r="J316" s="3">
        <f t="shared" si="298"/>
        <v>0</v>
      </c>
      <c r="K316" s="3">
        <f t="shared" si="298"/>
        <v>0</v>
      </c>
      <c r="L316" s="3">
        <f t="shared" si="298"/>
        <v>0</v>
      </c>
      <c r="M316" s="3">
        <f t="shared" si="298"/>
        <v>0</v>
      </c>
      <c r="N316" s="3">
        <f t="shared" si="298"/>
        <v>0</v>
      </c>
      <c r="O316" s="3">
        <f t="shared" si="298"/>
        <v>0</v>
      </c>
      <c r="P316" s="3">
        <f t="shared" si="298"/>
        <v>0</v>
      </c>
      <c r="Q316" s="3">
        <f t="shared" si="298"/>
        <v>0</v>
      </c>
      <c r="R316" s="3">
        <f t="shared" si="298"/>
        <v>0</v>
      </c>
      <c r="S316" s="3">
        <f t="shared" si="298"/>
        <v>0</v>
      </c>
      <c r="T316" s="3">
        <f t="shared" si="298"/>
        <v>0</v>
      </c>
      <c r="U316" s="3">
        <f t="shared" si="298"/>
        <v>0</v>
      </c>
      <c r="V316" s="3">
        <f t="shared" si="298"/>
        <v>0</v>
      </c>
      <c r="W316" s="3">
        <f t="shared" si="298"/>
        <v>0</v>
      </c>
      <c r="X316" s="3">
        <f t="shared" si="298"/>
        <v>0</v>
      </c>
      <c r="Y316" s="3">
        <f t="shared" si="298"/>
        <v>0</v>
      </c>
      <c r="Z316" s="3">
        <f t="shared" si="298"/>
        <v>0</v>
      </c>
      <c r="AA316" s="3">
        <f t="shared" si="298"/>
        <v>0</v>
      </c>
      <c r="AB316" s="3">
        <f t="shared" si="298"/>
        <v>0</v>
      </c>
      <c r="AC316" s="3">
        <f t="shared" si="298"/>
        <v>0</v>
      </c>
      <c r="AD316" s="3">
        <f t="shared" si="298"/>
        <v>0</v>
      </c>
      <c r="AE316" s="3">
        <f t="shared" si="298"/>
        <v>0</v>
      </c>
      <c r="AF316" s="3">
        <f t="shared" si="298"/>
        <v>0</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2.6390969703261771E-3</v>
      </c>
      <c r="C318" s="3">
        <f t="shared" si="300"/>
        <v>2.6390969703261771E-3</v>
      </c>
      <c r="D318" s="3">
        <f t="shared" si="300"/>
        <v>2.6390969703261771E-3</v>
      </c>
      <c r="E318" s="3">
        <f t="shared" si="300"/>
        <v>2.6390969703261771E-3</v>
      </c>
      <c r="F318" s="3">
        <f t="shared" si="300"/>
        <v>2.6390969703261771E-3</v>
      </c>
      <c r="G318" s="3">
        <f t="shared" si="300"/>
        <v>2.6390969703261771E-3</v>
      </c>
      <c r="H318" s="3">
        <f t="shared" si="300"/>
        <v>2.6390969703261771E-3</v>
      </c>
      <c r="I318" s="3">
        <f t="shared" si="300"/>
        <v>2.6390969703261771E-3</v>
      </c>
      <c r="J318" s="3">
        <f t="shared" si="300"/>
        <v>2.6390969703261771E-3</v>
      </c>
      <c r="K318" s="3">
        <f t="shared" si="300"/>
        <v>2.6390969703261771E-3</v>
      </c>
      <c r="L318" s="3">
        <f t="shared" si="300"/>
        <v>2.6390969703261771E-3</v>
      </c>
      <c r="M318" s="3">
        <f t="shared" si="300"/>
        <v>2.6390969703261771E-3</v>
      </c>
      <c r="N318" s="3">
        <f t="shared" si="300"/>
        <v>2.6390969703261771E-3</v>
      </c>
      <c r="O318" s="3">
        <f t="shared" si="300"/>
        <v>2.6390969703261771E-3</v>
      </c>
      <c r="P318" s="3">
        <f t="shared" si="300"/>
        <v>2.6390969703261771E-3</v>
      </c>
      <c r="Q318" s="3">
        <f t="shared" si="300"/>
        <v>2.6390969703261771E-3</v>
      </c>
      <c r="R318" s="3">
        <f t="shared" si="300"/>
        <v>2.6390969703261771E-3</v>
      </c>
      <c r="S318" s="3">
        <f t="shared" si="300"/>
        <v>2.6390969703261771E-3</v>
      </c>
      <c r="T318" s="3">
        <f t="shared" si="300"/>
        <v>2.6390969703261771E-3</v>
      </c>
      <c r="U318" s="3">
        <f t="shared" si="300"/>
        <v>2.6390969703261771E-3</v>
      </c>
      <c r="V318" s="3">
        <f t="shared" si="300"/>
        <v>2.6390969703261771E-3</v>
      </c>
      <c r="W318" s="3">
        <f t="shared" si="300"/>
        <v>2.6390969703261771E-3</v>
      </c>
      <c r="X318" s="3">
        <f t="shared" si="300"/>
        <v>2.6390969703261771E-3</v>
      </c>
      <c r="Y318" s="3">
        <f t="shared" si="300"/>
        <v>2.6390969703261771E-3</v>
      </c>
      <c r="Z318" s="3">
        <f t="shared" si="300"/>
        <v>2.6390969703261771E-3</v>
      </c>
      <c r="AA318" s="3">
        <f t="shared" si="300"/>
        <v>2.6390969703261771E-3</v>
      </c>
      <c r="AB318" s="3">
        <f t="shared" si="300"/>
        <v>2.6390969703261758E-3</v>
      </c>
      <c r="AC318" s="3">
        <f t="shared" si="300"/>
        <v>2.639096970326165E-3</v>
      </c>
      <c r="AD318" s="3">
        <f t="shared" si="300"/>
        <v>2.6390969703260552E-3</v>
      </c>
      <c r="AE318" s="3">
        <f t="shared" si="300"/>
        <v>2.6390969703249585E-3</v>
      </c>
      <c r="AF318" s="3">
        <f t="shared" si="300"/>
        <v>2.6390969703139907E-3</v>
      </c>
      <c r="AG318" s="3"/>
      <c r="AH318" s="3"/>
    </row>
    <row r="319" spans="1:34" x14ac:dyDescent="0.25">
      <c r="A319" s="79">
        <f>AVERAGE(B319:AF319)</f>
        <v>3.2836638013325043E-3</v>
      </c>
      <c r="B319" s="80">
        <f>IF($A$64&lt;=B285,IF($B$64&gt;=B285,ABS((B287-B286)/B286),0),0)</f>
        <v>0</v>
      </c>
      <c r="C319" s="80">
        <f t="shared" ref="C319:AF319" si="301">IF($A$64&lt;=C285,IF($B$64&gt;=C285,ABS((C287-C286)/C286),0),0)</f>
        <v>0</v>
      </c>
      <c r="D319" s="80">
        <f t="shared" si="301"/>
        <v>0</v>
      </c>
      <c r="E319" s="80">
        <f t="shared" si="301"/>
        <v>0</v>
      </c>
      <c r="F319" s="80">
        <f t="shared" si="301"/>
        <v>0</v>
      </c>
      <c r="G319" s="80">
        <f t="shared" si="301"/>
        <v>0</v>
      </c>
      <c r="H319" s="80">
        <f t="shared" si="301"/>
        <v>0</v>
      </c>
      <c r="I319" s="80">
        <f t="shared" si="301"/>
        <v>0</v>
      </c>
      <c r="J319" s="80">
        <f t="shared" si="301"/>
        <v>0</v>
      </c>
      <c r="K319" s="80">
        <f t="shared" si="301"/>
        <v>0</v>
      </c>
      <c r="L319" s="80">
        <f t="shared" si="301"/>
        <v>2.4970574276270297E-2</v>
      </c>
      <c r="M319" s="80">
        <f t="shared" si="301"/>
        <v>1.3824091439075595E-2</v>
      </c>
      <c r="N319" s="80">
        <f t="shared" si="301"/>
        <v>2.3456559732941385E-4</v>
      </c>
      <c r="O319" s="80">
        <f t="shared" si="301"/>
        <v>8.4473554952576822E-3</v>
      </c>
      <c r="P319" s="80">
        <f t="shared" si="301"/>
        <v>3.8120319828736289E-3</v>
      </c>
      <c r="Q319" s="80">
        <f t="shared" si="301"/>
        <v>6.6421646820028872E-3</v>
      </c>
      <c r="R319" s="80">
        <f t="shared" si="301"/>
        <v>1.3188924797221209E-3</v>
      </c>
      <c r="S319" s="80">
        <f t="shared" si="301"/>
        <v>6.6241582252014207E-3</v>
      </c>
      <c r="T319" s="80">
        <f t="shared" si="301"/>
        <v>1.0308533572025051E-2</v>
      </c>
      <c r="U319" s="80">
        <f t="shared" si="301"/>
        <v>2.8095473299463228E-3</v>
      </c>
      <c r="V319" s="80">
        <f t="shared" si="301"/>
        <v>2.2801662761603229E-2</v>
      </c>
      <c r="W319" s="80">
        <f t="shared" si="301"/>
        <v>0</v>
      </c>
      <c r="X319" s="80">
        <f t="shared" si="301"/>
        <v>0</v>
      </c>
      <c r="Y319" s="80">
        <f t="shared" si="301"/>
        <v>0</v>
      </c>
      <c r="Z319" s="80">
        <f t="shared" si="301"/>
        <v>0</v>
      </c>
      <c r="AA319" s="80">
        <f t="shared" si="301"/>
        <v>0</v>
      </c>
      <c r="AB319" s="80">
        <f t="shared" si="301"/>
        <v>0</v>
      </c>
      <c r="AC319" s="80">
        <f t="shared" si="301"/>
        <v>0</v>
      </c>
      <c r="AD319" s="80">
        <f t="shared" si="301"/>
        <v>0</v>
      </c>
      <c r="AE319" s="80">
        <f t="shared" si="301"/>
        <v>0</v>
      </c>
      <c r="AF319" s="80">
        <f t="shared" si="301"/>
        <v>0</v>
      </c>
    </row>
    <row r="320" spans="1:34" x14ac:dyDescent="0.25">
      <c r="B320" s="21">
        <f>(B287-B286)^2</f>
        <v>188.00718556775703</v>
      </c>
      <c r="C320" s="21">
        <f t="shared" ref="C320:AF320" si="302">(C287-C286)^2</f>
        <v>185.98390999582523</v>
      </c>
      <c r="D320" s="21">
        <f t="shared" si="302"/>
        <v>176.5559911177204</v>
      </c>
      <c r="E320" s="21">
        <f t="shared" si="302"/>
        <v>91.725085812712507</v>
      </c>
      <c r="F320" s="21">
        <f t="shared" si="302"/>
        <v>714.39706744522198</v>
      </c>
      <c r="G320" s="21">
        <f t="shared" si="302"/>
        <v>99735.412638362948</v>
      </c>
      <c r="H320" s="21">
        <f t="shared" si="302"/>
        <v>660256.69301384978</v>
      </c>
      <c r="I320" s="21">
        <f t="shared" si="302"/>
        <v>458648.9134786388</v>
      </c>
      <c r="J320" s="21">
        <f t="shared" si="302"/>
        <v>261023.38119783532</v>
      </c>
      <c r="K320" s="21">
        <f t="shared" si="302"/>
        <v>100522.64149342199</v>
      </c>
      <c r="L320" s="21">
        <f t="shared" si="302"/>
        <v>15703.650846732109</v>
      </c>
      <c r="M320" s="21">
        <f t="shared" si="302"/>
        <v>4350.5620336597376</v>
      </c>
      <c r="N320" s="21">
        <f t="shared" si="302"/>
        <v>1.1152952147582234</v>
      </c>
      <c r="O320" s="21">
        <f t="shared" si="302"/>
        <v>1282.7770402567505</v>
      </c>
      <c r="P320" s="21">
        <f t="shared" si="302"/>
        <v>227.70455354765423</v>
      </c>
      <c r="Q320" s="21">
        <f t="shared" si="302"/>
        <v>590.91592346414632</v>
      </c>
      <c r="R320" s="21">
        <f t="shared" si="302"/>
        <v>18.578746163356914</v>
      </c>
      <c r="S320" s="21">
        <f t="shared" si="302"/>
        <v>336.43142901324632</v>
      </c>
      <c r="T320" s="21">
        <f t="shared" si="302"/>
        <v>516.47865973810713</v>
      </c>
      <c r="U320" s="21">
        <f t="shared" si="302"/>
        <v>19.866792963435824</v>
      </c>
      <c r="V320" s="21">
        <f t="shared" si="302"/>
        <v>519.94005064695659</v>
      </c>
      <c r="W320" s="21">
        <f t="shared" si="302"/>
        <v>353.27916433237857</v>
      </c>
      <c r="X320" s="21">
        <f t="shared" si="302"/>
        <v>249.22502985300054</v>
      </c>
      <c r="Y320" s="21">
        <f t="shared" si="302"/>
        <v>60.961916450618304</v>
      </c>
      <c r="Z320" s="21">
        <f t="shared" si="302"/>
        <v>1.0300463069259811</v>
      </c>
      <c r="AA320" s="21">
        <f t="shared" si="302"/>
        <v>1.1975670282050084</v>
      </c>
      <c r="AB320" s="21">
        <f t="shared" si="302"/>
        <v>2.7357353130371065</v>
      </c>
      <c r="AC320" s="21">
        <f t="shared" si="302"/>
        <v>2.0104790537796022</v>
      </c>
      <c r="AD320" s="21">
        <f t="shared" si="302"/>
        <v>1.8174060123359133</v>
      </c>
      <c r="AE320" s="21">
        <f t="shared" si="302"/>
        <v>1.4756960674560788</v>
      </c>
      <c r="AF320" s="21">
        <f t="shared" si="302"/>
        <v>1.1400278573182046</v>
      </c>
      <c r="AG320" s="3"/>
      <c r="AH320" s="3"/>
    </row>
    <row r="321" spans="1:34" x14ac:dyDescent="0.25">
      <c r="A321" s="71">
        <f>SUM(B321:AF321)</f>
        <v>23568.021371400253</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15703.650846732109</v>
      </c>
      <c r="M321" s="60">
        <f t="shared" ref="M321" si="313">IF($A$64&lt;=M285,IF($B$64&gt;=M285,ABS(M320),0),0)</f>
        <v>4350.5620336597376</v>
      </c>
      <c r="N321" s="60">
        <f t="shared" ref="N321" si="314">IF($A$64&lt;=N285,IF($B$64&gt;=N285,ABS(N320),0),0)</f>
        <v>1.1152952147582234</v>
      </c>
      <c r="O321" s="60">
        <f t="shared" ref="O321" si="315">IF($A$64&lt;=O285,IF($B$64&gt;=O285,ABS(O320),0),0)</f>
        <v>1282.7770402567505</v>
      </c>
      <c r="P321" s="60">
        <f t="shared" ref="P321" si="316">IF($A$64&lt;=P285,IF($B$64&gt;=P285,ABS(P320),0),0)</f>
        <v>227.70455354765423</v>
      </c>
      <c r="Q321" s="60">
        <f t="shared" ref="Q321" si="317">IF($A$64&lt;=Q285,IF($B$64&gt;=Q285,ABS(Q320),0),0)</f>
        <v>590.91592346414632</v>
      </c>
      <c r="R321" s="60">
        <f t="shared" ref="R321" si="318">IF($A$64&lt;=R285,IF($B$64&gt;=R285,ABS(R320),0),0)</f>
        <v>18.578746163356914</v>
      </c>
      <c r="S321" s="60">
        <f t="shared" ref="S321" si="319">IF($A$64&lt;=S285,IF($B$64&gt;=S285,ABS(S320),0),0)</f>
        <v>336.43142901324632</v>
      </c>
      <c r="T321" s="60">
        <f t="shared" ref="T321" si="320">IF($A$64&lt;=T285,IF($B$64&gt;=T285,ABS(T320),0),0)</f>
        <v>516.47865973810713</v>
      </c>
      <c r="U321" s="60">
        <f t="shared" ref="U321" si="321">IF($A$64&lt;=U285,IF($B$64&gt;=U285,ABS(U320),0),0)</f>
        <v>19.866792963435824</v>
      </c>
      <c r="V321" s="60">
        <f t="shared" ref="V321" si="322">IF($A$64&lt;=V285,IF($B$64&gt;=V285,ABS(V320),0),0)</f>
        <v>519.94005064695659</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5339.3938402799959</v>
      </c>
      <c r="C325" s="26">
        <f>INDEX(Comparison!$AM$3:$AS$33,G$14,$G$122)</f>
        <v>5092.5436233397832</v>
      </c>
      <c r="D325" s="26">
        <f>INDEX(Comparison!$AM$3:$AS$33,H$14,$G$122)</f>
        <v>4862.2074038193541</v>
      </c>
      <c r="E325" s="26">
        <f>INDEX(Comparison!$AM$3:$AS$33,I$14,$G$122)</f>
        <v>4600.0447702643005</v>
      </c>
      <c r="F325" s="26">
        <f>INDEX(Comparison!$AM$3:$AS$33,J$14,$G$122)</f>
        <v>4335.4686548713016</v>
      </c>
      <c r="G325" s="26">
        <f>INDEX(Comparison!$AM$3:$AS$33,K$14,$G$122)</f>
        <v>4064.2446060274551</v>
      </c>
      <c r="H325" s="26">
        <f>INDEX(Comparison!$AM$3:$AS$33,L$14,$G$122)</f>
        <v>3775.0165221687416</v>
      </c>
      <c r="I325" s="26">
        <f>INDEX(Comparison!$AM$3:$AS$33,M$14,$G$122)</f>
        <v>3440.8792936987693</v>
      </c>
      <c r="J325" s="26">
        <f>INDEX(Comparison!$AM$3:$AS$33,N$14,$G$122)</f>
        <v>3007.0276986600152</v>
      </c>
      <c r="K325" s="26">
        <f>INDEX(Comparison!$AM$3:$AS$33,O$14,$G$122)</f>
        <v>2483.1842311274095</v>
      </c>
      <c r="L325" s="26">
        <f>INDEX(Comparison!$AM$3:$AS$33,P$14,$G$122)</f>
        <v>1877.3036191571002</v>
      </c>
      <c r="M325" s="26">
        <f>INDEX(Comparison!$AM$3:$AS$33,Q$14,$G$122)</f>
        <v>1225.8372848665197</v>
      </c>
      <c r="N325" s="26">
        <f>INDEX(Comparison!$AM$3:$AS$33,R$14,$G$122)</f>
        <v>718.17933085631228</v>
      </c>
      <c r="O325" s="26">
        <f>INDEX(Comparison!$AM$3:$AS$33,S$14,$G$122)</f>
        <v>402.8254128419544</v>
      </c>
      <c r="P325" s="26">
        <f>INDEX(Comparison!$AM$3:$AS$33,T$14,$G$122)</f>
        <v>224.17774389747507</v>
      </c>
      <c r="Q325" s="26">
        <f>INDEX(Comparison!$AM$3:$AS$33,U$14,$G$122)</f>
        <v>157.32573154577258</v>
      </c>
      <c r="R325" s="26">
        <f>INDEX(Comparison!$AM$3:$AS$33,V$14,$G$122)</f>
        <v>138.47466281617423</v>
      </c>
      <c r="S325" s="26">
        <f>INDEX(Comparison!$AM$3:$AS$33,W$14,$G$122)</f>
        <v>126.92176045152465</v>
      </c>
      <c r="T325" s="26">
        <f>INDEX(Comparison!$AM$3:$AS$33,X$14,$G$122)</f>
        <v>125.32043450442224</v>
      </c>
      <c r="U325" s="26">
        <f>INDEX(Comparison!$AM$3:$AS$33,Y$14,$G$122)</f>
        <v>125.18975547765271</v>
      </c>
      <c r="V325" s="26">
        <f>INDEX(Comparison!$AM$3:$AS$33,Z$14,$G$122)</f>
        <v>125.05583743141311</v>
      </c>
      <c r="W325" s="26">
        <f>INDEX(Comparison!$AM$3:$AS$33,AA$14,$G$122)</f>
        <v>124.89217701523481</v>
      </c>
      <c r="X325" s="26">
        <f>INDEX(Comparison!$AM$3:$AS$33,AB$14,$G$122)</f>
        <v>124.70815441395035</v>
      </c>
      <c r="Y325" s="26">
        <f>INDEX(Comparison!$AM$3:$AS$33,AC$14,$G$122)</f>
        <v>124.51586541667818</v>
      </c>
      <c r="Z325" s="26">
        <f>INDEX(Comparison!$AM$3:$AS$33,AD$14,$G$122)</f>
        <v>124.45612407089325</v>
      </c>
      <c r="AA325" s="26">
        <f>INDEX(Comparison!$AM$3:$AS$33,AE$14,$G$122)</f>
        <v>124.36413594438419</v>
      </c>
      <c r="AB325" s="26">
        <f>INDEX(Comparison!$AM$3:$AS$33,AF$14,$G$122)</f>
        <v>124.24957869452857</v>
      </c>
      <c r="AC325" s="26">
        <f>INDEX(Comparison!$AM$3:$AS$33,AG$14,$G$122)</f>
        <v>124.12464463468883</v>
      </c>
      <c r="AD325" s="26">
        <f>INDEX(Comparison!$AM$3:$AS$33,AH$14,$G$122)</f>
        <v>124.11696893794122</v>
      </c>
      <c r="AE325" s="26">
        <f>INDEX(Comparison!$AM$3:$AS$33,AI$14,$G$122)</f>
        <v>124.11273578228328</v>
      </c>
      <c r="AF325" s="26">
        <f>INDEX(Comparison!$AM$3:$AS$33,AJ$14,$G$122)</f>
        <v>124.10930475258213</v>
      </c>
      <c r="AG325" s="26"/>
      <c r="AH325" s="26"/>
    </row>
    <row r="326" spans="1:34" x14ac:dyDescent="0.25">
      <c r="A326" s="77" t="s">
        <v>22</v>
      </c>
      <c r="B326" s="27">
        <f>($C$17+SUM(B327:B357))*$B$51</f>
        <v>4899.5141295414769</v>
      </c>
      <c r="C326" s="27">
        <f t="shared" ref="C326:AF326" si="333">($C$17+SUM(C327:C357))*$B$51</f>
        <v>4897.5257851112437</v>
      </c>
      <c r="D326" s="27">
        <f t="shared" si="333"/>
        <v>4878.014661185457</v>
      </c>
      <c r="E326" s="27">
        <f t="shared" si="333"/>
        <v>4715.6716568633183</v>
      </c>
      <c r="F326" s="27">
        <f t="shared" si="333"/>
        <v>4302.910013694931</v>
      </c>
      <c r="G326" s="27">
        <f t="shared" si="333"/>
        <v>4078.1712309085992</v>
      </c>
      <c r="H326" s="27">
        <f t="shared" si="333"/>
        <v>3772.7872955760395</v>
      </c>
      <c r="I326" s="27">
        <f t="shared" si="333"/>
        <v>3445.7509215193445</v>
      </c>
      <c r="J326" s="27">
        <f t="shared" si="333"/>
        <v>3006.7496487592289</v>
      </c>
      <c r="K326" s="27">
        <f t="shared" si="333"/>
        <v>2480.5251609516595</v>
      </c>
      <c r="L326" s="27">
        <f t="shared" si="333"/>
        <v>1876.1066716724488</v>
      </c>
      <c r="M326" s="27">
        <f t="shared" si="333"/>
        <v>1220.8543953280439</v>
      </c>
      <c r="N326" s="27">
        <f t="shared" si="333"/>
        <v>723.02346292630705</v>
      </c>
      <c r="O326" s="27">
        <f t="shared" si="333"/>
        <v>406.81034656737563</v>
      </c>
      <c r="P326" s="27">
        <f t="shared" si="333"/>
        <v>227.88012600905338</v>
      </c>
      <c r="Q326" s="27">
        <f t="shared" si="333"/>
        <v>160.75062725195713</v>
      </c>
      <c r="R326" s="27">
        <f t="shared" si="333"/>
        <v>138.36811683787062</v>
      </c>
      <c r="S326" s="27">
        <f t="shared" si="333"/>
        <v>128.0873203592987</v>
      </c>
      <c r="T326" s="27">
        <f t="shared" si="333"/>
        <v>125.40134061009421</v>
      </c>
      <c r="U326" s="27">
        <f t="shared" si="333"/>
        <v>125.36086429301342</v>
      </c>
      <c r="V326" s="27">
        <f t="shared" si="333"/>
        <v>125.2570239342091</v>
      </c>
      <c r="W326" s="27">
        <f t="shared" si="333"/>
        <v>125.1141048758208</v>
      </c>
      <c r="X326" s="27">
        <f t="shared" si="333"/>
        <v>124.94394454959746</v>
      </c>
      <c r="Y326" s="27">
        <f t="shared" si="333"/>
        <v>124.76790555743879</v>
      </c>
      <c r="Z326" s="27">
        <f t="shared" si="333"/>
        <v>124.51071106300977</v>
      </c>
      <c r="AA326" s="27">
        <f t="shared" si="333"/>
        <v>124.39312426245777</v>
      </c>
      <c r="AB326" s="27">
        <f t="shared" si="333"/>
        <v>124.38033537044009</v>
      </c>
      <c r="AC326" s="27">
        <f t="shared" si="333"/>
        <v>124.37987576458352</v>
      </c>
      <c r="AD326" s="27">
        <f t="shared" si="333"/>
        <v>124.37965798035916</v>
      </c>
      <c r="AE326" s="27">
        <f t="shared" si="333"/>
        <v>124.37748030874789</v>
      </c>
      <c r="AF326" s="27">
        <f t="shared" si="333"/>
        <v>124.35572025102401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9.0863653896960661E-2</v>
      </c>
      <c r="C328" s="3">
        <f t="shared" si="335"/>
        <v>9.054035238475909E-2</v>
      </c>
      <c r="D328" s="3">
        <f t="shared" si="335"/>
        <v>8.7369935260214068E-2</v>
      </c>
      <c r="E328" s="3">
        <f t="shared" si="335"/>
        <v>6.1173080169598798E-2</v>
      </c>
      <c r="F328" s="3">
        <f t="shared" si="335"/>
        <v>1.7319832780206678E-3</v>
      </c>
      <c r="G328" s="3">
        <f t="shared" si="335"/>
        <v>5.7329368265473337E-19</v>
      </c>
      <c r="H328" s="3">
        <f t="shared" si="335"/>
        <v>9.0513169088144253E-174</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3.1880117706843784E-2</v>
      </c>
      <c r="C329" s="3">
        <f t="shared" si="336"/>
        <v>3.1869868553183869E-2</v>
      </c>
      <c r="D329" s="3">
        <f t="shared" si="336"/>
        <v>3.1767558067191504E-2</v>
      </c>
      <c r="E329" s="3">
        <f t="shared" si="336"/>
        <v>3.0762344710997321E-2</v>
      </c>
      <c r="F329" s="3">
        <f t="shared" si="336"/>
        <v>2.2303624971482174E-2</v>
      </c>
      <c r="G329" s="3">
        <f t="shared" si="336"/>
        <v>8.9523210714178366E-4</v>
      </c>
      <c r="H329" s="3">
        <f t="shared" si="336"/>
        <v>9.71712089577066E-18</v>
      </c>
      <c r="I329" s="3">
        <f t="shared" si="336"/>
        <v>2.2057544829153153E-157</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5.4295011322307164E-2</v>
      </c>
      <c r="C330" s="3">
        <f t="shared" si="337"/>
        <v>5.4293436476173108E-2</v>
      </c>
      <c r="D330" s="3">
        <f t="shared" si="337"/>
        <v>5.4277690526957446E-2</v>
      </c>
      <c r="E330" s="3">
        <f t="shared" si="337"/>
        <v>5.4120481977895554E-2</v>
      </c>
      <c r="F330" s="3">
        <f t="shared" si="337"/>
        <v>5.2573223557921767E-2</v>
      </c>
      <c r="G330" s="3">
        <f t="shared" si="337"/>
        <v>3.9336355412249328E-2</v>
      </c>
      <c r="H330" s="3">
        <f t="shared" si="337"/>
        <v>2.1631629861214668E-3</v>
      </c>
      <c r="I330" s="3">
        <f t="shared" si="337"/>
        <v>5.4706695418338893E-16</v>
      </c>
      <c r="J330" s="3">
        <f t="shared" si="337"/>
        <v>5.8553501220539462E-142</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5.1307495214389126E-2</v>
      </c>
      <c r="C331" s="3">
        <f t="shared" si="338"/>
        <v>5.1307360965303861E-2</v>
      </c>
      <c r="D331" s="3">
        <f t="shared" si="338"/>
        <v>5.1306018493770998E-2</v>
      </c>
      <c r="E331" s="3">
        <f t="shared" si="338"/>
        <v>5.1292595710228685E-2</v>
      </c>
      <c r="F331" s="3">
        <f t="shared" si="338"/>
        <v>5.1158560866549858E-2</v>
      </c>
      <c r="G331" s="3">
        <f t="shared" si="338"/>
        <v>4.983732606394161E-2</v>
      </c>
      <c r="H331" s="3">
        <f t="shared" si="338"/>
        <v>3.8363557531934794E-2</v>
      </c>
      <c r="I331" s="3">
        <f t="shared" si="338"/>
        <v>2.8025945799427287E-3</v>
      </c>
      <c r="J331" s="3">
        <f t="shared" si="338"/>
        <v>1.2133171088593133E-14</v>
      </c>
      <c r="K331" s="3">
        <f t="shared" si="338"/>
        <v>2.8061750548379956E-128</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7.4663979975493303E-2</v>
      </c>
      <c r="C332" s="3">
        <f t="shared" si="339"/>
        <v>7.4663962352131144E-2</v>
      </c>
      <c r="D332" s="3">
        <f t="shared" si="339"/>
        <v>7.4663786118738321E-2</v>
      </c>
      <c r="E332" s="3">
        <f t="shared" si="339"/>
        <v>7.4662023807688424E-2</v>
      </c>
      <c r="F332" s="3">
        <f t="shared" si="339"/>
        <v>7.464440298482608E-2</v>
      </c>
      <c r="G332" s="3">
        <f t="shared" si="339"/>
        <v>7.4468423320213278E-2</v>
      </c>
      <c r="H332" s="3">
        <f t="shared" si="339"/>
        <v>7.2731284716881714E-2</v>
      </c>
      <c r="I332" s="3">
        <f t="shared" si="339"/>
        <v>5.7439712838606917E-2</v>
      </c>
      <c r="J332" s="3">
        <f t="shared" si="339"/>
        <v>5.4215350631979711E-3</v>
      </c>
      <c r="K332" s="3">
        <f t="shared" si="339"/>
        <v>3.042442499877015E-13</v>
      </c>
      <c r="L332" s="3">
        <f t="shared" si="339"/>
        <v>9.4237436014094316E-116</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9.0647969759170666E-2</v>
      </c>
      <c r="C333" s="3">
        <f t="shared" si="340"/>
        <v>9.0647967829059387E-2</v>
      </c>
      <c r="D333" s="3">
        <f t="shared" si="340"/>
        <v>9.0647948527948843E-2</v>
      </c>
      <c r="E333" s="3">
        <f t="shared" si="340"/>
        <v>9.0647755517069425E-2</v>
      </c>
      <c r="F333" s="3">
        <f t="shared" si="340"/>
        <v>9.0645825430878221E-2</v>
      </c>
      <c r="G333" s="3">
        <f t="shared" si="340"/>
        <v>9.0626526829085258E-2</v>
      </c>
      <c r="H333" s="3">
        <f t="shared" si="340"/>
        <v>9.0433766645097585E-2</v>
      </c>
      <c r="I333" s="3">
        <f t="shared" si="340"/>
        <v>8.8528571292116137E-2</v>
      </c>
      <c r="J333" s="3">
        <f t="shared" si="340"/>
        <v>7.1550357906891085E-2</v>
      </c>
      <c r="K333" s="3">
        <f t="shared" si="340"/>
        <v>8.5093298954616453E-3</v>
      </c>
      <c r="L333" s="3">
        <f t="shared" si="340"/>
        <v>4.8164922510215021E-12</v>
      </c>
      <c r="M333" s="3">
        <f t="shared" si="340"/>
        <v>1.6258703642187865E-104</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0.10513898704133146</v>
      </c>
      <c r="C334" s="3">
        <f t="shared" si="341"/>
        <v>0.10513898683938575</v>
      </c>
      <c r="D334" s="3">
        <f t="shared" si="341"/>
        <v>0.10513898481992857</v>
      </c>
      <c r="E334" s="3">
        <f t="shared" si="341"/>
        <v>0.10513896462535902</v>
      </c>
      <c r="F334" s="3">
        <f t="shared" si="341"/>
        <v>0.10513876267987689</v>
      </c>
      <c r="G334" s="3">
        <f t="shared" si="341"/>
        <v>0.10513674324638925</v>
      </c>
      <c r="H334" s="3">
        <f t="shared" si="341"/>
        <v>0.10511655104472438</v>
      </c>
      <c r="I334" s="3">
        <f t="shared" si="341"/>
        <v>0.10491484219769809</v>
      </c>
      <c r="J334" s="3">
        <f t="shared" si="341"/>
        <v>0.10291891997002663</v>
      </c>
      <c r="K334" s="3">
        <f t="shared" si="341"/>
        <v>8.493332052211873E-2</v>
      </c>
      <c r="L334" s="3">
        <f t="shared" si="341"/>
        <v>1.244247958877911E-2</v>
      </c>
      <c r="M334" s="3">
        <f t="shared" si="341"/>
        <v>5.6649394523444278E-11</v>
      </c>
      <c r="N334" s="3">
        <f t="shared" si="341"/>
        <v>2.16809659248701E-94</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0.12480864844854823</v>
      </c>
      <c r="C335" s="3">
        <f t="shared" si="342"/>
        <v>0.12480864842692295</v>
      </c>
      <c r="D335" s="3">
        <f t="shared" si="342"/>
        <v>0.12480864821066993</v>
      </c>
      <c r="E335" s="3">
        <f t="shared" si="342"/>
        <v>0.12480864604813999</v>
      </c>
      <c r="F335" s="3">
        <f t="shared" si="342"/>
        <v>0.12480862442284263</v>
      </c>
      <c r="G335" s="3">
        <f t="shared" si="342"/>
        <v>0.12480840817007507</v>
      </c>
      <c r="H335" s="3">
        <f t="shared" si="342"/>
        <v>0.12480624566300763</v>
      </c>
      <c r="I335" s="3">
        <f t="shared" si="342"/>
        <v>0.12478462265301689</v>
      </c>
      <c r="J335" s="3">
        <f t="shared" si="342"/>
        <v>0.1245685984894353</v>
      </c>
      <c r="K335" s="3">
        <f t="shared" si="342"/>
        <v>0.12242881907207639</v>
      </c>
      <c r="L335" s="3">
        <f t="shared" si="342"/>
        <v>0.10295192738060194</v>
      </c>
      <c r="M335" s="3">
        <f t="shared" si="342"/>
        <v>1.8202988429410136E-2</v>
      </c>
      <c r="N335" s="3">
        <f t="shared" si="342"/>
        <v>5.4353161219795177E-10</v>
      </c>
      <c r="O335" s="3">
        <f t="shared" si="342"/>
        <v>3.0622874756199869E-85</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8.8034867703965958E-2</v>
      </c>
      <c r="C336" s="3">
        <f t="shared" si="343"/>
        <v>8.8034867702589961E-2</v>
      </c>
      <c r="D336" s="3">
        <f t="shared" si="343"/>
        <v>8.803486768882994E-2</v>
      </c>
      <c r="E336" s="3">
        <f t="shared" si="343"/>
        <v>8.8034867551229842E-2</v>
      </c>
      <c r="F336" s="3">
        <f t="shared" si="343"/>
        <v>8.8034866175228821E-2</v>
      </c>
      <c r="G336" s="3">
        <f t="shared" si="343"/>
        <v>8.8034852415219786E-2</v>
      </c>
      <c r="H336" s="3">
        <f t="shared" si="343"/>
        <v>8.8034714815247689E-2</v>
      </c>
      <c r="I336" s="3">
        <f t="shared" si="343"/>
        <v>8.8033338827355631E-2</v>
      </c>
      <c r="J336" s="3">
        <f t="shared" si="343"/>
        <v>8.8019580131252037E-2</v>
      </c>
      <c r="K336" s="3">
        <f t="shared" si="343"/>
        <v>8.7882111383548789E-2</v>
      </c>
      <c r="L336" s="3">
        <f t="shared" si="343"/>
        <v>8.6519177159920663E-2</v>
      </c>
      <c r="M336" s="3">
        <f t="shared" si="343"/>
        <v>7.3999938872078064E-2</v>
      </c>
      <c r="N336" s="3">
        <f t="shared" si="343"/>
        <v>1.5503193458646996E-2</v>
      </c>
      <c r="O336" s="3">
        <f t="shared" si="343"/>
        <v>2.5253362992783291E-9</v>
      </c>
      <c r="P336" s="3">
        <f t="shared" si="343"/>
        <v>3.3212362551241329E-77</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5.3040160566793455E-2</v>
      </c>
      <c r="C337" s="3">
        <f t="shared" si="344"/>
        <v>5.3040160566718668E-2</v>
      </c>
      <c r="D337" s="3">
        <f t="shared" si="344"/>
        <v>5.3040160565970815E-2</v>
      </c>
      <c r="E337" s="3">
        <f t="shared" si="344"/>
        <v>5.3040160558492297E-2</v>
      </c>
      <c r="F337" s="3">
        <f t="shared" si="344"/>
        <v>5.3040160483707133E-2</v>
      </c>
      <c r="G337" s="3">
        <f t="shared" si="344"/>
        <v>5.304015973585547E-2</v>
      </c>
      <c r="H337" s="3">
        <f t="shared" si="344"/>
        <v>5.3040152257339448E-2</v>
      </c>
      <c r="I337" s="3">
        <f t="shared" si="344"/>
        <v>5.304007747223724E-2</v>
      </c>
      <c r="J337" s="3">
        <f t="shared" si="344"/>
        <v>5.3039329627014561E-2</v>
      </c>
      <c r="K337" s="3">
        <f t="shared" si="344"/>
        <v>5.3031851754701799E-2</v>
      </c>
      <c r="L337" s="3">
        <f t="shared" si="344"/>
        <v>5.2957130992735232E-2</v>
      </c>
      <c r="M337" s="3">
        <f t="shared" si="344"/>
        <v>5.221568936513088E-2</v>
      </c>
      <c r="N337" s="3">
        <f t="shared" si="344"/>
        <v>4.5348892923634275E-2</v>
      </c>
      <c r="O337" s="3">
        <f t="shared" si="344"/>
        <v>1.1071932318495395E-2</v>
      </c>
      <c r="P337" s="3">
        <f t="shared" si="344"/>
        <v>8.3327960460602955E-9</v>
      </c>
      <c r="Q337" s="3">
        <f t="shared" si="344"/>
        <v>4.858073154795631E-70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2.94189885847858E-2</v>
      </c>
      <c r="C338" s="3">
        <f t="shared" si="345"/>
        <v>2.941898858478206E-2</v>
      </c>
      <c r="D338" s="3">
        <f t="shared" si="345"/>
        <v>2.9418988584744642E-2</v>
      </c>
      <c r="E338" s="3">
        <f t="shared" si="345"/>
        <v>2.9418988584370455E-2</v>
      </c>
      <c r="F338" s="3">
        <f t="shared" si="345"/>
        <v>2.9418988580628618E-2</v>
      </c>
      <c r="G338" s="3">
        <f t="shared" si="345"/>
        <v>2.9418988543210241E-2</v>
      </c>
      <c r="H338" s="3">
        <f t="shared" si="345"/>
        <v>2.9418988169026456E-2</v>
      </c>
      <c r="I338" s="3">
        <f t="shared" si="345"/>
        <v>2.9418984427188891E-2</v>
      </c>
      <c r="J338" s="3">
        <f t="shared" si="345"/>
        <v>2.9418947008839427E-2</v>
      </c>
      <c r="K338" s="3">
        <f t="shared" si="345"/>
        <v>2.9418572827962345E-2</v>
      </c>
      <c r="L338" s="3">
        <f t="shared" si="345"/>
        <v>2.9414831280938816E-2</v>
      </c>
      <c r="M338" s="3">
        <f t="shared" si="345"/>
        <v>2.9377441973117355E-2</v>
      </c>
      <c r="N338" s="3">
        <f t="shared" si="345"/>
        <v>2.9006152865829856E-2</v>
      </c>
      <c r="O338" s="3">
        <f t="shared" si="345"/>
        <v>2.5541810269609975E-2</v>
      </c>
      <c r="P338" s="3">
        <f t="shared" si="345"/>
        <v>7.1592430343006101E-3</v>
      </c>
      <c r="Q338" s="3">
        <f t="shared" si="345"/>
        <v>2.1429962772519497E-8</v>
      </c>
      <c r="R338" s="3">
        <f t="shared" si="345"/>
        <v>1.2375550488050884E-63</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6.3753391533418451E-3</v>
      </c>
      <c r="C339" s="3">
        <f t="shared" si="346"/>
        <v>6.3753391533417714E-3</v>
      </c>
      <c r="D339" s="3">
        <f t="shared" si="346"/>
        <v>6.3753391533410402E-3</v>
      </c>
      <c r="E339" s="3">
        <f t="shared" si="346"/>
        <v>6.3753391533337249E-3</v>
      </c>
      <c r="F339" s="3">
        <f t="shared" si="346"/>
        <v>6.3753391532605768E-3</v>
      </c>
      <c r="G339" s="3">
        <f t="shared" si="346"/>
        <v>6.3753391525290882E-3</v>
      </c>
      <c r="H339" s="3">
        <f t="shared" si="346"/>
        <v>6.3753391452142103E-3</v>
      </c>
      <c r="I339" s="3">
        <f t="shared" si="346"/>
        <v>6.3753390720654264E-3</v>
      </c>
      <c r="J339" s="3">
        <f t="shared" si="346"/>
        <v>6.3753383405776385E-3</v>
      </c>
      <c r="K339" s="3">
        <f t="shared" si="346"/>
        <v>6.3753310257043715E-3</v>
      </c>
      <c r="L339" s="3">
        <f t="shared" si="346"/>
        <v>6.375257877433314E-3</v>
      </c>
      <c r="M339" s="3">
        <f t="shared" si="346"/>
        <v>6.3745264408813836E-3</v>
      </c>
      <c r="N339" s="3">
        <f t="shared" si="346"/>
        <v>6.3672166892684854E-3</v>
      </c>
      <c r="O339" s="3">
        <f t="shared" si="346"/>
        <v>6.2945786110476945E-3</v>
      </c>
      <c r="P339" s="3">
        <f t="shared" si="346"/>
        <v>5.6122496066006002E-3</v>
      </c>
      <c r="Q339" s="3">
        <f t="shared" si="346"/>
        <v>1.7817228226694535E-3</v>
      </c>
      <c r="R339" s="3">
        <f t="shared" si="346"/>
        <v>1.8529845227863729E-8</v>
      </c>
      <c r="S339" s="3">
        <f t="shared" si="346"/>
        <v>2.7427629852727112E-58</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3.2709514210797807E-3</v>
      </c>
      <c r="C340" s="3">
        <f t="shared" si="347"/>
        <v>3.2709514210797776E-3</v>
      </c>
      <c r="D340" s="3">
        <f t="shared" si="347"/>
        <v>3.2709514210797434E-3</v>
      </c>
      <c r="E340" s="3">
        <f t="shared" si="347"/>
        <v>3.2709514210794047E-3</v>
      </c>
      <c r="F340" s="3">
        <f t="shared" si="347"/>
        <v>3.2709514210760193E-3</v>
      </c>
      <c r="G340" s="3">
        <f t="shared" si="347"/>
        <v>3.2709514210421645E-3</v>
      </c>
      <c r="H340" s="3">
        <f t="shared" si="347"/>
        <v>3.2709514207036128E-3</v>
      </c>
      <c r="I340" s="3">
        <f t="shared" si="347"/>
        <v>3.2709514173181E-3</v>
      </c>
      <c r="J340" s="3">
        <f t="shared" si="347"/>
        <v>3.2709513834629687E-3</v>
      </c>
      <c r="K340" s="3">
        <f t="shared" si="347"/>
        <v>3.270951044911677E-3</v>
      </c>
      <c r="L340" s="3">
        <f t="shared" si="347"/>
        <v>3.270947659400687E-3</v>
      </c>
      <c r="M340" s="3">
        <f t="shared" si="347"/>
        <v>3.2709138044835114E-3</v>
      </c>
      <c r="N340" s="3">
        <f t="shared" si="347"/>
        <v>3.270575274583415E-3</v>
      </c>
      <c r="O340" s="3">
        <f t="shared" si="347"/>
        <v>3.2671919020106129E-3</v>
      </c>
      <c r="P340" s="3">
        <f t="shared" si="347"/>
        <v>3.2335500833940451E-3</v>
      </c>
      <c r="Q340" s="3">
        <f t="shared" si="347"/>
        <v>2.9156075892925923E-3</v>
      </c>
      <c r="R340" s="3">
        <f t="shared" si="347"/>
        <v>1.035675904849217E-3</v>
      </c>
      <c r="S340" s="3">
        <f t="shared" si="347"/>
        <v>3.3126219605305694E-8</v>
      </c>
      <c r="T340" s="3">
        <f t="shared" si="347"/>
        <v>3.7123756760688877E-53</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1.2755053961347703E-3</v>
      </c>
      <c r="C341" s="3">
        <f t="shared" si="348"/>
        <v>1.2755053961347701E-3</v>
      </c>
      <c r="D341" s="3">
        <f t="shared" si="348"/>
        <v>1.275505396134769E-3</v>
      </c>
      <c r="E341" s="3">
        <f t="shared" si="348"/>
        <v>1.2755053961347571E-3</v>
      </c>
      <c r="F341" s="3">
        <f t="shared" si="348"/>
        <v>1.275505396134638E-3</v>
      </c>
      <c r="G341" s="3">
        <f t="shared" si="348"/>
        <v>1.2755053961334471E-3</v>
      </c>
      <c r="H341" s="3">
        <f t="shared" si="348"/>
        <v>1.275505396121538E-3</v>
      </c>
      <c r="I341" s="3">
        <f t="shared" si="348"/>
        <v>1.2755053960024469E-3</v>
      </c>
      <c r="J341" s="3">
        <f t="shared" si="348"/>
        <v>1.2755053948115358E-3</v>
      </c>
      <c r="K341" s="3">
        <f t="shared" si="348"/>
        <v>1.275505382902426E-3</v>
      </c>
      <c r="L341" s="3">
        <f t="shared" si="348"/>
        <v>1.2755052638113349E-3</v>
      </c>
      <c r="M341" s="3">
        <f t="shared" si="348"/>
        <v>1.2755040729010337E-3</v>
      </c>
      <c r="N341" s="3">
        <f t="shared" si="348"/>
        <v>1.2754921638591782E-3</v>
      </c>
      <c r="O341" s="3">
        <f t="shared" si="348"/>
        <v>1.2753730795559883E-3</v>
      </c>
      <c r="P341" s="3">
        <f t="shared" si="348"/>
        <v>1.2741828478492869E-3</v>
      </c>
      <c r="Q341" s="3">
        <f t="shared" si="348"/>
        <v>1.2623414526397696E-3</v>
      </c>
      <c r="R341" s="3">
        <f t="shared" si="348"/>
        <v>1.1498143785483817E-3</v>
      </c>
      <c r="S341" s="3">
        <f t="shared" si="348"/>
        <v>4.5199814241659182E-4</v>
      </c>
      <c r="T341" s="3">
        <f t="shared" si="348"/>
        <v>3.9831420739953844E-8</v>
      </c>
      <c r="U341" s="3">
        <f t="shared" si="348"/>
        <v>1.1249086910847407E-48</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0</v>
      </c>
      <c r="C342" s="3">
        <f t="shared" si="349"/>
        <v>0</v>
      </c>
      <c r="D342" s="3">
        <f t="shared" si="349"/>
        <v>0</v>
      </c>
      <c r="E342" s="3">
        <f t="shared" si="349"/>
        <v>0</v>
      </c>
      <c r="F342" s="3">
        <f t="shared" si="349"/>
        <v>0</v>
      </c>
      <c r="G342" s="3">
        <f t="shared" si="349"/>
        <v>0</v>
      </c>
      <c r="H342" s="3">
        <f t="shared" si="349"/>
        <v>0</v>
      </c>
      <c r="I342" s="3">
        <f t="shared" si="349"/>
        <v>0</v>
      </c>
      <c r="J342" s="3">
        <f t="shared" si="349"/>
        <v>0</v>
      </c>
      <c r="K342" s="3">
        <f t="shared" si="349"/>
        <v>0</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1.0163894385292978E-5</v>
      </c>
      <c r="C343" s="3">
        <f t="shared" si="350"/>
        <v>1.0163894385292978E-5</v>
      </c>
      <c r="D343" s="3">
        <f t="shared" si="350"/>
        <v>1.0163894385292978E-5</v>
      </c>
      <c r="E343" s="3">
        <f t="shared" si="350"/>
        <v>1.0163894385292976E-5</v>
      </c>
      <c r="F343" s="3">
        <f t="shared" si="350"/>
        <v>1.016389438529297E-5</v>
      </c>
      <c r="G343" s="3">
        <f t="shared" si="350"/>
        <v>1.0163894385292892E-5</v>
      </c>
      <c r="H343" s="3">
        <f t="shared" si="350"/>
        <v>1.0163894385292121E-5</v>
      </c>
      <c r="I343" s="3">
        <f t="shared" si="350"/>
        <v>1.0163894385284398E-5</v>
      </c>
      <c r="J343" s="3">
        <f t="shared" si="350"/>
        <v>1.0163894385207174E-5</v>
      </c>
      <c r="K343" s="3">
        <f t="shared" si="350"/>
        <v>1.0163894384434937E-5</v>
      </c>
      <c r="L343" s="3">
        <f t="shared" si="350"/>
        <v>1.0163894376712573E-5</v>
      </c>
      <c r="M343" s="3">
        <f t="shared" si="350"/>
        <v>1.0163894299488922E-5</v>
      </c>
      <c r="N343" s="3">
        <f t="shared" si="350"/>
        <v>1.0163893527252458E-5</v>
      </c>
      <c r="O343" s="3">
        <f t="shared" si="350"/>
        <v>1.0163885804891046E-5</v>
      </c>
      <c r="P343" s="3">
        <f t="shared" si="350"/>
        <v>1.0163808581599613E-5</v>
      </c>
      <c r="Q343" s="3">
        <f t="shared" si="350"/>
        <v>1.0163036380954578E-5</v>
      </c>
      <c r="R343" s="3">
        <f t="shared" si="350"/>
        <v>1.0155317600527915E-5</v>
      </c>
      <c r="S343" s="3">
        <f t="shared" si="350"/>
        <v>1.007845149356788E-5</v>
      </c>
      <c r="T343" s="3">
        <f t="shared" si="350"/>
        <v>9.3410738849277873E-6</v>
      </c>
      <c r="U343" s="3">
        <f t="shared" si="350"/>
        <v>4.3694500605683167E-6</v>
      </c>
      <c r="V343" s="3">
        <f t="shared" si="350"/>
        <v>2.1914244783439927E-9</v>
      </c>
      <c r="W343" s="3">
        <f t="shared" si="350"/>
        <v>2.2066009060774867E-42</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2.5019775067814324E-5</v>
      </c>
      <c r="C344" s="3">
        <f t="shared" si="351"/>
        <v>2.5019775067814324E-5</v>
      </c>
      <c r="D344" s="3">
        <f t="shared" si="351"/>
        <v>2.5019775067814324E-5</v>
      </c>
      <c r="E344" s="3">
        <f t="shared" si="351"/>
        <v>2.5019775067814324E-5</v>
      </c>
      <c r="F344" s="3">
        <f t="shared" si="351"/>
        <v>2.5019775067814321E-5</v>
      </c>
      <c r="G344" s="3">
        <f t="shared" si="351"/>
        <v>2.5019775067814304E-5</v>
      </c>
      <c r="H344" s="3">
        <f t="shared" si="351"/>
        <v>2.5019775067814131E-5</v>
      </c>
      <c r="I344" s="3">
        <f t="shared" si="351"/>
        <v>2.501977506781242E-5</v>
      </c>
      <c r="J344" s="3">
        <f t="shared" si="351"/>
        <v>2.5019775067795272E-5</v>
      </c>
      <c r="K344" s="3">
        <f t="shared" si="351"/>
        <v>2.5019775067623786E-5</v>
      </c>
      <c r="L344" s="3">
        <f t="shared" si="351"/>
        <v>2.5019775065908961E-5</v>
      </c>
      <c r="M344" s="3">
        <f t="shared" si="351"/>
        <v>2.5019775048760697E-5</v>
      </c>
      <c r="N344" s="3">
        <f t="shared" si="351"/>
        <v>2.501977487727805E-5</v>
      </c>
      <c r="O344" s="3">
        <f t="shared" si="351"/>
        <v>2.5019773162451676E-5</v>
      </c>
      <c r="P344" s="3">
        <f t="shared" si="351"/>
        <v>2.5019756014194375E-5</v>
      </c>
      <c r="Q344" s="3">
        <f t="shared" si="351"/>
        <v>2.5019584532267803E-5</v>
      </c>
      <c r="R344" s="3">
        <f t="shared" si="351"/>
        <v>2.501786977764296E-5</v>
      </c>
      <c r="S344" s="3">
        <f t="shared" si="351"/>
        <v>2.5000728693845629E-5</v>
      </c>
      <c r="T344" s="3">
        <f t="shared" si="351"/>
        <v>2.4829962465145074E-5</v>
      </c>
      <c r="U344" s="3">
        <f t="shared" si="351"/>
        <v>2.3185155954035177E-5</v>
      </c>
      <c r="V344" s="3">
        <f t="shared" si="351"/>
        <v>1.1682871667660416E-5</v>
      </c>
      <c r="W344" s="3">
        <f t="shared" si="351"/>
        <v>1.2329499647174093E-8</v>
      </c>
      <c r="X344" s="3">
        <f t="shared" si="351"/>
        <v>2.1130215011506473E-38</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2.3706614690246962E-5</v>
      </c>
      <c r="C345" s="3">
        <f t="shared" si="352"/>
        <v>2.3706614690246962E-5</v>
      </c>
      <c r="D345" s="3">
        <f t="shared" si="352"/>
        <v>2.3706614690246962E-5</v>
      </c>
      <c r="E345" s="3">
        <f t="shared" si="352"/>
        <v>2.3706614690246962E-5</v>
      </c>
      <c r="F345" s="3">
        <f t="shared" si="352"/>
        <v>2.3706614690246962E-5</v>
      </c>
      <c r="G345" s="3">
        <f t="shared" si="352"/>
        <v>2.3706614690246958E-5</v>
      </c>
      <c r="H345" s="3">
        <f t="shared" si="352"/>
        <v>2.3706614690246945E-5</v>
      </c>
      <c r="I345" s="3">
        <f t="shared" si="352"/>
        <v>2.3706614690246799E-5</v>
      </c>
      <c r="J345" s="3">
        <f t="shared" si="352"/>
        <v>2.3706614690245332E-5</v>
      </c>
      <c r="K345" s="3">
        <f t="shared" si="352"/>
        <v>2.3706614690230675E-5</v>
      </c>
      <c r="L345" s="3">
        <f t="shared" si="352"/>
        <v>2.3706614690084104E-5</v>
      </c>
      <c r="M345" s="3">
        <f t="shared" si="352"/>
        <v>2.3706614688618378E-5</v>
      </c>
      <c r="N345" s="3">
        <f t="shared" si="352"/>
        <v>2.3706614673961113E-5</v>
      </c>
      <c r="O345" s="3">
        <f t="shared" si="352"/>
        <v>2.3706614527388476E-5</v>
      </c>
      <c r="P345" s="3">
        <f t="shared" si="352"/>
        <v>2.3706613061662152E-5</v>
      </c>
      <c r="Q345" s="3">
        <f t="shared" si="352"/>
        <v>2.3706598404403896E-5</v>
      </c>
      <c r="R345" s="3">
        <f t="shared" si="352"/>
        <v>2.3706451832319758E-5</v>
      </c>
      <c r="S345" s="3">
        <f t="shared" si="352"/>
        <v>2.3704986161319528E-5</v>
      </c>
      <c r="T345" s="3">
        <f t="shared" si="352"/>
        <v>2.3690334434290677E-5</v>
      </c>
      <c r="U345" s="3">
        <f t="shared" si="352"/>
        <v>2.3544314323311106E-5</v>
      </c>
      <c r="V345" s="3">
        <f t="shared" si="352"/>
        <v>2.2132710394004012E-5</v>
      </c>
      <c r="W345" s="3">
        <f t="shared" si="352"/>
        <v>1.1926695836842448E-5</v>
      </c>
      <c r="X345" s="3">
        <f t="shared" si="352"/>
        <v>2.462496191692119E-8</v>
      </c>
      <c r="Y345" s="3">
        <f t="shared" si="352"/>
        <v>3.4668081248085422E-35</v>
      </c>
      <c r="Z345" s="3">
        <f t="shared" si="352"/>
        <v>1.0604060271600854E-303</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3.9478614411466939E-5</v>
      </c>
      <c r="C346" s="3">
        <f t="shared" si="353"/>
        <v>3.9478614411466939E-5</v>
      </c>
      <c r="D346" s="3">
        <f t="shared" si="353"/>
        <v>3.9478614411466939E-5</v>
      </c>
      <c r="E346" s="3">
        <f t="shared" si="353"/>
        <v>3.9478614411466939E-5</v>
      </c>
      <c r="F346" s="3">
        <f t="shared" si="353"/>
        <v>3.9478614411466939E-5</v>
      </c>
      <c r="G346" s="3">
        <f t="shared" si="353"/>
        <v>3.9478614411466939E-5</v>
      </c>
      <c r="H346" s="3">
        <f t="shared" si="353"/>
        <v>3.9478614411466932E-5</v>
      </c>
      <c r="I346" s="3">
        <f t="shared" si="353"/>
        <v>3.9478614411466912E-5</v>
      </c>
      <c r="J346" s="3">
        <f t="shared" si="353"/>
        <v>3.9478614411466695E-5</v>
      </c>
      <c r="K346" s="3">
        <f t="shared" si="353"/>
        <v>3.9478614411464493E-5</v>
      </c>
      <c r="L346" s="3">
        <f t="shared" si="353"/>
        <v>3.947861441144247E-5</v>
      </c>
      <c r="M346" s="3">
        <f t="shared" si="353"/>
        <v>3.9478614411222289E-5</v>
      </c>
      <c r="N346" s="3">
        <f t="shared" si="353"/>
        <v>3.9478614409020416E-5</v>
      </c>
      <c r="O346" s="3">
        <f t="shared" si="353"/>
        <v>3.9478614387001707E-5</v>
      </c>
      <c r="P346" s="3">
        <f t="shared" si="353"/>
        <v>3.9478614166814618E-5</v>
      </c>
      <c r="Q346" s="3">
        <f t="shared" si="353"/>
        <v>3.9478611964943771E-5</v>
      </c>
      <c r="R346" s="3">
        <f t="shared" si="353"/>
        <v>3.9478589946242076E-5</v>
      </c>
      <c r="S346" s="3">
        <f t="shared" si="353"/>
        <v>3.9478369759900586E-5</v>
      </c>
      <c r="T346" s="3">
        <f t="shared" si="353"/>
        <v>3.9476167964027729E-5</v>
      </c>
      <c r="U346" s="3">
        <f t="shared" si="353"/>
        <v>3.945415675811529E-5</v>
      </c>
      <c r="V346" s="3">
        <f t="shared" si="353"/>
        <v>3.9234718589147195E-5</v>
      </c>
      <c r="W346" s="3">
        <f t="shared" si="353"/>
        <v>3.7106355758894437E-5</v>
      </c>
      <c r="X346" s="3">
        <f t="shared" si="353"/>
        <v>2.1243492858865217E-5</v>
      </c>
      <c r="Y346" s="3">
        <f t="shared" si="353"/>
        <v>8.035300720306219E-8</v>
      </c>
      <c r="Z346" s="3">
        <f t="shared" si="353"/>
        <v>4.8168623142484955E-32</v>
      </c>
      <c r="AA346" s="3">
        <f t="shared" si="353"/>
        <v>2.8865907124053749E-274</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0</v>
      </c>
      <c r="C347" s="3">
        <f t="shared" si="354"/>
        <v>0</v>
      </c>
      <c r="D347" s="3">
        <f t="shared" si="354"/>
        <v>0</v>
      </c>
      <c r="E347" s="3">
        <f t="shared" si="354"/>
        <v>0</v>
      </c>
      <c r="F347" s="3">
        <f t="shared" si="354"/>
        <v>0</v>
      </c>
      <c r="G347" s="3">
        <f t="shared" si="354"/>
        <v>0</v>
      </c>
      <c r="H347" s="3">
        <f t="shared" si="354"/>
        <v>0</v>
      </c>
      <c r="I347" s="3">
        <f t="shared" si="354"/>
        <v>0</v>
      </c>
      <c r="J347" s="3">
        <f t="shared" si="354"/>
        <v>0</v>
      </c>
      <c r="K347" s="3">
        <f t="shared" si="354"/>
        <v>0</v>
      </c>
      <c r="L347" s="3">
        <f t="shared" si="354"/>
        <v>0</v>
      </c>
      <c r="M347" s="3">
        <f t="shared" si="354"/>
        <v>0</v>
      </c>
      <c r="N347" s="3">
        <f t="shared" si="354"/>
        <v>0</v>
      </c>
      <c r="O347" s="3">
        <f t="shared" si="354"/>
        <v>0</v>
      </c>
      <c r="P347" s="3">
        <f t="shared" si="354"/>
        <v>0</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6.5441532530599776E-5</v>
      </c>
      <c r="C348" s="3">
        <f t="shared" si="355"/>
        <v>6.5441532530599776E-5</v>
      </c>
      <c r="D348" s="3">
        <f t="shared" si="355"/>
        <v>6.5441532530599776E-5</v>
      </c>
      <c r="E348" s="3">
        <f t="shared" si="355"/>
        <v>6.5441532530599776E-5</v>
      </c>
      <c r="F348" s="3">
        <f t="shared" si="355"/>
        <v>6.5441532530599776E-5</v>
      </c>
      <c r="G348" s="3">
        <f t="shared" si="355"/>
        <v>6.5441532530599776E-5</v>
      </c>
      <c r="H348" s="3">
        <f t="shared" si="355"/>
        <v>6.5441532530599776E-5</v>
      </c>
      <c r="I348" s="3">
        <f t="shared" si="355"/>
        <v>6.5441532530599776E-5</v>
      </c>
      <c r="J348" s="3">
        <f t="shared" si="355"/>
        <v>6.5441532530599762E-5</v>
      </c>
      <c r="K348" s="3">
        <f t="shared" si="355"/>
        <v>6.5441532530599667E-5</v>
      </c>
      <c r="L348" s="3">
        <f t="shared" si="355"/>
        <v>6.5441532530598759E-5</v>
      </c>
      <c r="M348" s="3">
        <f t="shared" si="355"/>
        <v>6.5441532530589652E-5</v>
      </c>
      <c r="N348" s="3">
        <f t="shared" si="355"/>
        <v>6.5441532530498593E-5</v>
      </c>
      <c r="O348" s="3">
        <f t="shared" si="355"/>
        <v>6.5441532529587971E-5</v>
      </c>
      <c r="P348" s="3">
        <f t="shared" si="355"/>
        <v>6.5441532520481649E-5</v>
      </c>
      <c r="Q348" s="3">
        <f t="shared" si="355"/>
        <v>6.5441532429418451E-5</v>
      </c>
      <c r="R348" s="3">
        <f t="shared" si="355"/>
        <v>6.5441531518786543E-5</v>
      </c>
      <c r="S348" s="3">
        <f t="shared" si="355"/>
        <v>6.5441522412468142E-5</v>
      </c>
      <c r="T348" s="3">
        <f t="shared" si="355"/>
        <v>6.5441431349353885E-5</v>
      </c>
      <c r="U348" s="3">
        <f t="shared" si="355"/>
        <v>6.5440520725180664E-5</v>
      </c>
      <c r="V348" s="3">
        <f t="shared" si="355"/>
        <v>6.5431415180347883E-5</v>
      </c>
      <c r="W348" s="3">
        <f t="shared" si="355"/>
        <v>6.5340429386097297E-5</v>
      </c>
      <c r="X348" s="3">
        <f t="shared" si="355"/>
        <v>6.4437501122154413E-5</v>
      </c>
      <c r="Y348" s="3">
        <f t="shared" si="355"/>
        <v>5.60667975863858E-5</v>
      </c>
      <c r="Z348" s="3">
        <f t="shared" si="355"/>
        <v>1.3943646289931938E-5</v>
      </c>
      <c r="AA348" s="3">
        <f t="shared" si="355"/>
        <v>1.2620670355932967E-11</v>
      </c>
      <c r="AB348" s="3">
        <f t="shared" si="355"/>
        <v>4.657395109079395E-72</v>
      </c>
      <c r="AC348" s="3">
        <f t="shared" si="355"/>
        <v>0</v>
      </c>
      <c r="AD348" s="3">
        <f t="shared" si="355"/>
        <v>0</v>
      </c>
      <c r="AE348" s="3">
        <f t="shared" si="355"/>
        <v>0</v>
      </c>
      <c r="AF348" s="3">
        <f t="shared" si="355"/>
        <v>0</v>
      </c>
      <c r="AG348" s="3"/>
      <c r="AH348" s="3"/>
    </row>
    <row r="349" spans="2:34" x14ac:dyDescent="0.25">
      <c r="B349" s="3">
        <f t="shared" ref="B349:AF349" si="356">$C40*EXP(-B$363/$A40/EXP(-$G$126))</f>
        <v>9.072554140189839E-6</v>
      </c>
      <c r="C349" s="3">
        <f t="shared" si="356"/>
        <v>9.072554140189839E-6</v>
      </c>
      <c r="D349" s="3">
        <f t="shared" si="356"/>
        <v>9.072554140189839E-6</v>
      </c>
      <c r="E349" s="3">
        <f t="shared" si="356"/>
        <v>9.072554140189839E-6</v>
      </c>
      <c r="F349" s="3">
        <f t="shared" si="356"/>
        <v>9.072554140189839E-6</v>
      </c>
      <c r="G349" s="3">
        <f t="shared" si="356"/>
        <v>9.072554140189839E-6</v>
      </c>
      <c r="H349" s="3">
        <f t="shared" si="356"/>
        <v>9.072554140189839E-6</v>
      </c>
      <c r="I349" s="3">
        <f t="shared" si="356"/>
        <v>9.072554140189839E-6</v>
      </c>
      <c r="J349" s="3">
        <f t="shared" si="356"/>
        <v>9.072554140189839E-6</v>
      </c>
      <c r="K349" s="3">
        <f t="shared" si="356"/>
        <v>9.0725541401898373E-6</v>
      </c>
      <c r="L349" s="3">
        <f t="shared" si="356"/>
        <v>9.0725541401898254E-6</v>
      </c>
      <c r="M349" s="3">
        <f t="shared" si="356"/>
        <v>9.0725541401896984E-6</v>
      </c>
      <c r="N349" s="3">
        <f t="shared" si="356"/>
        <v>9.0725541401884363E-6</v>
      </c>
      <c r="O349" s="3">
        <f t="shared" si="356"/>
        <v>9.0725541401758121E-6</v>
      </c>
      <c r="P349" s="3">
        <f t="shared" si="356"/>
        <v>9.0725541400495652E-6</v>
      </c>
      <c r="Q349" s="3">
        <f t="shared" si="356"/>
        <v>9.0725541387871016E-6</v>
      </c>
      <c r="R349" s="3">
        <f t="shared" si="356"/>
        <v>9.0725541261624618E-6</v>
      </c>
      <c r="S349" s="3">
        <f t="shared" si="356"/>
        <v>9.0725539999160719E-6</v>
      </c>
      <c r="T349" s="3">
        <f t="shared" si="356"/>
        <v>9.0725527374522581E-6</v>
      </c>
      <c r="U349" s="3">
        <f t="shared" si="356"/>
        <v>9.0725401128237952E-6</v>
      </c>
      <c r="V349" s="3">
        <f t="shared" si="356"/>
        <v>9.0724138675053646E-6</v>
      </c>
      <c r="W349" s="3">
        <f t="shared" si="356"/>
        <v>9.0711515109364264E-6</v>
      </c>
      <c r="X349" s="3">
        <f t="shared" si="356"/>
        <v>9.0585376018116567E-6</v>
      </c>
      <c r="Y349" s="3">
        <f t="shared" si="356"/>
        <v>8.9333592136756681E-6</v>
      </c>
      <c r="Z349" s="3">
        <f t="shared" si="356"/>
        <v>7.7728781234104164E-6</v>
      </c>
      <c r="AA349" s="3">
        <f t="shared" si="356"/>
        <v>1.9330917383072062E-6</v>
      </c>
      <c r="AB349" s="3">
        <f t="shared" si="356"/>
        <v>1.7496796095988585E-12</v>
      </c>
      <c r="AC349" s="3">
        <f t="shared" si="356"/>
        <v>6.4568275902799843E-73</v>
      </c>
      <c r="AD349" s="3">
        <f t="shared" si="356"/>
        <v>0</v>
      </c>
      <c r="AE349" s="3">
        <f t="shared" si="356"/>
        <v>0</v>
      </c>
      <c r="AF349" s="3">
        <f t="shared" si="356"/>
        <v>0</v>
      </c>
      <c r="AG349" s="3"/>
      <c r="AH349" s="3"/>
    </row>
    <row r="350" spans="2:34" x14ac:dyDescent="0.25">
      <c r="B350" s="3">
        <f t="shared" ref="B350:AF350" si="357">$C41*EXP(-B$363/$A41/EXP(-$G$126))</f>
        <v>3.4648583404177175E-7</v>
      </c>
      <c r="C350" s="3">
        <f t="shared" si="357"/>
        <v>3.4648583404177175E-7</v>
      </c>
      <c r="D350" s="3">
        <f t="shared" si="357"/>
        <v>3.4648583404177175E-7</v>
      </c>
      <c r="E350" s="3">
        <f t="shared" si="357"/>
        <v>3.4648583404177175E-7</v>
      </c>
      <c r="F350" s="3">
        <f t="shared" si="357"/>
        <v>3.4648583404177175E-7</v>
      </c>
      <c r="G350" s="3">
        <f t="shared" si="357"/>
        <v>3.4648583404177175E-7</v>
      </c>
      <c r="H350" s="3">
        <f t="shared" si="357"/>
        <v>3.4648583404177175E-7</v>
      </c>
      <c r="I350" s="3">
        <f t="shared" si="357"/>
        <v>3.4648583404177175E-7</v>
      </c>
      <c r="J350" s="3">
        <f t="shared" si="357"/>
        <v>3.4648583404177175E-7</v>
      </c>
      <c r="K350" s="3">
        <f t="shared" si="357"/>
        <v>3.4648583404177175E-7</v>
      </c>
      <c r="L350" s="3">
        <f t="shared" si="357"/>
        <v>3.464858340417717E-7</v>
      </c>
      <c r="M350" s="3">
        <f t="shared" si="357"/>
        <v>3.4648583404177122E-7</v>
      </c>
      <c r="N350" s="3">
        <f t="shared" si="357"/>
        <v>3.464858340417664E-7</v>
      </c>
      <c r="O350" s="3">
        <f t="shared" si="357"/>
        <v>3.4648583404171818E-7</v>
      </c>
      <c r="P350" s="3">
        <f t="shared" si="357"/>
        <v>3.4648583404123606E-7</v>
      </c>
      <c r="Q350" s="3">
        <f t="shared" si="357"/>
        <v>3.4648583403641464E-7</v>
      </c>
      <c r="R350" s="3">
        <f t="shared" si="357"/>
        <v>3.4648583398820041E-7</v>
      </c>
      <c r="S350" s="3">
        <f t="shared" si="357"/>
        <v>3.4648583350605851E-7</v>
      </c>
      <c r="T350" s="3">
        <f t="shared" si="357"/>
        <v>3.464858286846394E-7</v>
      </c>
      <c r="U350" s="3">
        <f t="shared" si="357"/>
        <v>3.4648578047045181E-7</v>
      </c>
      <c r="V350" s="3">
        <f t="shared" si="357"/>
        <v>3.464852983289451E-7</v>
      </c>
      <c r="W350" s="3">
        <f t="shared" si="357"/>
        <v>3.4648047695077812E-7</v>
      </c>
      <c r="X350" s="3">
        <f t="shared" si="357"/>
        <v>3.4643226685890234E-7</v>
      </c>
      <c r="Y350" s="3">
        <f t="shared" si="357"/>
        <v>3.4595053472965973E-7</v>
      </c>
      <c r="Z350" s="3">
        <f t="shared" si="357"/>
        <v>3.4116990321761727E-7</v>
      </c>
      <c r="AA350" s="3">
        <f t="shared" si="357"/>
        <v>2.9685049192096044E-7</v>
      </c>
      <c r="AB350" s="3">
        <f t="shared" si="357"/>
        <v>7.3825837010945154E-8</v>
      </c>
      <c r="AC350" s="3">
        <f t="shared" si="357"/>
        <v>6.6821226908110439E-14</v>
      </c>
      <c r="AD350" s="3">
        <f t="shared" si="357"/>
        <v>2.4658979801197099E-74</v>
      </c>
      <c r="AE350" s="3">
        <f t="shared" si="357"/>
        <v>0</v>
      </c>
      <c r="AF350" s="3">
        <f t="shared" si="357"/>
        <v>0</v>
      </c>
      <c r="AG350" s="3"/>
      <c r="AH350" s="3"/>
    </row>
    <row r="351" spans="2:34" x14ac:dyDescent="0.25">
      <c r="B351" s="3">
        <f t="shared" ref="B351:AF351" si="358">$C42*EXP(-B$363/$A42/EXP(-$G$126))</f>
        <v>0</v>
      </c>
      <c r="C351" s="3">
        <f t="shared" si="358"/>
        <v>0</v>
      </c>
      <c r="D351" s="3">
        <f t="shared" si="358"/>
        <v>0</v>
      </c>
      <c r="E351" s="3">
        <f t="shared" si="358"/>
        <v>0</v>
      </c>
      <c r="F351" s="3">
        <f t="shared" si="358"/>
        <v>0</v>
      </c>
      <c r="G351" s="3">
        <f t="shared" si="358"/>
        <v>0</v>
      </c>
      <c r="H351" s="3">
        <f t="shared" si="358"/>
        <v>0</v>
      </c>
      <c r="I351" s="3">
        <f t="shared" si="358"/>
        <v>0</v>
      </c>
      <c r="J351" s="3">
        <f t="shared" si="358"/>
        <v>0</v>
      </c>
      <c r="K351" s="3">
        <f t="shared" si="358"/>
        <v>0</v>
      </c>
      <c r="L351" s="3">
        <f t="shared" si="358"/>
        <v>0</v>
      </c>
      <c r="M351" s="3">
        <f t="shared" si="358"/>
        <v>0</v>
      </c>
      <c r="N351" s="3">
        <f t="shared" si="358"/>
        <v>0</v>
      </c>
      <c r="O351" s="3">
        <f t="shared" si="358"/>
        <v>0</v>
      </c>
      <c r="P351" s="3">
        <f t="shared" si="358"/>
        <v>0</v>
      </c>
      <c r="Q351" s="3">
        <f t="shared" si="358"/>
        <v>0</v>
      </c>
      <c r="R351" s="3">
        <f t="shared" si="358"/>
        <v>0</v>
      </c>
      <c r="S351" s="3">
        <f t="shared" si="358"/>
        <v>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0</v>
      </c>
      <c r="C352" s="3">
        <f t="shared" si="359"/>
        <v>0</v>
      </c>
      <c r="D352" s="3">
        <f t="shared" si="359"/>
        <v>0</v>
      </c>
      <c r="E352" s="3">
        <f t="shared" si="359"/>
        <v>0</v>
      </c>
      <c r="F352" s="3">
        <f t="shared" si="359"/>
        <v>0</v>
      </c>
      <c r="G352" s="3">
        <f t="shared" si="359"/>
        <v>0</v>
      </c>
      <c r="H352" s="3">
        <f t="shared" si="359"/>
        <v>0</v>
      </c>
      <c r="I352" s="3">
        <f t="shared" si="359"/>
        <v>0</v>
      </c>
      <c r="J352" s="3">
        <f t="shared" si="359"/>
        <v>0</v>
      </c>
      <c r="K352" s="3">
        <f t="shared" si="359"/>
        <v>0</v>
      </c>
      <c r="L352" s="3">
        <f t="shared" si="359"/>
        <v>0</v>
      </c>
      <c r="M352" s="3">
        <f t="shared" si="359"/>
        <v>0</v>
      </c>
      <c r="N352" s="3">
        <f t="shared" si="359"/>
        <v>0</v>
      </c>
      <c r="O352" s="3">
        <f t="shared" si="359"/>
        <v>0</v>
      </c>
      <c r="P352" s="3">
        <f t="shared" si="359"/>
        <v>0</v>
      </c>
      <c r="Q352" s="3">
        <f t="shared" si="359"/>
        <v>0</v>
      </c>
      <c r="R352" s="3">
        <f t="shared" si="359"/>
        <v>0</v>
      </c>
      <c r="S352" s="3">
        <f t="shared" si="359"/>
        <v>0</v>
      </c>
      <c r="T352" s="3">
        <f t="shared" si="359"/>
        <v>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0</v>
      </c>
      <c r="C353" s="3">
        <f t="shared" si="360"/>
        <v>0</v>
      </c>
      <c r="D353" s="3">
        <f t="shared" si="360"/>
        <v>0</v>
      </c>
      <c r="E353" s="3">
        <f t="shared" si="360"/>
        <v>0</v>
      </c>
      <c r="F353" s="3">
        <f t="shared" si="360"/>
        <v>0</v>
      </c>
      <c r="G353" s="3">
        <f t="shared" si="360"/>
        <v>0</v>
      </c>
      <c r="H353" s="3">
        <f t="shared" si="360"/>
        <v>0</v>
      </c>
      <c r="I353" s="3">
        <f t="shared" si="360"/>
        <v>0</v>
      </c>
      <c r="J353" s="3">
        <f t="shared" si="360"/>
        <v>0</v>
      </c>
      <c r="K353" s="3">
        <f t="shared" si="360"/>
        <v>0</v>
      </c>
      <c r="L353" s="3">
        <f t="shared" si="360"/>
        <v>0</v>
      </c>
      <c r="M353" s="3">
        <f t="shared" si="360"/>
        <v>0</v>
      </c>
      <c r="N353" s="3">
        <f t="shared" si="360"/>
        <v>0</v>
      </c>
      <c r="O353" s="3">
        <f t="shared" si="360"/>
        <v>0</v>
      </c>
      <c r="P353" s="3">
        <f t="shared" si="360"/>
        <v>0</v>
      </c>
      <c r="Q353" s="3">
        <f t="shared" si="360"/>
        <v>0</v>
      </c>
      <c r="R353" s="3">
        <f t="shared" si="360"/>
        <v>0</v>
      </c>
      <c r="S353" s="3">
        <f t="shared" si="360"/>
        <v>0</v>
      </c>
      <c r="T353" s="3">
        <f t="shared" si="360"/>
        <v>0</v>
      </c>
      <c r="U353" s="3">
        <f t="shared" si="360"/>
        <v>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0</v>
      </c>
      <c r="C354" s="3">
        <f t="shared" si="361"/>
        <v>0</v>
      </c>
      <c r="D354" s="3">
        <f t="shared" si="361"/>
        <v>0</v>
      </c>
      <c r="E354" s="3">
        <f t="shared" si="361"/>
        <v>0</v>
      </c>
      <c r="F354" s="3">
        <f t="shared" si="361"/>
        <v>0</v>
      </c>
      <c r="G354" s="3">
        <f t="shared" si="361"/>
        <v>0</v>
      </c>
      <c r="H354" s="3">
        <f t="shared" si="361"/>
        <v>0</v>
      </c>
      <c r="I354" s="3">
        <f t="shared" si="361"/>
        <v>0</v>
      </c>
      <c r="J354" s="3">
        <f t="shared" si="361"/>
        <v>0</v>
      </c>
      <c r="K354" s="3">
        <f t="shared" si="361"/>
        <v>0</v>
      </c>
      <c r="L354" s="3">
        <f t="shared" si="361"/>
        <v>0</v>
      </c>
      <c r="M354" s="3">
        <f t="shared" si="361"/>
        <v>0</v>
      </c>
      <c r="N354" s="3">
        <f t="shared" si="361"/>
        <v>0</v>
      </c>
      <c r="O354" s="3">
        <f t="shared" si="361"/>
        <v>0</v>
      </c>
      <c r="P354" s="3">
        <f t="shared" si="361"/>
        <v>0</v>
      </c>
      <c r="Q354" s="3">
        <f t="shared" si="361"/>
        <v>0</v>
      </c>
      <c r="R354" s="3">
        <f t="shared" si="361"/>
        <v>0</v>
      </c>
      <c r="S354" s="3">
        <f t="shared" si="361"/>
        <v>0</v>
      </c>
      <c r="T354" s="3">
        <f t="shared" si="361"/>
        <v>0</v>
      </c>
      <c r="U354" s="3">
        <f t="shared" si="361"/>
        <v>0</v>
      </c>
      <c r="V354" s="3">
        <f t="shared" si="361"/>
        <v>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0</v>
      </c>
      <c r="C355" s="3">
        <f t="shared" si="362"/>
        <v>0</v>
      </c>
      <c r="D355" s="3">
        <f t="shared" si="362"/>
        <v>0</v>
      </c>
      <c r="E355" s="3">
        <f t="shared" si="362"/>
        <v>0</v>
      </c>
      <c r="F355" s="3">
        <f t="shared" si="362"/>
        <v>0</v>
      </c>
      <c r="G355" s="3">
        <f t="shared" si="362"/>
        <v>0</v>
      </c>
      <c r="H355" s="3">
        <f t="shared" si="362"/>
        <v>0</v>
      </c>
      <c r="I355" s="3">
        <f t="shared" si="362"/>
        <v>0</v>
      </c>
      <c r="J355" s="3">
        <f t="shared" si="362"/>
        <v>0</v>
      </c>
      <c r="K355" s="3">
        <f t="shared" si="362"/>
        <v>0</v>
      </c>
      <c r="L355" s="3">
        <f t="shared" si="362"/>
        <v>0</v>
      </c>
      <c r="M355" s="3">
        <f t="shared" si="362"/>
        <v>0</v>
      </c>
      <c r="N355" s="3">
        <f t="shared" si="362"/>
        <v>0</v>
      </c>
      <c r="O355" s="3">
        <f t="shared" si="362"/>
        <v>0</v>
      </c>
      <c r="P355" s="3">
        <f t="shared" si="362"/>
        <v>0</v>
      </c>
      <c r="Q355" s="3">
        <f t="shared" si="362"/>
        <v>0</v>
      </c>
      <c r="R355" s="3">
        <f t="shared" si="362"/>
        <v>0</v>
      </c>
      <c r="S355" s="3">
        <f t="shared" si="362"/>
        <v>0</v>
      </c>
      <c r="T355" s="3">
        <f t="shared" si="362"/>
        <v>0</v>
      </c>
      <c r="U355" s="3">
        <f t="shared" si="362"/>
        <v>0</v>
      </c>
      <c r="V355" s="3">
        <f t="shared" si="362"/>
        <v>0</v>
      </c>
      <c r="W355" s="3">
        <f t="shared" si="362"/>
        <v>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2.6390969703261771E-3</v>
      </c>
      <c r="C357" s="3">
        <f t="shared" si="364"/>
        <v>2.6390969703261771E-3</v>
      </c>
      <c r="D357" s="3">
        <f t="shared" si="364"/>
        <v>2.6390969703261771E-3</v>
      </c>
      <c r="E357" s="3">
        <f t="shared" si="364"/>
        <v>2.6390969703261771E-3</v>
      </c>
      <c r="F357" s="3">
        <f t="shared" si="364"/>
        <v>2.6390969703261771E-3</v>
      </c>
      <c r="G357" s="3">
        <f t="shared" si="364"/>
        <v>2.6390969703261771E-3</v>
      </c>
      <c r="H357" s="3">
        <f t="shared" si="364"/>
        <v>2.6390969703261771E-3</v>
      </c>
      <c r="I357" s="3">
        <f t="shared" si="364"/>
        <v>2.6390969703261771E-3</v>
      </c>
      <c r="J357" s="3">
        <f t="shared" si="364"/>
        <v>2.6390969703261771E-3</v>
      </c>
      <c r="K357" s="3">
        <f t="shared" si="364"/>
        <v>2.6390969703261771E-3</v>
      </c>
      <c r="L357" s="3">
        <f t="shared" si="364"/>
        <v>2.6390969703261771E-3</v>
      </c>
      <c r="M357" s="3">
        <f t="shared" si="364"/>
        <v>2.6390969703261771E-3</v>
      </c>
      <c r="N357" s="3">
        <f t="shared" si="364"/>
        <v>2.6390969703261771E-3</v>
      </c>
      <c r="O357" s="3">
        <f t="shared" si="364"/>
        <v>2.6390969703261771E-3</v>
      </c>
      <c r="P357" s="3">
        <f t="shared" si="364"/>
        <v>2.6390969703261771E-3</v>
      </c>
      <c r="Q357" s="3">
        <f t="shared" si="364"/>
        <v>2.6390969703261771E-3</v>
      </c>
      <c r="R357" s="3">
        <f t="shared" si="364"/>
        <v>2.6390969703261771E-3</v>
      </c>
      <c r="S357" s="3">
        <f t="shared" si="364"/>
        <v>2.6390969703261767E-3</v>
      </c>
      <c r="T357" s="3">
        <f t="shared" si="364"/>
        <v>2.6390969703261732E-3</v>
      </c>
      <c r="U357" s="3">
        <f t="shared" si="364"/>
        <v>2.6390969703261363E-3</v>
      </c>
      <c r="V357" s="3">
        <f t="shared" si="364"/>
        <v>2.639096970325769E-3</v>
      </c>
      <c r="W357" s="3">
        <f t="shared" si="364"/>
        <v>2.6390969703220966E-3</v>
      </c>
      <c r="X357" s="3">
        <f t="shared" si="364"/>
        <v>2.6390969702853734E-3</v>
      </c>
      <c r="Y357" s="3">
        <f t="shared" si="364"/>
        <v>2.6390969699181376E-3</v>
      </c>
      <c r="Z357" s="3">
        <f t="shared" si="364"/>
        <v>2.6390969662457818E-3</v>
      </c>
      <c r="AA357" s="3">
        <f t="shared" si="364"/>
        <v>2.639096929522224E-3</v>
      </c>
      <c r="AB357" s="3">
        <f t="shared" si="364"/>
        <v>2.6390965622866721E-3</v>
      </c>
      <c r="AC357" s="3">
        <f t="shared" si="364"/>
        <v>2.6390928899339681E-3</v>
      </c>
      <c r="AD357" s="3">
        <f t="shared" si="364"/>
        <v>2.6390561666879845E-3</v>
      </c>
      <c r="AE357" s="3">
        <f t="shared" si="364"/>
        <v>2.6386889623324001E-3</v>
      </c>
      <c r="AF357" s="3">
        <f t="shared" si="364"/>
        <v>2.635019727755151E-3</v>
      </c>
      <c r="AG357" s="3"/>
      <c r="AH357" s="3"/>
    </row>
    <row r="358" spans="1:34" x14ac:dyDescent="0.25">
      <c r="A358" s="79">
        <f>AVERAGE(B358:AF358)</f>
        <v>2.36124767248563E-3</v>
      </c>
      <c r="B358" s="80">
        <f>IF($A$64&lt;=B324,IF($B$64&gt;=B324,ABS((B326-B325)/B325),0),0)</f>
        <v>0</v>
      </c>
      <c r="C358" s="80">
        <f t="shared" ref="C358:AF358" si="365">IF($A$64&lt;=C324,IF($B$64&gt;=C324,ABS((C326-C325)/C325),0),0)</f>
        <v>0</v>
      </c>
      <c r="D358" s="80">
        <f t="shared" si="365"/>
        <v>0</v>
      </c>
      <c r="E358" s="80">
        <f t="shared" si="365"/>
        <v>0</v>
      </c>
      <c r="F358" s="80">
        <f t="shared" si="365"/>
        <v>0</v>
      </c>
      <c r="G358" s="80">
        <f t="shared" si="365"/>
        <v>0</v>
      </c>
      <c r="H358" s="80">
        <f t="shared" si="365"/>
        <v>0</v>
      </c>
      <c r="I358" s="80">
        <f t="shared" si="365"/>
        <v>0</v>
      </c>
      <c r="J358" s="80">
        <f t="shared" si="365"/>
        <v>0</v>
      </c>
      <c r="K358" s="80">
        <f t="shared" si="365"/>
        <v>0</v>
      </c>
      <c r="L358" s="80">
        <f t="shared" si="365"/>
        <v>6.3758865238264933E-4</v>
      </c>
      <c r="M358" s="80">
        <f t="shared" si="365"/>
        <v>4.0648865881236082E-3</v>
      </c>
      <c r="N358" s="80">
        <f t="shared" si="365"/>
        <v>6.7450173819663256E-3</v>
      </c>
      <c r="O358" s="80">
        <f t="shared" si="365"/>
        <v>9.8924586145330614E-3</v>
      </c>
      <c r="P358" s="80">
        <f t="shared" si="365"/>
        <v>1.6515386617823914E-2</v>
      </c>
      <c r="Q358" s="80">
        <f t="shared" si="365"/>
        <v>2.1769456734978529E-2</v>
      </c>
      <c r="R358" s="80">
        <f t="shared" si="365"/>
        <v>7.6942580062502094E-4</v>
      </c>
      <c r="S358" s="80">
        <f t="shared" si="365"/>
        <v>9.1832945243397936E-3</v>
      </c>
      <c r="T358" s="80">
        <f t="shared" si="365"/>
        <v>6.4559388093341115E-4</v>
      </c>
      <c r="U358" s="80">
        <f t="shared" si="365"/>
        <v>1.3667956671682688E-3</v>
      </c>
      <c r="V358" s="80">
        <f t="shared" si="365"/>
        <v>1.6087733841799439E-3</v>
      </c>
      <c r="W358" s="80">
        <f t="shared" si="365"/>
        <v>0</v>
      </c>
      <c r="X358" s="80">
        <f t="shared" si="365"/>
        <v>0</v>
      </c>
      <c r="Y358" s="80">
        <f t="shared" si="365"/>
        <v>0</v>
      </c>
      <c r="Z358" s="80">
        <f t="shared" si="365"/>
        <v>0</v>
      </c>
      <c r="AA358" s="80">
        <f t="shared" si="365"/>
        <v>0</v>
      </c>
      <c r="AB358" s="80">
        <f t="shared" si="365"/>
        <v>0</v>
      </c>
      <c r="AC358" s="80">
        <f t="shared" si="365"/>
        <v>0</v>
      </c>
      <c r="AD358" s="80">
        <f t="shared" si="365"/>
        <v>0</v>
      </c>
      <c r="AE358" s="80">
        <f t="shared" si="365"/>
        <v>0</v>
      </c>
      <c r="AF358" s="80">
        <f t="shared" si="365"/>
        <v>0</v>
      </c>
    </row>
    <row r="359" spans="1:34" x14ac:dyDescent="0.25">
      <c r="B359" s="21">
        <f>(B326-B325)^2</f>
        <v>193494.15991940312</v>
      </c>
      <c r="C359" s="21">
        <f t="shared" ref="C359:AF359" si="366">(C326-C325)^2</f>
        <v>38031.957227332765</v>
      </c>
      <c r="D359" s="21">
        <f t="shared" si="366"/>
        <v>249.86938543821537</v>
      </c>
      <c r="E359" s="21">
        <f t="shared" si="366"/>
        <v>13369.576904582118</v>
      </c>
      <c r="F359" s="21">
        <f t="shared" si="366"/>
        <v>1060.0651152516589</v>
      </c>
      <c r="G359" s="21">
        <f t="shared" si="366"/>
        <v>193.95088058010211</v>
      </c>
      <c r="H359" s="21">
        <f t="shared" si="366"/>
        <v>4.9694512016104895</v>
      </c>
      <c r="I359" s="21">
        <f t="shared" si="366"/>
        <v>23.732757622202403</v>
      </c>
      <c r="J359" s="21">
        <f t="shared" si="366"/>
        <v>7.7311747327271266E-2</v>
      </c>
      <c r="K359" s="21">
        <f t="shared" si="366"/>
        <v>7.0706541995631511</v>
      </c>
      <c r="L359" s="21">
        <f t="shared" si="366"/>
        <v>1.4326832810134231</v>
      </c>
      <c r="M359" s="21">
        <f t="shared" si="366"/>
        <v>24.829188152651316</v>
      </c>
      <c r="N359" s="21">
        <f t="shared" si="366"/>
        <v>23.465615511551825</v>
      </c>
      <c r="O359" s="21">
        <f t="shared" si="366"/>
        <v>15.879696795999513</v>
      </c>
      <c r="P359" s="21">
        <f t="shared" si="366"/>
        <v>13.707633300135113</v>
      </c>
      <c r="Q359" s="21">
        <f t="shared" si="366"/>
        <v>11.72991059824132</v>
      </c>
      <c r="R359" s="21">
        <f t="shared" si="366"/>
        <v>1.1352045492674328E-2</v>
      </c>
      <c r="S359" s="21">
        <f t="shared" si="366"/>
        <v>1.3585298986102596</v>
      </c>
      <c r="T359" s="21">
        <f t="shared" si="366"/>
        <v>6.5457979350041894E-3</v>
      </c>
      <c r="U359" s="21">
        <f t="shared" si="366"/>
        <v>2.9278226694145808E-2</v>
      </c>
      <c r="V359" s="21">
        <f t="shared" si="366"/>
        <v>4.0476008907281445E-2</v>
      </c>
      <c r="W359" s="21">
        <f t="shared" si="366"/>
        <v>4.9251975304275802E-2</v>
      </c>
      <c r="X359" s="21">
        <f t="shared" si="366"/>
        <v>5.5596988068481352E-2</v>
      </c>
      <c r="Y359" s="21">
        <f t="shared" si="366"/>
        <v>6.3524232554629606E-2</v>
      </c>
      <c r="Z359" s="21">
        <f t="shared" si="366"/>
        <v>2.9797397083281517E-3</v>
      </c>
      <c r="AA359" s="21">
        <f t="shared" si="366"/>
        <v>8.4032258473545288E-4</v>
      </c>
      <c r="AB359" s="21">
        <f t="shared" si="366"/>
        <v>1.709730829543224E-2</v>
      </c>
      <c r="AC359" s="21">
        <f t="shared" si="366"/>
        <v>6.5142929667315982E-2</v>
      </c>
      <c r="AD359" s="21">
        <f t="shared" si="366"/>
        <v>6.9005533006450195E-2</v>
      </c>
      <c r="AE359" s="21">
        <f t="shared" si="366"/>
        <v>7.008966429297106E-2</v>
      </c>
      <c r="AF359" s="21">
        <f t="shared" si="366"/>
        <v>6.0720597872358652E-2</v>
      </c>
      <c r="AG359" s="3"/>
      <c r="AH359" s="3"/>
    </row>
    <row r="360" spans="1:34" x14ac:dyDescent="0.25">
      <c r="A360" s="71">
        <f>SUM(B360:AF360)</f>
        <v>92.490909617231864</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1.4326832810134231</v>
      </c>
      <c r="M360" s="60">
        <f t="shared" si="367"/>
        <v>24.829188152651316</v>
      </c>
      <c r="N360" s="60">
        <f t="shared" si="367"/>
        <v>23.465615511551825</v>
      </c>
      <c r="O360" s="60">
        <f t="shared" si="367"/>
        <v>15.879696795999513</v>
      </c>
      <c r="P360" s="60">
        <f t="shared" si="367"/>
        <v>13.707633300135113</v>
      </c>
      <c r="Q360" s="60">
        <f t="shared" si="367"/>
        <v>11.72991059824132</v>
      </c>
      <c r="R360" s="60">
        <f t="shared" si="367"/>
        <v>1.1352045492674328E-2</v>
      </c>
      <c r="S360" s="60">
        <f t="shared" si="367"/>
        <v>1.3585298986102596</v>
      </c>
      <c r="T360" s="60">
        <f t="shared" si="367"/>
        <v>6.5457979350041894E-3</v>
      </c>
      <c r="U360" s="60">
        <f t="shared" si="367"/>
        <v>2.9278226694145808E-2</v>
      </c>
      <c r="V360" s="60">
        <f t="shared" si="367"/>
        <v>4.0476008907281445E-2</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4973.1641667493986</v>
      </c>
      <c r="C364" s="26">
        <f>INDEX(Comparison!$AM$3:$AS$33,G$14,$H$122)</f>
        <v>4659.596505568883</v>
      </c>
      <c r="D364" s="26">
        <f>INDEX(Comparison!$AM$3:$AS$33,H$14,$H$122)</f>
        <v>4385.9516115251872</v>
      </c>
      <c r="E364" s="26">
        <f>INDEX(Comparison!$AM$3:$AS$33,I$14,$H$122)</f>
        <v>4118.3569666620651</v>
      </c>
      <c r="F364" s="26">
        <f>INDEX(Comparison!$AM$3:$AS$33,J$14,$H$122)</f>
        <v>3829.8022738739742</v>
      </c>
      <c r="G364" s="26">
        <f>INDEX(Comparison!$AM$3:$AS$33,K$14,$H$122)</f>
        <v>3513.4556215320054</v>
      </c>
      <c r="H364" s="26">
        <f>INDEX(Comparison!$AM$3:$AS$33,L$14,$H$122)</f>
        <v>3097.9149297690292</v>
      </c>
      <c r="I364" s="26">
        <f>INDEX(Comparison!$AM$3:$AS$33,M$14,$H$122)</f>
        <v>2591.2184022941196</v>
      </c>
      <c r="J364" s="26">
        <f>INDEX(Comparison!$AM$3:$AS$33,N$14,$H$122)</f>
        <v>2005.3525724949279</v>
      </c>
      <c r="K364" s="26">
        <f>INDEX(Comparison!$AM$3:$AS$33,O$14,$H$122)</f>
        <v>1355.6696144527521</v>
      </c>
      <c r="L364" s="26">
        <f>INDEX(Comparison!$AM$3:$AS$33,P$14,$H$122)</f>
        <v>816.95203291347548</v>
      </c>
      <c r="M364" s="26">
        <f>INDEX(Comparison!$AM$3:$AS$33,Q$14,$H$122)</f>
        <v>463.37163713330017</v>
      </c>
      <c r="N364" s="26">
        <f>INDEX(Comparison!$AM$3:$AS$33,R$14,$H$122)</f>
        <v>256.97131232473913</v>
      </c>
      <c r="O364" s="26">
        <f>INDEX(Comparison!$AM$3:$AS$33,S$14,$H$122)</f>
        <v>167.49490825050054</v>
      </c>
      <c r="P364" s="26">
        <f>INDEX(Comparison!$AM$3:$AS$33,T$14,$H$122)</f>
        <v>141.80358734877336</v>
      </c>
      <c r="Q364" s="26">
        <f>INDEX(Comparison!$AM$3:$AS$33,U$14,$H$122)</f>
        <v>129.19132461504012</v>
      </c>
      <c r="R364" s="26">
        <f>INDEX(Comparison!$AM$3:$AS$33,V$14,$H$122)</f>
        <v>125.45582042457461</v>
      </c>
      <c r="S364" s="26">
        <f>INDEX(Comparison!$AM$3:$AS$33,W$14,$H$122)</f>
        <v>125.37751528072498</v>
      </c>
      <c r="T364" s="26">
        <f>INDEX(Comparison!$AM$3:$AS$33,X$14,$H$122)</f>
        <v>125.26241312398497</v>
      </c>
      <c r="U364" s="26">
        <f>INDEX(Comparison!$AM$3:$AS$33,Y$14,$H$122)</f>
        <v>125.1369355609138</v>
      </c>
      <c r="V364" s="26">
        <f>INDEX(Comparison!$AM$3:$AS$33,Z$14,$H$122)</f>
        <v>124.97859027478171</v>
      </c>
      <c r="W364" s="26">
        <f>INDEX(Comparison!$AM$3:$AS$33,AA$14,$H$122)</f>
        <v>124.79521194858673</v>
      </c>
      <c r="X364" s="26">
        <f>INDEX(Comparison!$AM$3:$AS$33,AB$14,$H$122)</f>
        <v>124.60066288549459</v>
      </c>
      <c r="Y364" s="26">
        <f>INDEX(Comparison!$AM$3:$AS$33,AC$14,$H$122)</f>
        <v>124.40326066206676</v>
      </c>
      <c r="Z364" s="26">
        <f>INDEX(Comparison!$AM$3:$AS$33,AD$14,$H$122)</f>
        <v>124.39897169961779</v>
      </c>
      <c r="AA364" s="26">
        <f>INDEX(Comparison!$AM$3:$AS$33,AE$14,$H$122)</f>
        <v>124.30647199515475</v>
      </c>
      <c r="AB364" s="26">
        <f>INDEX(Comparison!$AM$3:$AS$33,AF$14,$H$122)</f>
        <v>124.18164826003697</v>
      </c>
      <c r="AC364" s="26">
        <f>INDEX(Comparison!$AM$3:$AS$33,AG$14,$H$122)</f>
        <v>124.05329261398603</v>
      </c>
      <c r="AD364" s="26">
        <f>INDEX(Comparison!$AM$3:$AS$33,AH$14,$H$122)</f>
        <v>124.04585962671396</v>
      </c>
      <c r="AE364" s="26">
        <f>INDEX(Comparison!$AM$3:$AS$33,AI$14,$H$122)</f>
        <v>124.04225732695286</v>
      </c>
      <c r="AF364" s="26">
        <f>INDEX(Comparison!$AM$3:$AS$33,AJ$14,$H$122)</f>
        <v>124.03970146521578</v>
      </c>
      <c r="AG364" s="26"/>
      <c r="AH364" s="26"/>
    </row>
    <row r="365" spans="1:34" x14ac:dyDescent="0.25">
      <c r="A365" s="70" t="s">
        <v>22</v>
      </c>
      <c r="B365" s="27">
        <f>($C$17+SUM(B366:B396))*$B$51</f>
        <v>4885.5898382080259</v>
      </c>
      <c r="C365" s="27">
        <f t="shared" ref="C365:AF365" si="368">($C$17+SUM(C366:C396))*$B$51</f>
        <v>4772.84340351625</v>
      </c>
      <c r="D365" s="27">
        <f t="shared" si="368"/>
        <v>4355.9401993122392</v>
      </c>
      <c r="E365" s="27">
        <f t="shared" si="368"/>
        <v>4123.2354839375157</v>
      </c>
      <c r="F365" s="27">
        <f t="shared" si="368"/>
        <v>3829.1031266136802</v>
      </c>
      <c r="G365" s="27">
        <f t="shared" si="368"/>
        <v>3513.5083155437292</v>
      </c>
      <c r="H365" s="27">
        <f t="shared" si="368"/>
        <v>3097.8931119689041</v>
      </c>
      <c r="I365" s="27">
        <f t="shared" si="368"/>
        <v>2591.1343893173844</v>
      </c>
      <c r="J365" s="27">
        <f t="shared" si="368"/>
        <v>2005.3817903208337</v>
      </c>
      <c r="K365" s="27">
        <f t="shared" si="368"/>
        <v>1355.5084981698803</v>
      </c>
      <c r="L365" s="27">
        <f t="shared" si="368"/>
        <v>817.02212728137977</v>
      </c>
      <c r="M365" s="27">
        <f t="shared" si="368"/>
        <v>463.25597506859714</v>
      </c>
      <c r="N365" s="27">
        <f t="shared" si="368"/>
        <v>256.98132269815358</v>
      </c>
      <c r="O365" s="27">
        <f t="shared" si="368"/>
        <v>167.52109606789739</v>
      </c>
      <c r="P365" s="27">
        <f t="shared" si="368"/>
        <v>141.70913344907498</v>
      </c>
      <c r="Q365" s="27">
        <f t="shared" si="368"/>
        <v>129.28469295931171</v>
      </c>
      <c r="R365" s="27">
        <f t="shared" si="368"/>
        <v>125.41242649535923</v>
      </c>
      <c r="S365" s="27">
        <f t="shared" si="368"/>
        <v>125.37400382953213</v>
      </c>
      <c r="T365" s="27">
        <f t="shared" si="368"/>
        <v>125.28239821156902</v>
      </c>
      <c r="U365" s="27">
        <f t="shared" si="368"/>
        <v>125.13960897651545</v>
      </c>
      <c r="V365" s="27">
        <f t="shared" si="368"/>
        <v>124.97838949375816</v>
      </c>
      <c r="W365" s="27">
        <f t="shared" si="368"/>
        <v>124.79062867878223</v>
      </c>
      <c r="X365" s="27">
        <f t="shared" si="368"/>
        <v>124.57336523094023</v>
      </c>
      <c r="Y365" s="27">
        <f t="shared" si="368"/>
        <v>124.4015666325444</v>
      </c>
      <c r="Z365" s="27">
        <f t="shared" si="368"/>
        <v>124.38065662700565</v>
      </c>
      <c r="AA365" s="27">
        <f t="shared" si="368"/>
        <v>124.37988440213684</v>
      </c>
      <c r="AB365" s="27">
        <f t="shared" si="368"/>
        <v>124.37974342757921</v>
      </c>
      <c r="AC365" s="27">
        <f t="shared" si="368"/>
        <v>124.37833468304549</v>
      </c>
      <c r="AD365" s="27">
        <f t="shared" si="368"/>
        <v>124.36425420998069</v>
      </c>
      <c r="AE365" s="27">
        <f t="shared" si="368"/>
        <v>124.22414438998003</v>
      </c>
      <c r="AF365" s="27">
        <f t="shared" si="368"/>
        <v>122.89027748488438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8.86003962290276E-2</v>
      </c>
      <c r="C367" s="3">
        <f t="shared" si="370"/>
        <v>7.0355305050263911E-2</v>
      </c>
      <c r="D367" s="3">
        <f t="shared" si="370"/>
        <v>7.0130787175447561E-3</v>
      </c>
      <c r="E367" s="3">
        <f t="shared" si="370"/>
        <v>6.7924640046205863E-13</v>
      </c>
      <c r="F367" s="3">
        <f t="shared" si="370"/>
        <v>4.9341649711968518E-113</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3.1807660420876759E-2</v>
      </c>
      <c r="C368" s="3">
        <f t="shared" si="371"/>
        <v>3.115289218942744E-2</v>
      </c>
      <c r="D368" s="3">
        <f t="shared" si="371"/>
        <v>2.5302581444683041E-2</v>
      </c>
      <c r="E368" s="3">
        <f t="shared" si="371"/>
        <v>3.1610358739881388E-3</v>
      </c>
      <c r="F368" s="3">
        <f t="shared" si="371"/>
        <v>2.9273547541291034E-12</v>
      </c>
      <c r="G368" s="3">
        <f t="shared" si="371"/>
        <v>1.3581091337094429E-102</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5.4283867912662737E-2</v>
      </c>
      <c r="C369" s="3">
        <f t="shared" si="372"/>
        <v>5.4182108470017566E-2</v>
      </c>
      <c r="D369" s="3">
        <f t="shared" si="372"/>
        <v>5.3174946853022001E-2</v>
      </c>
      <c r="E369" s="3">
        <f t="shared" si="372"/>
        <v>4.4077676767015836E-2</v>
      </c>
      <c r="F369" s="3">
        <f t="shared" si="372"/>
        <v>6.7504854967163587E-3</v>
      </c>
      <c r="G369" s="3">
        <f t="shared" si="372"/>
        <v>4.7917939624150715E-11</v>
      </c>
      <c r="H369" s="3">
        <f t="shared" si="372"/>
        <v>1.5564293454830366E-92</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5.1306545208883503E-2</v>
      </c>
      <c r="C370" s="3">
        <f t="shared" si="373"/>
        <v>5.1297861726624198E-2</v>
      </c>
      <c r="D370" s="3">
        <f t="shared" si="373"/>
        <v>5.1211107693968208E-2</v>
      </c>
      <c r="E370" s="3">
        <f t="shared" si="373"/>
        <v>5.035159599329124E-2</v>
      </c>
      <c r="F370" s="3">
        <f t="shared" si="373"/>
        <v>4.2511257636850416E-2</v>
      </c>
      <c r="G370" s="3">
        <f t="shared" si="373"/>
        <v>7.8236799388063313E-3</v>
      </c>
      <c r="H370" s="3">
        <f t="shared" si="373"/>
        <v>3.4872437012084187E-10</v>
      </c>
      <c r="I370" s="3">
        <f t="shared" si="373"/>
        <v>1.0794301116684652E-83</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7.4663855263938372E-2</v>
      </c>
      <c r="C371" s="3">
        <f t="shared" si="374"/>
        <v>7.4662715246249872E-2</v>
      </c>
      <c r="D371" s="3">
        <f t="shared" si="374"/>
        <v>7.4651316026681472E-2</v>
      </c>
      <c r="E371" s="3">
        <f t="shared" si="374"/>
        <v>7.4537419508590969E-2</v>
      </c>
      <c r="F371" s="3">
        <f t="shared" si="374"/>
        <v>7.3407968254511805E-2</v>
      </c>
      <c r="G371" s="3">
        <f t="shared" si="374"/>
        <v>6.301322556037095E-2</v>
      </c>
      <c r="H371" s="3">
        <f t="shared" si="374"/>
        <v>1.3687268336402421E-2</v>
      </c>
      <c r="I371" s="3">
        <f t="shared" si="374"/>
        <v>3.2001290070741891E-9</v>
      </c>
      <c r="J371" s="3">
        <f t="shared" si="374"/>
        <v>1.5619766403031635E-75</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9.064795610074762E-2</v>
      </c>
      <c r="C372" s="3">
        <f t="shared" si="375"/>
        <v>9.0647831244924357E-2</v>
      </c>
      <c r="D372" s="3">
        <f t="shared" si="375"/>
        <v>9.064658269615028E-2</v>
      </c>
      <c r="E372" s="3">
        <f t="shared" si="375"/>
        <v>9.0634098154207435E-2</v>
      </c>
      <c r="F372" s="3">
        <f t="shared" si="375"/>
        <v>9.0509347266387485E-2</v>
      </c>
      <c r="G372" s="3">
        <f t="shared" si="375"/>
        <v>8.9271243550125653E-2</v>
      </c>
      <c r="H372" s="3">
        <f t="shared" si="375"/>
        <v>7.7784506611585036E-2</v>
      </c>
      <c r="I372" s="3">
        <f t="shared" si="375"/>
        <v>1.962041861203628E-2</v>
      </c>
      <c r="J372" s="3">
        <f t="shared" si="375"/>
        <v>2.0457847943408245E-8</v>
      </c>
      <c r="K372" s="3">
        <f t="shared" si="375"/>
        <v>3.1072537369124653E-68</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0.10513898561226348</v>
      </c>
      <c r="C373" s="3">
        <f t="shared" si="376"/>
        <v>0.10513897254870685</v>
      </c>
      <c r="D373" s="3">
        <f t="shared" si="376"/>
        <v>0.10513884191322991</v>
      </c>
      <c r="E373" s="3">
        <f t="shared" si="376"/>
        <v>0.10513753556738771</v>
      </c>
      <c r="F373" s="3">
        <f t="shared" si="376"/>
        <v>0.10512447300165359</v>
      </c>
      <c r="G373" s="3">
        <f t="shared" si="376"/>
        <v>0.10499393657207674</v>
      </c>
      <c r="H373" s="3">
        <f t="shared" si="376"/>
        <v>0.10369745416835038</v>
      </c>
      <c r="I373" s="3">
        <f t="shared" si="376"/>
        <v>9.158130885485169E-2</v>
      </c>
      <c r="J373" s="3">
        <f t="shared" si="376"/>
        <v>2.6435915995533264E-2</v>
      </c>
      <c r="K373" s="3">
        <f t="shared" si="376"/>
        <v>1.061865557226154E-7</v>
      </c>
      <c r="L373" s="3">
        <f t="shared" si="376"/>
        <v>1.16097066090106E-61</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0.12480864829551691</v>
      </c>
      <c r="C374" s="3">
        <f t="shared" si="377"/>
        <v>0.12480864689660957</v>
      </c>
      <c r="D374" s="3">
        <f t="shared" si="377"/>
        <v>0.12480863290753717</v>
      </c>
      <c r="E374" s="3">
        <f t="shared" si="377"/>
        <v>0.12480849301689942</v>
      </c>
      <c r="F374" s="3">
        <f t="shared" si="377"/>
        <v>0.12480709411914565</v>
      </c>
      <c r="G374" s="3">
        <f t="shared" si="377"/>
        <v>0.12479310600394254</v>
      </c>
      <c r="H374" s="3">
        <f t="shared" si="377"/>
        <v>0.12465331104963627</v>
      </c>
      <c r="I374" s="3">
        <f t="shared" si="377"/>
        <v>0.1232639456387904</v>
      </c>
      <c r="J374" s="3">
        <f t="shared" si="377"/>
        <v>0.11019414768863293</v>
      </c>
      <c r="K374" s="3">
        <f t="shared" si="377"/>
        <v>3.5923875213343205E-2</v>
      </c>
      <c r="L374" s="3">
        <f t="shared" si="377"/>
        <v>4.8711294276514869E-7</v>
      </c>
      <c r="M374" s="3">
        <f t="shared" si="377"/>
        <v>1.0235158408171772E-55</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8.8034867694228691E-2</v>
      </c>
      <c r="C375" s="3">
        <f t="shared" si="378"/>
        <v>8.803486760521731E-2</v>
      </c>
      <c r="D375" s="3">
        <f t="shared" si="378"/>
        <v>8.8034866715103438E-2</v>
      </c>
      <c r="E375" s="3">
        <f t="shared" si="378"/>
        <v>8.8034857813965167E-2</v>
      </c>
      <c r="F375" s="3">
        <f t="shared" si="378"/>
        <v>8.8034768802631974E-2</v>
      </c>
      <c r="G375" s="3">
        <f t="shared" si="378"/>
        <v>8.8033878694250042E-2</v>
      </c>
      <c r="H375" s="3">
        <f t="shared" si="378"/>
        <v>8.8024978105403121E-2</v>
      </c>
      <c r="I375" s="3">
        <f t="shared" si="378"/>
        <v>8.7936021695671746E-2</v>
      </c>
      <c r="J375" s="3">
        <f t="shared" si="378"/>
        <v>8.7051387011885528E-2</v>
      </c>
      <c r="K375" s="3">
        <f t="shared" si="378"/>
        <v>7.8680028578094141E-2</v>
      </c>
      <c r="L375" s="3">
        <f t="shared" si="378"/>
        <v>2.8625471352071004E-2</v>
      </c>
      <c r="M375" s="3">
        <f t="shared" si="378"/>
        <v>1.1631454400321553E-6</v>
      </c>
      <c r="N375" s="3">
        <f t="shared" si="378"/>
        <v>1.4270782296316818E-50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5.3040160566264233E-2</v>
      </c>
      <c r="C376" s="3">
        <f t="shared" si="379"/>
        <v>5.3040160561426498E-2</v>
      </c>
      <c r="D376" s="3">
        <f t="shared" si="379"/>
        <v>5.3040160513049127E-2</v>
      </c>
      <c r="E376" s="3">
        <f t="shared" si="379"/>
        <v>5.3040160029275397E-2</v>
      </c>
      <c r="F376" s="3">
        <f t="shared" si="379"/>
        <v>5.3040155191538395E-2</v>
      </c>
      <c r="G376" s="3">
        <f t="shared" si="379"/>
        <v>5.3040106814192606E-2</v>
      </c>
      <c r="H376" s="3">
        <f t="shared" si="379"/>
        <v>5.3039623043161552E-2</v>
      </c>
      <c r="I376" s="3">
        <f t="shared" si="379"/>
        <v>5.3034785575526655E-2</v>
      </c>
      <c r="J376" s="3">
        <f t="shared" si="379"/>
        <v>5.2986435158551219E-2</v>
      </c>
      <c r="K376" s="3">
        <f t="shared" si="379"/>
        <v>5.2505348759200099E-2</v>
      </c>
      <c r="L376" s="3">
        <f t="shared" si="379"/>
        <v>4.792829774019583E-2</v>
      </c>
      <c r="M376" s="3">
        <f t="shared" si="379"/>
        <v>1.9252031962547468E-2</v>
      </c>
      <c r="N376" s="3">
        <f t="shared" si="379"/>
        <v>2.1053401325021032E-6</v>
      </c>
      <c r="O376" s="3">
        <f t="shared" si="379"/>
        <v>5.1496678772575627E-46</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2.9418988584759321E-2</v>
      </c>
      <c r="C377" s="3">
        <f t="shared" si="380"/>
        <v>2.9418988584517268E-2</v>
      </c>
      <c r="D377" s="3">
        <f t="shared" si="380"/>
        <v>2.9418988582096729E-2</v>
      </c>
      <c r="E377" s="3">
        <f t="shared" si="380"/>
        <v>2.9418988557891355E-2</v>
      </c>
      <c r="F377" s="3">
        <f t="shared" si="380"/>
        <v>2.9418988315837627E-2</v>
      </c>
      <c r="G377" s="3">
        <f t="shared" si="380"/>
        <v>2.941898589530046E-2</v>
      </c>
      <c r="H377" s="3">
        <f t="shared" si="380"/>
        <v>2.9418961689939717E-2</v>
      </c>
      <c r="I377" s="3">
        <f t="shared" si="380"/>
        <v>2.9418719637427666E-2</v>
      </c>
      <c r="J377" s="3">
        <f t="shared" si="380"/>
        <v>2.9416299221839855E-2</v>
      </c>
      <c r="K377" s="3">
        <f t="shared" si="380"/>
        <v>2.9392106015898593E-2</v>
      </c>
      <c r="L377" s="3">
        <f t="shared" si="380"/>
        <v>2.9151265624018506E-2</v>
      </c>
      <c r="M377" s="3">
        <f t="shared" si="380"/>
        <v>2.6848776986222646E-2</v>
      </c>
      <c r="N377" s="3">
        <f t="shared" si="380"/>
        <v>1.1792216270736374E-2</v>
      </c>
      <c r="O377" s="3">
        <f t="shared" si="380"/>
        <v>3.1499576603165757E-6</v>
      </c>
      <c r="P377" s="3">
        <f t="shared" si="380"/>
        <v>5.8263627926357274E-42</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6.3753391533413273E-3</v>
      </c>
      <c r="C378" s="3">
        <f t="shared" si="381"/>
        <v>6.375339153336595E-3</v>
      </c>
      <c r="D378" s="3">
        <f t="shared" si="381"/>
        <v>6.3753391532892761E-3</v>
      </c>
      <c r="E378" s="3">
        <f t="shared" si="381"/>
        <v>6.3753391528160886E-3</v>
      </c>
      <c r="F378" s="3">
        <f t="shared" si="381"/>
        <v>6.3753391480842053E-3</v>
      </c>
      <c r="G378" s="3">
        <f t="shared" si="381"/>
        <v>6.3753391007653846E-3</v>
      </c>
      <c r="H378" s="3">
        <f t="shared" si="381"/>
        <v>6.3753386275771859E-3</v>
      </c>
      <c r="I378" s="3">
        <f t="shared" si="381"/>
        <v>6.375333895697134E-3</v>
      </c>
      <c r="J378" s="3">
        <f t="shared" si="381"/>
        <v>6.3752865770897761E-3</v>
      </c>
      <c r="K378" s="3">
        <f t="shared" si="381"/>
        <v>6.3748134103320522E-3</v>
      </c>
      <c r="L378" s="3">
        <f t="shared" si="381"/>
        <v>6.3700836738102189E-3</v>
      </c>
      <c r="M378" s="3">
        <f t="shared" si="381"/>
        <v>6.3229788848768384E-3</v>
      </c>
      <c r="N378" s="3">
        <f t="shared" si="381"/>
        <v>5.8706701065720018E-3</v>
      </c>
      <c r="O378" s="3">
        <f t="shared" si="381"/>
        <v>2.79477678272462E-3</v>
      </c>
      <c r="P378" s="3">
        <f t="shared" si="381"/>
        <v>1.6708660270701698E-6</v>
      </c>
      <c r="Q378" s="3">
        <f t="shared" si="381"/>
        <v>9.7473519919308127E-39</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3.2709514210797568E-3</v>
      </c>
      <c r="C379" s="3">
        <f t="shared" si="382"/>
        <v>3.2709514210795378E-3</v>
      </c>
      <c r="D379" s="3">
        <f t="shared" si="382"/>
        <v>3.2709514210773477E-3</v>
      </c>
      <c r="E379" s="3">
        <f t="shared" si="382"/>
        <v>3.2709514210554473E-3</v>
      </c>
      <c r="F379" s="3">
        <f t="shared" si="382"/>
        <v>3.2709514208364436E-3</v>
      </c>
      <c r="G379" s="3">
        <f t="shared" si="382"/>
        <v>3.2709514186464077E-3</v>
      </c>
      <c r="H379" s="3">
        <f t="shared" si="382"/>
        <v>3.2709513967460447E-3</v>
      </c>
      <c r="I379" s="3">
        <f t="shared" si="382"/>
        <v>3.2709511777424221E-3</v>
      </c>
      <c r="J379" s="3">
        <f t="shared" si="382"/>
        <v>3.2709489877070039E-3</v>
      </c>
      <c r="K379" s="3">
        <f t="shared" si="382"/>
        <v>3.2709270874334718E-3</v>
      </c>
      <c r="L379" s="3">
        <f t="shared" si="382"/>
        <v>3.2707080927626814E-3</v>
      </c>
      <c r="M379" s="3">
        <f t="shared" si="382"/>
        <v>3.2685189523084259E-3</v>
      </c>
      <c r="N379" s="3">
        <f t="shared" si="382"/>
        <v>3.2467079737543013E-3</v>
      </c>
      <c r="O379" s="3">
        <f t="shared" si="382"/>
        <v>3.0364450656032767E-3</v>
      </c>
      <c r="P379" s="3">
        <f t="shared" si="382"/>
        <v>1.5544882238083286E-3</v>
      </c>
      <c r="Q379" s="3">
        <f t="shared" si="382"/>
        <v>1.922239581429363E-6</v>
      </c>
      <c r="R379" s="3">
        <f t="shared" si="382"/>
        <v>1.6069719983897749E-35</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1.2755053961347694E-3</v>
      </c>
      <c r="C380" s="3">
        <f t="shared" si="383"/>
        <v>1.2755053961347618E-3</v>
      </c>
      <c r="D380" s="3">
        <f t="shared" si="383"/>
        <v>1.2755053961346849E-3</v>
      </c>
      <c r="E380" s="3">
        <f t="shared" si="383"/>
        <v>1.2755053961339142E-3</v>
      </c>
      <c r="F380" s="3">
        <f t="shared" si="383"/>
        <v>1.2755053961262105E-3</v>
      </c>
      <c r="G380" s="3">
        <f t="shared" si="383"/>
        <v>1.2755053960491723E-3</v>
      </c>
      <c r="H380" s="3">
        <f t="shared" si="383"/>
        <v>1.2755053952787903E-3</v>
      </c>
      <c r="I380" s="3">
        <f t="shared" si="383"/>
        <v>1.2755053875749705E-3</v>
      </c>
      <c r="J380" s="3">
        <f t="shared" si="383"/>
        <v>1.2755053105367759E-3</v>
      </c>
      <c r="K380" s="3">
        <f t="shared" si="383"/>
        <v>1.2755045401550847E-3</v>
      </c>
      <c r="L380" s="3">
        <f t="shared" si="383"/>
        <v>1.2754968363637639E-3</v>
      </c>
      <c r="M380" s="3">
        <f t="shared" si="383"/>
        <v>1.2754198010096239E-3</v>
      </c>
      <c r="N380" s="3">
        <f t="shared" si="383"/>
        <v>1.2746497033178489E-3</v>
      </c>
      <c r="O380" s="3">
        <f t="shared" si="383"/>
        <v>1.266974254279236E-3</v>
      </c>
      <c r="P380" s="3">
        <f t="shared" si="383"/>
        <v>1.1927164137621982E-3</v>
      </c>
      <c r="Q380" s="3">
        <f t="shared" si="383"/>
        <v>6.5197547086258791E-4</v>
      </c>
      <c r="R380" s="3">
        <f t="shared" si="383"/>
        <v>1.5530014608630226E-6</v>
      </c>
      <c r="S380" s="3">
        <f t="shared" si="383"/>
        <v>9.1322531147969236E-33</v>
      </c>
      <c r="T380" s="3">
        <f t="shared" si="383"/>
        <v>4.5148018984137947E-295</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0</v>
      </c>
      <c r="C381" s="3">
        <f t="shared" si="384"/>
        <v>0</v>
      </c>
      <c r="D381" s="3">
        <f t="shared" si="384"/>
        <v>0</v>
      </c>
      <c r="E381" s="3">
        <f t="shared" si="384"/>
        <v>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1.0163894385292978E-5</v>
      </c>
      <c r="C382" s="3">
        <f t="shared" si="385"/>
        <v>1.0163894385292978E-5</v>
      </c>
      <c r="D382" s="3">
        <f t="shared" si="385"/>
        <v>1.0163894385292973E-5</v>
      </c>
      <c r="E382" s="3">
        <f t="shared" si="385"/>
        <v>1.0163894385292922E-5</v>
      </c>
      <c r="F382" s="3">
        <f t="shared" si="385"/>
        <v>1.0163894385292423E-5</v>
      </c>
      <c r="G382" s="3">
        <f t="shared" si="385"/>
        <v>1.0163894385287427E-5</v>
      </c>
      <c r="H382" s="3">
        <f t="shared" si="385"/>
        <v>1.0163894385237472E-5</v>
      </c>
      <c r="I382" s="3">
        <f t="shared" si="385"/>
        <v>1.0163894384737924E-5</v>
      </c>
      <c r="J382" s="3">
        <f t="shared" si="385"/>
        <v>1.0163894379742446E-5</v>
      </c>
      <c r="K382" s="3">
        <f t="shared" si="385"/>
        <v>1.0163894329787656E-5</v>
      </c>
      <c r="L382" s="3">
        <f t="shared" si="385"/>
        <v>1.0163893830239771E-5</v>
      </c>
      <c r="M382" s="3">
        <f t="shared" si="385"/>
        <v>1.0163888834762262E-5</v>
      </c>
      <c r="N382" s="3">
        <f t="shared" si="385"/>
        <v>1.0163838880122226E-5</v>
      </c>
      <c r="O382" s="3">
        <f t="shared" si="385"/>
        <v>1.016333934722541E-5</v>
      </c>
      <c r="P382" s="3">
        <f t="shared" si="385"/>
        <v>1.0158345368366996E-5</v>
      </c>
      <c r="Q382" s="3">
        <f t="shared" si="385"/>
        <v>1.0108540345559643E-5</v>
      </c>
      <c r="R382" s="3">
        <f t="shared" si="385"/>
        <v>9.6237248091212362E-6</v>
      </c>
      <c r="S382" s="3">
        <f t="shared" si="385"/>
        <v>5.8869543238902496E-6</v>
      </c>
      <c r="T382" s="3">
        <f t="shared" si="385"/>
        <v>4.3188226437280926E-8</v>
      </c>
      <c r="U382" s="3">
        <f t="shared" si="385"/>
        <v>1.9503493282725045E-29</v>
      </c>
      <c r="V382" s="3">
        <f t="shared" si="385"/>
        <v>6.8799100256515728E-243</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2.5019775067814324E-5</v>
      </c>
      <c r="C383" s="3">
        <f t="shared" si="386"/>
        <v>2.5019775067814324E-5</v>
      </c>
      <c r="D383" s="3">
        <f t="shared" si="386"/>
        <v>2.5019775067814324E-5</v>
      </c>
      <c r="E383" s="3">
        <f t="shared" si="386"/>
        <v>2.5019775067814314E-5</v>
      </c>
      <c r="F383" s="3">
        <f t="shared" si="386"/>
        <v>2.5019775067814202E-5</v>
      </c>
      <c r="G383" s="3">
        <f t="shared" si="386"/>
        <v>2.5019775067813091E-5</v>
      </c>
      <c r="H383" s="3">
        <f t="shared" si="386"/>
        <v>2.5019775067801998E-5</v>
      </c>
      <c r="I383" s="3">
        <f t="shared" si="386"/>
        <v>2.501977506769107E-5</v>
      </c>
      <c r="J383" s="3">
        <f t="shared" si="386"/>
        <v>2.5019775066581772E-5</v>
      </c>
      <c r="K383" s="3">
        <f t="shared" si="386"/>
        <v>2.5019775055488826E-5</v>
      </c>
      <c r="L383" s="3">
        <f t="shared" si="386"/>
        <v>2.5019774944559344E-5</v>
      </c>
      <c r="M383" s="3">
        <f t="shared" si="386"/>
        <v>2.5019773835264549E-5</v>
      </c>
      <c r="N383" s="3">
        <f t="shared" si="386"/>
        <v>2.5019762742319312E-5</v>
      </c>
      <c r="O383" s="3">
        <f t="shared" si="386"/>
        <v>2.501965181313745E-5</v>
      </c>
      <c r="P383" s="3">
        <f t="shared" si="386"/>
        <v>2.5018542548368689E-5</v>
      </c>
      <c r="Q383" s="3">
        <f t="shared" si="386"/>
        <v>2.5007452605225413E-5</v>
      </c>
      <c r="R383" s="3">
        <f t="shared" si="386"/>
        <v>2.4896823185081939E-5</v>
      </c>
      <c r="S383" s="3">
        <f t="shared" si="386"/>
        <v>2.3817092374180265E-5</v>
      </c>
      <c r="T383" s="3">
        <f t="shared" si="386"/>
        <v>1.5287511677706171E-5</v>
      </c>
      <c r="U383" s="3">
        <f t="shared" si="386"/>
        <v>1.814752523489079E-7</v>
      </c>
      <c r="V383" s="3">
        <f t="shared" si="386"/>
        <v>1.0083782760073052E-26</v>
      </c>
      <c r="W383" s="3">
        <f t="shared" si="386"/>
        <v>2.8293338789289363E-219</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2.3706614690246962E-5</v>
      </c>
      <c r="C384" s="3">
        <f t="shared" si="387"/>
        <v>2.3706614690246962E-5</v>
      </c>
      <c r="D384" s="3">
        <f t="shared" si="387"/>
        <v>2.3706614690246962E-5</v>
      </c>
      <c r="E384" s="3">
        <f t="shared" si="387"/>
        <v>2.3706614690246962E-5</v>
      </c>
      <c r="F384" s="3">
        <f t="shared" si="387"/>
        <v>2.3706614690246951E-5</v>
      </c>
      <c r="G384" s="3">
        <f t="shared" si="387"/>
        <v>2.3706614690246857E-5</v>
      </c>
      <c r="H384" s="3">
        <f t="shared" si="387"/>
        <v>2.3706614690245908E-5</v>
      </c>
      <c r="I384" s="3">
        <f t="shared" si="387"/>
        <v>2.3706614690236425E-5</v>
      </c>
      <c r="J384" s="3">
        <f t="shared" si="387"/>
        <v>2.3706614690141611E-5</v>
      </c>
      <c r="K384" s="3">
        <f t="shared" si="387"/>
        <v>2.3706614689193456E-5</v>
      </c>
      <c r="L384" s="3">
        <f t="shared" si="387"/>
        <v>2.3706614679711895E-5</v>
      </c>
      <c r="M384" s="3">
        <f t="shared" si="387"/>
        <v>2.3706614584896314E-5</v>
      </c>
      <c r="N384" s="3">
        <f t="shared" si="387"/>
        <v>2.3706613636740511E-5</v>
      </c>
      <c r="O384" s="3">
        <f t="shared" si="387"/>
        <v>2.3706604155184576E-5</v>
      </c>
      <c r="P384" s="3">
        <f t="shared" si="387"/>
        <v>2.3706509339833785E-5</v>
      </c>
      <c r="Q384" s="3">
        <f t="shared" si="387"/>
        <v>2.3705561207182553E-5</v>
      </c>
      <c r="R384" s="3">
        <f t="shared" si="387"/>
        <v>2.3696081966030898E-5</v>
      </c>
      <c r="S384" s="3">
        <f t="shared" si="387"/>
        <v>2.3601497782312436E-5</v>
      </c>
      <c r="T384" s="3">
        <f t="shared" si="387"/>
        <v>2.2676173851923347E-5</v>
      </c>
      <c r="U384" s="3">
        <f t="shared" si="387"/>
        <v>1.5200991282042562E-5</v>
      </c>
      <c r="V384" s="3">
        <f t="shared" si="387"/>
        <v>2.7854362922365507E-7</v>
      </c>
      <c r="W384" s="3">
        <f t="shared" si="387"/>
        <v>1.1887935193080247E-24</v>
      </c>
      <c r="X384" s="3">
        <f t="shared" si="387"/>
        <v>2.3836276753008353E-198</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3.9478614411466939E-5</v>
      </c>
      <c r="C385" s="3">
        <f t="shared" si="388"/>
        <v>3.9478614411466939E-5</v>
      </c>
      <c r="D385" s="3">
        <f t="shared" si="388"/>
        <v>3.9478614411466939E-5</v>
      </c>
      <c r="E385" s="3">
        <f t="shared" si="388"/>
        <v>3.9478614411466939E-5</v>
      </c>
      <c r="F385" s="3">
        <f t="shared" si="388"/>
        <v>3.9478614411466939E-5</v>
      </c>
      <c r="G385" s="3">
        <f t="shared" si="388"/>
        <v>3.9478614411466918E-5</v>
      </c>
      <c r="H385" s="3">
        <f t="shared" si="388"/>
        <v>3.9478614411466783E-5</v>
      </c>
      <c r="I385" s="3">
        <f t="shared" si="388"/>
        <v>3.9478614411465353E-5</v>
      </c>
      <c r="J385" s="3">
        <f t="shared" si="388"/>
        <v>3.9478614411451109E-5</v>
      </c>
      <c r="K385" s="3">
        <f t="shared" si="388"/>
        <v>3.9478614411308679E-5</v>
      </c>
      <c r="L385" s="3">
        <f t="shared" si="388"/>
        <v>3.9478614409884322E-5</v>
      </c>
      <c r="M385" s="3">
        <f t="shared" si="388"/>
        <v>3.9478614395640758E-5</v>
      </c>
      <c r="N385" s="3">
        <f t="shared" si="388"/>
        <v>3.9478614253205121E-5</v>
      </c>
      <c r="O385" s="3">
        <f t="shared" si="388"/>
        <v>3.9478612828848754E-5</v>
      </c>
      <c r="P385" s="3">
        <f t="shared" si="388"/>
        <v>3.9478598585287962E-5</v>
      </c>
      <c r="Q385" s="3">
        <f t="shared" si="388"/>
        <v>3.9478456149962682E-5</v>
      </c>
      <c r="R385" s="3">
        <f t="shared" si="388"/>
        <v>3.9477031824973743E-5</v>
      </c>
      <c r="S385" s="3">
        <f t="shared" si="388"/>
        <v>3.9462791401094407E-5</v>
      </c>
      <c r="T385" s="3">
        <f t="shared" si="388"/>
        <v>3.9320669386423288E-5</v>
      </c>
      <c r="U385" s="3">
        <f t="shared" si="388"/>
        <v>3.7927298510724743E-5</v>
      </c>
      <c r="V385" s="3">
        <f t="shared" si="388"/>
        <v>2.6440032376569834E-5</v>
      </c>
      <c r="W385" s="3">
        <f t="shared" si="388"/>
        <v>7.1674176276030623E-7</v>
      </c>
      <c r="X385" s="3">
        <f t="shared" si="388"/>
        <v>1.5359249276382884E-22</v>
      </c>
      <c r="Y385" s="3">
        <f t="shared" si="388"/>
        <v>3.1364818128261225E-179</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0</v>
      </c>
      <c r="C386" s="3">
        <f t="shared" si="389"/>
        <v>0</v>
      </c>
      <c r="D386" s="3">
        <f t="shared" si="389"/>
        <v>0</v>
      </c>
      <c r="E386" s="3">
        <f t="shared" si="389"/>
        <v>0</v>
      </c>
      <c r="F386" s="3">
        <f t="shared" si="389"/>
        <v>0</v>
      </c>
      <c r="G386" s="3">
        <f t="shared" si="389"/>
        <v>0</v>
      </c>
      <c r="H386" s="3">
        <f t="shared" si="389"/>
        <v>0</v>
      </c>
      <c r="I386" s="3">
        <f t="shared" si="389"/>
        <v>0</v>
      </c>
      <c r="J386" s="3">
        <f t="shared" si="389"/>
        <v>0</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6.5441532530599776E-5</v>
      </c>
      <c r="C387" s="3">
        <f t="shared" si="390"/>
        <v>6.5441532530599776E-5</v>
      </c>
      <c r="D387" s="3">
        <f t="shared" si="390"/>
        <v>6.5441532530599776E-5</v>
      </c>
      <c r="E387" s="3">
        <f t="shared" si="390"/>
        <v>6.5441532530599776E-5</v>
      </c>
      <c r="F387" s="3">
        <f t="shared" si="390"/>
        <v>6.5441532530599776E-5</v>
      </c>
      <c r="G387" s="3">
        <f t="shared" si="390"/>
        <v>6.5441532530599776E-5</v>
      </c>
      <c r="H387" s="3">
        <f t="shared" si="390"/>
        <v>6.5441532530599762E-5</v>
      </c>
      <c r="I387" s="3">
        <f t="shared" si="390"/>
        <v>6.5441532530599708E-5</v>
      </c>
      <c r="J387" s="3">
        <f t="shared" si="390"/>
        <v>6.5441532530599125E-5</v>
      </c>
      <c r="K387" s="3">
        <f t="shared" si="390"/>
        <v>6.544153253059323E-5</v>
      </c>
      <c r="L387" s="3">
        <f t="shared" si="390"/>
        <v>6.5441532530534317E-5</v>
      </c>
      <c r="M387" s="3">
        <f t="shared" si="390"/>
        <v>6.5441532529945256E-5</v>
      </c>
      <c r="N387" s="3">
        <f t="shared" si="390"/>
        <v>6.5441532524054515E-5</v>
      </c>
      <c r="O387" s="3">
        <f t="shared" si="390"/>
        <v>6.5441532465147141E-5</v>
      </c>
      <c r="P387" s="3">
        <f t="shared" si="390"/>
        <v>6.5441531876073375E-5</v>
      </c>
      <c r="Q387" s="3">
        <f t="shared" si="390"/>
        <v>6.5441525985336055E-5</v>
      </c>
      <c r="R387" s="3">
        <f t="shared" si="390"/>
        <v>6.5441467077991951E-5</v>
      </c>
      <c r="S387" s="3">
        <f t="shared" si="390"/>
        <v>6.544087800746736E-5</v>
      </c>
      <c r="T387" s="3">
        <f t="shared" si="390"/>
        <v>6.5434987593851639E-5</v>
      </c>
      <c r="U387" s="3">
        <f t="shared" si="390"/>
        <v>6.5376112611005446E-5</v>
      </c>
      <c r="V387" s="3">
        <f t="shared" si="390"/>
        <v>6.4790268427279639E-5</v>
      </c>
      <c r="W387" s="3">
        <f t="shared" si="390"/>
        <v>5.9212942239786847E-5</v>
      </c>
      <c r="X387" s="3">
        <f t="shared" si="390"/>
        <v>2.4070508347973377E-5</v>
      </c>
      <c r="Y387" s="3">
        <f t="shared" si="390"/>
        <v>2.9660022205756042E-9</v>
      </c>
      <c r="Z387" s="3">
        <f t="shared" si="390"/>
        <v>2.3935007468290248E-48</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9.072554140189839E-6</v>
      </c>
      <c r="C388" s="3">
        <f t="shared" si="391"/>
        <v>9.072554140189839E-6</v>
      </c>
      <c r="D388" s="3">
        <f t="shared" si="391"/>
        <v>9.072554140189839E-6</v>
      </c>
      <c r="E388" s="3">
        <f t="shared" si="391"/>
        <v>9.072554140189839E-6</v>
      </c>
      <c r="F388" s="3">
        <f t="shared" si="391"/>
        <v>9.072554140189839E-6</v>
      </c>
      <c r="G388" s="3">
        <f t="shared" si="391"/>
        <v>9.072554140189839E-6</v>
      </c>
      <c r="H388" s="3">
        <f t="shared" si="391"/>
        <v>9.072554140189839E-6</v>
      </c>
      <c r="I388" s="3">
        <f t="shared" si="391"/>
        <v>9.0725541401898373E-6</v>
      </c>
      <c r="J388" s="3">
        <f t="shared" si="391"/>
        <v>9.0725541401898305E-6</v>
      </c>
      <c r="K388" s="3">
        <f t="shared" si="391"/>
        <v>9.0725541401897475E-6</v>
      </c>
      <c r="L388" s="3">
        <f t="shared" si="391"/>
        <v>9.072554140188931E-6</v>
      </c>
      <c r="M388" s="3">
        <f t="shared" si="391"/>
        <v>9.0725541401807639E-6</v>
      </c>
      <c r="N388" s="3">
        <f t="shared" si="391"/>
        <v>9.072554140099098E-6</v>
      </c>
      <c r="O388" s="3">
        <f t="shared" si="391"/>
        <v>9.0725541392824295E-6</v>
      </c>
      <c r="P388" s="3">
        <f t="shared" si="391"/>
        <v>9.0725541311157444E-6</v>
      </c>
      <c r="Q388" s="3">
        <f t="shared" si="391"/>
        <v>9.0725540494488985E-6</v>
      </c>
      <c r="R388" s="3">
        <f t="shared" si="391"/>
        <v>9.072553232780473E-6</v>
      </c>
      <c r="S388" s="3">
        <f t="shared" si="391"/>
        <v>9.0725450661002639E-6</v>
      </c>
      <c r="T388" s="3">
        <f t="shared" si="391"/>
        <v>9.0724633997024866E-6</v>
      </c>
      <c r="U388" s="3">
        <f t="shared" si="391"/>
        <v>9.0716467761551738E-6</v>
      </c>
      <c r="V388" s="3">
        <f t="shared" si="391"/>
        <v>9.0634845823812892E-6</v>
      </c>
      <c r="W388" s="3">
        <f t="shared" si="391"/>
        <v>8.9822654716875944E-6</v>
      </c>
      <c r="X388" s="3">
        <f t="shared" si="391"/>
        <v>8.2090471218595765E-6</v>
      </c>
      <c r="Y388" s="3">
        <f t="shared" si="391"/>
        <v>3.3370396707437632E-6</v>
      </c>
      <c r="Z388" s="3">
        <f t="shared" si="391"/>
        <v>4.1119476707720725E-10</v>
      </c>
      <c r="AA388" s="3">
        <f t="shared" si="391"/>
        <v>3.3182543669858827E-49</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3.4648583404177175E-7</v>
      </c>
      <c r="C389" s="3">
        <f t="shared" si="392"/>
        <v>3.4648583404177175E-7</v>
      </c>
      <c r="D389" s="3">
        <f t="shared" si="392"/>
        <v>3.4648583404177175E-7</v>
      </c>
      <c r="E389" s="3">
        <f t="shared" si="392"/>
        <v>3.4648583404177175E-7</v>
      </c>
      <c r="F389" s="3">
        <f t="shared" si="392"/>
        <v>3.4648583404177175E-7</v>
      </c>
      <c r="G389" s="3">
        <f t="shared" si="392"/>
        <v>3.4648583404177175E-7</v>
      </c>
      <c r="H389" s="3">
        <f t="shared" si="392"/>
        <v>3.4648583404177175E-7</v>
      </c>
      <c r="I389" s="3">
        <f t="shared" si="392"/>
        <v>3.4648583404177175E-7</v>
      </c>
      <c r="J389" s="3">
        <f t="shared" si="392"/>
        <v>3.464858340417717E-7</v>
      </c>
      <c r="K389" s="3">
        <f t="shared" si="392"/>
        <v>3.4648583404177138E-7</v>
      </c>
      <c r="L389" s="3">
        <f t="shared" si="392"/>
        <v>3.4648583404176831E-7</v>
      </c>
      <c r="M389" s="3">
        <f t="shared" si="392"/>
        <v>3.4648583404173708E-7</v>
      </c>
      <c r="N389" s="3">
        <f t="shared" si="392"/>
        <v>3.4648583404142521E-7</v>
      </c>
      <c r="O389" s="3">
        <f t="shared" si="392"/>
        <v>3.4648583403830633E-7</v>
      </c>
      <c r="P389" s="3">
        <f t="shared" si="392"/>
        <v>3.464858340071173E-7</v>
      </c>
      <c r="Q389" s="3">
        <f t="shared" si="392"/>
        <v>3.4648583369522712E-7</v>
      </c>
      <c r="R389" s="3">
        <f t="shared" si="392"/>
        <v>3.4648583057632528E-7</v>
      </c>
      <c r="S389" s="3">
        <f t="shared" si="392"/>
        <v>3.4648579938730887E-7</v>
      </c>
      <c r="T389" s="3">
        <f t="shared" si="392"/>
        <v>3.4648548749729862E-7</v>
      </c>
      <c r="U389" s="3">
        <f t="shared" si="392"/>
        <v>3.4648236861263726E-7</v>
      </c>
      <c r="V389" s="3">
        <f t="shared" si="392"/>
        <v>3.4645118131008535E-7</v>
      </c>
      <c r="W389" s="3">
        <f t="shared" si="392"/>
        <v>3.4613946263928378E-7</v>
      </c>
      <c r="X389" s="3">
        <f t="shared" si="392"/>
        <v>3.4303766011774527E-7</v>
      </c>
      <c r="Y389" s="3">
        <f t="shared" si="392"/>
        <v>3.1350802593790914E-7</v>
      </c>
      <c r="Z389" s="3">
        <f t="shared" si="392"/>
        <v>1.2744338095776174E-7</v>
      </c>
      <c r="AA389" s="3">
        <f t="shared" si="392"/>
        <v>1.5703754380833822E-11</v>
      </c>
      <c r="AB389" s="3">
        <f t="shared" si="392"/>
        <v>1.2672595987217744E-50</v>
      </c>
      <c r="AC389" s="3">
        <f t="shared" si="392"/>
        <v>0</v>
      </c>
      <c r="AD389" s="3">
        <f t="shared" si="392"/>
        <v>0</v>
      </c>
      <c r="AE389" s="3">
        <f t="shared" si="392"/>
        <v>0</v>
      </c>
      <c r="AF389" s="3">
        <f t="shared" si="392"/>
        <v>0</v>
      </c>
      <c r="AG389" s="3"/>
      <c r="AH389" s="3"/>
    </row>
    <row r="390" spans="1:34" x14ac:dyDescent="0.25">
      <c r="B390" s="3">
        <f t="shared" ref="B390:AF390" si="393">$C42*EXP(-B$363/$A42/EXP(-$H$126))</f>
        <v>0</v>
      </c>
      <c r="C390" s="3">
        <f t="shared" si="393"/>
        <v>0</v>
      </c>
      <c r="D390" s="3">
        <f t="shared" si="393"/>
        <v>0</v>
      </c>
      <c r="E390" s="3">
        <f t="shared" si="393"/>
        <v>0</v>
      </c>
      <c r="F390" s="3">
        <f t="shared" si="393"/>
        <v>0</v>
      </c>
      <c r="G390" s="3">
        <f t="shared" si="393"/>
        <v>0</v>
      </c>
      <c r="H390" s="3">
        <f t="shared" si="393"/>
        <v>0</v>
      </c>
      <c r="I390" s="3">
        <f t="shared" si="393"/>
        <v>0</v>
      </c>
      <c r="J390" s="3">
        <f t="shared" si="393"/>
        <v>0</v>
      </c>
      <c r="K390" s="3">
        <f t="shared" si="393"/>
        <v>0</v>
      </c>
      <c r="L390" s="3">
        <f t="shared" si="393"/>
        <v>0</v>
      </c>
      <c r="M390" s="3">
        <f t="shared" si="393"/>
        <v>0</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0</v>
      </c>
      <c r="C391" s="3">
        <f t="shared" si="394"/>
        <v>0</v>
      </c>
      <c r="D391" s="3">
        <f t="shared" si="394"/>
        <v>0</v>
      </c>
      <c r="E391" s="3">
        <f t="shared" si="394"/>
        <v>0</v>
      </c>
      <c r="F391" s="3">
        <f t="shared" si="394"/>
        <v>0</v>
      </c>
      <c r="G391" s="3">
        <f t="shared" si="394"/>
        <v>0</v>
      </c>
      <c r="H391" s="3">
        <f t="shared" si="394"/>
        <v>0</v>
      </c>
      <c r="I391" s="3">
        <f t="shared" si="394"/>
        <v>0</v>
      </c>
      <c r="J391" s="3">
        <f t="shared" si="394"/>
        <v>0</v>
      </c>
      <c r="K391" s="3">
        <f t="shared" si="394"/>
        <v>0</v>
      </c>
      <c r="L391" s="3">
        <f t="shared" si="394"/>
        <v>0</v>
      </c>
      <c r="M391" s="3">
        <f t="shared" si="394"/>
        <v>0</v>
      </c>
      <c r="N391" s="3">
        <f t="shared" si="394"/>
        <v>0</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0</v>
      </c>
      <c r="C392" s="3">
        <f t="shared" si="395"/>
        <v>0</v>
      </c>
      <c r="D392" s="3">
        <f t="shared" si="395"/>
        <v>0</v>
      </c>
      <c r="E392" s="3">
        <f t="shared" si="395"/>
        <v>0</v>
      </c>
      <c r="F392" s="3">
        <f t="shared" si="395"/>
        <v>0</v>
      </c>
      <c r="G392" s="3">
        <f t="shared" si="395"/>
        <v>0</v>
      </c>
      <c r="H392" s="3">
        <f t="shared" si="395"/>
        <v>0</v>
      </c>
      <c r="I392" s="3">
        <f t="shared" si="395"/>
        <v>0</v>
      </c>
      <c r="J392" s="3">
        <f t="shared" si="395"/>
        <v>0</v>
      </c>
      <c r="K392" s="3">
        <f t="shared" si="395"/>
        <v>0</v>
      </c>
      <c r="L392" s="3">
        <f t="shared" si="395"/>
        <v>0</v>
      </c>
      <c r="M392" s="3">
        <f t="shared" si="395"/>
        <v>0</v>
      </c>
      <c r="N392" s="3">
        <f t="shared" si="395"/>
        <v>0</v>
      </c>
      <c r="O392" s="3">
        <f t="shared" si="395"/>
        <v>0</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0</v>
      </c>
      <c r="C393" s="3">
        <f t="shared" si="396"/>
        <v>0</v>
      </c>
      <c r="D393" s="3">
        <f t="shared" si="396"/>
        <v>0</v>
      </c>
      <c r="E393" s="3">
        <f t="shared" si="396"/>
        <v>0</v>
      </c>
      <c r="F393" s="3">
        <f t="shared" si="396"/>
        <v>0</v>
      </c>
      <c r="G393" s="3">
        <f t="shared" si="396"/>
        <v>0</v>
      </c>
      <c r="H393" s="3">
        <f t="shared" si="396"/>
        <v>0</v>
      </c>
      <c r="I393" s="3">
        <f t="shared" si="396"/>
        <v>0</v>
      </c>
      <c r="J393" s="3">
        <f t="shared" si="396"/>
        <v>0</v>
      </c>
      <c r="K393" s="3">
        <f t="shared" si="396"/>
        <v>0</v>
      </c>
      <c r="L393" s="3">
        <f t="shared" si="396"/>
        <v>0</v>
      </c>
      <c r="M393" s="3">
        <f t="shared" si="396"/>
        <v>0</v>
      </c>
      <c r="N393" s="3">
        <f t="shared" si="396"/>
        <v>0</v>
      </c>
      <c r="O393" s="3">
        <f t="shared" si="396"/>
        <v>0</v>
      </c>
      <c r="P393" s="3">
        <f t="shared" si="396"/>
        <v>0</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0</v>
      </c>
      <c r="C394" s="3">
        <f t="shared" si="397"/>
        <v>0</v>
      </c>
      <c r="D394" s="3">
        <f t="shared" si="397"/>
        <v>0</v>
      </c>
      <c r="E394" s="3">
        <f t="shared" si="397"/>
        <v>0</v>
      </c>
      <c r="F394" s="3">
        <f t="shared" si="397"/>
        <v>0</v>
      </c>
      <c r="G394" s="3">
        <f t="shared" si="397"/>
        <v>0</v>
      </c>
      <c r="H394" s="3">
        <f t="shared" si="397"/>
        <v>0</v>
      </c>
      <c r="I394" s="3">
        <f t="shared" si="397"/>
        <v>0</v>
      </c>
      <c r="J394" s="3">
        <f t="shared" si="397"/>
        <v>0</v>
      </c>
      <c r="K394" s="3">
        <f t="shared" si="397"/>
        <v>0</v>
      </c>
      <c r="L394" s="3">
        <f t="shared" si="397"/>
        <v>0</v>
      </c>
      <c r="M394" s="3">
        <f t="shared" si="397"/>
        <v>0</v>
      </c>
      <c r="N394" s="3">
        <f t="shared" si="397"/>
        <v>0</v>
      </c>
      <c r="O394" s="3">
        <f t="shared" si="397"/>
        <v>0</v>
      </c>
      <c r="P394" s="3">
        <f t="shared" si="397"/>
        <v>0</v>
      </c>
      <c r="Q394" s="3">
        <f t="shared" si="397"/>
        <v>0</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2.6390969703261771E-3</v>
      </c>
      <c r="C396" s="3">
        <f t="shared" si="399"/>
        <v>2.6390969703261771E-3</v>
      </c>
      <c r="D396" s="3">
        <f t="shared" si="399"/>
        <v>2.6390969703261771E-3</v>
      </c>
      <c r="E396" s="3">
        <f t="shared" si="399"/>
        <v>2.6390969703261771E-3</v>
      </c>
      <c r="F396" s="3">
        <f t="shared" si="399"/>
        <v>2.6390969703261771E-3</v>
      </c>
      <c r="G396" s="3">
        <f t="shared" si="399"/>
        <v>2.6390969703261771E-3</v>
      </c>
      <c r="H396" s="3">
        <f t="shared" si="399"/>
        <v>2.6390969703261771E-3</v>
      </c>
      <c r="I396" s="3">
        <f t="shared" si="399"/>
        <v>2.6390969703261771E-3</v>
      </c>
      <c r="J396" s="3">
        <f t="shared" si="399"/>
        <v>2.6390969703261771E-3</v>
      </c>
      <c r="K396" s="3">
        <f t="shared" si="399"/>
        <v>2.6390969703261771E-3</v>
      </c>
      <c r="L396" s="3">
        <f t="shared" si="399"/>
        <v>2.6390969703261771E-3</v>
      </c>
      <c r="M396" s="3">
        <f t="shared" si="399"/>
        <v>2.6390969703261771E-3</v>
      </c>
      <c r="N396" s="3">
        <f t="shared" si="399"/>
        <v>2.6390969703261771E-3</v>
      </c>
      <c r="O396" s="3">
        <f t="shared" si="399"/>
        <v>2.6390969703261771E-3</v>
      </c>
      <c r="P396" s="3">
        <f t="shared" si="399"/>
        <v>2.6390969703261771E-3</v>
      </c>
      <c r="Q396" s="3">
        <f t="shared" si="399"/>
        <v>2.6390969703261767E-3</v>
      </c>
      <c r="R396" s="3">
        <f t="shared" si="399"/>
        <v>2.6390969703261745E-3</v>
      </c>
      <c r="S396" s="3">
        <f t="shared" si="399"/>
        <v>2.6390969703261507E-3</v>
      </c>
      <c r="T396" s="3">
        <f t="shared" si="399"/>
        <v>2.639096970325913E-3</v>
      </c>
      <c r="U396" s="3">
        <f t="shared" si="399"/>
        <v>2.6390969703235373E-3</v>
      </c>
      <c r="V396" s="3">
        <f t="shared" si="399"/>
        <v>2.6390969702997816E-3</v>
      </c>
      <c r="W396" s="3">
        <f t="shared" si="399"/>
        <v>2.6390969700622225E-3</v>
      </c>
      <c r="X396" s="3">
        <f t="shared" si="399"/>
        <v>2.6390969676866323E-3</v>
      </c>
      <c r="Y396" s="3">
        <f t="shared" si="399"/>
        <v>2.6390969439307279E-3</v>
      </c>
      <c r="Z396" s="3">
        <f t="shared" si="399"/>
        <v>2.6390967063716973E-3</v>
      </c>
      <c r="AA396" s="3">
        <f t="shared" si="399"/>
        <v>2.6390943307825674E-3</v>
      </c>
      <c r="AB396" s="3">
        <f t="shared" si="399"/>
        <v>2.6390705750088768E-3</v>
      </c>
      <c r="AC396" s="3">
        <f t="shared" si="399"/>
        <v>2.6388330290327039E-3</v>
      </c>
      <c r="AD396" s="3">
        <f t="shared" si="399"/>
        <v>2.6364587449527166E-3</v>
      </c>
      <c r="AE396" s="3">
        <f t="shared" si="399"/>
        <v>2.612833081699322E-3</v>
      </c>
      <c r="AF396" s="3">
        <f t="shared" si="399"/>
        <v>2.3879131558548201E-3</v>
      </c>
      <c r="AG396" s="3"/>
      <c r="AH396" s="3"/>
    </row>
    <row r="397" spans="1:34" x14ac:dyDescent="0.25">
      <c r="A397" s="79">
        <f>AVERAGE(B397:AF397)</f>
        <v>7.9868756477182397E-5</v>
      </c>
      <c r="B397" s="80">
        <f>IF($A$64&lt;=B363,IF($B$64&gt;=B363,ABS((B365-B364)/B364),0),0)</f>
        <v>0</v>
      </c>
      <c r="C397" s="80">
        <f t="shared" ref="C397:AF397" si="400">IF($A$64&lt;=C363,IF($B$64&gt;=C363,ABS((C365-C364)/C364),0),0)</f>
        <v>0</v>
      </c>
      <c r="D397" s="80">
        <f t="shared" si="400"/>
        <v>0</v>
      </c>
      <c r="E397" s="80">
        <f t="shared" si="400"/>
        <v>0</v>
      </c>
      <c r="F397" s="80">
        <f t="shared" si="400"/>
        <v>0</v>
      </c>
      <c r="G397" s="80">
        <f t="shared" si="400"/>
        <v>0</v>
      </c>
      <c r="H397" s="80">
        <f t="shared" si="400"/>
        <v>0</v>
      </c>
      <c r="I397" s="80">
        <f t="shared" si="400"/>
        <v>0</v>
      </c>
      <c r="J397" s="80">
        <f t="shared" si="400"/>
        <v>0</v>
      </c>
      <c r="K397" s="80">
        <f t="shared" si="400"/>
        <v>0</v>
      </c>
      <c r="L397" s="80">
        <f t="shared" si="400"/>
        <v>8.5799857372670428E-5</v>
      </c>
      <c r="M397" s="80">
        <f t="shared" si="400"/>
        <v>2.4960972022065701E-4</v>
      </c>
      <c r="N397" s="80">
        <f t="shared" si="400"/>
        <v>3.895521770070254E-5</v>
      </c>
      <c r="O397" s="80">
        <f t="shared" si="400"/>
        <v>1.5634993129271584E-4</v>
      </c>
      <c r="P397" s="80">
        <f t="shared" si="400"/>
        <v>6.6608963471470682E-4</v>
      </c>
      <c r="Q397" s="80">
        <f t="shared" si="400"/>
        <v>7.2271373135782775E-4</v>
      </c>
      <c r="R397" s="80">
        <f t="shared" si="400"/>
        <v>3.4589012345961786E-4</v>
      </c>
      <c r="S397" s="80">
        <f t="shared" si="400"/>
        <v>2.8007024903847544E-5</v>
      </c>
      <c r="T397" s="80">
        <f t="shared" si="400"/>
        <v>1.5954576545053101E-4</v>
      </c>
      <c r="U397" s="80">
        <f t="shared" si="400"/>
        <v>2.1363920969180528E-5</v>
      </c>
      <c r="V397" s="80">
        <f t="shared" si="400"/>
        <v>1.6065233501970298E-6</v>
      </c>
      <c r="W397" s="80">
        <f t="shared" si="400"/>
        <v>0</v>
      </c>
      <c r="X397" s="80">
        <f t="shared" si="400"/>
        <v>0</v>
      </c>
      <c r="Y397" s="80">
        <f t="shared" si="400"/>
        <v>0</v>
      </c>
      <c r="Z397" s="80">
        <f t="shared" si="400"/>
        <v>0</v>
      </c>
      <c r="AA397" s="80">
        <f t="shared" si="400"/>
        <v>0</v>
      </c>
      <c r="AB397" s="80">
        <f t="shared" si="400"/>
        <v>0</v>
      </c>
      <c r="AC397" s="80">
        <f t="shared" si="400"/>
        <v>0</v>
      </c>
      <c r="AD397" s="80">
        <f t="shared" si="400"/>
        <v>0</v>
      </c>
      <c r="AE397" s="80">
        <f t="shared" si="400"/>
        <v>0</v>
      </c>
      <c r="AF397" s="80">
        <f t="shared" si="400"/>
        <v>0</v>
      </c>
    </row>
    <row r="398" spans="1:34" x14ac:dyDescent="0.25">
      <c r="B398" s="21">
        <f>(B365-B364)^2</f>
        <v>7669.2630194722988</v>
      </c>
      <c r="C398" s="21">
        <f t="shared" ref="C398:AF398" si="401">(C365-C364)^2</f>
        <v>12824.859894701347</v>
      </c>
      <c r="D398" s="21">
        <f t="shared" si="401"/>
        <v>900.68486301548535</v>
      </c>
      <c r="E398" s="21">
        <f t="shared" si="401"/>
        <v>23.799930806869718</v>
      </c>
      <c r="F398" s="21">
        <f t="shared" si="401"/>
        <v>0.4888068915766231</v>
      </c>
      <c r="G398" s="21">
        <f t="shared" si="401"/>
        <v>2.7766588715496046E-3</v>
      </c>
      <c r="H398" s="21">
        <f t="shared" si="401"/>
        <v>4.7601640229722147E-4</v>
      </c>
      <c r="I398" s="21">
        <f t="shared" si="401"/>
        <v>7.0581802599204166E-3</v>
      </c>
      <c r="J398" s="21">
        <f t="shared" si="401"/>
        <v>8.5368135066100307E-4</v>
      </c>
      <c r="K398" s="21">
        <f t="shared" si="401"/>
        <v>2.595845660639912E-2</v>
      </c>
      <c r="L398" s="21">
        <f t="shared" si="401"/>
        <v>4.9132204119018696E-3</v>
      </c>
      <c r="M398" s="21">
        <f t="shared" si="401"/>
        <v>1.3377713211368098E-2</v>
      </c>
      <c r="N398" s="21">
        <f t="shared" si="401"/>
        <v>1.0020757589663604E-4</v>
      </c>
      <c r="O398" s="21">
        <f t="shared" si="401"/>
        <v>6.8580178001052393E-4</v>
      </c>
      <c r="P398" s="21">
        <f t="shared" si="401"/>
        <v>8.9215391682315303E-3</v>
      </c>
      <c r="Q398" s="21">
        <f t="shared" si="401"/>
        <v>8.7176477120192771E-3</v>
      </c>
      <c r="R398" s="21">
        <f t="shared" si="401"/>
        <v>1.8830330927497366E-3</v>
      </c>
      <c r="S398" s="21">
        <f t="shared" si="401"/>
        <v>1.2330289479766217E-5</v>
      </c>
      <c r="T398" s="21">
        <f t="shared" si="401"/>
        <v>3.9940372574202252E-4</v>
      </c>
      <c r="U398" s="21">
        <f t="shared" si="401"/>
        <v>7.1471509791392083E-6</v>
      </c>
      <c r="V398" s="21">
        <f t="shared" si="401"/>
        <v>4.0313019418245137E-8</v>
      </c>
      <c r="W398" s="21">
        <f t="shared" si="401"/>
        <v>2.100636210083201E-5</v>
      </c>
      <c r="X398" s="21">
        <f t="shared" si="401"/>
        <v>7.4516194416916857E-4</v>
      </c>
      <c r="Y398" s="21">
        <f t="shared" si="401"/>
        <v>2.8697360226098602E-6</v>
      </c>
      <c r="Z398" s="21">
        <f t="shared" si="401"/>
        <v>3.3544188478795028E-4</v>
      </c>
      <c r="AA398" s="21">
        <f t="shared" si="401"/>
        <v>5.389381498903504E-3</v>
      </c>
      <c r="AB398" s="21">
        <f t="shared" si="401"/>
        <v>3.9241695403591653E-2</v>
      </c>
      <c r="AC398" s="21">
        <f t="shared" si="401"/>
        <v>0.1056523466584572</v>
      </c>
      <c r="AD398" s="21">
        <f t="shared" si="401"/>
        <v>0.10137511065359048</v>
      </c>
      <c r="AE398" s="21">
        <f t="shared" si="401"/>
        <v>3.3082903696646744E-2</v>
      </c>
      <c r="AF398" s="21">
        <f t="shared" si="401"/>
        <v>1.3211754865608922</v>
      </c>
      <c r="AG398" s="3"/>
      <c r="AH398" s="3"/>
    </row>
    <row r="399" spans="1:34" x14ac:dyDescent="0.25">
      <c r="A399" s="71">
        <f>SUM(B399:AF399)</f>
        <v>3.9018084431398016E-2</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4.9132204119018696E-3</v>
      </c>
      <c r="M399" s="60">
        <f t="shared" ref="M399" si="412">IF($A$64&lt;=M363,IF($B$64&gt;=M363,ABS(M398),0),0)</f>
        <v>1.3377713211368098E-2</v>
      </c>
      <c r="N399" s="60">
        <f t="shared" ref="N399" si="413">IF($A$64&lt;=N363,IF($B$64&gt;=N363,ABS(N398),0),0)</f>
        <v>1.0020757589663604E-4</v>
      </c>
      <c r="O399" s="60">
        <f t="shared" ref="O399" si="414">IF($A$64&lt;=O363,IF($B$64&gt;=O363,ABS(O398),0),0)</f>
        <v>6.8580178001052393E-4</v>
      </c>
      <c r="P399" s="60">
        <f t="shared" ref="P399" si="415">IF($A$64&lt;=P363,IF($B$64&gt;=P363,ABS(P398),0),0)</f>
        <v>8.9215391682315303E-3</v>
      </c>
      <c r="Q399" s="60">
        <f t="shared" ref="Q399" si="416">IF($A$64&lt;=Q363,IF($B$64&gt;=Q363,ABS(Q398),0),0)</f>
        <v>8.7176477120192771E-3</v>
      </c>
      <c r="R399" s="60">
        <f t="shared" ref="R399" si="417">IF($A$64&lt;=R363,IF($B$64&gt;=R363,ABS(R398),0),0)</f>
        <v>1.8830330927497366E-3</v>
      </c>
      <c r="S399" s="60">
        <f t="shared" ref="S399" si="418">IF($A$64&lt;=S363,IF($B$64&gt;=S363,ABS(S398),0),0)</f>
        <v>1.2330289479766217E-5</v>
      </c>
      <c r="T399" s="60">
        <f t="shared" ref="T399" si="419">IF($A$64&lt;=T363,IF($B$64&gt;=T363,ABS(T398),0),0)</f>
        <v>3.9940372574202252E-4</v>
      </c>
      <c r="U399" s="60">
        <f t="shared" ref="U399" si="420">IF($A$64&lt;=U363,IF($B$64&gt;=U363,ABS(U398),0),0)</f>
        <v>7.1471509791392083E-6</v>
      </c>
      <c r="V399" s="60">
        <f t="shared" ref="V399" si="421">IF($A$64&lt;=V363,IF($B$64&gt;=V363,ABS(V398),0),0)</f>
        <v>4.0313019418245137E-8</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-50.877186227047318</v>
      </c>
      <c r="C403" s="107">
        <f t="shared" ref="C403:H403" si="432">IF(C125=$B$2,0,C126)</f>
        <v>-47.53503258872334</v>
      </c>
      <c r="D403" s="107">
        <f t="shared" si="432"/>
        <v>-43.17223321865707</v>
      </c>
      <c r="E403" s="107">
        <f t="shared" si="432"/>
        <v>-36.73447871701795</v>
      </c>
      <c r="F403" s="107">
        <f t="shared" si="432"/>
        <v>-23.798541942982897</v>
      </c>
      <c r="G403" s="107">
        <f t="shared" si="432"/>
        <v>-4.1694131014593321</v>
      </c>
      <c r="H403" s="107">
        <f t="shared" si="432"/>
        <v>0</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8.0226670126500902E-38</v>
      </c>
      <c r="C404" s="3">
        <f t="shared" ref="C404:H419" si="433">$A404/EXP(-C$403)</f>
        <v>2.2688075024710524E-36</v>
      </c>
      <c r="D404" s="3">
        <f t="shared" si="433"/>
        <v>1.7804809923632087E-34</v>
      </c>
      <c r="E404" s="3">
        <f t="shared" si="433"/>
        <v>1.1128037938306444E-31</v>
      </c>
      <c r="F404" s="3">
        <f t="shared" si="433"/>
        <v>4.6176876906921467E-26</v>
      </c>
      <c r="G404" s="3">
        <f t="shared" si="433"/>
        <v>1.546133169461167E-17</v>
      </c>
      <c r="H404" s="3">
        <f t="shared" si="433"/>
        <v>1.0000000000000001E-15</v>
      </c>
      <c r="I404" s="109">
        <f>Comparison!AL3</f>
        <v>1.0000000000000001E-15</v>
      </c>
      <c r="J404" s="3">
        <f>Comparison!AM3</f>
        <v>5945.4862308501361</v>
      </c>
      <c r="K404" s="3">
        <f>Comparison!AN3</f>
        <v>5936.3433151657146</v>
      </c>
      <c r="L404" s="3">
        <f>Comparison!AO3</f>
        <v>5930.406376183163</v>
      </c>
      <c r="M404" s="3">
        <f>Comparison!AP3</f>
        <v>5924.2874974527258</v>
      </c>
      <c r="N404" s="3">
        <f>Comparison!AQ3</f>
        <v>5916.6915694579875</v>
      </c>
      <c r="O404" s="3">
        <f>Comparison!AR3</f>
        <v>5339.3938402799959</v>
      </c>
      <c r="P404" s="3">
        <f>Comparison!AS3</f>
        <v>4973.1641667493986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8.0226670126500902E-37</v>
      </c>
      <c r="C405" s="3">
        <f t="shared" si="433"/>
        <v>2.2688075024710524E-35</v>
      </c>
      <c r="D405" s="3">
        <f t="shared" si="433"/>
        <v>1.7804809923632084E-33</v>
      </c>
      <c r="E405" s="3">
        <f t="shared" si="433"/>
        <v>1.1128037938306443E-30</v>
      </c>
      <c r="F405" s="3">
        <f t="shared" si="433"/>
        <v>4.6176876906921463E-25</v>
      </c>
      <c r="G405" s="3">
        <f t="shared" si="433"/>
        <v>1.5461331694611668E-16</v>
      </c>
      <c r="H405" s="3">
        <f t="shared" si="433"/>
        <v>1E-14</v>
      </c>
      <c r="I405" s="109">
        <f>Comparison!AL4</f>
        <v>1E-14</v>
      </c>
      <c r="J405" s="3">
        <f>Comparison!AM4</f>
        <v>5945.5233978276192</v>
      </c>
      <c r="K405" s="3">
        <f>Comparison!AN4</f>
        <v>5936.3803075081632</v>
      </c>
      <c r="L405" s="3">
        <f>Comparison!AO4</f>
        <v>5930.4431337924134</v>
      </c>
      <c r="M405" s="3">
        <f>Comparison!AP4</f>
        <v>5924.3241993050724</v>
      </c>
      <c r="N405" s="3">
        <f>Comparison!AQ4</f>
        <v>5916.7227160627044</v>
      </c>
      <c r="O405" s="3">
        <f>Comparison!AR4</f>
        <v>5092.5436233397832</v>
      </c>
      <c r="P405" s="3">
        <f>Comparison!AS4</f>
        <v>4659.596505568883</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8.0226670126500902E-36</v>
      </c>
      <c r="C406" s="3">
        <f t="shared" si="433"/>
        <v>2.2688075024710522E-34</v>
      </c>
      <c r="D406" s="3">
        <f t="shared" si="433"/>
        <v>1.7804809923632087E-32</v>
      </c>
      <c r="E406" s="3">
        <f t="shared" si="433"/>
        <v>1.1128037938306443E-29</v>
      </c>
      <c r="F406" s="3">
        <f t="shared" si="433"/>
        <v>4.6176876906921465E-24</v>
      </c>
      <c r="G406" s="3">
        <f t="shared" si="433"/>
        <v>1.5461331694611669E-15</v>
      </c>
      <c r="H406" s="3">
        <f t="shared" si="433"/>
        <v>1E-13</v>
      </c>
      <c r="I406" s="109">
        <f>Comparison!AL5</f>
        <v>1E-13</v>
      </c>
      <c r="J406" s="3">
        <f>Comparison!AM5</f>
        <v>5945.5006733975988</v>
      </c>
      <c r="K406" s="3">
        <f>Comparison!AN5</f>
        <v>5936.3578341520697</v>
      </c>
      <c r="L406" s="3">
        <f>Comparison!AO5</f>
        <v>5930.4206852693951</v>
      </c>
      <c r="M406" s="3">
        <f>Comparison!AP5</f>
        <v>5924.3017770264787</v>
      </c>
      <c r="N406" s="3">
        <f>Comparison!AQ5</f>
        <v>5916.6446401256508</v>
      </c>
      <c r="O406" s="3">
        <f>Comparison!AR5</f>
        <v>4862.2074038193541</v>
      </c>
      <c r="P406" s="3">
        <f>Comparison!AS5</f>
        <v>4385.9516115251872</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8.0226670126500897E-35</v>
      </c>
      <c r="C407" s="3">
        <f t="shared" si="433"/>
        <v>2.2688075024710523E-33</v>
      </c>
      <c r="D407" s="3">
        <f t="shared" si="433"/>
        <v>1.7804809923632086E-31</v>
      </c>
      <c r="E407" s="3">
        <f t="shared" si="433"/>
        <v>1.1128037938306442E-28</v>
      </c>
      <c r="F407" s="3">
        <f t="shared" si="433"/>
        <v>4.6176876906921465E-23</v>
      </c>
      <c r="G407" s="3">
        <f t="shared" si="433"/>
        <v>1.5461331694611668E-14</v>
      </c>
      <c r="H407" s="3">
        <f t="shared" si="433"/>
        <v>9.9999999999999998E-13</v>
      </c>
      <c r="I407" s="109">
        <f>Comparison!AL6</f>
        <v>9.9999999999999998E-13</v>
      </c>
      <c r="J407" s="3">
        <f>Comparison!AM6</f>
        <v>5945.4940479964844</v>
      </c>
      <c r="K407" s="3">
        <f>Comparison!AN6</f>
        <v>5936.3510277390824</v>
      </c>
      <c r="L407" s="3">
        <f>Comparison!AO6</f>
        <v>5930.413892464232</v>
      </c>
      <c r="M407" s="3">
        <f>Comparison!AP6</f>
        <v>5924.2949982314785</v>
      </c>
      <c r="N407" s="3">
        <f>Comparison!AQ6</f>
        <v>5916.0822262002403</v>
      </c>
      <c r="O407" s="3">
        <f>Comparison!AR6</f>
        <v>4600.0447702643005</v>
      </c>
      <c r="P407" s="3">
        <f>Comparison!AS6</f>
        <v>4118.3569666620651</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8.0226670126500882E-34</v>
      </c>
      <c r="C408" s="3">
        <f t="shared" si="433"/>
        <v>2.2688075024710521E-32</v>
      </c>
      <c r="D408" s="3">
        <f t="shared" si="433"/>
        <v>1.7804809923632084E-30</v>
      </c>
      <c r="E408" s="3">
        <f t="shared" si="433"/>
        <v>1.1128037938306442E-27</v>
      </c>
      <c r="F408" s="3">
        <f t="shared" si="433"/>
        <v>4.6176876906921458E-22</v>
      </c>
      <c r="G408" s="3">
        <f t="shared" si="433"/>
        <v>1.5461331694611667E-13</v>
      </c>
      <c r="H408" s="3">
        <f t="shared" si="433"/>
        <v>9.9999999999999994E-12</v>
      </c>
      <c r="I408" s="109">
        <f>Comparison!AL7</f>
        <v>9.9999999999999994E-12</v>
      </c>
      <c r="J408" s="3">
        <f>Comparison!AM7</f>
        <v>5945.491987661344</v>
      </c>
      <c r="K408" s="3">
        <f>Comparison!AN7</f>
        <v>5936.3489535985827</v>
      </c>
      <c r="L408" s="3">
        <f>Comparison!AO7</f>
        <v>5930.4118224704844</v>
      </c>
      <c r="M408" s="3">
        <f>Comparison!AP7</f>
        <v>5924.2929325070927</v>
      </c>
      <c r="N408" s="3">
        <f>Comparison!AQ7</f>
        <v>5910.6250002955303</v>
      </c>
      <c r="O408" s="3">
        <f>Comparison!AR7</f>
        <v>4335.4686548713016</v>
      </c>
      <c r="P408" s="3">
        <f>Comparison!AS7</f>
        <v>3829.8022738739742</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8.0226670126500899E-33</v>
      </c>
      <c r="C409" s="3">
        <f t="shared" si="433"/>
        <v>2.2688075024710522E-31</v>
      </c>
      <c r="D409" s="3">
        <f t="shared" si="433"/>
        <v>1.7804809923632086E-29</v>
      </c>
      <c r="E409" s="3">
        <f t="shared" si="433"/>
        <v>1.1128037938306444E-26</v>
      </c>
      <c r="F409" s="3">
        <f t="shared" si="433"/>
        <v>4.6176876906921462E-21</v>
      </c>
      <c r="G409" s="3">
        <f t="shared" si="433"/>
        <v>1.5461331694611669E-12</v>
      </c>
      <c r="H409" s="3">
        <f t="shared" si="433"/>
        <v>1E-10</v>
      </c>
      <c r="I409" s="109">
        <f>Comparison!AL8</f>
        <v>1E-10</v>
      </c>
      <c r="J409" s="3">
        <f>Comparison!AM8</f>
        <v>5945.4911594878167</v>
      </c>
      <c r="K409" s="3">
        <f>Comparison!AN8</f>
        <v>5936.3483494802622</v>
      </c>
      <c r="L409" s="3">
        <f>Comparison!AO8</f>
        <v>5930.4110185898089</v>
      </c>
      <c r="M409" s="3">
        <f>Comparison!AP8</f>
        <v>5924.292050062164</v>
      </c>
      <c r="N409" s="3">
        <f>Comparison!AQ8</f>
        <v>5865.0413696390469</v>
      </c>
      <c r="O409" s="3">
        <f>Comparison!AR8</f>
        <v>4064.2446060274551</v>
      </c>
      <c r="P409" s="3">
        <f>Comparison!AS8</f>
        <v>3513.4556215320054</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8.0226670126500896E-32</v>
      </c>
      <c r="C410" s="3">
        <f t="shared" si="433"/>
        <v>2.2688075024710525E-30</v>
      </c>
      <c r="D410" s="3">
        <f t="shared" si="433"/>
        <v>1.7804809923632087E-28</v>
      </c>
      <c r="E410" s="3">
        <f t="shared" si="433"/>
        <v>1.1128037938306445E-25</v>
      </c>
      <c r="F410" s="3">
        <f t="shared" si="433"/>
        <v>4.6176876906921465E-20</v>
      </c>
      <c r="G410" s="3">
        <f t="shared" si="433"/>
        <v>1.5461331694611668E-11</v>
      </c>
      <c r="H410" s="3">
        <f t="shared" si="433"/>
        <v>1.0000000000000001E-9</v>
      </c>
      <c r="I410" s="109">
        <f>Comparison!AL9</f>
        <v>1.0000000000000001E-9</v>
      </c>
      <c r="J410" s="3">
        <f>Comparison!AM9</f>
        <v>5945.4908968962591</v>
      </c>
      <c r="K410" s="3">
        <f>Comparison!AN9</f>
        <v>5936.3480675584215</v>
      </c>
      <c r="L410" s="3">
        <f>Comparison!AO9</f>
        <v>5930.4109382017532</v>
      </c>
      <c r="M410" s="3">
        <f>Comparison!AP9</f>
        <v>5924.2896233399624</v>
      </c>
      <c r="N410" s="3">
        <f>Comparison!AQ9</f>
        <v>5722.4751414535358</v>
      </c>
      <c r="O410" s="3">
        <f>Comparison!AR9</f>
        <v>3775.0165221687416</v>
      </c>
      <c r="P410" s="3">
        <f>Comparison!AS9</f>
        <v>3097.9149297690292</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8.0226670126500905E-31</v>
      </c>
      <c r="C411" s="3">
        <f t="shared" si="433"/>
        <v>2.2688075024710523E-29</v>
      </c>
      <c r="D411" s="3">
        <f t="shared" si="433"/>
        <v>1.7804809923632086E-27</v>
      </c>
      <c r="E411" s="3">
        <f t="shared" si="433"/>
        <v>1.1128037938306444E-24</v>
      </c>
      <c r="F411" s="3">
        <f t="shared" si="433"/>
        <v>4.6176876906921465E-19</v>
      </c>
      <c r="G411" s="3">
        <f t="shared" si="433"/>
        <v>1.546133169461167E-10</v>
      </c>
      <c r="H411" s="3">
        <f t="shared" si="433"/>
        <v>1E-8</v>
      </c>
      <c r="I411" s="109">
        <f>Comparison!AL10</f>
        <v>1E-8</v>
      </c>
      <c r="J411" s="3">
        <f>Comparison!AM10</f>
        <v>5945.4908564975603</v>
      </c>
      <c r="K411" s="3">
        <f>Comparison!AN10</f>
        <v>5936.3480474211492</v>
      </c>
      <c r="L411" s="3">
        <f>Comparison!AO10</f>
        <v>5930.4106970375988</v>
      </c>
      <c r="M411" s="3">
        <f>Comparison!AP10</f>
        <v>5924.2686453119095</v>
      </c>
      <c r="N411" s="3">
        <f>Comparison!AQ10</f>
        <v>5576.9650996615301</v>
      </c>
      <c r="O411" s="3">
        <f>Comparison!AR10</f>
        <v>3440.8792936987693</v>
      </c>
      <c r="P411" s="3">
        <f>Comparison!AS10</f>
        <v>2591.2184022941196</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8.0226670126500894E-30</v>
      </c>
      <c r="C412" s="3">
        <f t="shared" si="433"/>
        <v>2.2688075024710521E-28</v>
      </c>
      <c r="D412" s="3">
        <f t="shared" si="433"/>
        <v>1.7804809923632085E-26</v>
      </c>
      <c r="E412" s="3">
        <f t="shared" si="433"/>
        <v>1.1128037938306443E-23</v>
      </c>
      <c r="F412" s="3">
        <f t="shared" si="433"/>
        <v>4.6176876906921459E-18</v>
      </c>
      <c r="G412" s="3">
        <f t="shared" si="433"/>
        <v>1.5461331694611667E-9</v>
      </c>
      <c r="H412" s="3">
        <f t="shared" si="433"/>
        <v>9.9999999999999995E-8</v>
      </c>
      <c r="I412" s="109">
        <f>Comparison!AL11</f>
        <v>9.9999999999999995E-8</v>
      </c>
      <c r="J412" s="3">
        <f>Comparison!AM11</f>
        <v>5945.4908564975603</v>
      </c>
      <c r="K412" s="3">
        <f>Comparison!AN11</f>
        <v>5936.3478259111525</v>
      </c>
      <c r="L412" s="3">
        <f>Comparison!AO11</f>
        <v>5930.4104156794438</v>
      </c>
      <c r="M412" s="3">
        <f>Comparison!AP11</f>
        <v>5924.0589935262078</v>
      </c>
      <c r="N412" s="3">
        <f>Comparison!AQ11</f>
        <v>5410.5738362167167</v>
      </c>
      <c r="O412" s="3">
        <f>Comparison!AR11</f>
        <v>3007.0276986600152</v>
      </c>
      <c r="P412" s="3">
        <f>Comparison!AS11</f>
        <v>2005.3525724949279</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8.0226670126500894E-29</v>
      </c>
      <c r="C413" s="3">
        <f t="shared" si="433"/>
        <v>2.2688075024710524E-27</v>
      </c>
      <c r="D413" s="3">
        <f t="shared" si="433"/>
        <v>1.7804809923632084E-25</v>
      </c>
      <c r="E413" s="3">
        <f t="shared" si="433"/>
        <v>1.1128037938306444E-22</v>
      </c>
      <c r="F413" s="3">
        <f t="shared" si="433"/>
        <v>4.6176876906921461E-17</v>
      </c>
      <c r="G413" s="3">
        <f t="shared" si="433"/>
        <v>1.5461331694611666E-8</v>
      </c>
      <c r="H413" s="3">
        <f t="shared" si="433"/>
        <v>9.9999999999999995E-7</v>
      </c>
      <c r="I413" s="109">
        <f>Comparison!AL12</f>
        <v>9.9999999999999995E-7</v>
      </c>
      <c r="J413" s="3">
        <f>Comparison!AM12</f>
        <v>5945.4908564975603</v>
      </c>
      <c r="K413" s="3">
        <f>Comparison!AN12</f>
        <v>5936.3478259111525</v>
      </c>
      <c r="L413" s="3">
        <f>Comparison!AO12</f>
        <v>5930.408164815165</v>
      </c>
      <c r="M413" s="3">
        <f>Comparison!AP12</f>
        <v>5921.976437640149</v>
      </c>
      <c r="N413" s="3">
        <f>Comparison!AQ12</f>
        <v>5216.1277029195053</v>
      </c>
      <c r="O413" s="3">
        <f>Comparison!AR12</f>
        <v>2483.1842311274095</v>
      </c>
      <c r="P413" s="3">
        <f>Comparison!AS12</f>
        <v>1355.6696144527521</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8.0226670126500903E-28</v>
      </c>
      <c r="C414" s="3">
        <f t="shared" si="433"/>
        <v>2.2688075024710526E-26</v>
      </c>
      <c r="D414" s="3">
        <f t="shared" si="433"/>
        <v>1.7804809923632086E-24</v>
      </c>
      <c r="E414" s="3">
        <f t="shared" si="433"/>
        <v>1.1128037938306444E-21</v>
      </c>
      <c r="F414" s="3">
        <f t="shared" si="433"/>
        <v>4.6176876906921467E-16</v>
      </c>
      <c r="G414" s="3">
        <f t="shared" si="433"/>
        <v>1.5461331694611668E-7</v>
      </c>
      <c r="H414" s="3">
        <f t="shared" si="433"/>
        <v>1.0000000000000001E-5</v>
      </c>
      <c r="I414" s="109">
        <f>Comparison!AL13</f>
        <v>1.0000000000000001E-5</v>
      </c>
      <c r="J414" s="3">
        <f>Comparison!AM13</f>
        <v>5945.4908564975603</v>
      </c>
      <c r="K414" s="3">
        <f>Comparison!AN13</f>
        <v>5936.3475238520905</v>
      </c>
      <c r="L414" s="3">
        <f>Comparison!AO13</f>
        <v>5930.384691618081</v>
      </c>
      <c r="M414" s="3">
        <f>Comparison!AP13</f>
        <v>5902.5412392933085</v>
      </c>
      <c r="N414" s="3">
        <f>Comparison!AQ13</f>
        <v>5018.4752297884525</v>
      </c>
      <c r="O414" s="3">
        <f>Comparison!AR13</f>
        <v>1877.3036191571002</v>
      </c>
      <c r="P414" s="3">
        <f>Comparison!AS13</f>
        <v>816.95203291347548</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8.0226670126500893E-27</v>
      </c>
      <c r="C415" s="3">
        <f t="shared" si="433"/>
        <v>2.2688075024710524E-25</v>
      </c>
      <c r="D415" s="3">
        <f t="shared" si="433"/>
        <v>1.7804809923632086E-23</v>
      </c>
      <c r="E415" s="3">
        <f t="shared" si="433"/>
        <v>1.1128037938306444E-20</v>
      </c>
      <c r="F415" s="3">
        <f t="shared" si="433"/>
        <v>4.6176876906921465E-15</v>
      </c>
      <c r="G415" s="3">
        <f t="shared" si="433"/>
        <v>1.5461331694611669E-6</v>
      </c>
      <c r="H415" s="3">
        <f t="shared" si="433"/>
        <v>1E-4</v>
      </c>
      <c r="I415" s="109">
        <f>Comparison!AL14</f>
        <v>1E-4</v>
      </c>
      <c r="J415" s="3">
        <f>Comparison!AM14</f>
        <v>5945.4908160988625</v>
      </c>
      <c r="K415" s="3">
        <f>Comparison!AN14</f>
        <v>5936.3452282042372</v>
      </c>
      <c r="L415" s="3">
        <f>Comparison!AO14</f>
        <v>5930.150894248286</v>
      </c>
      <c r="M415" s="3">
        <f>Comparison!AP14</f>
        <v>5788.7691117948852</v>
      </c>
      <c r="N415" s="3">
        <f>Comparison!AQ14</f>
        <v>4771.2929786824907</v>
      </c>
      <c r="O415" s="3">
        <f>Comparison!AR14</f>
        <v>1225.8372848665197</v>
      </c>
      <c r="P415" s="3">
        <f>Comparison!AS14</f>
        <v>463.37163713330017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8.0226670126500895E-26</v>
      </c>
      <c r="C416" s="3">
        <f t="shared" si="433"/>
        <v>2.2688075024710523E-24</v>
      </c>
      <c r="D416" s="3">
        <f t="shared" si="433"/>
        <v>1.7804809923632086E-22</v>
      </c>
      <c r="E416" s="3">
        <f t="shared" si="433"/>
        <v>1.1128037938306443E-19</v>
      </c>
      <c r="F416" s="3">
        <f t="shared" si="433"/>
        <v>4.6176876906921462E-14</v>
      </c>
      <c r="G416" s="3">
        <f t="shared" si="433"/>
        <v>1.5461331694611668E-5</v>
      </c>
      <c r="H416" s="3">
        <f t="shared" si="433"/>
        <v>1E-3</v>
      </c>
      <c r="I416" s="109">
        <f>Comparison!AL15</f>
        <v>1E-3</v>
      </c>
      <c r="J416" s="3">
        <f>Comparison!AM15</f>
        <v>5945.4901697197583</v>
      </c>
      <c r="K416" s="3">
        <f>Comparison!AN15</f>
        <v>5936.3201171545998</v>
      </c>
      <c r="L416" s="3">
        <f>Comparison!AO15</f>
        <v>5927.8308007940832</v>
      </c>
      <c r="M416" s="3">
        <f>Comparison!AP15</f>
        <v>5647.748615055857</v>
      </c>
      <c r="N416" s="3">
        <f>Comparison!AQ15</f>
        <v>4502.260327638488</v>
      </c>
      <c r="O416" s="3">
        <f>Comparison!AR15</f>
        <v>718.17933085631228</v>
      </c>
      <c r="P416" s="3">
        <f>Comparison!AS15</f>
        <v>256.97131232473913</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8.02266701265009E-25</v>
      </c>
      <c r="C417" s="3">
        <f t="shared" si="433"/>
        <v>2.2688075024710522E-23</v>
      </c>
      <c r="D417" s="3">
        <f t="shared" si="433"/>
        <v>1.7804809923632087E-21</v>
      </c>
      <c r="E417" s="3">
        <f t="shared" si="433"/>
        <v>1.1128037938306444E-18</v>
      </c>
      <c r="F417" s="3">
        <f t="shared" si="433"/>
        <v>4.6176876906921463E-13</v>
      </c>
      <c r="G417" s="3">
        <f t="shared" si="433"/>
        <v>1.5461331694611668E-4</v>
      </c>
      <c r="H417" s="3">
        <f t="shared" si="433"/>
        <v>0.01</v>
      </c>
      <c r="I417" s="109">
        <f>Comparison!AL16</f>
        <v>0.01</v>
      </c>
      <c r="J417" s="3">
        <f>Comparison!AM16</f>
        <v>5945.4832413525728</v>
      </c>
      <c r="K417" s="3">
        <f>Comparison!AN16</f>
        <v>5936.0699445696901</v>
      </c>
      <c r="L417" s="3">
        <f>Comparison!AO16</f>
        <v>5906.3450308766669</v>
      </c>
      <c r="M417" s="3">
        <f>Comparison!AP16</f>
        <v>5493.0807600988655</v>
      </c>
      <c r="N417" s="3">
        <f>Comparison!AQ16</f>
        <v>4239.8922301770135</v>
      </c>
      <c r="O417" s="3">
        <f>Comparison!AR16</f>
        <v>402.8254128419544</v>
      </c>
      <c r="P417" s="3">
        <f>Comparison!AS16</f>
        <v>167.49490825050054</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8.0226670126500895E-24</v>
      </c>
      <c r="C418" s="3">
        <f t="shared" si="433"/>
        <v>2.2688075024710524E-22</v>
      </c>
      <c r="D418" s="3">
        <f t="shared" si="433"/>
        <v>1.7804809923632087E-20</v>
      </c>
      <c r="E418" s="3">
        <f t="shared" si="433"/>
        <v>1.1128037938306444E-17</v>
      </c>
      <c r="F418" s="3">
        <f t="shared" si="433"/>
        <v>4.6176876906921467E-12</v>
      </c>
      <c r="G418" s="3">
        <f t="shared" si="433"/>
        <v>1.546133169461167E-3</v>
      </c>
      <c r="H418" s="3">
        <f t="shared" si="433"/>
        <v>0.1</v>
      </c>
      <c r="I418" s="109">
        <f>Comparison!AL17</f>
        <v>0.1</v>
      </c>
      <c r="J418" s="3">
        <f>Comparison!AM17</f>
        <v>5945.4144029430536</v>
      </c>
      <c r="K418" s="3">
        <f>Comparison!AN17</f>
        <v>5933.5894562136173</v>
      </c>
      <c r="L418" s="3">
        <f>Comparison!AO17</f>
        <v>5787.3961464989843</v>
      </c>
      <c r="M418" s="3">
        <f>Comparison!AP17</f>
        <v>5310.1724689095536</v>
      </c>
      <c r="N418" s="3">
        <f>Comparison!AQ17</f>
        <v>3958.4879028609685</v>
      </c>
      <c r="O418" s="3">
        <f>Comparison!AR17</f>
        <v>224.17774389747507</v>
      </c>
      <c r="P418" s="3">
        <f>Comparison!AS17</f>
        <v>141.80358734877336</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8.0226670126500889E-23</v>
      </c>
      <c r="C419" s="3">
        <f t="shared" si="433"/>
        <v>2.2688075024710524E-21</v>
      </c>
      <c r="D419" s="3">
        <f t="shared" si="433"/>
        <v>1.7804809923632085E-19</v>
      </c>
      <c r="E419" s="3">
        <f t="shared" si="433"/>
        <v>1.1128037938306444E-16</v>
      </c>
      <c r="F419" s="3">
        <f t="shared" si="433"/>
        <v>4.6176876906921465E-11</v>
      </c>
      <c r="G419" s="3">
        <f t="shared" si="433"/>
        <v>1.5461331694611669E-2</v>
      </c>
      <c r="H419" s="3">
        <f t="shared" si="433"/>
        <v>1</v>
      </c>
      <c r="I419" s="109">
        <f>Comparison!AL18</f>
        <v>1</v>
      </c>
      <c r="J419" s="3">
        <f>Comparison!AM18</f>
        <v>5944.7274999078909</v>
      </c>
      <c r="K419" s="3">
        <f>Comparison!AN18</f>
        <v>5910.7352387881974</v>
      </c>
      <c r="L419" s="3">
        <f>Comparison!AO18</f>
        <v>5645.7736928586964</v>
      </c>
      <c r="M419" s="3">
        <f>Comparison!AP18</f>
        <v>5116.9183384452708</v>
      </c>
      <c r="N419" s="3">
        <f>Comparison!AQ18</f>
        <v>3659.7650677599231</v>
      </c>
      <c r="O419" s="3">
        <f>Comparison!AR18</f>
        <v>157.32573154577258</v>
      </c>
      <c r="P419" s="3">
        <f>Comparison!AS18</f>
        <v>129.19132461504012</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8.0226670126500891E-22</v>
      </c>
      <c r="C420" s="3">
        <f t="shared" si="434"/>
        <v>2.2688075024710524E-20</v>
      </c>
      <c r="D420" s="3">
        <f t="shared" si="434"/>
        <v>1.7804809923632085E-18</v>
      </c>
      <c r="E420" s="3">
        <f t="shared" si="434"/>
        <v>1.1128037938306442E-15</v>
      </c>
      <c r="F420" s="3">
        <f t="shared" si="434"/>
        <v>4.6176876906921465E-10</v>
      </c>
      <c r="G420" s="3">
        <f t="shared" si="434"/>
        <v>0.15461331694611669</v>
      </c>
      <c r="H420" s="3">
        <f t="shared" si="434"/>
        <v>10</v>
      </c>
      <c r="I420" s="109">
        <f>Comparison!AL19</f>
        <v>10</v>
      </c>
      <c r="J420" s="3">
        <f>Comparison!AM19</f>
        <v>5938.0129605513939</v>
      </c>
      <c r="K420" s="3">
        <f>Comparison!AN19</f>
        <v>5788.6039225333288</v>
      </c>
      <c r="L420" s="3">
        <f>Comparison!AO19</f>
        <v>5488.7797063617654</v>
      </c>
      <c r="M420" s="3">
        <f>Comparison!AP19</f>
        <v>4889.0072432178858</v>
      </c>
      <c r="N420" s="3">
        <f>Comparison!AQ19</f>
        <v>3268.126124643903</v>
      </c>
      <c r="O420" s="3">
        <f>Comparison!AR19</f>
        <v>138.47466281617423</v>
      </c>
      <c r="P420" s="3">
        <f>Comparison!AS19</f>
        <v>125.45582042457461</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8.0226670126500889E-21</v>
      </c>
      <c r="C421" s="3">
        <f t="shared" si="434"/>
        <v>2.2688075024710522E-19</v>
      </c>
      <c r="D421" s="3">
        <f t="shared" si="434"/>
        <v>1.7804809923632087E-17</v>
      </c>
      <c r="E421" s="3">
        <f t="shared" si="434"/>
        <v>1.1128037938306444E-14</v>
      </c>
      <c r="F421" s="3">
        <f t="shared" si="434"/>
        <v>4.6176876906921461E-9</v>
      </c>
      <c r="G421" s="3">
        <f t="shared" si="434"/>
        <v>1.5461331694611669</v>
      </c>
      <c r="H421" s="3">
        <f t="shared" si="434"/>
        <v>100</v>
      </c>
      <c r="I421" s="109">
        <f>Comparison!AL20</f>
        <v>100</v>
      </c>
      <c r="J421" s="3">
        <f>Comparison!AM20</f>
        <v>5884.0318384088569</v>
      </c>
      <c r="K421" s="3">
        <f>Comparison!AN20</f>
        <v>5645.2982525424422</v>
      </c>
      <c r="L421" s="3">
        <f>Comparison!AO20</f>
        <v>5295.6687137139643</v>
      </c>
      <c r="M421" s="3">
        <f>Comparison!AP20</f>
        <v>4599.1409750767552</v>
      </c>
      <c r="N421" s="3">
        <f>Comparison!AQ20</f>
        <v>2768.9657420868534</v>
      </c>
      <c r="O421" s="3">
        <f>Comparison!AR20</f>
        <v>126.92176045152465</v>
      </c>
      <c r="P421" s="3">
        <f>Comparison!AS20</f>
        <v>125.37751528072498</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8.0226670126500895E-20</v>
      </c>
      <c r="C422" s="3">
        <f t="shared" si="434"/>
        <v>2.2688075024710525E-18</v>
      </c>
      <c r="D422" s="3">
        <f t="shared" si="434"/>
        <v>1.7804809923632084E-16</v>
      </c>
      <c r="E422" s="3">
        <f t="shared" si="434"/>
        <v>1.1128037938306443E-13</v>
      </c>
      <c r="F422" s="3">
        <f t="shared" si="434"/>
        <v>4.6176876906921463E-8</v>
      </c>
      <c r="G422" s="3">
        <f t="shared" si="434"/>
        <v>15.461331694611669</v>
      </c>
      <c r="H422" s="3">
        <f t="shared" si="434"/>
        <v>1000</v>
      </c>
      <c r="I422" s="109">
        <f>Comparison!AL21</f>
        <v>1000</v>
      </c>
      <c r="J422" s="3">
        <f>Comparison!AM21</f>
        <v>5738.5639340162998</v>
      </c>
      <c r="K422" s="3">
        <f>Comparison!AN21</f>
        <v>5477.0166152184411</v>
      </c>
      <c r="L422" s="3">
        <f>Comparison!AO21</f>
        <v>5062.6547205141496</v>
      </c>
      <c r="M422" s="3">
        <f>Comparison!AP21</f>
        <v>4272.3926167684576</v>
      </c>
      <c r="N422" s="3">
        <f>Comparison!AQ21</f>
        <v>2204.5974524100161</v>
      </c>
      <c r="O422" s="3">
        <f>Comparison!AR21</f>
        <v>125.32043450442224</v>
      </c>
      <c r="P422" s="3">
        <f>Comparison!AS21</f>
        <v>125.26241312398497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8.0226670126500895E-19</v>
      </c>
      <c r="C423" s="3">
        <f t="shared" si="434"/>
        <v>2.2688075024710523E-17</v>
      </c>
      <c r="D423" s="3">
        <f t="shared" si="434"/>
        <v>1.7804809923632087E-15</v>
      </c>
      <c r="E423" s="3">
        <f t="shared" si="434"/>
        <v>1.1128037938306443E-12</v>
      </c>
      <c r="F423" s="3">
        <f t="shared" si="434"/>
        <v>4.6176876906921463E-7</v>
      </c>
      <c r="G423" s="3">
        <f t="shared" si="434"/>
        <v>154.61331694611667</v>
      </c>
      <c r="H423" s="3">
        <f t="shared" si="434"/>
        <v>10000</v>
      </c>
      <c r="I423" s="109">
        <f>Comparison!AL22</f>
        <v>10000</v>
      </c>
      <c r="J423" s="3">
        <f>Comparison!AM22</f>
        <v>5588.2751906456833</v>
      </c>
      <c r="K423" s="3">
        <f>Comparison!AN22</f>
        <v>5242.9581566849647</v>
      </c>
      <c r="L423" s="3">
        <f>Comparison!AO22</f>
        <v>4762.2359802766141</v>
      </c>
      <c r="M423" s="3">
        <f>Comparison!AP22</f>
        <v>3941.1470093551798</v>
      </c>
      <c r="N423" s="3">
        <f>Comparison!AQ22</f>
        <v>1586.454168957242</v>
      </c>
      <c r="O423" s="3">
        <f>Comparison!AR22</f>
        <v>125.18975547765271</v>
      </c>
      <c r="P423" s="3">
        <f>Comparison!AS22</f>
        <v>125.1369355609138</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8.0226670126500891E-18</v>
      </c>
      <c r="C424" s="3">
        <f t="shared" si="434"/>
        <v>2.2688075024710522E-16</v>
      </c>
      <c r="D424" s="3">
        <f t="shared" si="434"/>
        <v>1.7804809923632085E-14</v>
      </c>
      <c r="E424" s="3">
        <f t="shared" si="434"/>
        <v>1.1128037938306443E-11</v>
      </c>
      <c r="F424" s="3">
        <f t="shared" si="434"/>
        <v>4.6176876906921461E-6</v>
      </c>
      <c r="G424" s="3">
        <f t="shared" si="434"/>
        <v>1546.1331694611667</v>
      </c>
      <c r="H424" s="3">
        <f t="shared" si="434"/>
        <v>100000</v>
      </c>
      <c r="I424" s="109">
        <f>Comparison!AL23</f>
        <v>100000</v>
      </c>
      <c r="J424" s="3">
        <f>Comparison!AM23</f>
        <v>5399.4936644871386</v>
      </c>
      <c r="K424" s="3">
        <f>Comparison!AN23</f>
        <v>4967.1522364522052</v>
      </c>
      <c r="L424" s="3">
        <f>Comparison!AO23</f>
        <v>4428.9407335348296</v>
      </c>
      <c r="M424" s="3">
        <f>Comparison!AP23</f>
        <v>3608.495032401398</v>
      </c>
      <c r="N424" s="3">
        <f>Comparison!AQ23</f>
        <v>1000.0232976856266</v>
      </c>
      <c r="O424" s="3">
        <f>Comparison!AR23</f>
        <v>125.05583743141311</v>
      </c>
      <c r="P424" s="3">
        <f>Comparison!AS23</f>
        <v>124.97859027478171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8.0226670126500891E-17</v>
      </c>
      <c r="C425" s="3">
        <f t="shared" si="434"/>
        <v>2.2688075024710523E-15</v>
      </c>
      <c r="D425" s="3">
        <f t="shared" si="434"/>
        <v>1.7804809923632084E-13</v>
      </c>
      <c r="E425" s="3">
        <f t="shared" si="434"/>
        <v>1.1128037938306443E-10</v>
      </c>
      <c r="F425" s="3">
        <f t="shared" si="434"/>
        <v>4.6176876906921466E-5</v>
      </c>
      <c r="G425" s="3">
        <f t="shared" si="434"/>
        <v>15461.331694611668</v>
      </c>
      <c r="H425" s="3">
        <f t="shared" si="434"/>
        <v>1000000</v>
      </c>
      <c r="I425" s="109">
        <f>Comparison!AL24</f>
        <v>1000000</v>
      </c>
      <c r="J425" s="3">
        <f>Comparison!AM24</f>
        <v>5141.8460502498219</v>
      </c>
      <c r="K425" s="3">
        <f>Comparison!AN24</f>
        <v>4663.1486629646943</v>
      </c>
      <c r="L425" s="3">
        <f>Comparison!AO24</f>
        <v>4111.7161259908762</v>
      </c>
      <c r="M425" s="3">
        <f>Comparison!AP24</f>
        <v>3262.5462100054015</v>
      </c>
      <c r="N425" s="3">
        <f>Comparison!AQ24</f>
        <v>576.00660610456418</v>
      </c>
      <c r="O425" s="3">
        <f>Comparison!AR24</f>
        <v>124.89217701523481</v>
      </c>
      <c r="P425" s="3">
        <f>Comparison!AS24</f>
        <v>124.79521194858673</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8.0226670126500899E-16</v>
      </c>
      <c r="C426" s="3">
        <f t="shared" si="434"/>
        <v>2.2688075024710524E-14</v>
      </c>
      <c r="D426" s="3">
        <f t="shared" si="434"/>
        <v>1.7804809923632086E-12</v>
      </c>
      <c r="E426" s="3">
        <f t="shared" si="434"/>
        <v>1.1128037938306443E-9</v>
      </c>
      <c r="F426" s="3">
        <f t="shared" si="434"/>
        <v>4.6176876906921466E-4</v>
      </c>
      <c r="G426" s="3">
        <f t="shared" si="434"/>
        <v>154613.31694611668</v>
      </c>
      <c r="H426" s="3">
        <f t="shared" si="434"/>
        <v>10000000</v>
      </c>
      <c r="I426" s="109">
        <f>Comparison!AL25</f>
        <v>10000000</v>
      </c>
      <c r="J426" s="3">
        <f>Comparison!AM25</f>
        <v>4855.3493085479013</v>
      </c>
      <c r="K426" s="3">
        <f>Comparison!AN25</f>
        <v>4346.263159926043</v>
      </c>
      <c r="L426" s="3">
        <f>Comparison!AO25</f>
        <v>3814.2268394370481</v>
      </c>
      <c r="M426" s="3">
        <f>Comparison!AP25</f>
        <v>2841.314577864513</v>
      </c>
      <c r="N426" s="3">
        <f>Comparison!AQ25</f>
        <v>321.80010935687142</v>
      </c>
      <c r="O426" s="3">
        <f>Comparison!AR25</f>
        <v>124.70815441395035</v>
      </c>
      <c r="P426" s="3">
        <f>Comparison!AS25</f>
        <v>124.60066288549459</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8.0226670126500895E-15</v>
      </c>
      <c r="C427" s="3">
        <f t="shared" si="434"/>
        <v>2.2688075024710523E-13</v>
      </c>
      <c r="D427" s="3">
        <f t="shared" si="434"/>
        <v>1.7804809923632085E-11</v>
      </c>
      <c r="E427" s="3">
        <f t="shared" si="434"/>
        <v>1.1128037938306444E-8</v>
      </c>
      <c r="F427" s="3">
        <f t="shared" si="434"/>
        <v>4.6176876906921464E-3</v>
      </c>
      <c r="G427" s="3">
        <f t="shared" si="434"/>
        <v>1546133.1694611667</v>
      </c>
      <c r="H427" s="3">
        <f t="shared" si="434"/>
        <v>100000000</v>
      </c>
      <c r="I427" s="109">
        <f>Comparison!AL26</f>
        <v>100000000</v>
      </c>
      <c r="J427" s="3">
        <f>Comparison!AM26</f>
        <v>4530.5898566513597</v>
      </c>
      <c r="K427" s="3">
        <f>Comparison!AN26</f>
        <v>4052.7215067045913</v>
      </c>
      <c r="L427" s="3">
        <f>Comparison!AO26</f>
        <v>3517.7803393025779</v>
      </c>
      <c r="M427" s="3">
        <f>Comparison!AP26</f>
        <v>2350.4004054830193</v>
      </c>
      <c r="N427" s="3">
        <f>Comparison!AQ26</f>
        <v>187.89777287454069</v>
      </c>
      <c r="O427" s="3">
        <f>Comparison!AR26</f>
        <v>124.51586541667818</v>
      </c>
      <c r="P427" s="3">
        <f>Comparison!AS26</f>
        <v>124.40326066206676</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8.0226670126500898E-14</v>
      </c>
      <c r="C428" s="3">
        <f t="shared" si="434"/>
        <v>2.2688075024710523E-12</v>
      </c>
      <c r="D428" s="3">
        <f t="shared" si="434"/>
        <v>1.7804809923632086E-10</v>
      </c>
      <c r="E428" s="3">
        <f t="shared" si="434"/>
        <v>1.1128037938306443E-7</v>
      </c>
      <c r="F428" s="3">
        <f t="shared" si="434"/>
        <v>4.617687690692146E-2</v>
      </c>
      <c r="G428" s="3">
        <f t="shared" si="434"/>
        <v>15461331.694611669</v>
      </c>
      <c r="H428" s="3">
        <f t="shared" si="434"/>
        <v>1000000000</v>
      </c>
      <c r="I428" s="109">
        <f>Comparison!AL27</f>
        <v>1000000000</v>
      </c>
      <c r="J428" s="3">
        <f>Comparison!AM27</f>
        <v>4215.1902304511941</v>
      </c>
      <c r="K428" s="3">
        <f>Comparison!AN27</f>
        <v>3771.4995408899726</v>
      </c>
      <c r="L428" s="3">
        <f>Comparison!AO27</f>
        <v>3195.2414492417452</v>
      </c>
      <c r="M428" s="3">
        <f>Comparison!AP27</f>
        <v>1794.2797745605371</v>
      </c>
      <c r="N428" s="3">
        <f>Comparison!AQ27</f>
        <v>146.32445551645827</v>
      </c>
      <c r="O428" s="3">
        <f>Comparison!AR27</f>
        <v>124.45612407089325</v>
      </c>
      <c r="P428" s="3">
        <f>Comparison!AS27</f>
        <v>124.39897169961779</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8.0226670126500895E-13</v>
      </c>
      <c r="C429" s="3">
        <f t="shared" si="434"/>
        <v>2.2688075024710523E-11</v>
      </c>
      <c r="D429" s="3">
        <f t="shared" si="434"/>
        <v>1.7804809923632086E-9</v>
      </c>
      <c r="E429" s="3">
        <f t="shared" si="434"/>
        <v>1.1128037938306444E-6</v>
      </c>
      <c r="F429" s="3">
        <f t="shared" si="434"/>
        <v>0.46176876906921466</v>
      </c>
      <c r="G429" s="3">
        <f t="shared" si="434"/>
        <v>154613316.94611669</v>
      </c>
      <c r="H429" s="3">
        <f t="shared" si="434"/>
        <v>10000000000</v>
      </c>
      <c r="I429" s="109">
        <f>Comparison!AL28</f>
        <v>10000000000</v>
      </c>
      <c r="J429" s="3">
        <f>Comparison!AM28</f>
        <v>3929.081471457625</v>
      </c>
      <c r="K429" s="3">
        <f>Comparison!AN28</f>
        <v>3487.2930712528305</v>
      </c>
      <c r="L429" s="3">
        <f>Comparison!AO28</f>
        <v>2791.4157044377589</v>
      </c>
      <c r="M429" s="3">
        <f>Comparison!AP28</f>
        <v>1192.7526197056241</v>
      </c>
      <c r="N429" s="3">
        <f>Comparison!AQ28</f>
        <v>132.67557886184474</v>
      </c>
      <c r="O429" s="3">
        <f>Comparison!AR28</f>
        <v>124.36413594438419</v>
      </c>
      <c r="P429" s="3">
        <f>Comparison!AS28</f>
        <v>124.30647199515475</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8.0226670126500893E-12</v>
      </c>
      <c r="C430" s="3">
        <f t="shared" si="434"/>
        <v>2.2688075024710522E-10</v>
      </c>
      <c r="D430" s="3">
        <f t="shared" si="434"/>
        <v>1.7804809923632084E-8</v>
      </c>
      <c r="E430" s="3">
        <f t="shared" si="434"/>
        <v>1.1128037938306443E-5</v>
      </c>
      <c r="F430" s="3">
        <f t="shared" si="434"/>
        <v>4.6176876906921462</v>
      </c>
      <c r="G430" s="3">
        <f t="shared" si="434"/>
        <v>1546133169.4611669</v>
      </c>
      <c r="H430" s="3">
        <f t="shared" si="434"/>
        <v>100000000000</v>
      </c>
      <c r="I430" s="109">
        <f>Comparison!AL29</f>
        <v>100000000000</v>
      </c>
      <c r="J430" s="3">
        <f>Comparison!AM29</f>
        <v>3641.242030569621</v>
      </c>
      <c r="K430" s="3">
        <f>Comparison!AN29</f>
        <v>3171.2944430186703</v>
      </c>
      <c r="L430" s="3">
        <f>Comparison!AO29</f>
        <v>2312.1801528163464</v>
      </c>
      <c r="M430" s="3">
        <f>Comparison!AP29</f>
        <v>712.56207316539314</v>
      </c>
      <c r="N430" s="3">
        <f>Comparison!AQ29</f>
        <v>124.09266721325585</v>
      </c>
      <c r="O430" s="3">
        <f>Comparison!AR29</f>
        <v>124.24957869452857</v>
      </c>
      <c r="P430" s="3">
        <f>Comparison!AS29</f>
        <v>124.18164826003697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8.0226670126500893E-11</v>
      </c>
      <c r="C431" s="3">
        <f t="shared" si="434"/>
        <v>2.2688075024710521E-9</v>
      </c>
      <c r="D431" s="3">
        <f t="shared" si="434"/>
        <v>1.7804809923632086E-7</v>
      </c>
      <c r="E431" s="3">
        <f t="shared" si="434"/>
        <v>1.1128037938306444E-4</v>
      </c>
      <c r="F431" s="3">
        <f t="shared" si="434"/>
        <v>46.176876906921464</v>
      </c>
      <c r="G431" s="3">
        <f t="shared" si="434"/>
        <v>15461331694.611668</v>
      </c>
      <c r="H431" s="3">
        <f t="shared" si="434"/>
        <v>1000000000000</v>
      </c>
      <c r="I431" s="109">
        <f>Comparison!AL30</f>
        <v>1000000000000</v>
      </c>
      <c r="J431" s="3">
        <f>Comparison!AM30</f>
        <v>3352.5216988135498</v>
      </c>
      <c r="K431" s="3">
        <f>Comparison!AN30</f>
        <v>2771.7245513357993</v>
      </c>
      <c r="L431" s="3">
        <f>Comparison!AO30</f>
        <v>1761.4184833894965</v>
      </c>
      <c r="M431" s="3">
        <f>Comparison!AP30</f>
        <v>405.79350694215293</v>
      </c>
      <c r="N431" s="3">
        <f>Comparison!AQ30</f>
        <v>123.97220489326934</v>
      </c>
      <c r="O431" s="3">
        <f>Comparison!AR30</f>
        <v>124.12464463468883</v>
      </c>
      <c r="P431" s="3">
        <f>Comparison!AS30</f>
        <v>124.05329261398603</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8.0226670126500891E-10</v>
      </c>
      <c r="C432" s="3">
        <f t="shared" si="434"/>
        <v>2.2688075024710524E-8</v>
      </c>
      <c r="D432" s="3">
        <f t="shared" si="434"/>
        <v>1.7804809923632086E-6</v>
      </c>
      <c r="E432" s="3">
        <f t="shared" si="434"/>
        <v>1.1128037938306443E-3</v>
      </c>
      <c r="F432" s="3">
        <f t="shared" si="434"/>
        <v>461.76876906921461</v>
      </c>
      <c r="G432" s="3">
        <f t="shared" si="434"/>
        <v>154613316946.11667</v>
      </c>
      <c r="H432" s="3">
        <f t="shared" si="434"/>
        <v>10000000000000</v>
      </c>
      <c r="I432" s="109">
        <f>Comparison!AL31</f>
        <v>10000000000000</v>
      </c>
      <c r="J432" s="3">
        <f>Comparison!AM31</f>
        <v>2996.6335305209523</v>
      </c>
      <c r="K432" s="3">
        <f>Comparison!AN31</f>
        <v>2294.6891766146468</v>
      </c>
      <c r="L432" s="3">
        <f>Comparison!AO31</f>
        <v>1165.0893454090649</v>
      </c>
      <c r="M432" s="3">
        <f>Comparison!AP31</f>
        <v>227.75650575396227</v>
      </c>
      <c r="N432" s="3">
        <f>Comparison!AQ31</f>
        <v>123.97018586453261</v>
      </c>
      <c r="O432" s="3">
        <f>Comparison!AR31</f>
        <v>124.11696893794122</v>
      </c>
      <c r="P432" s="3">
        <f>Comparison!AS31</f>
        <v>124.04585962671396</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8.0226670126500895E-9</v>
      </c>
      <c r="C433" s="3">
        <f t="shared" si="434"/>
        <v>2.2688075024710524E-7</v>
      </c>
      <c r="D433" s="3">
        <f t="shared" si="434"/>
        <v>1.7804809923632086E-5</v>
      </c>
      <c r="E433" s="3">
        <f t="shared" si="434"/>
        <v>1.1128037938306443E-2</v>
      </c>
      <c r="F433" s="3">
        <f t="shared" si="434"/>
        <v>4617.6876906921461</v>
      </c>
      <c r="G433" s="3">
        <f t="shared" si="434"/>
        <v>1546133169461.1667</v>
      </c>
      <c r="H433" s="3">
        <f t="shared" si="434"/>
        <v>100000000000000</v>
      </c>
      <c r="I433" s="109">
        <f>Comparison!AL32</f>
        <v>100000000000000</v>
      </c>
      <c r="J433" s="3">
        <f>Comparison!AM32</f>
        <v>2563.0064610610193</v>
      </c>
      <c r="K433" s="3">
        <f>Comparison!AN32</f>
        <v>1744.1842965326991</v>
      </c>
      <c r="L433" s="3">
        <f>Comparison!AO32</f>
        <v>692.87414966525068</v>
      </c>
      <c r="M433" s="3">
        <f>Comparison!AP32</f>
        <v>157.27484077697326</v>
      </c>
      <c r="N433" s="3">
        <f>Comparison!AQ32</f>
        <v>123.96849358445334</v>
      </c>
      <c r="O433" s="3">
        <f>Comparison!AR32</f>
        <v>124.11273578228328</v>
      </c>
      <c r="P433" s="3">
        <f>Comparison!AS32</f>
        <v>124.04225732695286</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8.0226670126500892E-8</v>
      </c>
      <c r="C434" s="3">
        <f t="shared" si="434"/>
        <v>2.2688075024710525E-6</v>
      </c>
      <c r="D434" s="3">
        <f t="shared" si="434"/>
        <v>1.7804809923632086E-4</v>
      </c>
      <c r="E434" s="3">
        <f t="shared" si="434"/>
        <v>0.11128037938306443</v>
      </c>
      <c r="F434" s="3">
        <f t="shared" si="434"/>
        <v>46176.876906921461</v>
      </c>
      <c r="G434" s="3">
        <f t="shared" si="434"/>
        <v>15461331694611.668</v>
      </c>
      <c r="H434" s="3">
        <f t="shared" si="434"/>
        <v>1000000000000000</v>
      </c>
      <c r="I434" s="109">
        <f>Comparison!AL33</f>
        <v>1000000000000000</v>
      </c>
      <c r="J434" s="3">
        <f>Comparison!AM33</f>
        <v>2059.5134179476377</v>
      </c>
      <c r="K434" s="3">
        <f>Comparison!AN33</f>
        <v>1149.8282974544306</v>
      </c>
      <c r="L434" s="3">
        <f>Comparison!AO33</f>
        <v>393.89092728068977</v>
      </c>
      <c r="M434" s="3">
        <f>Comparison!AP33</f>
        <v>137.32830205333357</v>
      </c>
      <c r="N434" s="3">
        <f>Comparison!AQ33</f>
        <v>123.96695327212331</v>
      </c>
      <c r="O434" s="3">
        <f>Comparison!AR33</f>
        <v>124.10930475258213</v>
      </c>
      <c r="P434" s="3">
        <f>Comparison!AS33</f>
        <v>124.03970146521578</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-50.877186227047318</v>
      </c>
      <c r="M1" s="54">
        <v>1</v>
      </c>
      <c r="N1" s="56">
        <f>INDEX($H$217:$P$217,1,Q1)</f>
        <v>5.2152154304594453E-2</v>
      </c>
      <c r="O1" s="11"/>
      <c r="P1" s="55">
        <v>1</v>
      </c>
      <c r="Q1" s="11">
        <v>2</v>
      </c>
    </row>
    <row r="2" spans="1:17" x14ac:dyDescent="0.25">
      <c r="A2" s="11">
        <f>'Mastercurve bestimmen'!M119</f>
        <v>0</v>
      </c>
      <c r="B2" s="11">
        <f>'Mastercurve bestimmen'!N119</f>
        <v>-47.53503258872334</v>
      </c>
      <c r="M2" s="54">
        <v>2</v>
      </c>
      <c r="N2" s="56">
        <f t="shared" ref="N2:N9" si="0">INDEX($H$217:$P$217,1,Q2)</f>
        <v>9.186153299304919E-4</v>
      </c>
      <c r="O2" s="11"/>
      <c r="P2" s="55">
        <v>2</v>
      </c>
      <c r="Q2" s="11">
        <f>Q1+1</f>
        <v>3</v>
      </c>
    </row>
    <row r="3" spans="1:17" x14ac:dyDescent="0.25">
      <c r="A3" s="11">
        <f>'Mastercurve bestimmen'!M120</f>
        <v>25</v>
      </c>
      <c r="B3" s="11">
        <f>'Mastercurve bestimmen'!N120</f>
        <v>-43.17223321865707</v>
      </c>
      <c r="M3" s="54">
        <v>3</v>
      </c>
      <c r="N3" s="56">
        <f t="shared" si="0"/>
        <v>8.3620905634611238E-5</v>
      </c>
      <c r="O3" s="11"/>
      <c r="P3" s="55">
        <v>3</v>
      </c>
      <c r="Q3" s="11">
        <f t="shared" ref="Q3:Q8" si="1">Q2+1</f>
        <v>4</v>
      </c>
    </row>
    <row r="4" spans="1:17" x14ac:dyDescent="0.25">
      <c r="A4" s="11">
        <f>'Mastercurve bestimmen'!M121</f>
        <v>50</v>
      </c>
      <c r="B4" s="11">
        <f>'Mastercurve bestimmen'!N121</f>
        <v>-36.73447871701795</v>
      </c>
      <c r="M4" s="54">
        <v>4</v>
      </c>
      <c r="N4" s="56">
        <f t="shared" si="0"/>
        <v>-6.8614198806741529E-7</v>
      </c>
      <c r="O4" s="11"/>
      <c r="P4" s="55">
        <v>4</v>
      </c>
      <c r="Q4" s="11">
        <f t="shared" si="1"/>
        <v>5</v>
      </c>
    </row>
    <row r="5" spans="1:17" x14ac:dyDescent="0.25">
      <c r="A5" s="11">
        <f>'Mastercurve bestimmen'!M122</f>
        <v>80</v>
      </c>
      <c r="B5" s="11">
        <f>'Mastercurve bestimmen'!N122</f>
        <v>-23.798541942982897</v>
      </c>
      <c r="M5" s="54">
        <v>5</v>
      </c>
      <c r="N5" s="56">
        <f t="shared" si="0"/>
        <v>-2.8703120339600652E-8</v>
      </c>
      <c r="O5" s="11"/>
      <c r="P5" s="55">
        <v>5</v>
      </c>
      <c r="Q5" s="11">
        <f t="shared" si="1"/>
        <v>6</v>
      </c>
    </row>
    <row r="6" spans="1:17" x14ac:dyDescent="0.25">
      <c r="A6" s="11">
        <f>'Mastercurve bestimmen'!M123</f>
        <v>125</v>
      </c>
      <c r="B6" s="11">
        <f>'Mastercurve bestimmen'!N123</f>
        <v>-4.1694131014593321</v>
      </c>
      <c r="M6" s="54">
        <v>6</v>
      </c>
      <c r="N6" s="56">
        <f t="shared" si="0"/>
        <v>-2.5181423490787961E-10</v>
      </c>
      <c r="O6" s="11"/>
      <c r="P6" s="55">
        <v>6</v>
      </c>
      <c r="Q6" s="11">
        <f t="shared" si="1"/>
        <v>7</v>
      </c>
    </row>
    <row r="7" spans="1:17" x14ac:dyDescent="0.25">
      <c r="A7" s="11">
        <f>'Mastercurve bestimmen'!M124</f>
        <v>160</v>
      </c>
      <c r="B7" s="11">
        <f>'Mastercurve bestimmen'!N124</f>
        <v>0</v>
      </c>
      <c r="M7" s="54">
        <v>7</v>
      </c>
      <c r="N7" s="56">
        <f t="shared" si="0"/>
        <v>-9.2799343990824399E-13</v>
      </c>
      <c r="O7" s="11"/>
      <c r="P7" s="55">
        <v>7</v>
      </c>
      <c r="Q7" s="11">
        <f t="shared" si="1"/>
        <v>8</v>
      </c>
    </row>
    <row r="8" spans="1:17" x14ac:dyDescent="0.25">
      <c r="A8" s="11"/>
      <c r="B8" s="11"/>
      <c r="M8" s="54">
        <v>8</v>
      </c>
      <c r="N8" s="56">
        <f t="shared" si="0"/>
        <v>-1.2725285306644477E-15</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-50.877186227047318</v>
      </c>
      <c r="E15" s="11">
        <f>A15-'Mastercurve bestimmen'!$B$2</f>
        <v>-200</v>
      </c>
      <c r="F15" s="11">
        <f>B15</f>
        <v>-50.877186227047318</v>
      </c>
      <c r="G15" s="11"/>
      <c r="H15" s="11">
        <f>IF($H$12&gt;=H$14,$E15^H$14,0)</f>
        <v>2.56E+18</v>
      </c>
      <c r="I15" s="11">
        <f t="shared" ref="I15:O30" si="3">IF($H$12&gt;=I$14,$E15^I$14,0)</f>
        <v>-1.28E+16</v>
      </c>
      <c r="J15" s="11">
        <f t="shared" si="3"/>
        <v>64000000000000</v>
      </c>
      <c r="K15" s="11">
        <f t="shared" si="3"/>
        <v>-320000000000</v>
      </c>
      <c r="L15" s="11">
        <f t="shared" si="3"/>
        <v>1600000000</v>
      </c>
      <c r="M15" s="11">
        <f t="shared" si="3"/>
        <v>-8000000</v>
      </c>
      <c r="N15" s="11">
        <f t="shared" si="3"/>
        <v>40000</v>
      </c>
      <c r="O15" s="11">
        <f t="shared" si="3"/>
        <v>-200</v>
      </c>
      <c r="P15" s="11">
        <v>0</v>
      </c>
    </row>
    <row r="16" spans="1:17" x14ac:dyDescent="0.25">
      <c r="A16" s="11">
        <f>A15+1</f>
        <v>-39</v>
      </c>
      <c r="B16" s="11">
        <v>-50.821032244799198</v>
      </c>
      <c r="E16" s="11">
        <f>A16-'Mastercurve bestimmen'!$B$2</f>
        <v>-199</v>
      </c>
      <c r="F16" s="11">
        <f t="shared" ref="F16:F79" si="4">B16</f>
        <v>-50.821032244799198</v>
      </c>
      <c r="G16" s="11"/>
      <c r="H16" s="11">
        <f t="shared" ref="H16:O47" si="5">IF($H$12&gt;=H$14,$E16^H$14,0)</f>
        <v>2.4593741915531182E+18</v>
      </c>
      <c r="I16" s="11">
        <f t="shared" si="3"/>
        <v>-1.23586642791614E+16</v>
      </c>
      <c r="J16" s="11">
        <f t="shared" si="3"/>
        <v>62103840598801</v>
      </c>
      <c r="K16" s="11">
        <f t="shared" si="3"/>
        <v>-312079600999</v>
      </c>
      <c r="L16" s="11">
        <f t="shared" si="3"/>
        <v>1568239201</v>
      </c>
      <c r="M16" s="11">
        <f t="shared" si="3"/>
        <v>-7880599</v>
      </c>
      <c r="N16" s="11">
        <f t="shared" si="3"/>
        <v>39601</v>
      </c>
      <c r="O16" s="11">
        <f t="shared" si="3"/>
        <v>-199</v>
      </c>
      <c r="P16" s="11">
        <f>P15</f>
        <v>0</v>
      </c>
    </row>
    <row r="17" spans="1:16" x14ac:dyDescent="0.25">
      <c r="A17" s="11">
        <f t="shared" ref="A17:A80" si="6">A16+1</f>
        <v>-38</v>
      </c>
      <c r="B17" s="11">
        <v>-50.764775448822334</v>
      </c>
      <c r="E17" s="11">
        <f>A17-'Mastercurve bestimmen'!$B$2</f>
        <v>-198</v>
      </c>
      <c r="F17" s="11">
        <f t="shared" si="4"/>
        <v>-50.764775448822334</v>
      </c>
      <c r="G17" s="11"/>
      <c r="H17" s="11">
        <f t="shared" si="5"/>
        <v>2.3622264177354752E+18</v>
      </c>
      <c r="I17" s="11">
        <f t="shared" si="3"/>
        <v>-1.1930436453209472E+16</v>
      </c>
      <c r="J17" s="11">
        <f t="shared" si="3"/>
        <v>60254729561664</v>
      </c>
      <c r="K17" s="11">
        <f t="shared" si="3"/>
        <v>-304316815968</v>
      </c>
      <c r="L17" s="11">
        <f t="shared" si="3"/>
        <v>1536953616</v>
      </c>
      <c r="M17" s="11">
        <f t="shared" si="3"/>
        <v>-7762392</v>
      </c>
      <c r="N17" s="11">
        <f t="shared" si="3"/>
        <v>39204</v>
      </c>
      <c r="O17" s="11">
        <f t="shared" si="3"/>
        <v>-198</v>
      </c>
      <c r="P17" s="11">
        <f t="shared" ref="P17:P80" si="7">P16</f>
        <v>0</v>
      </c>
    </row>
    <row r="18" spans="1:16" x14ac:dyDescent="0.25">
      <c r="A18" s="11">
        <f t="shared" si="6"/>
        <v>-37</v>
      </c>
      <c r="B18" s="11">
        <v>-50.70831302538798</v>
      </c>
      <c r="E18" s="11">
        <f>A18-'Mastercurve bestimmen'!$B$2</f>
        <v>-197</v>
      </c>
      <c r="F18" s="11">
        <f t="shared" si="4"/>
        <v>-50.70831302538798</v>
      </c>
      <c r="G18" s="11"/>
      <c r="H18" s="11">
        <f t="shared" si="5"/>
        <v>2.2684531239489874E+18</v>
      </c>
      <c r="I18" s="11">
        <f t="shared" si="3"/>
        <v>-1.1514990476898412E+16</v>
      </c>
      <c r="J18" s="11">
        <f t="shared" si="3"/>
        <v>58451728309129</v>
      </c>
      <c r="K18" s="11">
        <f t="shared" si="3"/>
        <v>-296709280757</v>
      </c>
      <c r="L18" s="11">
        <f t="shared" si="3"/>
        <v>1506138481</v>
      </c>
      <c r="M18" s="11">
        <f t="shared" si="3"/>
        <v>-7645373</v>
      </c>
      <c r="N18" s="11">
        <f t="shared" si="3"/>
        <v>38809</v>
      </c>
      <c r="O18" s="11">
        <f t="shared" si="3"/>
        <v>-197</v>
      </c>
      <c r="P18" s="11">
        <f t="shared" si="7"/>
        <v>0</v>
      </c>
    </row>
    <row r="19" spans="1:16" x14ac:dyDescent="0.25">
      <c r="A19" s="11">
        <f t="shared" si="6"/>
        <v>-36</v>
      </c>
      <c r="B19" s="11">
        <v>-50.651542160767406</v>
      </c>
      <c r="E19" s="11">
        <f>A19-'Mastercurve bestimmen'!$B$2</f>
        <v>-196</v>
      </c>
      <c r="F19" s="11">
        <f t="shared" si="4"/>
        <v>-50.651542160767406</v>
      </c>
      <c r="G19" s="11"/>
      <c r="H19" s="11">
        <f t="shared" si="5"/>
        <v>2.1779533378093711E+18</v>
      </c>
      <c r="I19" s="11">
        <f t="shared" si="3"/>
        <v>-1.1112006825558016E+16</v>
      </c>
      <c r="J19" s="11">
        <f t="shared" si="3"/>
        <v>56693912375296</v>
      </c>
      <c r="K19" s="11">
        <f t="shared" si="3"/>
        <v>-289254654976</v>
      </c>
      <c r="L19" s="11">
        <f t="shared" si="3"/>
        <v>1475789056</v>
      </c>
      <c r="M19" s="11">
        <f t="shared" si="3"/>
        <v>-7529536</v>
      </c>
      <c r="N19" s="11">
        <f t="shared" si="3"/>
        <v>38416</v>
      </c>
      <c r="O19" s="11">
        <f t="shared" si="3"/>
        <v>-196</v>
      </c>
      <c r="P19" s="11">
        <f t="shared" si="7"/>
        <v>0</v>
      </c>
    </row>
    <row r="20" spans="1:16" x14ac:dyDescent="0.25">
      <c r="A20" s="11">
        <f t="shared" si="6"/>
        <v>-35</v>
      </c>
      <c r="B20" s="11">
        <v>-50.594360041231845</v>
      </c>
      <c r="E20" s="11">
        <f>A20-'Mastercurve bestimmen'!$B$2</f>
        <v>-195</v>
      </c>
      <c r="F20" s="11">
        <f t="shared" si="4"/>
        <v>-50.594360041231845</v>
      </c>
      <c r="G20" s="11"/>
      <c r="H20" s="11">
        <f t="shared" si="5"/>
        <v>2.0906286173753907E+18</v>
      </c>
      <c r="I20" s="11">
        <f t="shared" si="3"/>
        <v>-1.0721172396796876E+16</v>
      </c>
      <c r="J20" s="11">
        <f t="shared" si="3"/>
        <v>54980371265625</v>
      </c>
      <c r="K20" s="11">
        <f t="shared" si="3"/>
        <v>-281950621875</v>
      </c>
      <c r="L20" s="11">
        <f t="shared" si="3"/>
        <v>1445900625</v>
      </c>
      <c r="M20" s="11">
        <f t="shared" si="3"/>
        <v>-7414875</v>
      </c>
      <c r="N20" s="11">
        <f t="shared" si="3"/>
        <v>38025</v>
      </c>
      <c r="O20" s="11">
        <f t="shared" si="3"/>
        <v>-195</v>
      </c>
      <c r="P20" s="11">
        <f t="shared" si="7"/>
        <v>0</v>
      </c>
    </row>
    <row r="21" spans="1:16" x14ac:dyDescent="0.25">
      <c r="A21" s="11">
        <f t="shared" si="6"/>
        <v>-34</v>
      </c>
      <c r="B21" s="11">
        <v>-50.53666385305258</v>
      </c>
      <c r="E21" s="11">
        <f>A21-'Mastercurve bestimmen'!$B$2</f>
        <v>-194</v>
      </c>
      <c r="F21" s="11">
        <f t="shared" si="4"/>
        <v>-50.53666385305258</v>
      </c>
      <c r="G21" s="11"/>
      <c r="H21" s="11">
        <f t="shared" si="5"/>
        <v>2.006383000160502E+18</v>
      </c>
      <c r="I21" s="11">
        <f t="shared" si="3"/>
        <v>-1.0342180413198464E+16</v>
      </c>
      <c r="J21" s="11">
        <f t="shared" si="3"/>
        <v>53310208315456</v>
      </c>
      <c r="K21" s="11">
        <f t="shared" si="3"/>
        <v>-274794888224</v>
      </c>
      <c r="L21" s="11">
        <f t="shared" si="3"/>
        <v>1416468496</v>
      </c>
      <c r="M21" s="11">
        <f t="shared" si="3"/>
        <v>-7301384</v>
      </c>
      <c r="N21" s="11">
        <f t="shared" si="3"/>
        <v>37636</v>
      </c>
      <c r="O21" s="11">
        <f t="shared" si="3"/>
        <v>-194</v>
      </c>
      <c r="P21" s="11">
        <f t="shared" si="7"/>
        <v>0</v>
      </c>
    </row>
    <row r="22" spans="1:16" x14ac:dyDescent="0.25">
      <c r="A22" s="11">
        <f t="shared" si="6"/>
        <v>-33</v>
      </c>
      <c r="B22">
        <v>-50.478350782500861</v>
      </c>
      <c r="E22" s="11">
        <f>A22-'Mastercurve bestimmen'!$B$2</f>
        <v>-193</v>
      </c>
      <c r="F22" s="11">
        <f t="shared" si="4"/>
        <v>-50.478350782500861</v>
      </c>
      <c r="G22" s="11"/>
      <c r="H22" s="11">
        <f t="shared" si="5"/>
        <v>1.925122952918976E+18</v>
      </c>
      <c r="I22" s="11">
        <f t="shared" si="3"/>
        <v>-9974730326005056</v>
      </c>
      <c r="J22" s="11">
        <f t="shared" si="3"/>
        <v>51682540549249</v>
      </c>
      <c r="K22" s="11">
        <f t="shared" si="3"/>
        <v>-267785184193</v>
      </c>
      <c r="L22" s="11">
        <f t="shared" si="3"/>
        <v>1387488001</v>
      </c>
      <c r="M22" s="11">
        <f t="shared" si="3"/>
        <v>-7189057</v>
      </c>
      <c r="N22" s="11">
        <f t="shared" si="3"/>
        <v>37249</v>
      </c>
      <c r="O22" s="11">
        <f t="shared" si="3"/>
        <v>-193</v>
      </c>
      <c r="P22" s="11">
        <f t="shared" si="7"/>
        <v>0</v>
      </c>
    </row>
    <row r="23" spans="1:16" x14ac:dyDescent="0.25">
      <c r="A23" s="11">
        <f t="shared" si="6"/>
        <v>-32</v>
      </c>
      <c r="B23">
        <v>-50.419318015847935</v>
      </c>
      <c r="E23" s="11">
        <f>A23-'Mastercurve bestimmen'!$B$2</f>
        <v>-192</v>
      </c>
      <c r="F23" s="11">
        <f t="shared" si="4"/>
        <v>-50.419318015847935</v>
      </c>
      <c r="G23" s="11"/>
      <c r="H23" s="11">
        <f t="shared" si="5"/>
        <v>1.846757322198614E+18</v>
      </c>
      <c r="I23" s="11">
        <f t="shared" si="3"/>
        <v>-9618527719784448</v>
      </c>
      <c r="J23" s="11">
        <f t="shared" si="3"/>
        <v>50096498540544</v>
      </c>
      <c r="K23" s="11">
        <f t="shared" si="3"/>
        <v>-260919263232</v>
      </c>
      <c r="L23" s="11">
        <f t="shared" si="3"/>
        <v>1358954496</v>
      </c>
      <c r="M23" s="11">
        <f t="shared" si="3"/>
        <v>-7077888</v>
      </c>
      <c r="N23" s="11">
        <f t="shared" si="3"/>
        <v>36864</v>
      </c>
      <c r="O23" s="11">
        <f t="shared" si="3"/>
        <v>-192</v>
      </c>
      <c r="P23" s="11">
        <f t="shared" si="7"/>
        <v>0</v>
      </c>
    </row>
    <row r="24" spans="1:16" x14ac:dyDescent="0.25">
      <c r="A24" s="11">
        <f t="shared" si="6"/>
        <v>-31</v>
      </c>
      <c r="B24">
        <v>-50.359462739365071</v>
      </c>
      <c r="E24" s="11">
        <f>A24-'Mastercurve bestimmen'!$B$2</f>
        <v>-191</v>
      </c>
      <c r="F24" s="11">
        <f t="shared" si="4"/>
        <v>-50.359462739365071</v>
      </c>
      <c r="G24" s="11"/>
      <c r="H24" s="11">
        <f t="shared" si="5"/>
        <v>1.7711972856522163E+18</v>
      </c>
      <c r="I24" s="11">
        <f t="shared" si="3"/>
        <v>-9273284218074432</v>
      </c>
      <c r="J24" s="11">
        <f t="shared" si="3"/>
        <v>48551226272641</v>
      </c>
      <c r="K24" s="11">
        <f t="shared" si="3"/>
        <v>-254194901951</v>
      </c>
      <c r="L24" s="11">
        <f t="shared" si="3"/>
        <v>1330863361</v>
      </c>
      <c r="M24" s="11">
        <f t="shared" si="3"/>
        <v>-6967871</v>
      </c>
      <c r="N24" s="11">
        <f t="shared" si="3"/>
        <v>36481</v>
      </c>
      <c r="O24" s="11">
        <f t="shared" si="3"/>
        <v>-191</v>
      </c>
      <c r="P24" s="11">
        <f t="shared" si="7"/>
        <v>0</v>
      </c>
    </row>
    <row r="25" spans="1:16" x14ac:dyDescent="0.25">
      <c r="A25" s="11">
        <f t="shared" si="6"/>
        <v>-30</v>
      </c>
      <c r="B25">
        <v>-50.298682139323525</v>
      </c>
      <c r="E25" s="11">
        <f>A25-'Mastercurve bestimmen'!$B$2</f>
        <v>-190</v>
      </c>
      <c r="F25" s="11">
        <f t="shared" si="4"/>
        <v>-50.298682139323525</v>
      </c>
      <c r="G25" s="11"/>
      <c r="H25" s="11">
        <f t="shared" si="5"/>
        <v>1.6983563041E+18</v>
      </c>
      <c r="I25" s="11">
        <f t="shared" si="3"/>
        <v>-8938717390000000</v>
      </c>
      <c r="J25" s="11">
        <f t="shared" si="3"/>
        <v>47045881000000</v>
      </c>
      <c r="K25" s="11">
        <f t="shared" si="3"/>
        <v>-247609900000</v>
      </c>
      <c r="L25" s="11">
        <f t="shared" si="3"/>
        <v>1303210000</v>
      </c>
      <c r="M25" s="11">
        <f t="shared" si="3"/>
        <v>-6859000</v>
      </c>
      <c r="N25" s="11">
        <f t="shared" si="3"/>
        <v>36100</v>
      </c>
      <c r="O25" s="11">
        <f t="shared" si="3"/>
        <v>-190</v>
      </c>
      <c r="P25" s="11">
        <f t="shared" si="7"/>
        <v>0</v>
      </c>
    </row>
    <row r="26" spans="1:16" x14ac:dyDescent="0.25">
      <c r="A26" s="11">
        <f t="shared" si="6"/>
        <v>-29</v>
      </c>
      <c r="B26">
        <v>-50.236873401994544</v>
      </c>
      <c r="E26" s="11">
        <f>A26-'Mastercurve bestimmen'!$B$2</f>
        <v>-189</v>
      </c>
      <c r="F26" s="11">
        <f t="shared" si="4"/>
        <v>-50.236873401994544</v>
      </c>
      <c r="G26" s="11"/>
      <c r="H26" s="11">
        <f t="shared" si="5"/>
        <v>1.6281500743352054E+18</v>
      </c>
      <c r="I26" s="11">
        <f t="shared" si="3"/>
        <v>-8614550657858229</v>
      </c>
      <c r="J26" s="11">
        <f t="shared" si="3"/>
        <v>45579633110361</v>
      </c>
      <c r="K26" s="11">
        <f t="shared" si="3"/>
        <v>-241162079949</v>
      </c>
      <c r="L26" s="11">
        <f t="shared" si="3"/>
        <v>1275989841</v>
      </c>
      <c r="M26" s="11">
        <f t="shared" si="3"/>
        <v>-6751269</v>
      </c>
      <c r="N26" s="11">
        <f t="shared" si="3"/>
        <v>35721</v>
      </c>
      <c r="O26" s="11">
        <f t="shared" si="3"/>
        <v>-189</v>
      </c>
      <c r="P26" s="11">
        <f t="shared" si="7"/>
        <v>0</v>
      </c>
    </row>
    <row r="27" spans="1:16" x14ac:dyDescent="0.25">
      <c r="A27" s="11">
        <f t="shared" si="6"/>
        <v>-28</v>
      </c>
      <c r="B27">
        <v>-50.173933713649376</v>
      </c>
      <c r="E27" s="11">
        <f>A27-'Mastercurve bestimmen'!$B$2</f>
        <v>-188</v>
      </c>
      <c r="F27" s="11">
        <f t="shared" si="4"/>
        <v>-50.173933713649376</v>
      </c>
      <c r="G27" s="11"/>
      <c r="H27" s="11">
        <f t="shared" si="5"/>
        <v>1.5604964826651689E+18</v>
      </c>
      <c r="I27" s="11">
        <f t="shared" si="3"/>
        <v>-8300513205665792</v>
      </c>
      <c r="J27" s="11">
        <f t="shared" si="3"/>
        <v>44151665987584</v>
      </c>
      <c r="K27" s="11">
        <f t="shared" si="3"/>
        <v>-234849287168</v>
      </c>
      <c r="L27" s="11">
        <f t="shared" si="3"/>
        <v>1249198336</v>
      </c>
      <c r="M27" s="11">
        <f t="shared" si="3"/>
        <v>-6644672</v>
      </c>
      <c r="N27" s="11">
        <f t="shared" si="3"/>
        <v>35344</v>
      </c>
      <c r="O27" s="11">
        <f t="shared" si="3"/>
        <v>-188</v>
      </c>
      <c r="P27" s="11">
        <f t="shared" si="7"/>
        <v>0</v>
      </c>
    </row>
    <row r="28" spans="1:16" x14ac:dyDescent="0.25">
      <c r="A28" s="11">
        <f t="shared" si="6"/>
        <v>-27</v>
      </c>
      <c r="B28">
        <v>-50.109760260559312</v>
      </c>
      <c r="E28" s="11">
        <f>A28-'Mastercurve bestimmen'!$B$2</f>
        <v>-187</v>
      </c>
      <c r="F28" s="11">
        <f t="shared" si="4"/>
        <v>-50.109760260559312</v>
      </c>
      <c r="G28" s="11"/>
      <c r="H28" s="11">
        <f t="shared" si="5"/>
        <v>1.4953155591801836E+18</v>
      </c>
      <c r="I28" s="11">
        <f t="shared" si="3"/>
        <v>-7996339888664083</v>
      </c>
      <c r="J28" s="11">
        <f t="shared" si="3"/>
        <v>42761175875209</v>
      </c>
      <c r="K28" s="11">
        <f t="shared" si="3"/>
        <v>-228669389707</v>
      </c>
      <c r="L28" s="11">
        <f t="shared" si="3"/>
        <v>1222830961</v>
      </c>
      <c r="M28" s="11">
        <f t="shared" si="3"/>
        <v>-6539203</v>
      </c>
      <c r="N28" s="11">
        <f t="shared" si="3"/>
        <v>34969</v>
      </c>
      <c r="O28" s="11">
        <f t="shared" si="3"/>
        <v>-187</v>
      </c>
      <c r="P28" s="11">
        <f t="shared" si="7"/>
        <v>0</v>
      </c>
    </row>
    <row r="29" spans="1:16" x14ac:dyDescent="0.25">
      <c r="A29" s="11">
        <f t="shared" si="6"/>
        <v>-26</v>
      </c>
      <c r="B29">
        <v>-50.044250228995594</v>
      </c>
      <c r="E29" s="11">
        <f>A29-'Mastercurve bestimmen'!$B$2</f>
        <v>-186</v>
      </c>
      <c r="F29" s="11">
        <f t="shared" si="4"/>
        <v>-50.044250228995594</v>
      </c>
      <c r="G29" s="11"/>
      <c r="H29" s="11">
        <f t="shared" si="5"/>
        <v>1.4325294327425027E+18</v>
      </c>
      <c r="I29" s="11">
        <f t="shared" si="3"/>
        <v>-7701771143776896</v>
      </c>
      <c r="J29" s="11">
        <f t="shared" si="3"/>
        <v>41407371740736</v>
      </c>
      <c r="K29" s="11">
        <f t="shared" si="3"/>
        <v>-222620278176</v>
      </c>
      <c r="L29" s="11">
        <f t="shared" si="3"/>
        <v>1196883216</v>
      </c>
      <c r="M29" s="11">
        <f t="shared" si="3"/>
        <v>-6434856</v>
      </c>
      <c r="N29" s="11">
        <f t="shared" si="3"/>
        <v>34596</v>
      </c>
      <c r="O29" s="11">
        <f t="shared" si="3"/>
        <v>-186</v>
      </c>
      <c r="P29" s="11">
        <f t="shared" si="7"/>
        <v>0</v>
      </c>
    </row>
    <row r="30" spans="1:16" x14ac:dyDescent="0.25">
      <c r="A30" s="11">
        <f t="shared" si="6"/>
        <v>-25</v>
      </c>
      <c r="B30">
        <v>-49.977300805229468</v>
      </c>
      <c r="E30" s="11">
        <f>A30-'Mastercurve bestimmen'!$B$2</f>
        <v>-185</v>
      </c>
      <c r="F30" s="11">
        <f t="shared" si="4"/>
        <v>-49.977300805229468</v>
      </c>
      <c r="G30" s="11"/>
      <c r="H30" s="11">
        <f t="shared" si="5"/>
        <v>1.3720622866878907E+18</v>
      </c>
      <c r="I30" s="11">
        <f t="shared" si="3"/>
        <v>-7416552901015625</v>
      </c>
      <c r="J30" s="11">
        <f t="shared" si="3"/>
        <v>40089475140625</v>
      </c>
      <c r="K30" s="11">
        <f t="shared" si="3"/>
        <v>-216699865625</v>
      </c>
      <c r="L30" s="11">
        <f t="shared" si="3"/>
        <v>1171350625</v>
      </c>
      <c r="M30" s="11">
        <f t="shared" si="3"/>
        <v>-6331625</v>
      </c>
      <c r="N30" s="11">
        <f t="shared" si="3"/>
        <v>34225</v>
      </c>
      <c r="O30" s="11">
        <f t="shared" si="3"/>
        <v>-185</v>
      </c>
      <c r="P30" s="11">
        <f t="shared" si="7"/>
        <v>0</v>
      </c>
    </row>
    <row r="31" spans="1:16" x14ac:dyDescent="0.25">
      <c r="A31" s="11">
        <f t="shared" si="6"/>
        <v>-24</v>
      </c>
      <c r="B31">
        <v>-49.908809175532198</v>
      </c>
      <c r="E31" s="11">
        <f>A31-'Mastercurve bestimmen'!$B$2</f>
        <v>-184</v>
      </c>
      <c r="F31" s="11">
        <f t="shared" si="4"/>
        <v>-49.908809175532198</v>
      </c>
      <c r="G31" s="11"/>
      <c r="H31" s="11">
        <f t="shared" si="5"/>
        <v>1.3138403152321577E+18</v>
      </c>
      <c r="I31" s="11">
        <f t="shared" si="5"/>
        <v>-7140436495826944</v>
      </c>
      <c r="J31" s="11">
        <f t="shared" si="5"/>
        <v>38806720086016</v>
      </c>
      <c r="K31" s="11">
        <f t="shared" si="5"/>
        <v>-210906087424</v>
      </c>
      <c r="L31" s="11">
        <f t="shared" si="5"/>
        <v>1146228736</v>
      </c>
      <c r="M31" s="11">
        <f t="shared" si="5"/>
        <v>-6229504</v>
      </c>
      <c r="N31" s="11">
        <f t="shared" si="5"/>
        <v>33856</v>
      </c>
      <c r="O31" s="11">
        <f t="shared" si="5"/>
        <v>-184</v>
      </c>
      <c r="P31" s="11">
        <f t="shared" si="7"/>
        <v>0</v>
      </c>
    </row>
    <row r="32" spans="1:16" x14ac:dyDescent="0.25">
      <c r="A32" s="11">
        <f t="shared" si="6"/>
        <v>-23</v>
      </c>
      <c r="B32">
        <v>-49.838672526175046</v>
      </c>
      <c r="E32" s="11">
        <f>A32-'Mastercurve bestimmen'!$B$2</f>
        <v>-183</v>
      </c>
      <c r="F32" s="11">
        <f t="shared" si="4"/>
        <v>-49.838672526175046</v>
      </c>
      <c r="G32" s="11"/>
      <c r="H32" s="11">
        <f t="shared" si="5"/>
        <v>1.2577916805751606E+18</v>
      </c>
      <c r="I32" s="11">
        <f t="shared" si="5"/>
        <v>-6873178582377927</v>
      </c>
      <c r="J32" s="11">
        <f t="shared" si="5"/>
        <v>37558352909169</v>
      </c>
      <c r="K32" s="11">
        <f t="shared" si="5"/>
        <v>-205236901143</v>
      </c>
      <c r="L32" s="11">
        <f t="shared" si="5"/>
        <v>1121513121</v>
      </c>
      <c r="M32" s="11">
        <f t="shared" si="5"/>
        <v>-6128487</v>
      </c>
      <c r="N32" s="11">
        <f t="shared" si="5"/>
        <v>33489</v>
      </c>
      <c r="O32" s="11">
        <f t="shared" si="5"/>
        <v>-183</v>
      </c>
      <c r="P32" s="11">
        <f t="shared" si="7"/>
        <v>0</v>
      </c>
    </row>
    <row r="33" spans="1:16" x14ac:dyDescent="0.25">
      <c r="A33" s="11">
        <f t="shared" si="6"/>
        <v>-22</v>
      </c>
      <c r="B33">
        <v>-49.766788043429258</v>
      </c>
      <c r="E33" s="11">
        <f>A33-'Mastercurve bestimmen'!$B$2</f>
        <v>-182</v>
      </c>
      <c r="F33" s="11">
        <f t="shared" si="4"/>
        <v>-49.766788043429258</v>
      </c>
      <c r="G33" s="11"/>
      <c r="H33" s="11">
        <f t="shared" si="5"/>
        <v>1.2038464706947894E+18</v>
      </c>
      <c r="I33" s="11">
        <f t="shared" si="5"/>
        <v>-6614541047773568</v>
      </c>
      <c r="J33" s="11">
        <f t="shared" si="5"/>
        <v>36343632130624</v>
      </c>
      <c r="K33" s="11">
        <f t="shared" si="5"/>
        <v>-199690286432</v>
      </c>
      <c r="L33" s="11">
        <f t="shared" si="5"/>
        <v>1097199376</v>
      </c>
      <c r="M33" s="11">
        <f t="shared" si="5"/>
        <v>-6028568</v>
      </c>
      <c r="N33" s="11">
        <f t="shared" si="5"/>
        <v>33124</v>
      </c>
      <c r="O33" s="11">
        <f t="shared" si="5"/>
        <v>-182</v>
      </c>
      <c r="P33" s="11">
        <f t="shared" si="7"/>
        <v>0</v>
      </c>
    </row>
    <row r="34" spans="1:16" x14ac:dyDescent="0.25">
      <c r="A34" s="11">
        <f t="shared" si="6"/>
        <v>-21</v>
      </c>
      <c r="B34">
        <v>-49.693052913566106</v>
      </c>
      <c r="E34" s="11">
        <f>A34-'Mastercurve bestimmen'!$B$2</f>
        <v>-181</v>
      </c>
      <c r="F34" s="11">
        <f t="shared" si="4"/>
        <v>-49.693052913566106</v>
      </c>
      <c r="G34" s="11"/>
      <c r="H34" s="11">
        <f t="shared" si="5"/>
        <v>1.1519366578235007E+18</v>
      </c>
      <c r="I34" s="11">
        <f t="shared" si="5"/>
        <v>-6364290927201661</v>
      </c>
      <c r="J34" s="11">
        <f t="shared" si="5"/>
        <v>35161828327081</v>
      </c>
      <c r="K34" s="11">
        <f t="shared" si="5"/>
        <v>-194264244901</v>
      </c>
      <c r="L34" s="11">
        <f t="shared" si="5"/>
        <v>1073283121</v>
      </c>
      <c r="M34" s="11">
        <f t="shared" si="5"/>
        <v>-5929741</v>
      </c>
      <c r="N34" s="11">
        <f t="shared" si="5"/>
        <v>32761</v>
      </c>
      <c r="O34" s="11">
        <f t="shared" si="5"/>
        <v>-181</v>
      </c>
      <c r="P34" s="11">
        <f t="shared" si="7"/>
        <v>0</v>
      </c>
    </row>
    <row r="35" spans="1:16" x14ac:dyDescent="0.25">
      <c r="A35" s="11">
        <f t="shared" si="6"/>
        <v>-20</v>
      </c>
      <c r="B35">
        <v>-49.617364322856837</v>
      </c>
      <c r="E35" s="11">
        <f>A35-'Mastercurve bestimmen'!$B$2</f>
        <v>-180</v>
      </c>
      <c r="F35" s="11">
        <f t="shared" si="4"/>
        <v>-49.617364322856837</v>
      </c>
      <c r="G35" s="11"/>
      <c r="H35" s="11">
        <f t="shared" si="5"/>
        <v>1.1019960576E+18</v>
      </c>
      <c r="I35" s="11">
        <f t="shared" si="5"/>
        <v>-6122200320000000</v>
      </c>
      <c r="J35" s="11">
        <f t="shared" si="5"/>
        <v>34012224000000</v>
      </c>
      <c r="K35" s="11">
        <f t="shared" si="5"/>
        <v>-188956800000</v>
      </c>
      <c r="L35" s="11">
        <f t="shared" si="5"/>
        <v>1049760000</v>
      </c>
      <c r="M35" s="11">
        <f t="shared" si="5"/>
        <v>-5832000</v>
      </c>
      <c r="N35" s="11">
        <f t="shared" si="5"/>
        <v>32400</v>
      </c>
      <c r="O35" s="11">
        <f t="shared" si="5"/>
        <v>-180</v>
      </c>
      <c r="P35" s="11">
        <f t="shared" si="7"/>
        <v>0</v>
      </c>
    </row>
    <row r="36" spans="1:16" x14ac:dyDescent="0.25">
      <c r="A36" s="11">
        <f t="shared" si="6"/>
        <v>-19</v>
      </c>
      <c r="B36">
        <v>-49.539619457572712</v>
      </c>
      <c r="E36" s="11">
        <f>A36-'Mastercurve bestimmen'!$B$2</f>
        <v>-179</v>
      </c>
      <c r="F36" s="11">
        <f t="shared" si="4"/>
        <v>-49.539619457572712</v>
      </c>
      <c r="G36" s="11"/>
      <c r="H36" s="11">
        <f t="shared" si="5"/>
        <v>1.0539602888887137E+18</v>
      </c>
      <c r="I36" s="11">
        <f t="shared" si="5"/>
        <v>-5888046306640859</v>
      </c>
      <c r="J36" s="11">
        <f t="shared" si="5"/>
        <v>32894113444921</v>
      </c>
      <c r="K36" s="11">
        <f t="shared" si="5"/>
        <v>-183765996899</v>
      </c>
      <c r="L36" s="11">
        <f t="shared" si="5"/>
        <v>1026625681</v>
      </c>
      <c r="M36" s="11">
        <f t="shared" si="5"/>
        <v>-5735339</v>
      </c>
      <c r="N36" s="11">
        <f t="shared" si="5"/>
        <v>32041</v>
      </c>
      <c r="O36" s="11">
        <f t="shared" si="5"/>
        <v>-179</v>
      </c>
      <c r="P36" s="11">
        <f t="shared" si="7"/>
        <v>0</v>
      </c>
    </row>
    <row r="37" spans="1:16" x14ac:dyDescent="0.25">
      <c r="A37" s="11">
        <f t="shared" si="6"/>
        <v>-18</v>
      </c>
      <c r="B37">
        <v>-49.459715503984981</v>
      </c>
      <c r="E37" s="11">
        <f>A37-'Mastercurve bestimmen'!$B$2</f>
        <v>-178</v>
      </c>
      <c r="F37" s="11">
        <f t="shared" si="4"/>
        <v>-49.459715503984981</v>
      </c>
      <c r="G37" s="11"/>
      <c r="H37" s="11">
        <f t="shared" si="5"/>
        <v>1.0077667342597327E+18</v>
      </c>
      <c r="I37" s="11">
        <f t="shared" si="5"/>
        <v>-5661610866627712</v>
      </c>
      <c r="J37" s="11">
        <f t="shared" si="5"/>
        <v>31806802621504</v>
      </c>
      <c r="K37" s="11">
        <f t="shared" si="5"/>
        <v>-178689902368</v>
      </c>
      <c r="L37" s="11">
        <f t="shared" si="5"/>
        <v>1003875856</v>
      </c>
      <c r="M37" s="11">
        <f t="shared" si="5"/>
        <v>-5639752</v>
      </c>
      <c r="N37" s="11">
        <f t="shared" si="5"/>
        <v>31684</v>
      </c>
      <c r="O37" s="11">
        <f t="shared" si="5"/>
        <v>-178</v>
      </c>
      <c r="P37" s="11">
        <f t="shared" si="7"/>
        <v>0</v>
      </c>
    </row>
    <row r="38" spans="1:16" x14ac:dyDescent="0.25">
      <c r="A38" s="11">
        <f t="shared" si="6"/>
        <v>-17</v>
      </c>
      <c r="B38">
        <v>-49.377549648364912</v>
      </c>
      <c r="E38" s="11">
        <f>A38-'Mastercurve bestimmen'!$B$2</f>
        <v>-177</v>
      </c>
      <c r="F38" s="11">
        <f t="shared" si="4"/>
        <v>-49.377549648364912</v>
      </c>
      <c r="G38" s="11"/>
      <c r="H38" s="11">
        <f t="shared" si="5"/>
        <v>9.6335450112195008E+17</v>
      </c>
      <c r="I38" s="11">
        <f t="shared" si="5"/>
        <v>-5442680797299153</v>
      </c>
      <c r="J38" s="11">
        <f t="shared" si="5"/>
        <v>30749609024289</v>
      </c>
      <c r="K38" s="11">
        <f t="shared" si="5"/>
        <v>-173726604657</v>
      </c>
      <c r="L38" s="11">
        <f t="shared" si="5"/>
        <v>981506241</v>
      </c>
      <c r="M38" s="11">
        <f t="shared" si="5"/>
        <v>-5545233</v>
      </c>
      <c r="N38" s="11">
        <f t="shared" si="5"/>
        <v>31329</v>
      </c>
      <c r="O38" s="11">
        <f t="shared" si="5"/>
        <v>-177</v>
      </c>
      <c r="P38" s="11">
        <f t="shared" si="7"/>
        <v>0</v>
      </c>
    </row>
    <row r="39" spans="1:16" x14ac:dyDescent="0.25">
      <c r="A39" s="11">
        <f t="shared" si="6"/>
        <v>-16</v>
      </c>
      <c r="B39">
        <v>-49.293019076983754</v>
      </c>
      <c r="E39" s="11">
        <f>A39-'Mastercurve bestimmen'!$B$2</f>
        <v>-176</v>
      </c>
      <c r="F39" s="11">
        <f t="shared" si="4"/>
        <v>-49.293019076983754</v>
      </c>
      <c r="G39" s="11"/>
      <c r="H39" s="11">
        <f t="shared" si="5"/>
        <v>9.2066438350215578E+17</v>
      </c>
      <c r="I39" s="11">
        <f t="shared" si="5"/>
        <v>-5231047633534976</v>
      </c>
      <c r="J39" s="11">
        <f t="shared" si="5"/>
        <v>29721861554176</v>
      </c>
      <c r="K39" s="11">
        <f t="shared" si="5"/>
        <v>-168874213376</v>
      </c>
      <c r="L39" s="11">
        <f t="shared" si="5"/>
        <v>959512576</v>
      </c>
      <c r="M39" s="11">
        <f t="shared" si="5"/>
        <v>-5451776</v>
      </c>
      <c r="N39" s="11">
        <f t="shared" si="5"/>
        <v>30976</v>
      </c>
      <c r="O39" s="11">
        <f t="shared" si="5"/>
        <v>-176</v>
      </c>
      <c r="P39" s="11">
        <f t="shared" si="7"/>
        <v>0</v>
      </c>
    </row>
    <row r="40" spans="1:16" x14ac:dyDescent="0.25">
      <c r="A40" s="11">
        <f t="shared" si="6"/>
        <v>-15</v>
      </c>
      <c r="B40">
        <v>-49.206020976112768</v>
      </c>
      <c r="E40" s="11">
        <f>A40-'Mastercurve bestimmen'!$B$2</f>
        <v>-175</v>
      </c>
      <c r="F40" s="11">
        <f t="shared" si="4"/>
        <v>-49.206020976112768</v>
      </c>
      <c r="G40" s="11"/>
      <c r="H40" s="11">
        <f t="shared" si="5"/>
        <v>8.7963882446289062E+17</v>
      </c>
      <c r="I40" s="11">
        <f t="shared" si="5"/>
        <v>-5026507568359375</v>
      </c>
      <c r="J40" s="11">
        <f t="shared" si="5"/>
        <v>28722900390625</v>
      </c>
      <c r="K40" s="11">
        <f t="shared" si="5"/>
        <v>-164130859375</v>
      </c>
      <c r="L40" s="11">
        <f t="shared" si="5"/>
        <v>937890625</v>
      </c>
      <c r="M40" s="11">
        <f t="shared" si="5"/>
        <v>-5359375</v>
      </c>
      <c r="N40" s="11">
        <f t="shared" si="5"/>
        <v>30625</v>
      </c>
      <c r="O40" s="11">
        <f t="shared" si="5"/>
        <v>-175</v>
      </c>
      <c r="P40" s="11">
        <f t="shared" si="7"/>
        <v>0</v>
      </c>
    </row>
    <row r="41" spans="1:16" x14ac:dyDescent="0.25">
      <c r="A41" s="11">
        <f t="shared" si="6"/>
        <v>-14</v>
      </c>
      <c r="B41">
        <v>-49.116452532023203</v>
      </c>
      <c r="E41" s="11">
        <f>A41-'Mastercurve bestimmen'!$B$2</f>
        <v>-174</v>
      </c>
      <c r="F41" s="11">
        <f t="shared" si="4"/>
        <v>-49.116452532023203</v>
      </c>
      <c r="G41" s="11"/>
      <c r="H41" s="11">
        <f t="shared" si="5"/>
        <v>8.4022187915190298E+17</v>
      </c>
      <c r="I41" s="11">
        <f t="shared" si="5"/>
        <v>-4828861374436224</v>
      </c>
      <c r="J41" s="11">
        <f t="shared" si="5"/>
        <v>27752076864576</v>
      </c>
      <c r="K41" s="11">
        <f t="shared" si="5"/>
        <v>-159494694624</v>
      </c>
      <c r="L41" s="11">
        <f t="shared" si="5"/>
        <v>916636176</v>
      </c>
      <c r="M41" s="11">
        <f t="shared" si="5"/>
        <v>-5268024</v>
      </c>
      <c r="N41" s="11">
        <f t="shared" si="5"/>
        <v>30276</v>
      </c>
      <c r="O41" s="11">
        <f t="shared" si="5"/>
        <v>-174</v>
      </c>
      <c r="P41" s="11">
        <f t="shared" si="7"/>
        <v>0</v>
      </c>
    </row>
    <row r="42" spans="1:16" x14ac:dyDescent="0.25">
      <c r="A42" s="11">
        <f t="shared" si="6"/>
        <v>-13</v>
      </c>
      <c r="B42">
        <v>-49.024210930986335</v>
      </c>
      <c r="E42" s="11">
        <f>A42-'Mastercurve bestimmen'!$B$2</f>
        <v>-173</v>
      </c>
      <c r="F42" s="11">
        <f t="shared" si="4"/>
        <v>-49.024210930986335</v>
      </c>
      <c r="G42" s="11"/>
      <c r="H42" s="11">
        <f t="shared" si="5"/>
        <v>8.0235917847609165E+17</v>
      </c>
      <c r="I42" s="11">
        <f t="shared" si="5"/>
        <v>-4637914326451397</v>
      </c>
      <c r="J42" s="11">
        <f t="shared" si="5"/>
        <v>26808753332089</v>
      </c>
      <c r="K42" s="11">
        <f t="shared" si="5"/>
        <v>-154963892093</v>
      </c>
      <c r="L42" s="11">
        <f t="shared" si="5"/>
        <v>895745041</v>
      </c>
      <c r="M42" s="11">
        <f t="shared" si="5"/>
        <v>-5177717</v>
      </c>
      <c r="N42" s="11">
        <f t="shared" si="5"/>
        <v>29929</v>
      </c>
      <c r="O42" s="11">
        <f t="shared" si="5"/>
        <v>-173</v>
      </c>
      <c r="P42" s="11">
        <f t="shared" si="7"/>
        <v>0</v>
      </c>
    </row>
    <row r="43" spans="1:16" x14ac:dyDescent="0.25">
      <c r="A43" s="11">
        <f t="shared" si="6"/>
        <v>-12</v>
      </c>
      <c r="B43">
        <v>-48.929193359273405</v>
      </c>
      <c r="E43" s="11">
        <f>A43-'Mastercurve bestimmen'!$B$2</f>
        <v>-172</v>
      </c>
      <c r="F43" s="11">
        <f t="shared" si="4"/>
        <v>-48.929193359273405</v>
      </c>
      <c r="G43" s="11"/>
      <c r="H43" s="11">
        <f t="shared" si="5"/>
        <v>7.6599789339285914E+17</v>
      </c>
      <c r="I43" s="11">
        <f t="shared" si="5"/>
        <v>-4453476124377088</v>
      </c>
      <c r="J43" s="11">
        <f t="shared" si="5"/>
        <v>25892303048704</v>
      </c>
      <c r="K43" s="11">
        <f t="shared" si="5"/>
        <v>-150536645632</v>
      </c>
      <c r="L43" s="11">
        <f t="shared" si="5"/>
        <v>875213056</v>
      </c>
      <c r="M43" s="11">
        <f t="shared" si="5"/>
        <v>-5088448</v>
      </c>
      <c r="N43" s="11">
        <f t="shared" si="5"/>
        <v>29584</v>
      </c>
      <c r="O43" s="11">
        <f t="shared" si="5"/>
        <v>-172</v>
      </c>
      <c r="P43" s="11">
        <f t="shared" si="7"/>
        <v>0</v>
      </c>
    </row>
    <row r="44" spans="1:16" x14ac:dyDescent="0.25">
      <c r="A44" s="11">
        <f t="shared" si="6"/>
        <v>-11</v>
      </c>
      <c r="B44">
        <v>-48.831297003155676</v>
      </c>
      <c r="E44" s="11">
        <f>A44-'Mastercurve bestimmen'!$B$2</f>
        <v>-171</v>
      </c>
      <c r="F44" s="11">
        <f t="shared" si="4"/>
        <v>-48.831297003155676</v>
      </c>
      <c r="G44" s="11"/>
      <c r="H44" s="11">
        <f t="shared" si="5"/>
        <v>7.3108669981183859E+17</v>
      </c>
      <c r="I44" s="11">
        <f t="shared" si="5"/>
        <v>-4275360817613091</v>
      </c>
      <c r="J44" s="11">
        <f t="shared" si="5"/>
        <v>25002110044521</v>
      </c>
      <c r="K44" s="11">
        <f t="shared" si="5"/>
        <v>-146211169851</v>
      </c>
      <c r="L44" s="11">
        <f t="shared" si="5"/>
        <v>855036081</v>
      </c>
      <c r="M44" s="11">
        <f t="shared" si="5"/>
        <v>-5000211</v>
      </c>
      <c r="N44" s="11">
        <f t="shared" si="5"/>
        <v>29241</v>
      </c>
      <c r="O44" s="11">
        <f t="shared" si="5"/>
        <v>-171</v>
      </c>
      <c r="P44" s="11">
        <f t="shared" si="7"/>
        <v>0</v>
      </c>
    </row>
    <row r="45" spans="1:16" x14ac:dyDescent="0.25">
      <c r="A45" s="11">
        <f t="shared" si="6"/>
        <v>-10</v>
      </c>
      <c r="B45">
        <v>-48.730419048904402</v>
      </c>
      <c r="E45" s="11">
        <f>A45-'Mastercurve bestimmen'!$B$2</f>
        <v>-170</v>
      </c>
      <c r="F45" s="11">
        <f t="shared" si="4"/>
        <v>-48.730419048904402</v>
      </c>
      <c r="G45" s="11"/>
      <c r="H45" s="11">
        <f t="shared" si="5"/>
        <v>6.975757441E+17</v>
      </c>
      <c r="I45" s="11">
        <f t="shared" si="5"/>
        <v>-4103386730000000</v>
      </c>
      <c r="J45" s="11">
        <f t="shared" si="5"/>
        <v>24137569000000</v>
      </c>
      <c r="K45" s="11">
        <f t="shared" si="5"/>
        <v>-141985700000</v>
      </c>
      <c r="L45" s="11">
        <f t="shared" si="5"/>
        <v>835210000</v>
      </c>
      <c r="M45" s="11">
        <f t="shared" si="5"/>
        <v>-4913000</v>
      </c>
      <c r="N45" s="11">
        <f t="shared" si="5"/>
        <v>28900</v>
      </c>
      <c r="O45" s="11">
        <f t="shared" si="5"/>
        <v>-170</v>
      </c>
      <c r="P45" s="11">
        <f t="shared" si="7"/>
        <v>0</v>
      </c>
    </row>
    <row r="46" spans="1:16" x14ac:dyDescent="0.25">
      <c r="A46" s="11">
        <f t="shared" si="6"/>
        <v>-9</v>
      </c>
      <c r="B46">
        <v>-48.626456682790845</v>
      </c>
      <c r="E46" s="11">
        <f>A46-'Mastercurve bestimmen'!$B$2</f>
        <v>-169</v>
      </c>
      <c r="F46" s="11">
        <f t="shared" si="4"/>
        <v>-48.626456682790845</v>
      </c>
      <c r="G46" s="11"/>
      <c r="H46" s="11">
        <f t="shared" si="5"/>
        <v>6.654166091831799E+17</v>
      </c>
      <c r="I46" s="11">
        <f t="shared" si="5"/>
        <v>-3937376385699289</v>
      </c>
      <c r="J46" s="11">
        <f t="shared" si="5"/>
        <v>23298085122481</v>
      </c>
      <c r="K46" s="11">
        <f t="shared" si="5"/>
        <v>-137858491849</v>
      </c>
      <c r="L46" s="11">
        <f t="shared" si="5"/>
        <v>815730721</v>
      </c>
      <c r="M46" s="11">
        <f t="shared" si="5"/>
        <v>-4826809</v>
      </c>
      <c r="N46" s="11">
        <f t="shared" si="5"/>
        <v>28561</v>
      </c>
      <c r="O46" s="11">
        <f t="shared" si="5"/>
        <v>-169</v>
      </c>
      <c r="P46" s="11">
        <f t="shared" si="7"/>
        <v>0</v>
      </c>
    </row>
    <row r="47" spans="1:16" x14ac:dyDescent="0.25">
      <c r="A47" s="11">
        <f t="shared" si="6"/>
        <v>-8</v>
      </c>
      <c r="B47">
        <v>-48.519307091086247</v>
      </c>
      <c r="E47" s="11">
        <f>A47-'Mastercurve bestimmen'!$B$2</f>
        <v>-168</v>
      </c>
      <c r="F47" s="11">
        <f t="shared" si="4"/>
        <v>-48.519307091086247</v>
      </c>
      <c r="G47" s="11"/>
      <c r="H47" s="11">
        <f t="shared" si="5"/>
        <v>6.3456228123711898E+17</v>
      </c>
      <c r="I47" s="11">
        <f t="shared" si="5"/>
        <v>-3777156435935232</v>
      </c>
      <c r="J47" s="11">
        <f t="shared" si="5"/>
        <v>22483074023424</v>
      </c>
      <c r="K47" s="11">
        <f t="shared" si="5"/>
        <v>-133827821568</v>
      </c>
      <c r="L47" s="11">
        <f t="shared" si="5"/>
        <v>796594176</v>
      </c>
      <c r="M47" s="11">
        <f t="shared" si="5"/>
        <v>-4741632</v>
      </c>
      <c r="N47" s="11">
        <f t="shared" si="5"/>
        <v>28224</v>
      </c>
      <c r="O47" s="11">
        <f t="shared" si="5"/>
        <v>-168</v>
      </c>
      <c r="P47" s="11">
        <f t="shared" si="7"/>
        <v>0</v>
      </c>
    </row>
    <row r="48" spans="1:16" x14ac:dyDescent="0.25">
      <c r="A48" s="11">
        <f t="shared" si="6"/>
        <v>-7</v>
      </c>
      <c r="B48">
        <v>-48.408867460061884</v>
      </c>
      <c r="E48" s="11">
        <f>A48-'Mastercurve bestimmen'!$B$2</f>
        <v>-167</v>
      </c>
      <c r="F48" s="11">
        <f t="shared" si="4"/>
        <v>-48.408867460061884</v>
      </c>
      <c r="G48" s="11"/>
      <c r="H48" s="11">
        <f t="shared" ref="H48:O79" si="8">IF($H$12&gt;=H$14,$E48^H$14,0)</f>
        <v>6.049671169611351E+17</v>
      </c>
      <c r="I48" s="11">
        <f t="shared" si="8"/>
        <v>-3622557586593623</v>
      </c>
      <c r="J48" s="11">
        <f t="shared" si="8"/>
        <v>21691961596369</v>
      </c>
      <c r="K48" s="11">
        <f t="shared" si="8"/>
        <v>-129891985607</v>
      </c>
      <c r="L48" s="11">
        <f t="shared" si="8"/>
        <v>777796321</v>
      </c>
      <c r="M48" s="11">
        <f t="shared" si="8"/>
        <v>-4657463</v>
      </c>
      <c r="N48" s="11">
        <f t="shared" si="8"/>
        <v>27889</v>
      </c>
      <c r="O48" s="11">
        <f t="shared" si="8"/>
        <v>-167</v>
      </c>
      <c r="P48" s="11">
        <f t="shared" si="7"/>
        <v>0</v>
      </c>
    </row>
    <row r="49" spans="1:16" x14ac:dyDescent="0.25">
      <c r="A49" s="11">
        <f t="shared" si="6"/>
        <v>-6</v>
      </c>
      <c r="B49">
        <v>-48.295034975989012</v>
      </c>
      <c r="E49" s="11">
        <f>A49-'Mastercurve bestimmen'!$B$2</f>
        <v>-166</v>
      </c>
      <c r="F49" s="11">
        <f t="shared" si="4"/>
        <v>-48.295034975989012</v>
      </c>
      <c r="G49" s="11"/>
      <c r="H49" s="11">
        <f t="shared" si="8"/>
        <v>5.765868114275945E+17</v>
      </c>
      <c r="I49" s="11">
        <f t="shared" si="8"/>
        <v>-3473414526672256</v>
      </c>
      <c r="J49" s="11">
        <f t="shared" si="8"/>
        <v>20924183895616</v>
      </c>
      <c r="K49" s="11">
        <f t="shared" si="8"/>
        <v>-126049300576</v>
      </c>
      <c r="L49" s="11">
        <f t="shared" si="8"/>
        <v>759333136</v>
      </c>
      <c r="M49" s="11">
        <f t="shared" si="8"/>
        <v>-4574296</v>
      </c>
      <c r="N49" s="11">
        <f t="shared" si="8"/>
        <v>27556</v>
      </c>
      <c r="O49" s="11">
        <f t="shared" si="8"/>
        <v>-166</v>
      </c>
      <c r="P49" s="11">
        <f t="shared" si="7"/>
        <v>0</v>
      </c>
    </row>
    <row r="50" spans="1:16" x14ac:dyDescent="0.25">
      <c r="A50" s="11">
        <f t="shared" si="6"/>
        <v>-5</v>
      </c>
      <c r="B50">
        <v>-48.177706825138877</v>
      </c>
      <c r="E50" s="11">
        <f>A50-'Mastercurve bestimmen'!$B$2</f>
        <v>-165</v>
      </c>
      <c r="F50" s="11">
        <f t="shared" si="4"/>
        <v>-48.177706825138877</v>
      </c>
      <c r="G50" s="11"/>
      <c r="H50" s="11">
        <f t="shared" si="8"/>
        <v>5.4937836650039066E+17</v>
      </c>
      <c r="I50" s="11">
        <f t="shared" si="8"/>
        <v>-3329565857578125</v>
      </c>
      <c r="J50" s="11">
        <f t="shared" si="8"/>
        <v>20179187015625</v>
      </c>
      <c r="K50" s="11">
        <f t="shared" si="8"/>
        <v>-122298103125</v>
      </c>
      <c r="L50" s="11">
        <f t="shared" si="8"/>
        <v>741200625</v>
      </c>
      <c r="M50" s="11">
        <f t="shared" si="8"/>
        <v>-4492125</v>
      </c>
      <c r="N50" s="11">
        <f t="shared" si="8"/>
        <v>27225</v>
      </c>
      <c r="O50" s="11">
        <f t="shared" si="8"/>
        <v>-165</v>
      </c>
      <c r="P50" s="11">
        <f t="shared" si="7"/>
        <v>0</v>
      </c>
    </row>
    <row r="51" spans="1:16" x14ac:dyDescent="0.25">
      <c r="A51" s="11">
        <f t="shared" si="6"/>
        <v>-4</v>
      </c>
      <c r="B51">
        <v>-48.056780193782743</v>
      </c>
      <c r="E51" s="11">
        <f>A51-'Mastercurve bestimmen'!$B$2</f>
        <v>-164</v>
      </c>
      <c r="F51" s="11">
        <f t="shared" si="4"/>
        <v>-48.056780193782743</v>
      </c>
      <c r="G51" s="11"/>
      <c r="H51" s="11">
        <f t="shared" si="8"/>
        <v>5.2330005981567386E+17</v>
      </c>
      <c r="I51" s="11">
        <f t="shared" si="8"/>
        <v>-3190854023266304</v>
      </c>
      <c r="J51" s="11">
        <f t="shared" si="8"/>
        <v>19456426971136</v>
      </c>
      <c r="K51" s="11">
        <f t="shared" si="8"/>
        <v>-118636749824</v>
      </c>
      <c r="L51" s="11">
        <f t="shared" si="8"/>
        <v>723394816</v>
      </c>
      <c r="M51" s="11">
        <f t="shared" si="8"/>
        <v>-4410944</v>
      </c>
      <c r="N51" s="11">
        <f t="shared" si="8"/>
        <v>26896</v>
      </c>
      <c r="O51" s="11">
        <f t="shared" si="8"/>
        <v>-164</v>
      </c>
      <c r="P51" s="11">
        <f t="shared" si="7"/>
        <v>0</v>
      </c>
    </row>
    <row r="52" spans="1:16" x14ac:dyDescent="0.25">
      <c r="A52" s="11">
        <f t="shared" si="6"/>
        <v>-3</v>
      </c>
      <c r="B52">
        <v>-47.932152268191864</v>
      </c>
      <c r="E52" s="11">
        <f>A52-'Mastercurve bestimmen'!$B$2</f>
        <v>-163</v>
      </c>
      <c r="F52" s="11">
        <f t="shared" si="4"/>
        <v>-47.932152268191864</v>
      </c>
      <c r="G52" s="11"/>
      <c r="H52" s="11">
        <f t="shared" si="8"/>
        <v>4.9831141431812115E+17</v>
      </c>
      <c r="I52" s="11">
        <f t="shared" si="8"/>
        <v>-3057125241215467</v>
      </c>
      <c r="J52" s="11">
        <f t="shared" si="8"/>
        <v>18755369578009</v>
      </c>
      <c r="K52" s="11">
        <f t="shared" si="8"/>
        <v>-115063617043</v>
      </c>
      <c r="L52" s="11">
        <f t="shared" si="8"/>
        <v>705911761</v>
      </c>
      <c r="M52" s="11">
        <f t="shared" si="8"/>
        <v>-4330747</v>
      </c>
      <c r="N52" s="11">
        <f t="shared" si="8"/>
        <v>26569</v>
      </c>
      <c r="O52" s="11">
        <f t="shared" si="8"/>
        <v>-163</v>
      </c>
      <c r="P52" s="11">
        <f t="shared" si="7"/>
        <v>0</v>
      </c>
    </row>
    <row r="53" spans="1:16" x14ac:dyDescent="0.25">
      <c r="A53" s="11">
        <f t="shared" si="6"/>
        <v>-2</v>
      </c>
      <c r="B53">
        <v>-47.803720234637495</v>
      </c>
      <c r="E53" s="11">
        <f>A53-'Mastercurve bestimmen'!$B$2</f>
        <v>-162</v>
      </c>
      <c r="F53" s="11">
        <f t="shared" si="4"/>
        <v>-47.803720234637495</v>
      </c>
      <c r="G53" s="11"/>
      <c r="H53" s="11">
        <f t="shared" si="8"/>
        <v>4.743731683460713E+17</v>
      </c>
      <c r="I53" s="11">
        <f t="shared" si="8"/>
        <v>-2928229434235008</v>
      </c>
      <c r="J53" s="11">
        <f t="shared" si="8"/>
        <v>18075490334784</v>
      </c>
      <c r="K53" s="11">
        <f t="shared" si="8"/>
        <v>-111577100832</v>
      </c>
      <c r="L53" s="11">
        <f t="shared" si="8"/>
        <v>688747536</v>
      </c>
      <c r="M53" s="11">
        <f t="shared" si="8"/>
        <v>-4251528</v>
      </c>
      <c r="N53" s="11">
        <f t="shared" si="8"/>
        <v>26244</v>
      </c>
      <c r="O53" s="11">
        <f t="shared" si="8"/>
        <v>-162</v>
      </c>
      <c r="P53" s="11">
        <f t="shared" si="7"/>
        <v>0</v>
      </c>
    </row>
    <row r="54" spans="1:16" x14ac:dyDescent="0.25">
      <c r="A54" s="11">
        <f t="shared" si="6"/>
        <v>-1</v>
      </c>
      <c r="B54">
        <v>-47.6713812793909</v>
      </c>
      <c r="E54" s="11">
        <f>A54-'Mastercurve bestimmen'!$B$2</f>
        <v>-161</v>
      </c>
      <c r="F54" s="11">
        <f t="shared" si="4"/>
        <v>-47.6713812793909</v>
      </c>
      <c r="G54" s="11"/>
      <c r="H54" s="11">
        <f t="shared" si="8"/>
        <v>4.5144724625889408E+17</v>
      </c>
      <c r="I54" s="11">
        <f t="shared" si="8"/>
        <v>-2804020163098721</v>
      </c>
      <c r="J54" s="11">
        <f t="shared" si="8"/>
        <v>17416274304961</v>
      </c>
      <c r="K54" s="11">
        <f t="shared" si="8"/>
        <v>-108175616801</v>
      </c>
      <c r="L54" s="11">
        <f t="shared" si="8"/>
        <v>671898241</v>
      </c>
      <c r="M54" s="11">
        <f t="shared" si="8"/>
        <v>-4173281</v>
      </c>
      <c r="N54" s="11">
        <f t="shared" si="8"/>
        <v>25921</v>
      </c>
      <c r="O54" s="11">
        <f t="shared" si="8"/>
        <v>-161</v>
      </c>
      <c r="P54" s="11">
        <f t="shared" si="7"/>
        <v>0</v>
      </c>
    </row>
    <row r="55" spans="1:16" x14ac:dyDescent="0.25">
      <c r="A55" s="11">
        <f t="shared" si="6"/>
        <v>0</v>
      </c>
      <c r="B55">
        <v>-47.535032588723332</v>
      </c>
      <c r="E55" s="11">
        <f>A55-'Mastercurve bestimmen'!$B$2</f>
        <v>-160</v>
      </c>
      <c r="F55" s="11">
        <f t="shared" si="4"/>
        <v>-47.535032588723332</v>
      </c>
      <c r="G55" s="11"/>
      <c r="H55" s="11">
        <f t="shared" si="8"/>
        <v>4.294967296E+17</v>
      </c>
      <c r="I55" s="11">
        <f t="shared" si="8"/>
        <v>-2684354560000000</v>
      </c>
      <c r="J55" s="11">
        <f t="shared" si="8"/>
        <v>16777216000000</v>
      </c>
      <c r="K55" s="11">
        <f t="shared" si="8"/>
        <v>-104857600000</v>
      </c>
      <c r="L55" s="11">
        <f t="shared" si="8"/>
        <v>655360000</v>
      </c>
      <c r="M55" s="11">
        <f t="shared" si="8"/>
        <v>-4096000</v>
      </c>
      <c r="N55" s="11">
        <f t="shared" si="8"/>
        <v>25600</v>
      </c>
      <c r="O55" s="11">
        <f t="shared" si="8"/>
        <v>-160</v>
      </c>
      <c r="P55" s="11">
        <f t="shared" si="7"/>
        <v>0</v>
      </c>
    </row>
    <row r="56" spans="1:16" x14ac:dyDescent="0.25">
      <c r="A56" s="11">
        <f t="shared" si="6"/>
        <v>1</v>
      </c>
      <c r="B56">
        <v>-47.400429464281466</v>
      </c>
      <c r="E56" s="11">
        <f>A56-'Mastercurve bestimmen'!$B$2</f>
        <v>-159</v>
      </c>
      <c r="F56" s="11">
        <f t="shared" si="4"/>
        <v>-47.400429464281466</v>
      </c>
      <c r="G56" s="11"/>
      <c r="H56" s="11">
        <f t="shared" si="8"/>
        <v>4.0848582878893952E+17</v>
      </c>
      <c r="I56" s="11">
        <f t="shared" si="8"/>
        <v>-2569093262823519</v>
      </c>
      <c r="J56" s="11">
        <f t="shared" si="8"/>
        <v>16157819263041</v>
      </c>
      <c r="K56" s="11">
        <f t="shared" si="8"/>
        <v>-101621504799</v>
      </c>
      <c r="L56" s="11">
        <f t="shared" si="8"/>
        <v>639128961</v>
      </c>
      <c r="M56" s="11">
        <f t="shared" si="8"/>
        <v>-4019679</v>
      </c>
      <c r="N56" s="11">
        <f t="shared" si="8"/>
        <v>25281</v>
      </c>
      <c r="O56" s="11">
        <f t="shared" si="8"/>
        <v>-159</v>
      </c>
      <c r="P56" s="11">
        <f t="shared" si="7"/>
        <v>0</v>
      </c>
    </row>
    <row r="57" spans="1:16" x14ac:dyDescent="0.25">
      <c r="A57" s="11">
        <f t="shared" si="6"/>
        <v>2</v>
      </c>
      <c r="B57">
        <v>-47.261804576645979</v>
      </c>
      <c r="E57" s="11">
        <f>A57-'Mastercurve bestimmen'!$B$2</f>
        <v>-158</v>
      </c>
      <c r="F57" s="11">
        <f t="shared" si="4"/>
        <v>-47.261804576645979</v>
      </c>
      <c r="G57" s="11"/>
      <c r="H57" s="11">
        <f t="shared" si="8"/>
        <v>3.8837985533607962E+17</v>
      </c>
      <c r="I57" s="11">
        <f t="shared" si="8"/>
        <v>-2458100350228352</v>
      </c>
      <c r="J57" s="11">
        <f t="shared" si="8"/>
        <v>15557597153344</v>
      </c>
      <c r="K57" s="11">
        <f t="shared" si="8"/>
        <v>-98465804768</v>
      </c>
      <c r="L57" s="11">
        <f t="shared" si="8"/>
        <v>623201296</v>
      </c>
      <c r="M57" s="11">
        <f t="shared" si="8"/>
        <v>-3944312</v>
      </c>
      <c r="N57" s="11">
        <f t="shared" si="8"/>
        <v>24964</v>
      </c>
      <c r="O57" s="11">
        <f t="shared" si="8"/>
        <v>-158</v>
      </c>
      <c r="P57" s="11">
        <f t="shared" si="7"/>
        <v>0</v>
      </c>
    </row>
    <row r="58" spans="1:16" x14ac:dyDescent="0.25">
      <c r="A58" s="11">
        <f t="shared" si="6"/>
        <v>3</v>
      </c>
      <c r="B58">
        <v>-47.119248711773018</v>
      </c>
      <c r="E58" s="11">
        <f>A58-'Mastercurve bestimmen'!$B$2</f>
        <v>-157</v>
      </c>
      <c r="F58" s="11">
        <f t="shared" si="4"/>
        <v>-47.119248711773018</v>
      </c>
      <c r="G58" s="11"/>
      <c r="H58" s="11">
        <f t="shared" si="8"/>
        <v>3.6914519457338643E+17</v>
      </c>
      <c r="I58" s="11">
        <f t="shared" si="8"/>
        <v>-2351243277537493</v>
      </c>
      <c r="J58" s="11">
        <f t="shared" si="8"/>
        <v>14976071831449</v>
      </c>
      <c r="K58" s="11">
        <f t="shared" si="8"/>
        <v>-95388992557</v>
      </c>
      <c r="L58" s="11">
        <f t="shared" si="8"/>
        <v>607573201</v>
      </c>
      <c r="M58" s="11">
        <f t="shared" si="8"/>
        <v>-3869893</v>
      </c>
      <c r="N58" s="11">
        <f t="shared" si="8"/>
        <v>24649</v>
      </c>
      <c r="O58" s="11">
        <f t="shared" si="8"/>
        <v>-157</v>
      </c>
      <c r="P58" s="11">
        <f t="shared" si="7"/>
        <v>0</v>
      </c>
    </row>
    <row r="59" spans="1:16" x14ac:dyDescent="0.25">
      <c r="A59" s="11">
        <f t="shared" si="6"/>
        <v>4</v>
      </c>
      <c r="B59">
        <v>-46.972852655618674</v>
      </c>
      <c r="E59" s="11">
        <f>A59-'Mastercurve bestimmen'!$B$2</f>
        <v>-156</v>
      </c>
      <c r="F59" s="11">
        <f t="shared" si="4"/>
        <v>-46.972852655618674</v>
      </c>
      <c r="G59" s="11"/>
      <c r="H59" s="11">
        <f t="shared" si="8"/>
        <v>3.5074927889488282E+17</v>
      </c>
      <c r="I59" s="11">
        <f t="shared" si="8"/>
        <v>-2248392813428736</v>
      </c>
      <c r="J59" s="11">
        <f t="shared" si="8"/>
        <v>14412774445056</v>
      </c>
      <c r="K59" s="11">
        <f t="shared" si="8"/>
        <v>-92389579776</v>
      </c>
      <c r="L59" s="11">
        <f t="shared" si="8"/>
        <v>592240896</v>
      </c>
      <c r="M59" s="11">
        <f t="shared" si="8"/>
        <v>-3796416</v>
      </c>
      <c r="N59" s="11">
        <f t="shared" si="8"/>
        <v>24336</v>
      </c>
      <c r="O59" s="11">
        <f t="shared" si="8"/>
        <v>-156</v>
      </c>
      <c r="P59" s="11">
        <f t="shared" si="7"/>
        <v>0</v>
      </c>
    </row>
    <row r="60" spans="1:16" x14ac:dyDescent="0.25">
      <c r="A60" s="11">
        <f t="shared" si="6"/>
        <v>5</v>
      </c>
      <c r="B60">
        <v>-46.82270719413907</v>
      </c>
      <c r="E60" s="11">
        <f>A60-'Mastercurve bestimmen'!$B$2</f>
        <v>-155</v>
      </c>
      <c r="F60" s="11">
        <f t="shared" si="4"/>
        <v>-46.82270719413907</v>
      </c>
      <c r="G60" s="11"/>
      <c r="H60" s="11">
        <f t="shared" si="8"/>
        <v>3.3316056150039066E+17</v>
      </c>
      <c r="I60" s="11">
        <f t="shared" si="8"/>
        <v>-2149422977421875</v>
      </c>
      <c r="J60" s="11">
        <f t="shared" si="8"/>
        <v>13867245015625</v>
      </c>
      <c r="K60" s="11">
        <f t="shared" si="8"/>
        <v>-89466096875</v>
      </c>
      <c r="L60" s="11">
        <f t="shared" si="8"/>
        <v>577200625</v>
      </c>
      <c r="M60" s="11">
        <f t="shared" si="8"/>
        <v>-3723875</v>
      </c>
      <c r="N60" s="11">
        <f t="shared" si="8"/>
        <v>24025</v>
      </c>
      <c r="O60" s="11">
        <f t="shared" si="8"/>
        <v>-155</v>
      </c>
      <c r="P60" s="11">
        <f t="shared" si="7"/>
        <v>0</v>
      </c>
    </row>
    <row r="61" spans="1:16" x14ac:dyDescent="0.25">
      <c r="A61" s="11">
        <f t="shared" si="6"/>
        <v>6</v>
      </c>
      <c r="B61">
        <v>-46.668903113290312</v>
      </c>
      <c r="E61" s="11">
        <f>A61-'Mastercurve bestimmen'!$B$2</f>
        <v>-154</v>
      </c>
      <c r="F61" s="11">
        <f t="shared" si="4"/>
        <v>-46.668903113290312</v>
      </c>
      <c r="G61" s="11"/>
      <c r="H61" s="11">
        <f t="shared" si="8"/>
        <v>3.1634849063620634E+17</v>
      </c>
      <c r="I61" s="11">
        <f t="shared" si="8"/>
        <v>-2054210978157184</v>
      </c>
      <c r="J61" s="11">
        <f t="shared" si="8"/>
        <v>13339032325696</v>
      </c>
      <c r="K61" s="11">
        <f t="shared" si="8"/>
        <v>-86617093024</v>
      </c>
      <c r="L61" s="11">
        <f t="shared" si="8"/>
        <v>562448656</v>
      </c>
      <c r="M61" s="11">
        <f t="shared" si="8"/>
        <v>-3652264</v>
      </c>
      <c r="N61" s="11">
        <f t="shared" si="8"/>
        <v>23716</v>
      </c>
      <c r="O61" s="11">
        <f t="shared" si="8"/>
        <v>-154</v>
      </c>
      <c r="P61" s="11">
        <f t="shared" si="7"/>
        <v>0</v>
      </c>
    </row>
    <row r="62" spans="1:16" x14ac:dyDescent="0.25">
      <c r="A62" s="11">
        <f t="shared" si="6"/>
        <v>7</v>
      </c>
      <c r="B62">
        <v>-46.511531199028532</v>
      </c>
      <c r="E62" s="11">
        <f>A62-'Mastercurve bestimmen'!$B$2</f>
        <v>-153</v>
      </c>
      <c r="F62" s="11">
        <f t="shared" si="4"/>
        <v>-46.511531199028532</v>
      </c>
      <c r="G62" s="11"/>
      <c r="H62" s="11">
        <f t="shared" si="8"/>
        <v>3.0028348432640096E+17</v>
      </c>
      <c r="I62" s="11">
        <f t="shared" si="8"/>
        <v>-1962637152460137</v>
      </c>
      <c r="J62" s="11">
        <f t="shared" si="8"/>
        <v>12827693806929</v>
      </c>
      <c r="K62" s="11">
        <f t="shared" si="8"/>
        <v>-83841135993</v>
      </c>
      <c r="L62" s="11">
        <f t="shared" si="8"/>
        <v>547981281</v>
      </c>
      <c r="M62" s="11">
        <f t="shared" si="8"/>
        <v>-3581577</v>
      </c>
      <c r="N62" s="11">
        <f t="shared" si="8"/>
        <v>23409</v>
      </c>
      <c r="O62" s="11">
        <f t="shared" si="8"/>
        <v>-153</v>
      </c>
      <c r="P62" s="11">
        <f t="shared" si="7"/>
        <v>0</v>
      </c>
    </row>
    <row r="63" spans="1:16" x14ac:dyDescent="0.25">
      <c r="A63" s="11">
        <f t="shared" si="6"/>
        <v>8</v>
      </c>
      <c r="B63">
        <v>-46.350682237309833</v>
      </c>
      <c r="E63" s="11">
        <f>A63-'Mastercurve bestimmen'!$B$2</f>
        <v>-152</v>
      </c>
      <c r="F63" s="11">
        <f t="shared" si="4"/>
        <v>-46.350682237309833</v>
      </c>
      <c r="G63" s="11"/>
      <c r="H63" s="11">
        <f t="shared" si="8"/>
        <v>2.8493690558847386E+17</v>
      </c>
      <c r="I63" s="11">
        <f t="shared" si="8"/>
        <v>-1874584905187328</v>
      </c>
      <c r="J63" s="11">
        <f t="shared" si="8"/>
        <v>12332795428864</v>
      </c>
      <c r="K63" s="11">
        <f t="shared" si="8"/>
        <v>-81136812032</v>
      </c>
      <c r="L63" s="11">
        <f t="shared" si="8"/>
        <v>533794816</v>
      </c>
      <c r="M63" s="11">
        <f t="shared" si="8"/>
        <v>-3511808</v>
      </c>
      <c r="N63" s="11">
        <f t="shared" si="8"/>
        <v>23104</v>
      </c>
      <c r="O63" s="11">
        <f t="shared" si="8"/>
        <v>-152</v>
      </c>
      <c r="P63" s="11">
        <f t="shared" si="7"/>
        <v>0</v>
      </c>
    </row>
    <row r="64" spans="1:16" x14ac:dyDescent="0.25">
      <c r="A64" s="11">
        <f t="shared" si="6"/>
        <v>9</v>
      </c>
      <c r="B64">
        <v>-46.186447014090319</v>
      </c>
      <c r="E64" s="11">
        <f>A64-'Mastercurve bestimmen'!$B$2</f>
        <v>-151</v>
      </c>
      <c r="F64" s="11">
        <f t="shared" si="4"/>
        <v>-46.186447014090319</v>
      </c>
      <c r="G64" s="11"/>
      <c r="H64" s="11">
        <f t="shared" si="8"/>
        <v>2.702810381271312E+17</v>
      </c>
      <c r="I64" s="11">
        <f t="shared" si="8"/>
        <v>-1789940649848551</v>
      </c>
      <c r="J64" s="11">
        <f t="shared" si="8"/>
        <v>11853911588401</v>
      </c>
      <c r="K64" s="11">
        <f t="shared" si="8"/>
        <v>-78502725751</v>
      </c>
      <c r="L64" s="11">
        <f t="shared" si="8"/>
        <v>519885601</v>
      </c>
      <c r="M64" s="11">
        <f t="shared" si="8"/>
        <v>-3442951</v>
      </c>
      <c r="N64" s="11">
        <f t="shared" si="8"/>
        <v>22801</v>
      </c>
      <c r="O64" s="11">
        <f t="shared" si="8"/>
        <v>-151</v>
      </c>
      <c r="P64" s="11">
        <f t="shared" si="7"/>
        <v>0</v>
      </c>
    </row>
    <row r="65" spans="1:16" x14ac:dyDescent="0.25">
      <c r="A65" s="11">
        <f t="shared" si="6"/>
        <v>10</v>
      </c>
      <c r="B65">
        <v>-46.018916315326123</v>
      </c>
      <c r="E65" s="11">
        <f>A65-'Mastercurve bestimmen'!$B$2</f>
        <v>-150</v>
      </c>
      <c r="F65" s="11">
        <f t="shared" si="4"/>
        <v>-46.018916315326123</v>
      </c>
      <c r="G65" s="11"/>
      <c r="H65" s="11">
        <f t="shared" si="8"/>
        <v>2.562890625E+17</v>
      </c>
      <c r="I65" s="11">
        <f t="shared" si="8"/>
        <v>-1708593750000000</v>
      </c>
      <c r="J65" s="11">
        <f t="shared" si="8"/>
        <v>11390625000000</v>
      </c>
      <c r="K65" s="11">
        <f t="shared" si="8"/>
        <v>-75937500000</v>
      </c>
      <c r="L65" s="11">
        <f t="shared" si="8"/>
        <v>506250000</v>
      </c>
      <c r="M65" s="11">
        <f t="shared" si="8"/>
        <v>-3375000</v>
      </c>
      <c r="N65" s="11">
        <f t="shared" si="8"/>
        <v>22500</v>
      </c>
      <c r="O65" s="11">
        <f t="shared" si="8"/>
        <v>-150</v>
      </c>
      <c r="P65" s="11">
        <f t="shared" si="7"/>
        <v>0</v>
      </c>
    </row>
    <row r="66" spans="1:16" x14ac:dyDescent="0.25">
      <c r="A66" s="11">
        <f t="shared" si="6"/>
        <v>11</v>
      </c>
      <c r="B66">
        <v>-45.848180926973335</v>
      </c>
      <c r="E66" s="11">
        <f>A66-'Mastercurve bestimmen'!$B$2</f>
        <v>-149</v>
      </c>
      <c r="F66" s="11">
        <f t="shared" si="4"/>
        <v>-45.848180926973335</v>
      </c>
      <c r="G66" s="11"/>
      <c r="H66" s="11">
        <f t="shared" si="8"/>
        <v>2.429350327491288E+17</v>
      </c>
      <c r="I66" s="11">
        <f t="shared" si="8"/>
        <v>-1630436461403549</v>
      </c>
      <c r="J66" s="11">
        <f t="shared" si="8"/>
        <v>10942526586601</v>
      </c>
      <c r="K66" s="11">
        <f t="shared" si="8"/>
        <v>-73439775749</v>
      </c>
      <c r="L66" s="11">
        <f t="shared" si="8"/>
        <v>492884401</v>
      </c>
      <c r="M66" s="11">
        <f t="shared" si="8"/>
        <v>-3307949</v>
      </c>
      <c r="N66" s="11">
        <f t="shared" si="8"/>
        <v>22201</v>
      </c>
      <c r="O66" s="11">
        <f t="shared" si="8"/>
        <v>-149</v>
      </c>
      <c r="P66" s="11">
        <f t="shared" si="7"/>
        <v>0</v>
      </c>
    </row>
    <row r="67" spans="1:16" x14ac:dyDescent="0.25">
      <c r="A67" s="11">
        <f t="shared" si="6"/>
        <v>12</v>
      </c>
      <c r="B67">
        <v>-45.674331634988079</v>
      </c>
      <c r="E67" s="11">
        <f>A67-'Mastercurve bestimmen'!$B$2</f>
        <v>-148</v>
      </c>
      <c r="F67" s="11">
        <f t="shared" si="4"/>
        <v>-45.674331634988079</v>
      </c>
      <c r="G67" s="11"/>
      <c r="H67" s="11">
        <f t="shared" si="8"/>
        <v>2.3019385349216666E+17</v>
      </c>
      <c r="I67" s="11">
        <f t="shared" si="8"/>
        <v>-1555363874947072</v>
      </c>
      <c r="J67" s="11">
        <f t="shared" si="8"/>
        <v>10509215371264</v>
      </c>
      <c r="K67" s="11">
        <f t="shared" si="8"/>
        <v>-71008211968</v>
      </c>
      <c r="L67" s="11">
        <f t="shared" si="8"/>
        <v>479785216</v>
      </c>
      <c r="M67" s="11">
        <f t="shared" si="8"/>
        <v>-3241792</v>
      </c>
      <c r="N67" s="11">
        <f t="shared" si="8"/>
        <v>21904</v>
      </c>
      <c r="O67" s="11">
        <f t="shared" si="8"/>
        <v>-148</v>
      </c>
      <c r="P67" s="11">
        <f t="shared" si="7"/>
        <v>0</v>
      </c>
    </row>
    <row r="68" spans="1:16" x14ac:dyDescent="0.25">
      <c r="A68" s="11">
        <f t="shared" si="6"/>
        <v>13</v>
      </c>
      <c r="B68">
        <v>-45.49745922532648</v>
      </c>
      <c r="E68" s="11">
        <f>A68-'Mastercurve bestimmen'!$B$2</f>
        <v>-147</v>
      </c>
      <c r="F68" s="11">
        <f t="shared" si="4"/>
        <v>-45.49745922532648</v>
      </c>
      <c r="G68" s="11"/>
      <c r="H68" s="11">
        <f t="shared" si="8"/>
        <v>2.1804125746715216E+17</v>
      </c>
      <c r="I68" s="11">
        <f t="shared" si="8"/>
        <v>-1483273860320763</v>
      </c>
      <c r="J68" s="11">
        <f t="shared" si="8"/>
        <v>10090298369529</v>
      </c>
      <c r="K68" s="11">
        <f t="shared" si="8"/>
        <v>-68641485507</v>
      </c>
      <c r="L68" s="11">
        <f t="shared" si="8"/>
        <v>466948881</v>
      </c>
      <c r="M68" s="11">
        <f t="shared" si="8"/>
        <v>-3176523</v>
      </c>
      <c r="N68" s="11">
        <f t="shared" si="8"/>
        <v>21609</v>
      </c>
      <c r="O68" s="11">
        <f t="shared" si="8"/>
        <v>-147</v>
      </c>
      <c r="P68" s="11">
        <f t="shared" si="7"/>
        <v>0</v>
      </c>
    </row>
    <row r="69" spans="1:16" x14ac:dyDescent="0.25">
      <c r="A69" s="11">
        <f t="shared" si="6"/>
        <v>14</v>
      </c>
      <c r="B69">
        <v>-45.317654483944636</v>
      </c>
      <c r="E69" s="11">
        <f>A69-'Mastercurve bestimmen'!$B$2</f>
        <v>-146</v>
      </c>
      <c r="F69" s="11">
        <f t="shared" si="4"/>
        <v>-45.317654483944636</v>
      </c>
      <c r="G69" s="11"/>
      <c r="H69" s="11">
        <f t="shared" si="8"/>
        <v>2.0645378352488474E+17</v>
      </c>
      <c r="I69" s="11">
        <f t="shared" si="8"/>
        <v>-1414067010444416</v>
      </c>
      <c r="J69" s="11">
        <f t="shared" si="8"/>
        <v>9685390482496</v>
      </c>
      <c r="K69" s="11">
        <f t="shared" si="8"/>
        <v>-66338290976</v>
      </c>
      <c r="L69" s="11">
        <f t="shared" si="8"/>
        <v>454371856</v>
      </c>
      <c r="M69" s="11">
        <f t="shared" si="8"/>
        <v>-3112136</v>
      </c>
      <c r="N69" s="11">
        <f t="shared" si="8"/>
        <v>21316</v>
      </c>
      <c r="O69" s="11">
        <f t="shared" si="8"/>
        <v>-146</v>
      </c>
      <c r="P69" s="11">
        <f t="shared" si="7"/>
        <v>0</v>
      </c>
    </row>
    <row r="70" spans="1:16" x14ac:dyDescent="0.25">
      <c r="A70" s="11">
        <f t="shared" si="6"/>
        <v>15</v>
      </c>
      <c r="B70">
        <v>-45.135008196798665</v>
      </c>
      <c r="E70" s="11">
        <f>A70-'Mastercurve bestimmen'!$B$2</f>
        <v>-145</v>
      </c>
      <c r="F70" s="11">
        <f t="shared" si="4"/>
        <v>-45.135008196798665</v>
      </c>
      <c r="G70" s="11"/>
      <c r="H70" s="11">
        <f t="shared" si="8"/>
        <v>1.9540875506289062E+17</v>
      </c>
      <c r="I70" s="11">
        <f t="shared" si="8"/>
        <v>-1347646586640625</v>
      </c>
      <c r="J70" s="11">
        <f t="shared" si="8"/>
        <v>9294114390625</v>
      </c>
      <c r="K70" s="11">
        <f t="shared" si="8"/>
        <v>-64097340625</v>
      </c>
      <c r="L70" s="11">
        <f t="shared" si="8"/>
        <v>442050625</v>
      </c>
      <c r="M70" s="11">
        <f t="shared" si="8"/>
        <v>-3048625</v>
      </c>
      <c r="N70" s="11">
        <f t="shared" si="8"/>
        <v>21025</v>
      </c>
      <c r="O70" s="11">
        <f t="shared" si="8"/>
        <v>-145</v>
      </c>
      <c r="P70" s="11">
        <f t="shared" si="7"/>
        <v>0</v>
      </c>
    </row>
    <row r="71" spans="1:16" x14ac:dyDescent="0.25">
      <c r="A71" s="11">
        <f t="shared" si="6"/>
        <v>16</v>
      </c>
      <c r="B71">
        <v>-44.949611149844685</v>
      </c>
      <c r="E71" s="11">
        <f>A71-'Mastercurve bestimmen'!$B$2</f>
        <v>-144</v>
      </c>
      <c r="F71" s="11">
        <f t="shared" si="4"/>
        <v>-44.949611149844685</v>
      </c>
      <c r="G71" s="11"/>
      <c r="H71" s="11">
        <f t="shared" si="8"/>
        <v>1.8488425889503642E+17</v>
      </c>
      <c r="I71" s="11">
        <f t="shared" si="8"/>
        <v>-1283918464548864</v>
      </c>
      <c r="J71" s="11">
        <f t="shared" si="8"/>
        <v>8916100448256</v>
      </c>
      <c r="K71" s="11">
        <f t="shared" si="8"/>
        <v>-61917364224</v>
      </c>
      <c r="L71" s="11">
        <f t="shared" si="8"/>
        <v>429981696</v>
      </c>
      <c r="M71" s="11">
        <f t="shared" si="8"/>
        <v>-2985984</v>
      </c>
      <c r="N71" s="11">
        <f t="shared" si="8"/>
        <v>20736</v>
      </c>
      <c r="O71" s="11">
        <f t="shared" si="8"/>
        <v>-144</v>
      </c>
      <c r="P71" s="11">
        <f t="shared" si="7"/>
        <v>0</v>
      </c>
    </row>
    <row r="72" spans="1:16" x14ac:dyDescent="0.25">
      <c r="A72" s="11">
        <f t="shared" si="6"/>
        <v>17</v>
      </c>
      <c r="B72">
        <v>-44.761554129038814</v>
      </c>
      <c r="E72" s="11">
        <f>A72-'Mastercurve bestimmen'!$B$2</f>
        <v>-143</v>
      </c>
      <c r="F72" s="11">
        <f t="shared" si="4"/>
        <v>-44.761554129038814</v>
      </c>
      <c r="G72" s="11"/>
      <c r="H72" s="11">
        <f t="shared" si="8"/>
        <v>1.748591245508832E+17</v>
      </c>
      <c r="I72" s="11">
        <f t="shared" si="8"/>
        <v>-1222791080775407</v>
      </c>
      <c r="J72" s="11">
        <f t="shared" si="8"/>
        <v>8550986578849</v>
      </c>
      <c r="K72" s="11">
        <f t="shared" si="8"/>
        <v>-59797108943</v>
      </c>
      <c r="L72" s="11">
        <f t="shared" si="8"/>
        <v>418161601</v>
      </c>
      <c r="M72" s="11">
        <f t="shared" si="8"/>
        <v>-2924207</v>
      </c>
      <c r="N72" s="11">
        <f t="shared" si="8"/>
        <v>20449</v>
      </c>
      <c r="O72" s="11">
        <f t="shared" si="8"/>
        <v>-143</v>
      </c>
      <c r="P72" s="11">
        <f t="shared" si="7"/>
        <v>0</v>
      </c>
    </row>
    <row r="73" spans="1:16" x14ac:dyDescent="0.25">
      <c r="A73" s="11">
        <f t="shared" si="6"/>
        <v>18</v>
      </c>
      <c r="B73">
        <v>-44.570927920337148</v>
      </c>
      <c r="E73" s="11">
        <f>A73-'Mastercurve bestimmen'!$B$2</f>
        <v>-142</v>
      </c>
      <c r="F73" s="11">
        <f t="shared" si="4"/>
        <v>-44.570927920337148</v>
      </c>
      <c r="G73" s="11"/>
      <c r="H73" s="11">
        <f t="shared" si="8"/>
        <v>1.6531290399891482E+17</v>
      </c>
      <c r="I73" s="11">
        <f t="shared" si="8"/>
        <v>-1164175380274048</v>
      </c>
      <c r="J73" s="11">
        <f t="shared" si="8"/>
        <v>8198418170944</v>
      </c>
      <c r="K73" s="11">
        <f t="shared" si="8"/>
        <v>-57735339232</v>
      </c>
      <c r="L73" s="11">
        <f t="shared" si="8"/>
        <v>406586896</v>
      </c>
      <c r="M73" s="11">
        <f t="shared" si="8"/>
        <v>-2863288</v>
      </c>
      <c r="N73" s="11">
        <f t="shared" si="8"/>
        <v>20164</v>
      </c>
      <c r="O73" s="11">
        <f t="shared" si="8"/>
        <v>-142</v>
      </c>
      <c r="P73" s="11">
        <f t="shared" si="7"/>
        <v>0</v>
      </c>
    </row>
    <row r="74" spans="1:16" x14ac:dyDescent="0.25">
      <c r="A74" s="11">
        <f t="shared" si="6"/>
        <v>19</v>
      </c>
      <c r="B74">
        <v>-44.377823309695813</v>
      </c>
      <c r="E74" s="11">
        <f>A74-'Mastercurve bestimmen'!$B$2</f>
        <v>-141</v>
      </c>
      <c r="F74" s="11">
        <f t="shared" si="4"/>
        <v>-44.377823309695813</v>
      </c>
      <c r="G74" s="11"/>
      <c r="H74" s="11">
        <f t="shared" si="8"/>
        <v>1.5622585178781392E+17</v>
      </c>
      <c r="I74" s="11">
        <f t="shared" si="8"/>
        <v>-1107984764452581</v>
      </c>
      <c r="J74" s="11">
        <f t="shared" si="8"/>
        <v>7858047974841</v>
      </c>
      <c r="K74" s="11">
        <f t="shared" si="8"/>
        <v>-55730836701</v>
      </c>
      <c r="L74" s="11">
        <f t="shared" si="8"/>
        <v>395254161</v>
      </c>
      <c r="M74" s="11">
        <f t="shared" si="8"/>
        <v>-2803221</v>
      </c>
      <c r="N74" s="11">
        <f t="shared" si="8"/>
        <v>19881</v>
      </c>
      <c r="O74" s="11">
        <f t="shared" si="8"/>
        <v>-141</v>
      </c>
      <c r="P74" s="11">
        <f t="shared" si="7"/>
        <v>0</v>
      </c>
    </row>
    <row r="75" spans="1:16" x14ac:dyDescent="0.25">
      <c r="A75" s="11">
        <f t="shared" si="6"/>
        <v>20</v>
      </c>
      <c r="B75">
        <v>-44.182331083070927</v>
      </c>
      <c r="E75" s="11">
        <f>A75-'Mastercurve bestimmen'!$B$2</f>
        <v>-140</v>
      </c>
      <c r="F75" s="11">
        <f t="shared" si="4"/>
        <v>-44.182331083070927</v>
      </c>
      <c r="G75" s="11"/>
      <c r="H75" s="11">
        <f t="shared" si="8"/>
        <v>1.475789056E+17</v>
      </c>
      <c r="I75" s="11">
        <f t="shared" si="8"/>
        <v>-1054135040000000</v>
      </c>
      <c r="J75" s="11">
        <f t="shared" si="8"/>
        <v>7529536000000</v>
      </c>
      <c r="K75" s="11">
        <f t="shared" si="8"/>
        <v>-53782400000</v>
      </c>
      <c r="L75" s="11">
        <f t="shared" si="8"/>
        <v>384160000</v>
      </c>
      <c r="M75" s="11">
        <f t="shared" si="8"/>
        <v>-2744000</v>
      </c>
      <c r="N75" s="11">
        <f t="shared" si="8"/>
        <v>19600</v>
      </c>
      <c r="O75" s="11">
        <f t="shared" si="8"/>
        <v>-140</v>
      </c>
      <c r="P75" s="11">
        <f t="shared" si="7"/>
        <v>0</v>
      </c>
    </row>
    <row r="76" spans="1:16" x14ac:dyDescent="0.25">
      <c r="A76" s="11">
        <f t="shared" si="6"/>
        <v>21</v>
      </c>
      <c r="B76">
        <v>-43.984542026418588</v>
      </c>
      <c r="E76" s="11">
        <f>A76-'Mastercurve bestimmen'!$B$2</f>
        <v>-139</v>
      </c>
      <c r="F76" s="11">
        <f t="shared" si="4"/>
        <v>-43.984542026418588</v>
      </c>
      <c r="G76" s="11"/>
      <c r="H76" s="11">
        <f t="shared" si="8"/>
        <v>1.3935366721168368E+17</v>
      </c>
      <c r="I76" s="11">
        <f t="shared" si="8"/>
        <v>-1002544368429379</v>
      </c>
      <c r="J76" s="11">
        <f t="shared" si="8"/>
        <v>7212549413161</v>
      </c>
      <c r="K76" s="11">
        <f t="shared" si="8"/>
        <v>-51888844699</v>
      </c>
      <c r="L76" s="11">
        <f t="shared" si="8"/>
        <v>373301041</v>
      </c>
      <c r="M76" s="11">
        <f t="shared" si="8"/>
        <v>-2685619</v>
      </c>
      <c r="N76" s="11">
        <f t="shared" si="8"/>
        <v>19321</v>
      </c>
      <c r="O76" s="11">
        <f t="shared" si="8"/>
        <v>-139</v>
      </c>
      <c r="P76" s="11">
        <f t="shared" si="7"/>
        <v>0</v>
      </c>
    </row>
    <row r="77" spans="1:16" x14ac:dyDescent="0.25">
      <c r="A77" s="11">
        <f t="shared" si="6"/>
        <v>22</v>
      </c>
      <c r="B77">
        <v>-43.784546925694919</v>
      </c>
      <c r="E77" s="11">
        <f>A77-'Mastercurve bestimmen'!$B$2</f>
        <v>-138</v>
      </c>
      <c r="F77" s="11">
        <f t="shared" si="4"/>
        <v>-43.784546925694919</v>
      </c>
      <c r="G77" s="11"/>
      <c r="H77" s="11">
        <f t="shared" si="8"/>
        <v>1.315323838537321E+17</v>
      </c>
      <c r="I77" s="11">
        <f t="shared" si="8"/>
        <v>-953133216331392</v>
      </c>
      <c r="J77" s="11">
        <f t="shared" si="8"/>
        <v>6906762437184</v>
      </c>
      <c r="K77" s="11">
        <f t="shared" si="8"/>
        <v>-50049003168</v>
      </c>
      <c r="L77" s="11">
        <f t="shared" si="8"/>
        <v>362673936</v>
      </c>
      <c r="M77" s="11">
        <f t="shared" si="8"/>
        <v>-2628072</v>
      </c>
      <c r="N77" s="11">
        <f t="shared" si="8"/>
        <v>19044</v>
      </c>
      <c r="O77" s="11">
        <f t="shared" si="8"/>
        <v>-138</v>
      </c>
      <c r="P77" s="11">
        <f t="shared" si="7"/>
        <v>0</v>
      </c>
    </row>
    <row r="78" spans="1:16" x14ac:dyDescent="0.25">
      <c r="A78" s="11">
        <f t="shared" si="6"/>
        <v>23</v>
      </c>
      <c r="B78">
        <v>-43.582436566856039</v>
      </c>
      <c r="E78" s="11">
        <f>A78-'Mastercurve bestimmen'!$B$2</f>
        <v>-137</v>
      </c>
      <c r="F78" s="11">
        <f t="shared" si="4"/>
        <v>-43.582436566856039</v>
      </c>
      <c r="G78" s="11"/>
      <c r="H78" s="11">
        <f t="shared" si="8"/>
        <v>1.2409792996768032E+17</v>
      </c>
      <c r="I78" s="11">
        <f t="shared" si="8"/>
        <v>-905824306333433</v>
      </c>
      <c r="J78" s="11">
        <f t="shared" si="8"/>
        <v>6611856250609</v>
      </c>
      <c r="K78" s="11">
        <f t="shared" si="8"/>
        <v>-48261724457</v>
      </c>
      <c r="L78" s="11">
        <f t="shared" si="8"/>
        <v>352275361</v>
      </c>
      <c r="M78" s="11">
        <f t="shared" si="8"/>
        <v>-2571353</v>
      </c>
      <c r="N78" s="11">
        <f t="shared" si="8"/>
        <v>18769</v>
      </c>
      <c r="O78" s="11">
        <f t="shared" si="8"/>
        <v>-137</v>
      </c>
      <c r="P78" s="11">
        <f t="shared" si="7"/>
        <v>0</v>
      </c>
    </row>
    <row r="79" spans="1:16" x14ac:dyDescent="0.25">
      <c r="A79" s="11">
        <f t="shared" si="6"/>
        <v>24</v>
      </c>
      <c r="B79">
        <v>-43.378301735858045</v>
      </c>
      <c r="E79" s="11">
        <f>A79-'Mastercurve bestimmen'!$B$2</f>
        <v>-136</v>
      </c>
      <c r="F79" s="11">
        <f t="shared" si="4"/>
        <v>-43.378301735858045</v>
      </c>
      <c r="G79" s="11"/>
      <c r="H79" s="11">
        <f t="shared" si="8"/>
        <v>1.1703378935126426E+17</v>
      </c>
      <c r="I79" s="11">
        <f t="shared" si="8"/>
        <v>-860542568759296</v>
      </c>
      <c r="J79" s="11">
        <f t="shared" si="8"/>
        <v>6327518887936</v>
      </c>
      <c r="K79" s="11">
        <f t="shared" si="8"/>
        <v>-46525874176</v>
      </c>
      <c r="L79" s="11">
        <f t="shared" si="8"/>
        <v>342102016</v>
      </c>
      <c r="M79" s="11">
        <f t="shared" si="8"/>
        <v>-2515456</v>
      </c>
      <c r="N79" s="11">
        <f t="shared" si="8"/>
        <v>18496</v>
      </c>
      <c r="O79" s="11">
        <f t="shared" ref="I79:O116" si="9">IF($H$12&gt;=O$14,$E79^O$14,0)</f>
        <v>-136</v>
      </c>
      <c r="P79" s="11">
        <f t="shared" si="7"/>
        <v>0</v>
      </c>
    </row>
    <row r="80" spans="1:16" x14ac:dyDescent="0.25">
      <c r="A80" s="11">
        <f t="shared" si="6"/>
        <v>25</v>
      </c>
      <c r="B80">
        <v>-43.17223321865707</v>
      </c>
      <c r="E80" s="11">
        <f>A80-'Mastercurve bestimmen'!$B$2</f>
        <v>-135</v>
      </c>
      <c r="F80" s="11">
        <f t="shared" ref="F80:F143" si="10">B80</f>
        <v>-43.17223321865707</v>
      </c>
      <c r="G80" s="11"/>
      <c r="H80" s="11">
        <f t="shared" ref="H80:H143" si="11">IF($H$12&gt;=H$14,$E80^H$14,0)</f>
        <v>1.1032403768789062E+17</v>
      </c>
      <c r="I80" s="11">
        <f t="shared" si="9"/>
        <v>-817215093984375</v>
      </c>
      <c r="J80" s="11">
        <f t="shared" si="9"/>
        <v>6053445140625</v>
      </c>
      <c r="K80" s="11">
        <f t="shared" si="9"/>
        <v>-44840334375</v>
      </c>
      <c r="L80" s="11">
        <f t="shared" si="9"/>
        <v>332150625</v>
      </c>
      <c r="M80" s="11">
        <f t="shared" si="9"/>
        <v>-2460375</v>
      </c>
      <c r="N80" s="11">
        <f t="shared" si="9"/>
        <v>18225</v>
      </c>
      <c r="O80" s="11">
        <f t="shared" si="9"/>
        <v>-135</v>
      </c>
      <c r="P80" s="11">
        <f t="shared" si="7"/>
        <v>0</v>
      </c>
    </row>
    <row r="81" spans="1:16" x14ac:dyDescent="0.25">
      <c r="A81" s="11">
        <f t="shared" ref="A81:A144" si="12">A80+1</f>
        <v>26</v>
      </c>
      <c r="B81">
        <v>-42.964262720090673</v>
      </c>
      <c r="E81" s="11">
        <f>A81-'Mastercurve bestimmen'!$B$2</f>
        <v>-134</v>
      </c>
      <c r="F81" s="11">
        <f t="shared" si="10"/>
        <v>-42.964262720090673</v>
      </c>
      <c r="G81" s="11"/>
      <c r="H81" s="11">
        <f t="shared" si="11"/>
        <v>1.039533254545001E+17</v>
      </c>
      <c r="I81" s="11">
        <f t="shared" si="9"/>
        <v>-775771085481344</v>
      </c>
      <c r="J81" s="11">
        <f t="shared" si="9"/>
        <v>5789336458816</v>
      </c>
      <c r="K81" s="11">
        <f t="shared" si="9"/>
        <v>-43204003424</v>
      </c>
      <c r="L81" s="11">
        <f t="shared" si="9"/>
        <v>322417936</v>
      </c>
      <c r="M81" s="11">
        <f t="shared" si="9"/>
        <v>-2406104</v>
      </c>
      <c r="N81" s="11">
        <f t="shared" si="9"/>
        <v>17956</v>
      </c>
      <c r="O81" s="11">
        <f t="shared" si="9"/>
        <v>-134</v>
      </c>
      <c r="P81" s="11">
        <f t="shared" ref="P81:P144" si="13">P80</f>
        <v>0</v>
      </c>
    </row>
    <row r="82" spans="1:16" x14ac:dyDescent="0.25">
      <c r="A82" s="11">
        <f t="shared" si="12"/>
        <v>27</v>
      </c>
      <c r="B82">
        <v>-42.754185620522236</v>
      </c>
      <c r="E82" s="11">
        <f>A82-'Mastercurve bestimmen'!$B$2</f>
        <v>-133</v>
      </c>
      <c r="F82" s="11">
        <f t="shared" si="10"/>
        <v>-42.754185620522236</v>
      </c>
      <c r="G82" s="11"/>
      <c r="H82" s="11">
        <f t="shared" si="11"/>
        <v>9.790686120231984E+16</v>
      </c>
      <c r="I82" s="11">
        <f t="shared" si="9"/>
        <v>-736141813551277</v>
      </c>
      <c r="J82" s="11">
        <f t="shared" si="9"/>
        <v>5534900853769</v>
      </c>
      <c r="K82" s="11">
        <f t="shared" si="9"/>
        <v>-41615795893</v>
      </c>
      <c r="L82" s="11">
        <f t="shared" si="9"/>
        <v>312900721</v>
      </c>
      <c r="M82" s="11">
        <f t="shared" si="9"/>
        <v>-2352637</v>
      </c>
      <c r="N82" s="11">
        <f t="shared" si="9"/>
        <v>17689</v>
      </c>
      <c r="O82" s="11">
        <f t="shared" si="9"/>
        <v>-133</v>
      </c>
      <c r="P82" s="11">
        <f t="shared" si="13"/>
        <v>0</v>
      </c>
    </row>
    <row r="83" spans="1:16" x14ac:dyDescent="0.25">
      <c r="A83" s="11">
        <f t="shared" si="12"/>
        <v>28</v>
      </c>
      <c r="B83">
        <v>-42.541738219196603</v>
      </c>
      <c r="E83" s="11">
        <f>A83-'Mastercurve bestimmen'!$B$2</f>
        <v>-132</v>
      </c>
      <c r="F83" s="11">
        <f t="shared" si="10"/>
        <v>-42.541738219196603</v>
      </c>
      <c r="G83" s="11"/>
      <c r="H83" s="11">
        <f t="shared" si="11"/>
        <v>9.2170395205042176E+16</v>
      </c>
      <c r="I83" s="11">
        <f t="shared" si="9"/>
        <v>-698260569735168</v>
      </c>
      <c r="J83" s="11">
        <f t="shared" si="9"/>
        <v>5289852801024</v>
      </c>
      <c r="K83" s="11">
        <f t="shared" si="9"/>
        <v>-40074642432</v>
      </c>
      <c r="L83" s="11">
        <f t="shared" si="9"/>
        <v>303595776</v>
      </c>
      <c r="M83" s="11">
        <f t="shared" si="9"/>
        <v>-2299968</v>
      </c>
      <c r="N83" s="11">
        <f t="shared" si="9"/>
        <v>17424</v>
      </c>
      <c r="O83" s="11">
        <f t="shared" si="9"/>
        <v>-132</v>
      </c>
      <c r="P83" s="11">
        <f t="shared" si="13"/>
        <v>0</v>
      </c>
    </row>
    <row r="84" spans="1:16" x14ac:dyDescent="0.25">
      <c r="A84" s="11">
        <f t="shared" si="12"/>
        <v>29</v>
      </c>
      <c r="B84">
        <v>-42.326656815358611</v>
      </c>
      <c r="E84" s="11">
        <f>A84-'Mastercurve bestimmen'!$B$2</f>
        <v>-131</v>
      </c>
      <c r="F84" s="11">
        <f t="shared" si="10"/>
        <v>-42.326656815358611</v>
      </c>
      <c r="G84" s="11"/>
      <c r="H84" s="11">
        <f t="shared" si="11"/>
        <v>8.673020346900624E+16</v>
      </c>
      <c r="I84" s="11">
        <f t="shared" si="9"/>
        <v>-662062621900811</v>
      </c>
      <c r="J84" s="11">
        <f t="shared" si="9"/>
        <v>5053913144281</v>
      </c>
      <c r="K84" s="11">
        <f t="shared" si="9"/>
        <v>-38579489651</v>
      </c>
      <c r="L84" s="11">
        <f t="shared" si="9"/>
        <v>294499921</v>
      </c>
      <c r="M84" s="11">
        <f t="shared" si="9"/>
        <v>-2248091</v>
      </c>
      <c r="N84" s="11">
        <f t="shared" si="9"/>
        <v>17161</v>
      </c>
      <c r="O84" s="11">
        <f t="shared" si="9"/>
        <v>-131</v>
      </c>
      <c r="P84" s="11">
        <f t="shared" si="13"/>
        <v>0</v>
      </c>
    </row>
    <row r="85" spans="1:16" x14ac:dyDescent="0.25">
      <c r="A85" s="11">
        <f t="shared" si="12"/>
        <v>30</v>
      </c>
      <c r="B85">
        <v>-42.108677708253104</v>
      </c>
      <c r="E85" s="11">
        <f>A85-'Mastercurve bestimmen'!$B$2</f>
        <v>-130</v>
      </c>
      <c r="F85" s="11">
        <f t="shared" si="10"/>
        <v>-42.108677708253104</v>
      </c>
      <c r="G85" s="11"/>
      <c r="H85" s="11">
        <f t="shared" si="11"/>
        <v>8.15730721E+16</v>
      </c>
      <c r="I85" s="11">
        <f t="shared" si="9"/>
        <v>-627485170000000</v>
      </c>
      <c r="J85" s="11">
        <f t="shared" si="9"/>
        <v>4826809000000</v>
      </c>
      <c r="K85" s="11">
        <f t="shared" si="9"/>
        <v>-37129300000</v>
      </c>
      <c r="L85" s="11">
        <f t="shared" si="9"/>
        <v>285610000</v>
      </c>
      <c r="M85" s="11">
        <f t="shared" si="9"/>
        <v>-2197000</v>
      </c>
      <c r="N85" s="11">
        <f t="shared" si="9"/>
        <v>16900</v>
      </c>
      <c r="O85" s="11">
        <f t="shared" si="9"/>
        <v>-130</v>
      </c>
      <c r="P85" s="11">
        <f t="shared" si="13"/>
        <v>0</v>
      </c>
    </row>
    <row r="86" spans="1:16" x14ac:dyDescent="0.25">
      <c r="A86" s="11">
        <f t="shared" si="12"/>
        <v>31</v>
      </c>
      <c r="B86">
        <v>-41.887537197124921</v>
      </c>
      <c r="E86" s="11">
        <f>A86-'Mastercurve bestimmen'!$B$2</f>
        <v>-129</v>
      </c>
      <c r="F86" s="11">
        <f t="shared" si="10"/>
        <v>-41.887537197124921</v>
      </c>
      <c r="G86" s="11"/>
      <c r="H86" s="11">
        <f t="shared" si="11"/>
        <v>7.668628202134016E+16</v>
      </c>
      <c r="I86" s="11">
        <f t="shared" si="9"/>
        <v>-594467302491009</v>
      </c>
      <c r="J86" s="11">
        <f t="shared" si="9"/>
        <v>4608273662721</v>
      </c>
      <c r="K86" s="11">
        <f t="shared" si="9"/>
        <v>-35723051649</v>
      </c>
      <c r="L86" s="11">
        <f t="shared" si="9"/>
        <v>276922881</v>
      </c>
      <c r="M86" s="11">
        <f t="shared" si="9"/>
        <v>-2146689</v>
      </c>
      <c r="N86" s="11">
        <f t="shared" si="9"/>
        <v>16641</v>
      </c>
      <c r="O86" s="11">
        <f t="shared" si="9"/>
        <v>-129</v>
      </c>
      <c r="P86" s="11">
        <f t="shared" si="13"/>
        <v>0</v>
      </c>
    </row>
    <row r="87" spans="1:16" x14ac:dyDescent="0.25">
      <c r="A87" s="11">
        <f t="shared" si="12"/>
        <v>32</v>
      </c>
      <c r="B87">
        <v>-41.662971581218898</v>
      </c>
      <c r="E87" s="11">
        <f>A87-'Mastercurve bestimmen'!$B$2</f>
        <v>-128</v>
      </c>
      <c r="F87" s="11">
        <f t="shared" si="10"/>
        <v>-41.662971581218898</v>
      </c>
      <c r="G87" s="11"/>
      <c r="H87" s="11">
        <f t="shared" si="11"/>
        <v>7.2057594037927936E+16</v>
      </c>
      <c r="I87" s="11">
        <f t="shared" si="9"/>
        <v>-562949953421312</v>
      </c>
      <c r="J87" s="11">
        <f t="shared" si="9"/>
        <v>4398046511104</v>
      </c>
      <c r="K87" s="11">
        <f t="shared" si="9"/>
        <v>-34359738368</v>
      </c>
      <c r="L87" s="11">
        <f t="shared" si="9"/>
        <v>268435456</v>
      </c>
      <c r="M87" s="11">
        <f t="shared" si="9"/>
        <v>-2097152</v>
      </c>
      <c r="N87" s="11">
        <f t="shared" si="9"/>
        <v>16384</v>
      </c>
      <c r="O87" s="11">
        <f t="shared" si="9"/>
        <v>-128</v>
      </c>
      <c r="P87" s="11">
        <f t="shared" si="13"/>
        <v>0</v>
      </c>
    </row>
    <row r="88" spans="1:16" x14ac:dyDescent="0.25">
      <c r="A88" s="11">
        <f t="shared" si="12"/>
        <v>33</v>
      </c>
      <c r="B88">
        <v>-41.434717159779879</v>
      </c>
      <c r="E88" s="11">
        <f>A88-'Mastercurve bestimmen'!$B$2</f>
        <v>-127</v>
      </c>
      <c r="F88" s="11">
        <f t="shared" si="10"/>
        <v>-41.434717159779879</v>
      </c>
      <c r="G88" s="11"/>
      <c r="H88" s="11">
        <f t="shared" si="11"/>
        <v>6.767523424101888E+16</v>
      </c>
      <c r="I88" s="11">
        <f t="shared" si="9"/>
        <v>-532875860165503</v>
      </c>
      <c r="J88" s="11">
        <f t="shared" si="9"/>
        <v>4195872914689</v>
      </c>
      <c r="K88" s="11">
        <f t="shared" si="9"/>
        <v>-33038369407</v>
      </c>
      <c r="L88" s="11">
        <f t="shared" si="9"/>
        <v>260144641</v>
      </c>
      <c r="M88" s="11">
        <f t="shared" si="9"/>
        <v>-2048383</v>
      </c>
      <c r="N88" s="11">
        <f t="shared" si="9"/>
        <v>16129</v>
      </c>
      <c r="O88" s="11">
        <f t="shared" si="9"/>
        <v>-127</v>
      </c>
      <c r="P88" s="11">
        <f t="shared" si="13"/>
        <v>0</v>
      </c>
    </row>
    <row r="89" spans="1:16" x14ac:dyDescent="0.25">
      <c r="A89" s="11">
        <f t="shared" si="12"/>
        <v>34</v>
      </c>
      <c r="B89">
        <v>-41.202510232052703</v>
      </c>
      <c r="E89" s="11">
        <f>A89-'Mastercurve bestimmen'!$B$2</f>
        <v>-126</v>
      </c>
      <c r="F89" s="11">
        <f t="shared" si="10"/>
        <v>-41.202510232052703</v>
      </c>
      <c r="G89" s="11"/>
      <c r="H89" s="11">
        <f t="shared" si="11"/>
        <v>6.3527879748485376E+16</v>
      </c>
      <c r="I89" s="11">
        <f t="shared" si="9"/>
        <v>-504189521813376</v>
      </c>
      <c r="J89" s="11">
        <f t="shared" si="9"/>
        <v>4001504141376</v>
      </c>
      <c r="K89" s="11">
        <f t="shared" si="9"/>
        <v>-31757969376</v>
      </c>
      <c r="L89" s="11">
        <f t="shared" si="9"/>
        <v>252047376</v>
      </c>
      <c r="M89" s="11">
        <f t="shared" si="9"/>
        <v>-2000376</v>
      </c>
      <c r="N89" s="11">
        <f t="shared" si="9"/>
        <v>15876</v>
      </c>
      <c r="O89" s="11">
        <f t="shared" si="9"/>
        <v>-126</v>
      </c>
      <c r="P89" s="11">
        <f t="shared" si="13"/>
        <v>0</v>
      </c>
    </row>
    <row r="90" spans="1:16" x14ac:dyDescent="0.25">
      <c r="A90" s="11">
        <f t="shared" si="12"/>
        <v>35</v>
      </c>
      <c r="B90">
        <v>-40.966087097282212</v>
      </c>
      <c r="E90" s="11">
        <f>A90-'Mastercurve bestimmen'!$B$2</f>
        <v>-125</v>
      </c>
      <c r="F90" s="11">
        <f t="shared" si="10"/>
        <v>-40.966087097282212</v>
      </c>
      <c r="G90" s="11"/>
      <c r="H90" s="11">
        <f t="shared" si="11"/>
        <v>5.9604644775390624E+16</v>
      </c>
      <c r="I90" s="11">
        <f t="shared" si="9"/>
        <v>-476837158203125</v>
      </c>
      <c r="J90" s="11">
        <f t="shared" si="9"/>
        <v>3814697265625</v>
      </c>
      <c r="K90" s="11">
        <f t="shared" si="9"/>
        <v>-30517578125</v>
      </c>
      <c r="L90" s="11">
        <f t="shared" si="9"/>
        <v>244140625</v>
      </c>
      <c r="M90" s="11">
        <f t="shared" si="9"/>
        <v>-1953125</v>
      </c>
      <c r="N90" s="11">
        <f t="shared" si="9"/>
        <v>15625</v>
      </c>
      <c r="O90" s="11">
        <f t="shared" si="9"/>
        <v>-125</v>
      </c>
      <c r="P90" s="11">
        <f t="shared" si="13"/>
        <v>0</v>
      </c>
    </row>
    <row r="91" spans="1:16" x14ac:dyDescent="0.25">
      <c r="A91" s="11">
        <f t="shared" si="12"/>
        <v>36</v>
      </c>
      <c r="B91">
        <v>-40.725184054713246</v>
      </c>
      <c r="E91" s="11">
        <f>A91-'Mastercurve bestimmen'!$B$2</f>
        <v>-124</v>
      </c>
      <c r="F91" s="11">
        <f t="shared" si="10"/>
        <v>-40.725184054713246</v>
      </c>
      <c r="G91" s="11"/>
      <c r="H91" s="11">
        <f t="shared" si="11"/>
        <v>5.5895067029733376E+16</v>
      </c>
      <c r="I91" s="11">
        <f t="shared" si="9"/>
        <v>-450766669594624</v>
      </c>
      <c r="J91" s="11">
        <f t="shared" si="9"/>
        <v>3635215077376</v>
      </c>
      <c r="K91" s="11">
        <f t="shared" si="9"/>
        <v>-29316250624</v>
      </c>
      <c r="L91" s="11">
        <f t="shared" si="9"/>
        <v>236421376</v>
      </c>
      <c r="M91" s="11">
        <f t="shared" si="9"/>
        <v>-1906624</v>
      </c>
      <c r="N91" s="11">
        <f t="shared" si="9"/>
        <v>15376</v>
      </c>
      <c r="O91" s="11">
        <f t="shared" si="9"/>
        <v>-124</v>
      </c>
      <c r="P91" s="11">
        <f t="shared" si="13"/>
        <v>0</v>
      </c>
    </row>
    <row r="92" spans="1:16" x14ac:dyDescent="0.25">
      <c r="A92" s="11">
        <f t="shared" si="12"/>
        <v>37</v>
      </c>
      <c r="B92">
        <v>-40.479537403590641</v>
      </c>
      <c r="E92" s="11">
        <f>A92-'Mastercurve bestimmen'!$B$2</f>
        <v>-123</v>
      </c>
      <c r="F92" s="11">
        <f t="shared" si="10"/>
        <v>-40.479537403590641</v>
      </c>
      <c r="G92" s="11"/>
      <c r="H92" s="11">
        <f t="shared" si="11"/>
        <v>5.238909442826288E+16</v>
      </c>
      <c r="I92" s="11">
        <f t="shared" si="9"/>
        <v>-425927596977747</v>
      </c>
      <c r="J92" s="11">
        <f t="shared" si="9"/>
        <v>3462825991689</v>
      </c>
      <c r="K92" s="11">
        <f t="shared" si="9"/>
        <v>-28153056843</v>
      </c>
      <c r="L92" s="11">
        <f t="shared" si="9"/>
        <v>228886641</v>
      </c>
      <c r="M92" s="11">
        <f t="shared" si="9"/>
        <v>-1860867</v>
      </c>
      <c r="N92" s="11">
        <f t="shared" si="9"/>
        <v>15129</v>
      </c>
      <c r="O92" s="11">
        <f t="shared" si="9"/>
        <v>-123</v>
      </c>
      <c r="P92" s="11">
        <f t="shared" si="13"/>
        <v>0</v>
      </c>
    </row>
    <row r="93" spans="1:16" x14ac:dyDescent="0.25">
      <c r="A93" s="11">
        <f t="shared" si="12"/>
        <v>38</v>
      </c>
      <c r="B93">
        <v>-40.228883443159233</v>
      </c>
      <c r="E93" s="11">
        <f>A93-'Mastercurve bestimmen'!$B$2</f>
        <v>-122</v>
      </c>
      <c r="F93" s="11">
        <f t="shared" si="10"/>
        <v>-40.228883443159233</v>
      </c>
      <c r="G93" s="11"/>
      <c r="H93" s="11">
        <f t="shared" si="11"/>
        <v>4.9077072127303936E+16</v>
      </c>
      <c r="I93" s="11">
        <f t="shared" si="9"/>
        <v>-402271083010688</v>
      </c>
      <c r="J93" s="11">
        <f t="shared" si="9"/>
        <v>3297303959104</v>
      </c>
      <c r="K93" s="11">
        <f t="shared" si="9"/>
        <v>-27027081632</v>
      </c>
      <c r="L93" s="11">
        <f t="shared" si="9"/>
        <v>221533456</v>
      </c>
      <c r="M93" s="11">
        <f t="shared" si="9"/>
        <v>-1815848</v>
      </c>
      <c r="N93" s="11">
        <f t="shared" si="9"/>
        <v>14884</v>
      </c>
      <c r="O93" s="11">
        <f t="shared" si="9"/>
        <v>-122</v>
      </c>
      <c r="P93" s="11">
        <f t="shared" si="13"/>
        <v>0</v>
      </c>
    </row>
    <row r="94" spans="1:16" x14ac:dyDescent="0.25">
      <c r="A94" s="11">
        <f t="shared" si="12"/>
        <v>39</v>
      </c>
      <c r="B94">
        <v>-39.972958472663876</v>
      </c>
      <c r="E94" s="11">
        <f>A94-'Mastercurve bestimmen'!$B$2</f>
        <v>-121</v>
      </c>
      <c r="F94" s="11">
        <f t="shared" si="10"/>
        <v>-39.972958472663876</v>
      </c>
      <c r="G94" s="11"/>
      <c r="H94" s="11">
        <f t="shared" si="11"/>
        <v>4.594972986357216E+16</v>
      </c>
      <c r="I94" s="11">
        <f t="shared" si="9"/>
        <v>-379749833583241</v>
      </c>
      <c r="J94" s="11">
        <f t="shared" si="9"/>
        <v>3138428376721</v>
      </c>
      <c r="K94" s="11">
        <f t="shared" si="9"/>
        <v>-25937424601</v>
      </c>
      <c r="L94" s="11">
        <f t="shared" si="9"/>
        <v>214358881</v>
      </c>
      <c r="M94" s="11">
        <f t="shared" si="9"/>
        <v>-1771561</v>
      </c>
      <c r="N94" s="11">
        <f t="shared" si="9"/>
        <v>14641</v>
      </c>
      <c r="O94" s="11">
        <f t="shared" si="9"/>
        <v>-121</v>
      </c>
      <c r="P94" s="11">
        <f t="shared" si="13"/>
        <v>0</v>
      </c>
    </row>
    <row r="95" spans="1:16" x14ac:dyDescent="0.25">
      <c r="A95" s="11">
        <f t="shared" si="12"/>
        <v>40</v>
      </c>
      <c r="B95">
        <v>-39.711498791349399</v>
      </c>
      <c r="E95" s="11">
        <f>A95-'Mastercurve bestimmen'!$B$2</f>
        <v>-120</v>
      </c>
      <c r="F95" s="11">
        <f t="shared" si="10"/>
        <v>-39.711498791349399</v>
      </c>
      <c r="G95" s="11"/>
      <c r="H95" s="11">
        <f t="shared" si="11"/>
        <v>4.29981696E+16</v>
      </c>
      <c r="I95" s="11">
        <f t="shared" si="9"/>
        <v>-358318080000000</v>
      </c>
      <c r="J95" s="11">
        <f t="shared" si="9"/>
        <v>2985984000000</v>
      </c>
      <c r="K95" s="11">
        <f t="shared" si="9"/>
        <v>-24883200000</v>
      </c>
      <c r="L95" s="11">
        <f t="shared" si="9"/>
        <v>207360000</v>
      </c>
      <c r="M95" s="11">
        <f t="shared" si="9"/>
        <v>-1728000</v>
      </c>
      <c r="N95" s="11">
        <f t="shared" si="9"/>
        <v>14400</v>
      </c>
      <c r="O95" s="11">
        <f t="shared" si="9"/>
        <v>-120</v>
      </c>
      <c r="P95" s="11">
        <f t="shared" si="13"/>
        <v>0</v>
      </c>
    </row>
    <row r="96" spans="1:16" x14ac:dyDescent="0.25">
      <c r="A96" s="11">
        <f t="shared" si="12"/>
        <v>41</v>
      </c>
      <c r="B96">
        <v>-39.444240698460639</v>
      </c>
      <c r="E96" s="11">
        <f>A96-'Mastercurve bestimmen'!$B$2</f>
        <v>-119</v>
      </c>
      <c r="F96" s="11">
        <f t="shared" si="10"/>
        <v>-39.444240698460639</v>
      </c>
      <c r="G96" s="11"/>
      <c r="H96" s="11">
        <f t="shared" si="11"/>
        <v>4.021385347163424E+16</v>
      </c>
      <c r="I96" s="11">
        <f t="shared" si="9"/>
        <v>-337931541778439</v>
      </c>
      <c r="J96" s="11">
        <f t="shared" si="9"/>
        <v>2839760855281</v>
      </c>
      <c r="K96" s="11">
        <f t="shared" si="9"/>
        <v>-23863536599</v>
      </c>
      <c r="L96" s="11">
        <f t="shared" si="9"/>
        <v>200533921</v>
      </c>
      <c r="M96" s="11">
        <f t="shared" si="9"/>
        <v>-1685159</v>
      </c>
      <c r="N96" s="11">
        <f t="shared" si="9"/>
        <v>14161</v>
      </c>
      <c r="O96" s="11">
        <f t="shared" si="9"/>
        <v>-119</v>
      </c>
      <c r="P96" s="11">
        <f t="shared" si="13"/>
        <v>0</v>
      </c>
    </row>
    <row r="97" spans="1:16" x14ac:dyDescent="0.25">
      <c r="A97" s="11">
        <f t="shared" si="12"/>
        <v>42</v>
      </c>
      <c r="B97">
        <v>-39.170920493242448</v>
      </c>
      <c r="E97" s="11">
        <f>A97-'Mastercurve bestimmen'!$B$2</f>
        <v>-118</v>
      </c>
      <c r="F97" s="11">
        <f t="shared" si="10"/>
        <v>-39.170920493242448</v>
      </c>
      <c r="G97" s="11"/>
      <c r="H97" s="11">
        <f t="shared" si="11"/>
        <v>3.7588592026706176E+16</v>
      </c>
      <c r="I97" s="11">
        <f t="shared" si="9"/>
        <v>-318547390056832</v>
      </c>
      <c r="J97" s="11">
        <f t="shared" si="9"/>
        <v>2699554153024</v>
      </c>
      <c r="K97" s="11">
        <f t="shared" si="9"/>
        <v>-22877577568</v>
      </c>
      <c r="L97" s="11">
        <f t="shared" si="9"/>
        <v>193877776</v>
      </c>
      <c r="M97" s="11">
        <f t="shared" si="9"/>
        <v>-1643032</v>
      </c>
      <c r="N97" s="11">
        <f t="shared" si="9"/>
        <v>13924</v>
      </c>
      <c r="O97" s="11">
        <f t="shared" si="9"/>
        <v>-118</v>
      </c>
      <c r="P97" s="11">
        <f t="shared" si="13"/>
        <v>0</v>
      </c>
    </row>
    <row r="98" spans="1:16" x14ac:dyDescent="0.25">
      <c r="A98" s="11">
        <f t="shared" si="12"/>
        <v>43</v>
      </c>
      <c r="B98">
        <v>-38.891274474939657</v>
      </c>
      <c r="E98" s="11">
        <f>A98-'Mastercurve bestimmen'!$B$2</f>
        <v>-117</v>
      </c>
      <c r="F98" s="11">
        <f t="shared" si="10"/>
        <v>-38.891274474939657</v>
      </c>
      <c r="G98" s="11"/>
      <c r="H98" s="11">
        <f t="shared" si="11"/>
        <v>3.511453275801584E+16</v>
      </c>
      <c r="I98" s="11">
        <f t="shared" si="9"/>
        <v>-300124211606973</v>
      </c>
      <c r="J98" s="11">
        <f t="shared" si="9"/>
        <v>2565164201769</v>
      </c>
      <c r="K98" s="11">
        <f t="shared" si="9"/>
        <v>-21924480357</v>
      </c>
      <c r="L98" s="11">
        <f t="shared" si="9"/>
        <v>187388721</v>
      </c>
      <c r="M98" s="11">
        <f t="shared" si="9"/>
        <v>-1601613</v>
      </c>
      <c r="N98" s="11">
        <f t="shared" si="9"/>
        <v>13689</v>
      </c>
      <c r="O98" s="11">
        <f t="shared" si="9"/>
        <v>-117</v>
      </c>
      <c r="P98" s="11">
        <f t="shared" si="13"/>
        <v>0</v>
      </c>
    </row>
    <row r="99" spans="1:16" x14ac:dyDescent="0.25">
      <c r="A99" s="11">
        <f t="shared" si="12"/>
        <v>44</v>
      </c>
      <c r="B99">
        <v>-38.605038942797108</v>
      </c>
      <c r="E99" s="11">
        <f>A99-'Mastercurve bestimmen'!$B$2</f>
        <v>-116</v>
      </c>
      <c r="F99" s="11">
        <f t="shared" si="10"/>
        <v>-38.605038942797108</v>
      </c>
      <c r="G99" s="11"/>
      <c r="H99" s="11">
        <f t="shared" si="11"/>
        <v>3.2784148919812096E+16</v>
      </c>
      <c r="I99" s="11">
        <f t="shared" si="9"/>
        <v>-282621973446656</v>
      </c>
      <c r="J99" s="11">
        <f t="shared" si="9"/>
        <v>2436396322816</v>
      </c>
      <c r="K99" s="11">
        <f t="shared" si="9"/>
        <v>-21003416576</v>
      </c>
      <c r="L99" s="11">
        <f t="shared" si="9"/>
        <v>181063936</v>
      </c>
      <c r="M99" s="11">
        <f t="shared" si="9"/>
        <v>-1560896</v>
      </c>
      <c r="N99" s="11">
        <f t="shared" si="9"/>
        <v>13456</v>
      </c>
      <c r="O99" s="11">
        <f t="shared" si="9"/>
        <v>-116</v>
      </c>
      <c r="P99" s="11">
        <f t="shared" si="13"/>
        <v>0</v>
      </c>
    </row>
    <row r="100" spans="1:16" x14ac:dyDescent="0.25">
      <c r="A100" s="11">
        <f t="shared" si="12"/>
        <v>45</v>
      </c>
      <c r="B100">
        <v>-38.311950196059641</v>
      </c>
      <c r="E100" s="11">
        <f>A100-'Mastercurve bestimmen'!$B$2</f>
        <v>-115</v>
      </c>
      <c r="F100" s="11">
        <f t="shared" si="10"/>
        <v>-38.311950196059641</v>
      </c>
      <c r="G100" s="11"/>
      <c r="H100" s="11">
        <f t="shared" si="11"/>
        <v>3.0590228625390624E+16</v>
      </c>
      <c r="I100" s="11">
        <f t="shared" si="9"/>
        <v>-266001988046875</v>
      </c>
      <c r="J100" s="11">
        <f t="shared" si="9"/>
        <v>2313060765625</v>
      </c>
      <c r="K100" s="11">
        <f t="shared" si="9"/>
        <v>-20113571875</v>
      </c>
      <c r="L100" s="11">
        <f t="shared" si="9"/>
        <v>174900625</v>
      </c>
      <c r="M100" s="11">
        <f t="shared" si="9"/>
        <v>-1520875</v>
      </c>
      <c r="N100" s="11">
        <f t="shared" si="9"/>
        <v>13225</v>
      </c>
      <c r="O100" s="11">
        <f t="shared" si="9"/>
        <v>-115</v>
      </c>
      <c r="P100" s="11">
        <f t="shared" si="13"/>
        <v>0</v>
      </c>
    </row>
    <row r="101" spans="1:16" x14ac:dyDescent="0.25">
      <c r="A101" s="11">
        <f t="shared" si="12"/>
        <v>46</v>
      </c>
      <c r="B101">
        <v>-38.011744533972099</v>
      </c>
      <c r="E101" s="11">
        <f>A101-'Mastercurve bestimmen'!$B$2</f>
        <v>-114</v>
      </c>
      <c r="F101" s="11">
        <f t="shared" si="10"/>
        <v>-38.011744533972099</v>
      </c>
      <c r="G101" s="11"/>
      <c r="H101" s="11">
        <f t="shared" si="11"/>
        <v>2.8525864220672256E+16</v>
      </c>
      <c r="I101" s="11">
        <f t="shared" si="9"/>
        <v>-250226879128704</v>
      </c>
      <c r="J101" s="11">
        <f t="shared" si="9"/>
        <v>2194972623936</v>
      </c>
      <c r="K101" s="11">
        <f t="shared" si="9"/>
        <v>-19254145824</v>
      </c>
      <c r="L101" s="11">
        <f t="shared" si="9"/>
        <v>168896016</v>
      </c>
      <c r="M101" s="11">
        <f t="shared" si="9"/>
        <v>-1481544</v>
      </c>
      <c r="N101" s="11">
        <f t="shared" si="9"/>
        <v>12996</v>
      </c>
      <c r="O101" s="11">
        <f t="shared" si="9"/>
        <v>-114</v>
      </c>
      <c r="P101" s="11">
        <f t="shared" si="13"/>
        <v>0</v>
      </c>
    </row>
    <row r="102" spans="1:16" x14ac:dyDescent="0.25">
      <c r="A102" s="11">
        <f t="shared" si="12"/>
        <v>47</v>
      </c>
      <c r="B102">
        <v>-37.704158255779312</v>
      </c>
      <c r="E102" s="11">
        <f>A102-'Mastercurve bestimmen'!$B$2</f>
        <v>-113</v>
      </c>
      <c r="F102" s="11">
        <f t="shared" si="10"/>
        <v>-37.704158255779312</v>
      </c>
      <c r="G102" s="11"/>
      <c r="H102" s="11">
        <f t="shared" si="11"/>
        <v>2.658444192906432E+16</v>
      </c>
      <c r="I102" s="11">
        <f t="shared" si="9"/>
        <v>-235260548044817</v>
      </c>
      <c r="J102" s="11">
        <f t="shared" si="9"/>
        <v>2081951752609</v>
      </c>
      <c r="K102" s="11">
        <f t="shared" si="9"/>
        <v>-18424351793</v>
      </c>
      <c r="L102" s="11">
        <f t="shared" si="9"/>
        <v>163047361</v>
      </c>
      <c r="M102" s="11">
        <f t="shared" si="9"/>
        <v>-1442897</v>
      </c>
      <c r="N102" s="11">
        <f t="shared" si="9"/>
        <v>12769</v>
      </c>
      <c r="O102" s="11">
        <f t="shared" si="9"/>
        <v>-113</v>
      </c>
      <c r="P102" s="11">
        <f t="shared" si="13"/>
        <v>0</v>
      </c>
    </row>
    <row r="103" spans="1:16" x14ac:dyDescent="0.25">
      <c r="A103" s="11">
        <f t="shared" si="12"/>
        <v>48</v>
      </c>
      <c r="B103">
        <v>-37.388927660726139</v>
      </c>
      <c r="E103" s="11">
        <f>A103-'Mastercurve bestimmen'!$B$2</f>
        <v>-112</v>
      </c>
      <c r="F103" s="11">
        <f t="shared" si="10"/>
        <v>-37.388927660726139</v>
      </c>
      <c r="G103" s="11"/>
      <c r="H103" s="11">
        <f t="shared" si="11"/>
        <v>2.4759631762948096E+16</v>
      </c>
      <c r="I103" s="11">
        <f t="shared" si="9"/>
        <v>-221068140740608</v>
      </c>
      <c r="J103" s="11">
        <f t="shared" si="9"/>
        <v>1973822685184</v>
      </c>
      <c r="K103" s="11">
        <f t="shared" si="9"/>
        <v>-17623416832</v>
      </c>
      <c r="L103" s="11">
        <f t="shared" si="9"/>
        <v>157351936</v>
      </c>
      <c r="M103" s="11">
        <f t="shared" si="9"/>
        <v>-1404928</v>
      </c>
      <c r="N103" s="11">
        <f t="shared" si="9"/>
        <v>12544</v>
      </c>
      <c r="O103" s="11">
        <f t="shared" si="9"/>
        <v>-112</v>
      </c>
      <c r="P103" s="11">
        <f t="shared" si="13"/>
        <v>0</v>
      </c>
    </row>
    <row r="104" spans="1:16" x14ac:dyDescent="0.25">
      <c r="A104" s="11">
        <f t="shared" si="12"/>
        <v>49</v>
      </c>
      <c r="B104">
        <v>-37.065789048057404</v>
      </c>
      <c r="E104" s="11">
        <f>A104-'Mastercurve bestimmen'!$B$2</f>
        <v>-111</v>
      </c>
      <c r="F104" s="11">
        <f t="shared" si="10"/>
        <v>-37.065789048057404</v>
      </c>
      <c r="G104" s="11"/>
      <c r="H104" s="11">
        <f t="shared" si="11"/>
        <v>2.304537769717568E+16</v>
      </c>
      <c r="I104" s="11">
        <f t="shared" si="9"/>
        <v>-207616015289871</v>
      </c>
      <c r="J104" s="11">
        <f t="shared" si="9"/>
        <v>1870414552161</v>
      </c>
      <c r="K104" s="11">
        <f t="shared" si="9"/>
        <v>-16850581551</v>
      </c>
      <c r="L104" s="11">
        <f t="shared" si="9"/>
        <v>151807041</v>
      </c>
      <c r="M104" s="11">
        <f t="shared" si="9"/>
        <v>-1367631</v>
      </c>
      <c r="N104" s="11">
        <f t="shared" si="9"/>
        <v>12321</v>
      </c>
      <c r="O104" s="11">
        <f t="shared" si="9"/>
        <v>-111</v>
      </c>
      <c r="P104" s="11">
        <f t="shared" si="13"/>
        <v>0</v>
      </c>
    </row>
    <row r="105" spans="1:16" x14ac:dyDescent="0.25">
      <c r="A105" s="11">
        <f t="shared" si="12"/>
        <v>50</v>
      </c>
      <c r="B105">
        <v>-36.734478717017943</v>
      </c>
      <c r="E105" s="11">
        <f>A105-'Mastercurve bestimmen'!$B$2</f>
        <v>-110</v>
      </c>
      <c r="F105" s="11">
        <f t="shared" si="10"/>
        <v>-36.734478717017943</v>
      </c>
      <c r="G105" s="11"/>
      <c r="H105" s="11">
        <f t="shared" si="11"/>
        <v>2.14358881E+16</v>
      </c>
      <c r="I105" s="11">
        <f t="shared" si="9"/>
        <v>-194871710000000</v>
      </c>
      <c r="J105" s="11">
        <f t="shared" si="9"/>
        <v>1771561000000</v>
      </c>
      <c r="K105" s="11">
        <f t="shared" si="9"/>
        <v>-16105100000</v>
      </c>
      <c r="L105" s="11">
        <f t="shared" si="9"/>
        <v>146410000</v>
      </c>
      <c r="M105" s="11">
        <f t="shared" si="9"/>
        <v>-1331000</v>
      </c>
      <c r="N105" s="11">
        <f t="shared" si="9"/>
        <v>12100</v>
      </c>
      <c r="O105" s="11">
        <f t="shared" si="9"/>
        <v>-110</v>
      </c>
      <c r="P105" s="11">
        <f t="shared" si="13"/>
        <v>0</v>
      </c>
    </row>
    <row r="106" spans="1:16" x14ac:dyDescent="0.25">
      <c r="A106" s="11">
        <f t="shared" si="12"/>
        <v>51</v>
      </c>
      <c r="B106">
        <v>-36.394811158628357</v>
      </c>
      <c r="E106" s="11">
        <f>A106-'Mastercurve bestimmen'!$B$2</f>
        <v>-109</v>
      </c>
      <c r="F106" s="11">
        <f t="shared" si="10"/>
        <v>-36.394811158628357</v>
      </c>
      <c r="G106" s="11"/>
      <c r="H106" s="11">
        <f t="shared" si="11"/>
        <v>1.992562641690192E+16</v>
      </c>
      <c r="I106" s="11">
        <f t="shared" si="9"/>
        <v>-182803912081669</v>
      </c>
      <c r="J106" s="11">
        <f t="shared" si="9"/>
        <v>1677100110841</v>
      </c>
      <c r="K106" s="11">
        <f t="shared" si="9"/>
        <v>-15386239549</v>
      </c>
      <c r="L106" s="11">
        <f t="shared" si="9"/>
        <v>141158161</v>
      </c>
      <c r="M106" s="11">
        <f t="shared" si="9"/>
        <v>-1295029</v>
      </c>
      <c r="N106" s="11">
        <f t="shared" si="9"/>
        <v>11881</v>
      </c>
      <c r="O106" s="11">
        <f t="shared" si="9"/>
        <v>-109</v>
      </c>
      <c r="P106" s="11">
        <f t="shared" si="13"/>
        <v>0</v>
      </c>
    </row>
    <row r="107" spans="1:16" x14ac:dyDescent="0.25">
      <c r="A107" s="11">
        <f t="shared" si="12"/>
        <v>52</v>
      </c>
      <c r="B107">
        <v>-36.04691363101221</v>
      </c>
      <c r="E107" s="11">
        <f>A107-'Mastercurve bestimmen'!$B$2</f>
        <v>-108</v>
      </c>
      <c r="F107" s="11">
        <f t="shared" si="10"/>
        <v>-36.04691363101221</v>
      </c>
      <c r="G107" s="11"/>
      <c r="H107" s="11">
        <f t="shared" si="11"/>
        <v>1.8509302102818816E+16</v>
      </c>
      <c r="I107" s="11">
        <f t="shared" si="9"/>
        <v>-171382426877952</v>
      </c>
      <c r="J107" s="11">
        <f t="shared" si="9"/>
        <v>1586874322944</v>
      </c>
      <c r="K107" s="11">
        <f t="shared" si="9"/>
        <v>-14693280768</v>
      </c>
      <c r="L107" s="11">
        <f t="shared" si="9"/>
        <v>136048896</v>
      </c>
      <c r="M107" s="11">
        <f t="shared" si="9"/>
        <v>-1259712</v>
      </c>
      <c r="N107" s="11">
        <f t="shared" si="9"/>
        <v>11664</v>
      </c>
      <c r="O107" s="11">
        <f t="shared" si="9"/>
        <v>-108</v>
      </c>
      <c r="P107" s="11">
        <f t="shared" si="13"/>
        <v>0</v>
      </c>
    </row>
    <row r="108" spans="1:16" x14ac:dyDescent="0.25">
      <c r="A108" s="11">
        <f t="shared" si="12"/>
        <v>53</v>
      </c>
      <c r="B108">
        <v>-35.690991584068797</v>
      </c>
      <c r="E108" s="11">
        <f>A108-'Mastercurve bestimmen'!$B$2</f>
        <v>-107</v>
      </c>
      <c r="F108" s="11">
        <f t="shared" si="10"/>
        <v>-35.690991584068797</v>
      </c>
      <c r="G108" s="11"/>
      <c r="H108" s="11">
        <f t="shared" si="11"/>
        <v>1.71818617983192E+16</v>
      </c>
      <c r="I108" s="11">
        <f t="shared" si="9"/>
        <v>-160578147647843</v>
      </c>
      <c r="J108" s="11">
        <f t="shared" si="9"/>
        <v>1500730351849</v>
      </c>
      <c r="K108" s="11">
        <f t="shared" si="9"/>
        <v>-14025517307</v>
      </c>
      <c r="L108" s="11">
        <f t="shared" si="9"/>
        <v>131079601</v>
      </c>
      <c r="M108" s="11">
        <f t="shared" si="9"/>
        <v>-1225043</v>
      </c>
      <c r="N108" s="11">
        <f t="shared" si="9"/>
        <v>11449</v>
      </c>
      <c r="O108" s="11">
        <f t="shared" si="9"/>
        <v>-107</v>
      </c>
      <c r="P108" s="11">
        <f t="shared" si="13"/>
        <v>0</v>
      </c>
    </row>
    <row r="109" spans="1:16" x14ac:dyDescent="0.25">
      <c r="A109" s="11">
        <f t="shared" si="12"/>
        <v>54</v>
      </c>
      <c r="B109">
        <v>-35.327250467697461</v>
      </c>
      <c r="E109" s="11">
        <f>A109-'Mastercurve bestimmen'!$B$2</f>
        <v>-106</v>
      </c>
      <c r="F109" s="11">
        <f t="shared" si="10"/>
        <v>-35.327250467697461</v>
      </c>
      <c r="G109" s="11"/>
      <c r="H109" s="11">
        <f t="shared" si="11"/>
        <v>1.5938480745308416E+16</v>
      </c>
      <c r="I109" s="11">
        <f t="shared" si="9"/>
        <v>-150363025899136</v>
      </c>
      <c r="J109" s="11">
        <f t="shared" si="9"/>
        <v>1418519112256</v>
      </c>
      <c r="K109" s="11">
        <f t="shared" si="9"/>
        <v>-13382255776</v>
      </c>
      <c r="L109" s="11">
        <f t="shared" si="9"/>
        <v>126247696</v>
      </c>
      <c r="M109" s="11">
        <f t="shared" si="9"/>
        <v>-1191016</v>
      </c>
      <c r="N109" s="11">
        <f t="shared" si="9"/>
        <v>11236</v>
      </c>
      <c r="O109" s="11">
        <f t="shared" si="9"/>
        <v>-106</v>
      </c>
      <c r="P109" s="11">
        <f t="shared" si="13"/>
        <v>0</v>
      </c>
    </row>
    <row r="110" spans="1:16" x14ac:dyDescent="0.25">
      <c r="A110" s="11">
        <f t="shared" si="12"/>
        <v>55</v>
      </c>
      <c r="B110">
        <v>-34.955895731797483</v>
      </c>
      <c r="E110" s="11">
        <f>A110-'Mastercurve bestimmen'!$B$2</f>
        <v>-105</v>
      </c>
      <c r="F110" s="11">
        <f t="shared" si="10"/>
        <v>-34.955895731797483</v>
      </c>
      <c r="G110" s="11"/>
      <c r="H110" s="11">
        <f t="shared" si="11"/>
        <v>1.4774554437890624E+16</v>
      </c>
      <c r="I110" s="11">
        <f t="shared" si="9"/>
        <v>-140710042265625</v>
      </c>
      <c r="J110" s="11">
        <f t="shared" si="9"/>
        <v>1340095640625</v>
      </c>
      <c r="K110" s="11">
        <f t="shared" si="9"/>
        <v>-12762815625</v>
      </c>
      <c r="L110" s="11">
        <f t="shared" si="9"/>
        <v>121550625</v>
      </c>
      <c r="M110" s="11">
        <f t="shared" si="9"/>
        <v>-1157625</v>
      </c>
      <c r="N110" s="11">
        <f t="shared" si="9"/>
        <v>11025</v>
      </c>
      <c r="O110" s="11">
        <f t="shared" si="9"/>
        <v>-105</v>
      </c>
      <c r="P110" s="11">
        <f t="shared" si="13"/>
        <v>0</v>
      </c>
    </row>
    <row r="111" spans="1:16" x14ac:dyDescent="0.25">
      <c r="A111" s="11">
        <f t="shared" si="12"/>
        <v>56</v>
      </c>
      <c r="B111">
        <v>-34.577132826268191</v>
      </c>
      <c r="E111" s="11">
        <f>A111-'Mastercurve bestimmen'!$B$2</f>
        <v>-104</v>
      </c>
      <c r="F111" s="11">
        <f t="shared" si="10"/>
        <v>-34.577132826268191</v>
      </c>
      <c r="G111" s="11"/>
      <c r="H111" s="11">
        <f t="shared" si="11"/>
        <v>1.3685690504052736E+16</v>
      </c>
      <c r="I111" s="11">
        <f t="shared" si="9"/>
        <v>-131593177923584</v>
      </c>
      <c r="J111" s="11">
        <f t="shared" si="9"/>
        <v>1265319018496</v>
      </c>
      <c r="K111" s="11">
        <f t="shared" si="9"/>
        <v>-12166529024</v>
      </c>
      <c r="L111" s="11">
        <f t="shared" si="9"/>
        <v>116985856</v>
      </c>
      <c r="M111" s="11">
        <f t="shared" si="9"/>
        <v>-1124864</v>
      </c>
      <c r="N111" s="11">
        <f t="shared" si="9"/>
        <v>10816</v>
      </c>
      <c r="O111" s="11">
        <f t="shared" si="9"/>
        <v>-104</v>
      </c>
      <c r="P111" s="11">
        <f t="shared" si="13"/>
        <v>0</v>
      </c>
    </row>
    <row r="112" spans="1:16" x14ac:dyDescent="0.25">
      <c r="A112" s="11">
        <f t="shared" si="12"/>
        <v>57</v>
      </c>
      <c r="B112">
        <v>-34.191167201008895</v>
      </c>
      <c r="E112" s="11">
        <f>A112-'Mastercurve bestimmen'!$B$2</f>
        <v>-103</v>
      </c>
      <c r="F112" s="11">
        <f t="shared" si="10"/>
        <v>-34.191167201008895</v>
      </c>
      <c r="G112" s="11"/>
      <c r="H112" s="11">
        <f t="shared" si="11"/>
        <v>1.266770081387616E+16</v>
      </c>
      <c r="I112" s="11">
        <f t="shared" si="9"/>
        <v>-122987386542487</v>
      </c>
      <c r="J112" s="11">
        <f t="shared" si="9"/>
        <v>1194052296529</v>
      </c>
      <c r="K112" s="11">
        <f t="shared" si="9"/>
        <v>-11592740743</v>
      </c>
      <c r="L112" s="11">
        <f t="shared" si="9"/>
        <v>112550881</v>
      </c>
      <c r="M112" s="11">
        <f t="shared" si="9"/>
        <v>-1092727</v>
      </c>
      <c r="N112" s="11">
        <f t="shared" si="9"/>
        <v>10609</v>
      </c>
      <c r="O112" s="11">
        <f t="shared" si="9"/>
        <v>-103</v>
      </c>
      <c r="P112" s="11">
        <f t="shared" si="13"/>
        <v>0</v>
      </c>
    </row>
    <row r="113" spans="1:16" x14ac:dyDescent="0.25">
      <c r="A113" s="11">
        <f t="shared" si="12"/>
        <v>58</v>
      </c>
      <c r="B113">
        <v>-33.798204305918908</v>
      </c>
      <c r="E113" s="11">
        <f>A113-'Mastercurve bestimmen'!$B$2</f>
        <v>-102</v>
      </c>
      <c r="F113" s="11">
        <f t="shared" si="10"/>
        <v>-33.798204305918908</v>
      </c>
      <c r="G113" s="11"/>
      <c r="H113" s="11">
        <f t="shared" si="11"/>
        <v>1.1716593810022656E+16</v>
      </c>
      <c r="I113" s="11">
        <f t="shared" si="9"/>
        <v>-114868566764928</v>
      </c>
      <c r="J113" s="11">
        <f t="shared" si="9"/>
        <v>1126162419264</v>
      </c>
      <c r="K113" s="11">
        <f t="shared" si="9"/>
        <v>-11040808032</v>
      </c>
      <c r="L113" s="11">
        <f t="shared" si="9"/>
        <v>108243216</v>
      </c>
      <c r="M113" s="11">
        <f t="shared" si="9"/>
        <v>-1061208</v>
      </c>
      <c r="N113" s="11">
        <f t="shared" si="9"/>
        <v>10404</v>
      </c>
      <c r="O113" s="11">
        <f t="shared" si="9"/>
        <v>-102</v>
      </c>
      <c r="P113" s="11">
        <f t="shared" si="13"/>
        <v>0</v>
      </c>
    </row>
    <row r="114" spans="1:16" x14ac:dyDescent="0.25">
      <c r="A114" s="11">
        <f t="shared" si="12"/>
        <v>59</v>
      </c>
      <c r="B114">
        <v>-33.398449590897549</v>
      </c>
      <c r="E114" s="11">
        <f>A114-'Mastercurve bestimmen'!$B$2</f>
        <v>-101</v>
      </c>
      <c r="F114" s="11">
        <f t="shared" si="10"/>
        <v>-33.398449590897549</v>
      </c>
      <c r="G114" s="11"/>
      <c r="H114" s="11">
        <f t="shared" si="11"/>
        <v>1.08285670562808E+16</v>
      </c>
      <c r="I114" s="11">
        <f t="shared" si="9"/>
        <v>-107213535210701</v>
      </c>
      <c r="J114" s="11">
        <f t="shared" si="9"/>
        <v>1061520150601</v>
      </c>
      <c r="K114" s="11">
        <f t="shared" si="9"/>
        <v>-10510100501</v>
      </c>
      <c r="L114" s="11">
        <f t="shared" si="9"/>
        <v>104060401</v>
      </c>
      <c r="M114" s="11">
        <f t="shared" si="9"/>
        <v>-1030301</v>
      </c>
      <c r="N114" s="11">
        <f t="shared" si="9"/>
        <v>10201</v>
      </c>
      <c r="O114" s="11">
        <f t="shared" si="9"/>
        <v>-101</v>
      </c>
      <c r="P114" s="11">
        <f t="shared" si="13"/>
        <v>0</v>
      </c>
    </row>
    <row r="115" spans="1:16" x14ac:dyDescent="0.25">
      <c r="A115" s="11">
        <f t="shared" si="12"/>
        <v>60</v>
      </c>
      <c r="B115">
        <v>-32.992108505844122</v>
      </c>
      <c r="E115" s="11">
        <f>A115-'Mastercurve bestimmen'!$B$2</f>
        <v>-100</v>
      </c>
      <c r="F115" s="11">
        <f t="shared" si="10"/>
        <v>-32.992108505844122</v>
      </c>
      <c r="G115" s="11"/>
      <c r="H115" s="11">
        <f t="shared" si="11"/>
        <v>1E+16</v>
      </c>
      <c r="I115" s="11">
        <f t="shared" si="9"/>
        <v>-100000000000000</v>
      </c>
      <c r="J115" s="11">
        <f t="shared" si="9"/>
        <v>1000000000000</v>
      </c>
      <c r="K115" s="11">
        <f t="shared" si="9"/>
        <v>-10000000000</v>
      </c>
      <c r="L115" s="11">
        <f t="shared" si="9"/>
        <v>100000000</v>
      </c>
      <c r="M115" s="11">
        <f t="shared" si="9"/>
        <v>-1000000</v>
      </c>
      <c r="N115" s="11">
        <f t="shared" si="9"/>
        <v>10000</v>
      </c>
      <c r="O115" s="11">
        <f t="shared" si="9"/>
        <v>-100</v>
      </c>
      <c r="P115" s="11">
        <f t="shared" si="13"/>
        <v>0</v>
      </c>
    </row>
    <row r="116" spans="1:16" x14ac:dyDescent="0.25">
      <c r="A116" s="11">
        <f t="shared" si="12"/>
        <v>61</v>
      </c>
      <c r="B116">
        <v>-32.57938650065794</v>
      </c>
      <c r="E116" s="11">
        <f>A116-'Mastercurve bestimmen'!$B$2</f>
        <v>-99</v>
      </c>
      <c r="F116" s="11">
        <f t="shared" si="10"/>
        <v>-32.57938650065794</v>
      </c>
      <c r="G116" s="11"/>
      <c r="H116" s="11">
        <f t="shared" si="11"/>
        <v>9227446944279200</v>
      </c>
      <c r="I116" s="11">
        <f t="shared" si="9"/>
        <v>-93206534790699</v>
      </c>
      <c r="J116" s="11">
        <f t="shared" si="9"/>
        <v>941480149401</v>
      </c>
      <c r="K116" s="11">
        <f t="shared" ref="I116:O152" si="14">IF($H$12&gt;=K$14,$E116^K$14,0)</f>
        <v>-9509900499</v>
      </c>
      <c r="L116" s="11">
        <f t="shared" si="14"/>
        <v>96059601</v>
      </c>
      <c r="M116" s="11">
        <f t="shared" si="14"/>
        <v>-970299</v>
      </c>
      <c r="N116" s="11">
        <f t="shared" si="14"/>
        <v>9801</v>
      </c>
      <c r="O116" s="11">
        <f t="shared" si="14"/>
        <v>-99</v>
      </c>
      <c r="P116" s="11">
        <f t="shared" si="13"/>
        <v>0</v>
      </c>
    </row>
    <row r="117" spans="1:16" x14ac:dyDescent="0.25">
      <c r="A117" s="11">
        <f t="shared" si="12"/>
        <v>62</v>
      </c>
      <c r="B117">
        <v>-32.16048902523832</v>
      </c>
      <c r="E117" s="11">
        <f>A117-'Mastercurve bestimmen'!$B$2</f>
        <v>-98</v>
      </c>
      <c r="F117" s="11">
        <f t="shared" si="10"/>
        <v>-32.16048902523832</v>
      </c>
      <c r="G117" s="11"/>
      <c r="H117" s="11">
        <f t="shared" si="11"/>
        <v>8507630225817856</v>
      </c>
      <c r="I117" s="11">
        <f t="shared" si="14"/>
        <v>-86812553324672</v>
      </c>
      <c r="J117" s="11">
        <f t="shared" si="14"/>
        <v>885842380864</v>
      </c>
      <c r="K117" s="11">
        <f t="shared" si="14"/>
        <v>-9039207968</v>
      </c>
      <c r="L117" s="11">
        <f t="shared" si="14"/>
        <v>92236816</v>
      </c>
      <c r="M117" s="11">
        <f t="shared" si="14"/>
        <v>-941192</v>
      </c>
      <c r="N117" s="11">
        <f t="shared" si="14"/>
        <v>9604</v>
      </c>
      <c r="O117" s="11">
        <f t="shared" si="14"/>
        <v>-98</v>
      </c>
      <c r="P117" s="11">
        <f t="shared" si="13"/>
        <v>0</v>
      </c>
    </row>
    <row r="118" spans="1:16" x14ac:dyDescent="0.25">
      <c r="A118" s="11">
        <f t="shared" si="12"/>
        <v>63</v>
      </c>
      <c r="B118">
        <v>-31.735621529484561</v>
      </c>
      <c r="E118" s="11">
        <f>A118-'Mastercurve bestimmen'!$B$2</f>
        <v>-97</v>
      </c>
      <c r="F118" s="11">
        <f t="shared" si="10"/>
        <v>-31.735621529484561</v>
      </c>
      <c r="G118" s="11"/>
      <c r="H118" s="11">
        <f t="shared" si="11"/>
        <v>7837433594376961</v>
      </c>
      <c r="I118" s="11">
        <f t="shared" si="14"/>
        <v>-80798284478113</v>
      </c>
      <c r="J118" s="11">
        <f t="shared" si="14"/>
        <v>832972004929</v>
      </c>
      <c r="K118" s="11">
        <f t="shared" si="14"/>
        <v>-8587340257</v>
      </c>
      <c r="L118" s="11">
        <f t="shared" si="14"/>
        <v>88529281</v>
      </c>
      <c r="M118" s="11">
        <f t="shared" si="14"/>
        <v>-912673</v>
      </c>
      <c r="N118" s="11">
        <f t="shared" si="14"/>
        <v>9409</v>
      </c>
      <c r="O118" s="11">
        <f t="shared" si="14"/>
        <v>-97</v>
      </c>
      <c r="P118" s="11">
        <f t="shared" si="13"/>
        <v>0</v>
      </c>
    </row>
    <row r="119" spans="1:16" x14ac:dyDescent="0.25">
      <c r="A119" s="11">
        <f t="shared" si="12"/>
        <v>64</v>
      </c>
      <c r="B119">
        <v>-31.304989463295996</v>
      </c>
      <c r="E119" s="11">
        <f>A119-'Mastercurve bestimmen'!$B$2</f>
        <v>-96</v>
      </c>
      <c r="F119" s="11">
        <f t="shared" si="10"/>
        <v>-31.304989463295996</v>
      </c>
      <c r="G119" s="11"/>
      <c r="H119" s="11">
        <f t="shared" si="11"/>
        <v>7213895789838336</v>
      </c>
      <c r="I119" s="11">
        <f t="shared" si="14"/>
        <v>-75144747810816</v>
      </c>
      <c r="J119" s="11">
        <f t="shared" si="14"/>
        <v>782757789696</v>
      </c>
      <c r="K119" s="11">
        <f t="shared" si="14"/>
        <v>-8153726976</v>
      </c>
      <c r="L119" s="11">
        <f t="shared" si="14"/>
        <v>84934656</v>
      </c>
      <c r="M119" s="11">
        <f t="shared" si="14"/>
        <v>-884736</v>
      </c>
      <c r="N119" s="11">
        <f t="shared" si="14"/>
        <v>9216</v>
      </c>
      <c r="O119" s="11">
        <f t="shared" si="14"/>
        <v>-96</v>
      </c>
      <c r="P119" s="11">
        <f t="shared" si="13"/>
        <v>0</v>
      </c>
    </row>
    <row r="120" spans="1:16" x14ac:dyDescent="0.25">
      <c r="A120" s="11">
        <f t="shared" si="12"/>
        <v>65</v>
      </c>
      <c r="B120">
        <v>-30.868798276571923</v>
      </c>
      <c r="E120" s="11">
        <f>A120-'Mastercurve bestimmen'!$B$2</f>
        <v>-95</v>
      </c>
      <c r="F120" s="11">
        <f t="shared" si="10"/>
        <v>-30.868798276571923</v>
      </c>
      <c r="G120" s="11"/>
      <c r="H120" s="11">
        <f t="shared" si="11"/>
        <v>6634204312890625</v>
      </c>
      <c r="I120" s="11">
        <f t="shared" si="14"/>
        <v>-69833729609375</v>
      </c>
      <c r="J120" s="11">
        <f t="shared" si="14"/>
        <v>735091890625</v>
      </c>
      <c r="K120" s="11">
        <f t="shared" si="14"/>
        <v>-7737809375</v>
      </c>
      <c r="L120" s="11">
        <f t="shared" si="14"/>
        <v>81450625</v>
      </c>
      <c r="M120" s="11">
        <f t="shared" si="14"/>
        <v>-857375</v>
      </c>
      <c r="N120" s="11">
        <f t="shared" si="14"/>
        <v>9025</v>
      </c>
      <c r="O120" s="11">
        <f t="shared" si="14"/>
        <v>-95</v>
      </c>
      <c r="P120" s="11">
        <f t="shared" si="13"/>
        <v>0</v>
      </c>
    </row>
    <row r="121" spans="1:16" x14ac:dyDescent="0.25">
      <c r="A121" s="11">
        <f t="shared" si="12"/>
        <v>66</v>
      </c>
      <c r="B121">
        <v>-30.427253419211659</v>
      </c>
      <c r="E121" s="11">
        <f>A121-'Mastercurve bestimmen'!$B$2</f>
        <v>-94</v>
      </c>
      <c r="F121" s="11">
        <f t="shared" si="10"/>
        <v>-30.427253419211659</v>
      </c>
      <c r="G121" s="11"/>
      <c r="H121" s="11">
        <f t="shared" si="11"/>
        <v>6095689385410816</v>
      </c>
      <c r="I121" s="11">
        <f t="shared" si="14"/>
        <v>-64847759419264</v>
      </c>
      <c r="J121" s="11">
        <f t="shared" si="14"/>
        <v>689869781056</v>
      </c>
      <c r="K121" s="11">
        <f t="shared" si="14"/>
        <v>-7339040224</v>
      </c>
      <c r="L121" s="11">
        <f t="shared" si="14"/>
        <v>78074896</v>
      </c>
      <c r="M121" s="11">
        <f t="shared" si="14"/>
        <v>-830584</v>
      </c>
      <c r="N121" s="11">
        <f t="shared" si="14"/>
        <v>8836</v>
      </c>
      <c r="O121" s="11">
        <f t="shared" si="14"/>
        <v>-94</v>
      </c>
      <c r="P121" s="11">
        <f t="shared" si="13"/>
        <v>0</v>
      </c>
    </row>
    <row r="122" spans="1:16" x14ac:dyDescent="0.25">
      <c r="A122" s="11">
        <f t="shared" si="12"/>
        <v>67</v>
      </c>
      <c r="B122">
        <v>-29.980560341114522</v>
      </c>
      <c r="E122" s="11">
        <f>A122-'Mastercurve bestimmen'!$B$2</f>
        <v>-93</v>
      </c>
      <c r="F122" s="11">
        <f t="shared" si="10"/>
        <v>-29.980560341114522</v>
      </c>
      <c r="G122" s="11"/>
      <c r="H122" s="11">
        <f t="shared" si="11"/>
        <v>5595818096650401</v>
      </c>
      <c r="I122" s="11">
        <f t="shared" si="14"/>
        <v>-60170087060757</v>
      </c>
      <c r="J122" s="11">
        <f t="shared" si="14"/>
        <v>646990183449</v>
      </c>
      <c r="K122" s="11">
        <f t="shared" si="14"/>
        <v>-6956883693</v>
      </c>
      <c r="L122" s="11">
        <f t="shared" si="14"/>
        <v>74805201</v>
      </c>
      <c r="M122" s="11">
        <f t="shared" si="14"/>
        <v>-804357</v>
      </c>
      <c r="N122" s="11">
        <f t="shared" si="14"/>
        <v>8649</v>
      </c>
      <c r="O122" s="11">
        <f t="shared" si="14"/>
        <v>-93</v>
      </c>
      <c r="P122" s="11">
        <f t="shared" si="13"/>
        <v>0</v>
      </c>
    </row>
    <row r="123" spans="1:16" x14ac:dyDescent="0.25">
      <c r="A123" s="11">
        <f t="shared" si="12"/>
        <v>68</v>
      </c>
      <c r="B123">
        <v>-29.528924492179812</v>
      </c>
      <c r="E123" s="11">
        <f>A123-'Mastercurve bestimmen'!$B$2</f>
        <v>-92</v>
      </c>
      <c r="F123" s="11">
        <f t="shared" si="10"/>
        <v>-29.528924492179812</v>
      </c>
      <c r="G123" s="11"/>
      <c r="H123" s="11">
        <f t="shared" si="11"/>
        <v>5132188731375616</v>
      </c>
      <c r="I123" s="11">
        <f t="shared" si="14"/>
        <v>-55784660123648</v>
      </c>
      <c r="J123" s="11">
        <f t="shared" si="14"/>
        <v>606355001344</v>
      </c>
      <c r="K123" s="11">
        <f t="shared" si="14"/>
        <v>-6590815232</v>
      </c>
      <c r="L123" s="11">
        <f t="shared" si="14"/>
        <v>71639296</v>
      </c>
      <c r="M123" s="11">
        <f t="shared" si="14"/>
        <v>-778688</v>
      </c>
      <c r="N123" s="11">
        <f t="shared" si="14"/>
        <v>8464</v>
      </c>
      <c r="O123" s="11">
        <f t="shared" si="14"/>
        <v>-92</v>
      </c>
      <c r="P123" s="11">
        <f t="shared" si="13"/>
        <v>0</v>
      </c>
    </row>
    <row r="124" spans="1:16" x14ac:dyDescent="0.25">
      <c r="A124" s="11">
        <f t="shared" si="12"/>
        <v>69</v>
      </c>
      <c r="B124">
        <v>-29.072551322306854</v>
      </c>
      <c r="E124" s="11">
        <f>A124-'Mastercurve bestimmen'!$B$2</f>
        <v>-91</v>
      </c>
      <c r="F124" s="11">
        <f t="shared" si="10"/>
        <v>-29.072551322306854</v>
      </c>
      <c r="G124" s="11"/>
      <c r="H124" s="11">
        <f t="shared" si="11"/>
        <v>4702525276151521</v>
      </c>
      <c r="I124" s="11">
        <f t="shared" si="14"/>
        <v>-51676101935731</v>
      </c>
      <c r="J124" s="11">
        <f t="shared" si="14"/>
        <v>567869252041</v>
      </c>
      <c r="K124" s="11">
        <f t="shared" si="14"/>
        <v>-6240321451</v>
      </c>
      <c r="L124" s="11">
        <f t="shared" si="14"/>
        <v>68574961</v>
      </c>
      <c r="M124" s="11">
        <f t="shared" si="14"/>
        <v>-753571</v>
      </c>
      <c r="N124" s="11">
        <f t="shared" si="14"/>
        <v>8281</v>
      </c>
      <c r="O124" s="11">
        <f t="shared" si="14"/>
        <v>-91</v>
      </c>
      <c r="P124" s="11">
        <f t="shared" si="13"/>
        <v>0</v>
      </c>
    </row>
    <row r="125" spans="1:16" x14ac:dyDescent="0.25">
      <c r="A125" s="11">
        <f t="shared" si="12"/>
        <v>70</v>
      </c>
      <c r="B125">
        <v>-28.61164628139495</v>
      </c>
      <c r="E125" s="11">
        <f>A125-'Mastercurve bestimmen'!$B$2</f>
        <v>-90</v>
      </c>
      <c r="F125" s="11">
        <f t="shared" si="10"/>
        <v>-28.61164628139495</v>
      </c>
      <c r="G125" s="11"/>
      <c r="H125" s="11">
        <f t="shared" si="11"/>
        <v>4304672100000000</v>
      </c>
      <c r="I125" s="11">
        <f t="shared" si="14"/>
        <v>-47829690000000</v>
      </c>
      <c r="J125" s="11">
        <f t="shared" si="14"/>
        <v>531441000000</v>
      </c>
      <c r="K125" s="11">
        <f t="shared" si="14"/>
        <v>-5904900000</v>
      </c>
      <c r="L125" s="11">
        <f t="shared" si="14"/>
        <v>65610000</v>
      </c>
      <c r="M125" s="11">
        <f t="shared" si="14"/>
        <v>-729000</v>
      </c>
      <c r="N125" s="11">
        <f t="shared" si="14"/>
        <v>8100</v>
      </c>
      <c r="O125" s="11">
        <f t="shared" si="14"/>
        <v>-90</v>
      </c>
      <c r="P125" s="11">
        <f t="shared" si="13"/>
        <v>0</v>
      </c>
    </row>
    <row r="126" spans="1:16" x14ac:dyDescent="0.25">
      <c r="A126" s="11">
        <f t="shared" si="12"/>
        <v>71</v>
      </c>
      <c r="B126">
        <v>-28.14641481934342</v>
      </c>
      <c r="E126" s="11">
        <f>A126-'Mastercurve bestimmen'!$B$2</f>
        <v>-89</v>
      </c>
      <c r="F126" s="11">
        <f t="shared" si="10"/>
        <v>-28.14641481934342</v>
      </c>
      <c r="G126" s="11"/>
      <c r="H126" s="11">
        <f t="shared" si="11"/>
        <v>3936588805702081</v>
      </c>
      <c r="I126" s="11">
        <f t="shared" si="14"/>
        <v>-44231334895529</v>
      </c>
      <c r="J126" s="11">
        <f t="shared" si="14"/>
        <v>496981290961</v>
      </c>
      <c r="K126" s="11">
        <f t="shared" si="14"/>
        <v>-5584059449</v>
      </c>
      <c r="L126" s="11">
        <f t="shared" si="14"/>
        <v>62742241</v>
      </c>
      <c r="M126" s="11">
        <f t="shared" si="14"/>
        <v>-704969</v>
      </c>
      <c r="N126" s="11">
        <f t="shared" si="14"/>
        <v>7921</v>
      </c>
      <c r="O126" s="11">
        <f t="shared" si="14"/>
        <v>-89</v>
      </c>
      <c r="P126" s="11">
        <f t="shared" si="13"/>
        <v>0</v>
      </c>
    </row>
    <row r="127" spans="1:16" x14ac:dyDescent="0.25">
      <c r="A127" s="11">
        <f t="shared" si="12"/>
        <v>72</v>
      </c>
      <c r="B127">
        <v>-27.677062386051574</v>
      </c>
      <c r="E127" s="11">
        <f>A127-'Mastercurve bestimmen'!$B$2</f>
        <v>-88</v>
      </c>
      <c r="F127" s="11">
        <f t="shared" si="10"/>
        <v>-27.677062386051574</v>
      </c>
      <c r="G127" s="11"/>
      <c r="H127" s="11">
        <f t="shared" si="11"/>
        <v>3596345248055296</v>
      </c>
      <c r="I127" s="11">
        <f t="shared" si="14"/>
        <v>-40867559636992</v>
      </c>
      <c r="J127" s="11">
        <f t="shared" si="14"/>
        <v>464404086784</v>
      </c>
      <c r="K127" s="11">
        <f t="shared" si="14"/>
        <v>-5277319168</v>
      </c>
      <c r="L127" s="11">
        <f t="shared" si="14"/>
        <v>59969536</v>
      </c>
      <c r="M127" s="11">
        <f t="shared" si="14"/>
        <v>-681472</v>
      </c>
      <c r="N127" s="11">
        <f t="shared" si="14"/>
        <v>7744</v>
      </c>
      <c r="O127" s="11">
        <f t="shared" si="14"/>
        <v>-88</v>
      </c>
      <c r="P127" s="11">
        <f t="shared" si="13"/>
        <v>0</v>
      </c>
    </row>
    <row r="128" spans="1:16" x14ac:dyDescent="0.25">
      <c r="A128" s="11">
        <f t="shared" si="12"/>
        <v>73</v>
      </c>
      <c r="B128">
        <v>-27.203794431418721</v>
      </c>
      <c r="E128" s="11">
        <f>A128-'Mastercurve bestimmen'!$B$2</f>
        <v>-87</v>
      </c>
      <c r="F128" s="11">
        <f t="shared" si="10"/>
        <v>-27.203794431418721</v>
      </c>
      <c r="G128" s="11"/>
      <c r="H128" s="11">
        <f t="shared" si="11"/>
        <v>3282116715437121</v>
      </c>
      <c r="I128" s="11">
        <f t="shared" si="14"/>
        <v>-37725479487783</v>
      </c>
      <c r="J128" s="11">
        <f t="shared" si="14"/>
        <v>433626201009</v>
      </c>
      <c r="K128" s="11">
        <f t="shared" si="14"/>
        <v>-4984209207</v>
      </c>
      <c r="L128" s="11">
        <f t="shared" si="14"/>
        <v>57289761</v>
      </c>
      <c r="M128" s="11">
        <f t="shared" si="14"/>
        <v>-658503</v>
      </c>
      <c r="N128" s="11">
        <f t="shared" si="14"/>
        <v>7569</v>
      </c>
      <c r="O128" s="11">
        <f t="shared" si="14"/>
        <v>-87</v>
      </c>
      <c r="P128" s="11">
        <f t="shared" si="13"/>
        <v>0</v>
      </c>
    </row>
    <row r="129" spans="1:16" x14ac:dyDescent="0.25">
      <c r="A129" s="11">
        <f t="shared" si="12"/>
        <v>74</v>
      </c>
      <c r="B129">
        <v>-26.726816405344177</v>
      </c>
      <c r="E129" s="11">
        <f>A129-'Mastercurve bestimmen'!$B$2</f>
        <v>-86</v>
      </c>
      <c r="F129" s="11">
        <f t="shared" si="10"/>
        <v>-26.726816405344177</v>
      </c>
      <c r="G129" s="11"/>
      <c r="H129" s="11">
        <f t="shared" si="11"/>
        <v>2992179271065856</v>
      </c>
      <c r="I129" s="11">
        <f t="shared" si="14"/>
        <v>-34792782221696</v>
      </c>
      <c r="J129" s="11">
        <f t="shared" si="14"/>
        <v>404567235136</v>
      </c>
      <c r="K129" s="11">
        <f t="shared" si="14"/>
        <v>-4704270176</v>
      </c>
      <c r="L129" s="11">
        <f t="shared" si="14"/>
        <v>54700816</v>
      </c>
      <c r="M129" s="11">
        <f t="shared" si="14"/>
        <v>-636056</v>
      </c>
      <c r="N129" s="11">
        <f t="shared" si="14"/>
        <v>7396</v>
      </c>
      <c r="O129" s="11">
        <f t="shared" si="14"/>
        <v>-86</v>
      </c>
      <c r="P129" s="11">
        <f t="shared" si="13"/>
        <v>0</v>
      </c>
    </row>
    <row r="130" spans="1:16" x14ac:dyDescent="0.25">
      <c r="A130" s="11">
        <f t="shared" si="12"/>
        <v>75</v>
      </c>
      <c r="B130">
        <v>-26.246333757727257</v>
      </c>
      <c r="E130" s="11">
        <f>A130-'Mastercurve bestimmen'!$B$2</f>
        <v>-85</v>
      </c>
      <c r="F130" s="11">
        <f t="shared" si="10"/>
        <v>-26.246333757727257</v>
      </c>
      <c r="G130" s="11"/>
      <c r="H130" s="11">
        <f t="shared" si="11"/>
        <v>2724905250390625</v>
      </c>
      <c r="I130" s="11">
        <f t="shared" si="14"/>
        <v>-32057708828125</v>
      </c>
      <c r="J130" s="11">
        <f t="shared" si="14"/>
        <v>377149515625</v>
      </c>
      <c r="K130" s="11">
        <f t="shared" si="14"/>
        <v>-4437053125</v>
      </c>
      <c r="L130" s="11">
        <f t="shared" si="14"/>
        <v>52200625</v>
      </c>
      <c r="M130" s="11">
        <f t="shared" si="14"/>
        <v>-614125</v>
      </c>
      <c r="N130" s="11">
        <f t="shared" si="14"/>
        <v>7225</v>
      </c>
      <c r="O130" s="11">
        <f t="shared" si="14"/>
        <v>-85</v>
      </c>
      <c r="P130" s="11">
        <f t="shared" si="13"/>
        <v>0</v>
      </c>
    </row>
    <row r="131" spans="1:16" x14ac:dyDescent="0.25">
      <c r="A131" s="11">
        <f t="shared" si="12"/>
        <v>76</v>
      </c>
      <c r="B131">
        <v>-25.762551938467265</v>
      </c>
      <c r="E131" s="11">
        <f>A131-'Mastercurve bestimmen'!$B$2</f>
        <v>-84</v>
      </c>
      <c r="F131" s="11">
        <f t="shared" si="10"/>
        <v>-25.762551938467265</v>
      </c>
      <c r="G131" s="11"/>
      <c r="H131" s="11">
        <f t="shared" si="11"/>
        <v>2478758911082496</v>
      </c>
      <c r="I131" s="11">
        <f t="shared" si="14"/>
        <v>-29509034655744</v>
      </c>
      <c r="J131" s="11">
        <f t="shared" si="14"/>
        <v>351298031616</v>
      </c>
      <c r="K131" s="11">
        <f t="shared" si="14"/>
        <v>-4182119424</v>
      </c>
      <c r="L131" s="11">
        <f t="shared" si="14"/>
        <v>49787136</v>
      </c>
      <c r="M131" s="11">
        <f t="shared" si="14"/>
        <v>-592704</v>
      </c>
      <c r="N131" s="11">
        <f t="shared" si="14"/>
        <v>7056</v>
      </c>
      <c r="O131" s="11">
        <f t="shared" si="14"/>
        <v>-84</v>
      </c>
      <c r="P131" s="11">
        <f t="shared" si="13"/>
        <v>0</v>
      </c>
    </row>
    <row r="132" spans="1:16" x14ac:dyDescent="0.25">
      <c r="A132" s="11">
        <f t="shared" si="12"/>
        <v>77</v>
      </c>
      <c r="B132">
        <v>-25.275676397463524</v>
      </c>
      <c r="E132" s="11">
        <f>A132-'Mastercurve bestimmen'!$B$2</f>
        <v>-83</v>
      </c>
      <c r="F132" s="11">
        <f t="shared" si="10"/>
        <v>-25.275676397463524</v>
      </c>
      <c r="G132" s="11"/>
      <c r="H132" s="11">
        <f t="shared" si="11"/>
        <v>2252292232139041</v>
      </c>
      <c r="I132" s="11">
        <f t="shared" si="14"/>
        <v>-27136050989627</v>
      </c>
      <c r="J132" s="11">
        <f t="shared" si="14"/>
        <v>326940373369</v>
      </c>
      <c r="K132" s="11">
        <f t="shared" si="14"/>
        <v>-3939040643</v>
      </c>
      <c r="L132" s="11">
        <f t="shared" si="14"/>
        <v>47458321</v>
      </c>
      <c r="M132" s="11">
        <f t="shared" si="14"/>
        <v>-571787</v>
      </c>
      <c r="N132" s="11">
        <f t="shared" si="14"/>
        <v>6889</v>
      </c>
      <c r="O132" s="11">
        <f t="shared" si="14"/>
        <v>-83</v>
      </c>
      <c r="P132" s="11">
        <f t="shared" si="13"/>
        <v>0</v>
      </c>
    </row>
    <row r="133" spans="1:16" x14ac:dyDescent="0.25">
      <c r="A133" s="11">
        <f t="shared" si="12"/>
        <v>78</v>
      </c>
      <c r="B133">
        <v>-24.785912584615343</v>
      </c>
      <c r="E133" s="11">
        <f>A133-'Mastercurve bestimmen'!$B$2</f>
        <v>-82</v>
      </c>
      <c r="F133" s="11">
        <f t="shared" si="10"/>
        <v>-24.785912584615343</v>
      </c>
      <c r="G133" s="11"/>
      <c r="H133" s="11">
        <f t="shared" si="11"/>
        <v>2044140858654976</v>
      </c>
      <c r="I133" s="11">
        <f t="shared" si="14"/>
        <v>-24928547056768</v>
      </c>
      <c r="J133" s="11">
        <f t="shared" si="14"/>
        <v>304006671424</v>
      </c>
      <c r="K133" s="11">
        <f t="shared" si="14"/>
        <v>-3707398432</v>
      </c>
      <c r="L133" s="11">
        <f t="shared" si="14"/>
        <v>45212176</v>
      </c>
      <c r="M133" s="11">
        <f t="shared" si="14"/>
        <v>-551368</v>
      </c>
      <c r="N133" s="11">
        <f t="shared" si="14"/>
        <v>6724</v>
      </c>
      <c r="O133" s="11">
        <f t="shared" si="14"/>
        <v>-82</v>
      </c>
      <c r="P133" s="11">
        <f t="shared" si="13"/>
        <v>0</v>
      </c>
    </row>
    <row r="134" spans="1:16" x14ac:dyDescent="0.25">
      <c r="A134" s="11">
        <f t="shared" si="12"/>
        <v>79</v>
      </c>
      <c r="B134">
        <v>-24.293465949822025</v>
      </c>
      <c r="E134" s="11">
        <f>A134-'Mastercurve bestimmen'!$B$2</f>
        <v>-81</v>
      </c>
      <c r="F134" s="11">
        <f t="shared" si="10"/>
        <v>-24.293465949822025</v>
      </c>
      <c r="G134" s="11"/>
      <c r="H134" s="11">
        <f t="shared" si="11"/>
        <v>1853020188851841</v>
      </c>
      <c r="I134" s="11">
        <f t="shared" si="14"/>
        <v>-22876792454961</v>
      </c>
      <c r="J134" s="11">
        <f t="shared" si="14"/>
        <v>282429536481</v>
      </c>
      <c r="K134" s="11">
        <f t="shared" si="14"/>
        <v>-3486784401</v>
      </c>
      <c r="L134" s="11">
        <f t="shared" si="14"/>
        <v>43046721</v>
      </c>
      <c r="M134" s="11">
        <f t="shared" si="14"/>
        <v>-531441</v>
      </c>
      <c r="N134" s="11">
        <f t="shared" si="14"/>
        <v>6561</v>
      </c>
      <c r="O134" s="11">
        <f t="shared" si="14"/>
        <v>-81</v>
      </c>
      <c r="P134" s="11">
        <f t="shared" si="13"/>
        <v>0</v>
      </c>
    </row>
    <row r="135" spans="1:16" x14ac:dyDescent="0.25">
      <c r="A135" s="11">
        <f t="shared" si="12"/>
        <v>80</v>
      </c>
      <c r="B135">
        <v>-23.798541942982897</v>
      </c>
      <c r="E135" s="11">
        <f>A135-'Mastercurve bestimmen'!$B$2</f>
        <v>-80</v>
      </c>
      <c r="F135" s="11">
        <f t="shared" si="10"/>
        <v>-23.798541942982897</v>
      </c>
      <c r="G135" s="11"/>
      <c r="H135" s="11">
        <f t="shared" si="11"/>
        <v>1677721600000000</v>
      </c>
      <c r="I135" s="11">
        <f t="shared" si="14"/>
        <v>-20971520000000</v>
      </c>
      <c r="J135" s="11">
        <f t="shared" si="14"/>
        <v>262144000000</v>
      </c>
      <c r="K135" s="11">
        <f t="shared" si="14"/>
        <v>-3276800000</v>
      </c>
      <c r="L135" s="11">
        <f t="shared" si="14"/>
        <v>40960000</v>
      </c>
      <c r="M135" s="11">
        <f t="shared" si="14"/>
        <v>-512000</v>
      </c>
      <c r="N135" s="11">
        <f t="shared" si="14"/>
        <v>6400</v>
      </c>
      <c r="O135" s="11">
        <f t="shared" si="14"/>
        <v>-80</v>
      </c>
      <c r="P135" s="11">
        <f t="shared" si="13"/>
        <v>0</v>
      </c>
    </row>
    <row r="136" spans="1:16" x14ac:dyDescent="0.25">
      <c r="A136" s="11">
        <f t="shared" si="12"/>
        <v>81</v>
      </c>
      <c r="B136">
        <v>-23.301366591900319</v>
      </c>
      <c r="E136" s="11">
        <f>A136-'Mastercurve bestimmen'!$B$2</f>
        <v>-79</v>
      </c>
      <c r="F136" s="11">
        <f t="shared" si="10"/>
        <v>-23.301366591900319</v>
      </c>
      <c r="G136" s="11"/>
      <c r="H136" s="11">
        <f t="shared" si="11"/>
        <v>1517108809906561</v>
      </c>
      <c r="I136" s="11">
        <f t="shared" si="14"/>
        <v>-19203908986159</v>
      </c>
      <c r="J136" s="11">
        <f t="shared" si="14"/>
        <v>243087455521</v>
      </c>
      <c r="K136" s="11">
        <f t="shared" si="14"/>
        <v>-3077056399</v>
      </c>
      <c r="L136" s="11">
        <f t="shared" si="14"/>
        <v>38950081</v>
      </c>
      <c r="M136" s="11">
        <f t="shared" si="14"/>
        <v>-493039</v>
      </c>
      <c r="N136" s="11">
        <f t="shared" si="14"/>
        <v>6241</v>
      </c>
      <c r="O136" s="11">
        <f t="shared" si="14"/>
        <v>-79</v>
      </c>
      <c r="P136" s="11">
        <f t="shared" si="13"/>
        <v>0</v>
      </c>
    </row>
    <row r="137" spans="1:16" x14ac:dyDescent="0.25">
      <c r="A137" s="11">
        <f t="shared" si="12"/>
        <v>82</v>
      </c>
      <c r="B137">
        <v>-22.802248235988909</v>
      </c>
      <c r="E137" s="11">
        <f>A137-'Mastercurve bestimmen'!$B$2</f>
        <v>-78</v>
      </c>
      <c r="F137" s="11">
        <f t="shared" si="10"/>
        <v>-22.802248235988909</v>
      </c>
      <c r="G137" s="11"/>
      <c r="H137" s="11">
        <f t="shared" si="11"/>
        <v>1370114370683136</v>
      </c>
      <c r="I137" s="11">
        <f t="shared" si="14"/>
        <v>-17565568854912</v>
      </c>
      <c r="J137" s="11">
        <f t="shared" si="14"/>
        <v>225199600704</v>
      </c>
      <c r="K137" s="11">
        <f t="shared" si="14"/>
        <v>-2887174368</v>
      </c>
      <c r="L137" s="11">
        <f t="shared" si="14"/>
        <v>37015056</v>
      </c>
      <c r="M137" s="11">
        <f t="shared" si="14"/>
        <v>-474552</v>
      </c>
      <c r="N137" s="11">
        <f t="shared" si="14"/>
        <v>6084</v>
      </c>
      <c r="O137" s="11">
        <f t="shared" si="14"/>
        <v>-78</v>
      </c>
      <c r="P137" s="11">
        <f t="shared" si="13"/>
        <v>0</v>
      </c>
    </row>
    <row r="138" spans="1:16" x14ac:dyDescent="0.25">
      <c r="A138" s="11">
        <f t="shared" si="12"/>
        <v>83</v>
      </c>
      <c r="B138">
        <v>-22.301515792566338</v>
      </c>
      <c r="E138" s="11">
        <f>A138-'Mastercurve bestimmen'!$B$2</f>
        <v>-77</v>
      </c>
      <c r="F138" s="11">
        <f t="shared" si="10"/>
        <v>-22.301515792566338</v>
      </c>
      <c r="G138" s="11"/>
      <c r="H138" s="11">
        <f t="shared" si="11"/>
        <v>1235736291547681</v>
      </c>
      <c r="I138" s="11">
        <f t="shared" si="14"/>
        <v>-16048523266853</v>
      </c>
      <c r="J138" s="11">
        <f t="shared" si="14"/>
        <v>208422380089</v>
      </c>
      <c r="K138" s="11">
        <f t="shared" si="14"/>
        <v>-2706784157</v>
      </c>
      <c r="L138" s="11">
        <f t="shared" si="14"/>
        <v>35153041</v>
      </c>
      <c r="M138" s="11">
        <f t="shared" si="14"/>
        <v>-456533</v>
      </c>
      <c r="N138" s="11">
        <f t="shared" si="14"/>
        <v>5929</v>
      </c>
      <c r="O138" s="11">
        <f t="shared" si="14"/>
        <v>-77</v>
      </c>
      <c r="P138" s="11">
        <f t="shared" si="13"/>
        <v>0</v>
      </c>
    </row>
    <row r="139" spans="1:16" x14ac:dyDescent="0.25">
      <c r="A139" s="11">
        <f t="shared" si="12"/>
        <v>84</v>
      </c>
      <c r="B139">
        <v>-21.79949817895027</v>
      </c>
      <c r="E139" s="11">
        <f>A139-'Mastercurve bestimmen'!$B$2</f>
        <v>-76</v>
      </c>
      <c r="F139" s="11">
        <f t="shared" si="10"/>
        <v>-21.79949817895027</v>
      </c>
      <c r="G139" s="11"/>
      <c r="H139" s="11">
        <f t="shared" si="11"/>
        <v>1113034787454976</v>
      </c>
      <c r="I139" s="11">
        <f t="shared" si="14"/>
        <v>-14645194571776</v>
      </c>
      <c r="J139" s="11">
        <f t="shared" si="14"/>
        <v>192699928576</v>
      </c>
      <c r="K139" s="11">
        <f t="shared" si="14"/>
        <v>-2535525376</v>
      </c>
      <c r="L139" s="11">
        <f t="shared" si="14"/>
        <v>33362176</v>
      </c>
      <c r="M139" s="11">
        <f t="shared" si="14"/>
        <v>-438976</v>
      </c>
      <c r="N139" s="11">
        <f t="shared" si="14"/>
        <v>5776</v>
      </c>
      <c r="O139" s="11">
        <f t="shared" si="14"/>
        <v>-76</v>
      </c>
      <c r="P139" s="11">
        <f t="shared" si="13"/>
        <v>0</v>
      </c>
    </row>
    <row r="140" spans="1:16" x14ac:dyDescent="0.25">
      <c r="A140" s="11">
        <f t="shared" si="12"/>
        <v>85</v>
      </c>
      <c r="B140">
        <v>-21.296524312458381</v>
      </c>
      <c r="E140" s="11">
        <f>A140-'Mastercurve bestimmen'!$B$2</f>
        <v>-75</v>
      </c>
      <c r="F140" s="11">
        <f t="shared" si="10"/>
        <v>-21.296524312458381</v>
      </c>
      <c r="G140" s="11"/>
      <c r="H140" s="11">
        <f t="shared" si="11"/>
        <v>1001129150390625</v>
      </c>
      <c r="I140" s="11">
        <f t="shared" si="14"/>
        <v>-13348388671875</v>
      </c>
      <c r="J140" s="11">
        <f t="shared" si="14"/>
        <v>177978515625</v>
      </c>
      <c r="K140" s="11">
        <f t="shared" si="14"/>
        <v>-2373046875</v>
      </c>
      <c r="L140" s="11">
        <f t="shared" si="14"/>
        <v>31640625</v>
      </c>
      <c r="M140" s="11">
        <f t="shared" si="14"/>
        <v>-421875</v>
      </c>
      <c r="N140" s="11">
        <f t="shared" si="14"/>
        <v>5625</v>
      </c>
      <c r="O140" s="11">
        <f t="shared" si="14"/>
        <v>-75</v>
      </c>
      <c r="P140" s="11">
        <f t="shared" si="13"/>
        <v>0</v>
      </c>
    </row>
    <row r="141" spans="1:16" x14ac:dyDescent="0.25">
      <c r="A141" s="11">
        <f t="shared" si="12"/>
        <v>86</v>
      </c>
      <c r="B141">
        <v>-20.792923110408331</v>
      </c>
      <c r="E141" s="11">
        <f>A141-'Mastercurve bestimmen'!$B$2</f>
        <v>-74</v>
      </c>
      <c r="F141" s="11">
        <f t="shared" si="10"/>
        <v>-20.792923110408331</v>
      </c>
      <c r="G141" s="11"/>
      <c r="H141" s="11">
        <f t="shared" si="11"/>
        <v>899194740203776</v>
      </c>
      <c r="I141" s="11">
        <f t="shared" si="14"/>
        <v>-12151280273024</v>
      </c>
      <c r="J141" s="11">
        <f t="shared" si="14"/>
        <v>164206490176</v>
      </c>
      <c r="K141" s="11">
        <f t="shared" si="14"/>
        <v>-2219006624</v>
      </c>
      <c r="L141" s="11">
        <f t="shared" si="14"/>
        <v>29986576</v>
      </c>
      <c r="M141" s="11">
        <f t="shared" si="14"/>
        <v>-405224</v>
      </c>
      <c r="N141" s="11">
        <f t="shared" si="14"/>
        <v>5476</v>
      </c>
      <c r="O141" s="11">
        <f t="shared" si="14"/>
        <v>-74</v>
      </c>
      <c r="P141" s="11">
        <f t="shared" si="13"/>
        <v>0</v>
      </c>
    </row>
    <row r="142" spans="1:16" x14ac:dyDescent="0.25">
      <c r="A142" s="11">
        <f t="shared" si="12"/>
        <v>87</v>
      </c>
      <c r="B142">
        <v>-20.289023490117803</v>
      </c>
      <c r="E142" s="11">
        <f>A142-'Mastercurve bestimmen'!$B$2</f>
        <v>-73</v>
      </c>
      <c r="F142" s="11">
        <f t="shared" si="10"/>
        <v>-20.289023490117803</v>
      </c>
      <c r="G142" s="11"/>
      <c r="H142" s="11">
        <f t="shared" si="11"/>
        <v>806460091894081</v>
      </c>
      <c r="I142" s="11">
        <f t="shared" si="14"/>
        <v>-11047398519097</v>
      </c>
      <c r="J142" s="11">
        <f t="shared" si="14"/>
        <v>151334226289</v>
      </c>
      <c r="K142" s="11">
        <f t="shared" si="14"/>
        <v>-2073071593</v>
      </c>
      <c r="L142" s="11">
        <f t="shared" si="14"/>
        <v>28398241</v>
      </c>
      <c r="M142" s="11">
        <f t="shared" si="14"/>
        <v>-389017</v>
      </c>
      <c r="N142" s="11">
        <f t="shared" si="14"/>
        <v>5329</v>
      </c>
      <c r="O142" s="11">
        <f t="shared" si="14"/>
        <v>-73</v>
      </c>
      <c r="P142" s="11">
        <f t="shared" si="13"/>
        <v>0</v>
      </c>
    </row>
    <row r="143" spans="1:16" x14ac:dyDescent="0.25">
      <c r="A143" s="11">
        <f t="shared" si="12"/>
        <v>88</v>
      </c>
      <c r="B143">
        <v>-19.785154368904461</v>
      </c>
      <c r="E143" s="11">
        <f>A143-'Mastercurve bestimmen'!$B$2</f>
        <v>-72</v>
      </c>
      <c r="F143" s="11">
        <f t="shared" si="10"/>
        <v>-19.785154368904461</v>
      </c>
      <c r="G143" s="11"/>
      <c r="H143" s="11">
        <f t="shared" si="11"/>
        <v>722204136308736</v>
      </c>
      <c r="I143" s="11">
        <f t="shared" si="14"/>
        <v>-10030613004288</v>
      </c>
      <c r="J143" s="11">
        <f t="shared" si="14"/>
        <v>139314069504</v>
      </c>
      <c r="K143" s="11">
        <f t="shared" si="14"/>
        <v>-1934917632</v>
      </c>
      <c r="L143" s="11">
        <f t="shared" si="14"/>
        <v>26873856</v>
      </c>
      <c r="M143" s="11">
        <f t="shared" si="14"/>
        <v>-373248</v>
      </c>
      <c r="N143" s="11">
        <f t="shared" si="14"/>
        <v>5184</v>
      </c>
      <c r="O143" s="11">
        <f t="shared" si="14"/>
        <v>-72</v>
      </c>
      <c r="P143" s="11">
        <f t="shared" si="13"/>
        <v>0</v>
      </c>
    </row>
    <row r="144" spans="1:16" x14ac:dyDescent="0.25">
      <c r="A144" s="11">
        <f t="shared" si="12"/>
        <v>89</v>
      </c>
      <c r="B144">
        <v>-19.281644664085974</v>
      </c>
      <c r="E144" s="11">
        <f>A144-'Mastercurve bestimmen'!$B$2</f>
        <v>-71</v>
      </c>
      <c r="F144" s="11">
        <f t="shared" ref="F144:F207" si="15">B144</f>
        <v>-19.281644664085974</v>
      </c>
      <c r="G144" s="11"/>
      <c r="H144" s="11">
        <f t="shared" ref="H144:H207" si="16">IF($H$12&gt;=H$14,$E144^H$14,0)</f>
        <v>645753531245761</v>
      </c>
      <c r="I144" s="11">
        <f t="shared" si="14"/>
        <v>-9095120158391</v>
      </c>
      <c r="J144" s="11">
        <f t="shared" si="14"/>
        <v>128100283921</v>
      </c>
      <c r="K144" s="11">
        <f t="shared" si="14"/>
        <v>-1804229351</v>
      </c>
      <c r="L144" s="11">
        <f t="shared" si="14"/>
        <v>25411681</v>
      </c>
      <c r="M144" s="11">
        <f t="shared" si="14"/>
        <v>-357911</v>
      </c>
      <c r="N144" s="11">
        <f t="shared" si="14"/>
        <v>5041</v>
      </c>
      <c r="O144" s="11">
        <f t="shared" si="14"/>
        <v>-71</v>
      </c>
      <c r="P144" s="11">
        <f t="shared" si="13"/>
        <v>0</v>
      </c>
    </row>
    <row r="145" spans="1:16" x14ac:dyDescent="0.25">
      <c r="A145" s="11">
        <f t="shared" ref="A145:A208" si="17">A144+1</f>
        <v>90</v>
      </c>
      <c r="B145">
        <v>-18.778823292980018</v>
      </c>
      <c r="E145" s="11">
        <f>A145-'Mastercurve bestimmen'!$B$2</f>
        <v>-70</v>
      </c>
      <c r="F145" s="11">
        <f t="shared" si="15"/>
        <v>-18.778823292980018</v>
      </c>
      <c r="G145" s="11"/>
      <c r="H145" s="11">
        <f t="shared" si="16"/>
        <v>576480100000000</v>
      </c>
      <c r="I145" s="11">
        <f t="shared" si="14"/>
        <v>-8235430000000</v>
      </c>
      <c r="J145" s="11">
        <f t="shared" si="14"/>
        <v>117649000000</v>
      </c>
      <c r="K145" s="11">
        <f t="shared" si="14"/>
        <v>-1680700000</v>
      </c>
      <c r="L145" s="11">
        <f t="shared" si="14"/>
        <v>24010000</v>
      </c>
      <c r="M145" s="11">
        <f t="shared" si="14"/>
        <v>-343000</v>
      </c>
      <c r="N145" s="11">
        <f t="shared" si="14"/>
        <v>4900</v>
      </c>
      <c r="O145" s="11">
        <f t="shared" si="14"/>
        <v>-70</v>
      </c>
      <c r="P145" s="11">
        <f t="shared" ref="P145:P208" si="18">P144</f>
        <v>0</v>
      </c>
    </row>
    <row r="146" spans="1:16" x14ac:dyDescent="0.25">
      <c r="A146" s="11">
        <f t="shared" si="17"/>
        <v>91</v>
      </c>
      <c r="B146">
        <v>-18.27701917290425</v>
      </c>
      <c r="E146" s="11">
        <f>A146-'Mastercurve bestimmen'!$B$2</f>
        <v>-69</v>
      </c>
      <c r="F146" s="11">
        <f t="shared" si="15"/>
        <v>-18.27701917290425</v>
      </c>
      <c r="G146" s="11"/>
      <c r="H146" s="11">
        <f t="shared" si="16"/>
        <v>513798374428641</v>
      </c>
      <c r="I146" s="11">
        <f t="shared" si="14"/>
        <v>-7446353252589</v>
      </c>
      <c r="J146" s="11">
        <f t="shared" si="14"/>
        <v>107918163081</v>
      </c>
      <c r="K146" s="11">
        <f t="shared" si="14"/>
        <v>-1564031349</v>
      </c>
      <c r="L146" s="11">
        <f t="shared" si="14"/>
        <v>22667121</v>
      </c>
      <c r="M146" s="11">
        <f t="shared" si="14"/>
        <v>-328509</v>
      </c>
      <c r="N146" s="11">
        <f t="shared" si="14"/>
        <v>4761</v>
      </c>
      <c r="O146" s="11">
        <f t="shared" si="14"/>
        <v>-69</v>
      </c>
      <c r="P146" s="11">
        <f t="shared" si="18"/>
        <v>0</v>
      </c>
    </row>
    <row r="147" spans="1:16" x14ac:dyDescent="0.25">
      <c r="A147" s="11">
        <f t="shared" si="17"/>
        <v>92</v>
      </c>
      <c r="B147">
        <v>-17.776561221176355</v>
      </c>
      <c r="E147" s="11">
        <f>A147-'Mastercurve bestimmen'!$B$2</f>
        <v>-68</v>
      </c>
      <c r="F147" s="11">
        <f t="shared" si="15"/>
        <v>-17.776561221176355</v>
      </c>
      <c r="G147" s="11"/>
      <c r="H147" s="11">
        <f t="shared" si="16"/>
        <v>457163239653376</v>
      </c>
      <c r="I147" s="11">
        <f t="shared" si="14"/>
        <v>-6722988818432</v>
      </c>
      <c r="J147" s="11">
        <f t="shared" si="14"/>
        <v>98867482624</v>
      </c>
      <c r="K147" s="11">
        <f t="shared" si="14"/>
        <v>-1453933568</v>
      </c>
      <c r="L147" s="11">
        <f t="shared" si="14"/>
        <v>21381376</v>
      </c>
      <c r="M147" s="11">
        <f t="shared" si="14"/>
        <v>-314432</v>
      </c>
      <c r="N147" s="11">
        <f t="shared" si="14"/>
        <v>4624</v>
      </c>
      <c r="O147" s="11">
        <f t="shared" si="14"/>
        <v>-68</v>
      </c>
      <c r="P147" s="11">
        <f t="shared" si="18"/>
        <v>0</v>
      </c>
    </row>
    <row r="148" spans="1:16" x14ac:dyDescent="0.25">
      <c r="A148" s="11">
        <f t="shared" si="17"/>
        <v>93</v>
      </c>
      <c r="B148">
        <v>-17.277778355113991</v>
      </c>
      <c r="E148" s="11">
        <f>A148-'Mastercurve bestimmen'!$B$2</f>
        <v>-67</v>
      </c>
      <c r="F148" s="11">
        <f t="shared" si="15"/>
        <v>-17.277778355113991</v>
      </c>
      <c r="G148" s="11"/>
      <c r="H148" s="11">
        <f t="shared" si="16"/>
        <v>406067677556641</v>
      </c>
      <c r="I148" s="11">
        <f t="shared" si="14"/>
        <v>-6060711605323</v>
      </c>
      <c r="J148" s="11">
        <f t="shared" si="14"/>
        <v>90458382169</v>
      </c>
      <c r="K148" s="11">
        <f t="shared" si="14"/>
        <v>-1350125107</v>
      </c>
      <c r="L148" s="11">
        <f t="shared" si="14"/>
        <v>20151121</v>
      </c>
      <c r="M148" s="11">
        <f t="shared" si="14"/>
        <v>-300763</v>
      </c>
      <c r="N148" s="11">
        <f t="shared" si="14"/>
        <v>4489</v>
      </c>
      <c r="O148" s="11">
        <f t="shared" si="14"/>
        <v>-67</v>
      </c>
      <c r="P148" s="11">
        <f t="shared" si="18"/>
        <v>0</v>
      </c>
    </row>
    <row r="149" spans="1:16" x14ac:dyDescent="0.25">
      <c r="A149" s="11">
        <f t="shared" si="17"/>
        <v>94</v>
      </c>
      <c r="B149">
        <v>-16.780999492034837</v>
      </c>
      <c r="E149" s="11">
        <f>A149-'Mastercurve bestimmen'!$B$2</f>
        <v>-66</v>
      </c>
      <c r="F149" s="11">
        <f t="shared" si="15"/>
        <v>-16.780999492034837</v>
      </c>
      <c r="G149" s="11"/>
      <c r="H149" s="11">
        <f t="shared" si="16"/>
        <v>360040606269696</v>
      </c>
      <c r="I149" s="11">
        <f t="shared" si="14"/>
        <v>-5455160701056</v>
      </c>
      <c r="J149" s="11">
        <f t="shared" si="14"/>
        <v>82653950016</v>
      </c>
      <c r="K149" s="11">
        <f t="shared" si="14"/>
        <v>-1252332576</v>
      </c>
      <c r="L149" s="11">
        <f t="shared" si="14"/>
        <v>18974736</v>
      </c>
      <c r="M149" s="11">
        <f t="shared" si="14"/>
        <v>-287496</v>
      </c>
      <c r="N149" s="11">
        <f t="shared" si="14"/>
        <v>4356</v>
      </c>
      <c r="O149" s="11">
        <f t="shared" si="14"/>
        <v>-66</v>
      </c>
      <c r="P149" s="11">
        <f t="shared" si="18"/>
        <v>0</v>
      </c>
    </row>
    <row r="150" spans="1:16" x14ac:dyDescent="0.25">
      <c r="A150" s="11">
        <f t="shared" si="17"/>
        <v>95</v>
      </c>
      <c r="B150">
        <v>-16.28655354925656</v>
      </c>
      <c r="E150" s="11">
        <f>A150-'Mastercurve bestimmen'!$B$2</f>
        <v>-65</v>
      </c>
      <c r="F150" s="11">
        <f t="shared" si="15"/>
        <v>-16.28655354925656</v>
      </c>
      <c r="G150" s="11"/>
      <c r="H150" s="11">
        <f t="shared" si="16"/>
        <v>318644812890625</v>
      </c>
      <c r="I150" s="11">
        <f t="shared" si="14"/>
        <v>-4902227890625</v>
      </c>
      <c r="J150" s="11">
        <f t="shared" si="14"/>
        <v>75418890625</v>
      </c>
      <c r="K150" s="11">
        <f t="shared" si="14"/>
        <v>-1160290625</v>
      </c>
      <c r="L150" s="11">
        <f t="shared" si="14"/>
        <v>17850625</v>
      </c>
      <c r="M150" s="11">
        <f t="shared" si="14"/>
        <v>-274625</v>
      </c>
      <c r="N150" s="11">
        <f t="shared" si="14"/>
        <v>4225</v>
      </c>
      <c r="O150" s="11">
        <f t="shared" si="14"/>
        <v>-65</v>
      </c>
      <c r="P150" s="11">
        <f t="shared" si="18"/>
        <v>0</v>
      </c>
    </row>
    <row r="151" spans="1:16" x14ac:dyDescent="0.25">
      <c r="A151" s="11">
        <f t="shared" si="17"/>
        <v>96</v>
      </c>
      <c r="B151">
        <v>-15.794769444096827</v>
      </c>
      <c r="E151" s="11">
        <f>A151-'Mastercurve bestimmen'!$B$2</f>
        <v>-64</v>
      </c>
      <c r="F151" s="11">
        <f t="shared" si="15"/>
        <v>-15.794769444096827</v>
      </c>
      <c r="G151" s="11"/>
      <c r="H151" s="11">
        <f t="shared" si="16"/>
        <v>281474976710656</v>
      </c>
      <c r="I151" s="11">
        <f t="shared" si="14"/>
        <v>-4398046511104</v>
      </c>
      <c r="J151" s="11">
        <f t="shared" si="14"/>
        <v>68719476736</v>
      </c>
      <c r="K151" s="11">
        <f t="shared" si="14"/>
        <v>-1073741824</v>
      </c>
      <c r="L151" s="11">
        <f t="shared" si="14"/>
        <v>16777216</v>
      </c>
      <c r="M151" s="11">
        <f t="shared" si="14"/>
        <v>-262144</v>
      </c>
      <c r="N151" s="11">
        <f t="shared" si="14"/>
        <v>4096</v>
      </c>
      <c r="O151" s="11">
        <f t="shared" si="14"/>
        <v>-64</v>
      </c>
      <c r="P151" s="11">
        <f t="shared" si="18"/>
        <v>0</v>
      </c>
    </row>
    <row r="152" spans="1:16" x14ac:dyDescent="0.25">
      <c r="A152" s="11">
        <f t="shared" si="17"/>
        <v>97</v>
      </c>
      <c r="B152">
        <v>-15.305976093873312</v>
      </c>
      <c r="E152" s="11">
        <f>A152-'Mastercurve bestimmen'!$B$2</f>
        <v>-63</v>
      </c>
      <c r="F152" s="11">
        <f t="shared" si="15"/>
        <v>-15.305976093873312</v>
      </c>
      <c r="G152" s="11"/>
      <c r="H152" s="11">
        <f t="shared" si="16"/>
        <v>248155780267521</v>
      </c>
      <c r="I152" s="11">
        <f t="shared" si="14"/>
        <v>-3938980639167</v>
      </c>
      <c r="J152" s="11">
        <f t="shared" si="14"/>
        <v>62523502209</v>
      </c>
      <c r="K152" s="11">
        <f t="shared" si="14"/>
        <v>-992436543</v>
      </c>
      <c r="L152" s="11">
        <f t="shared" si="14"/>
        <v>15752961</v>
      </c>
      <c r="M152" s="11">
        <f t="shared" si="14"/>
        <v>-250047</v>
      </c>
      <c r="N152" s="11">
        <f t="shared" ref="I152:O189" si="19">IF($H$12&gt;=N$14,$E152^N$14,0)</f>
        <v>3969</v>
      </c>
      <c r="O152" s="11">
        <f t="shared" si="19"/>
        <v>-63</v>
      </c>
      <c r="P152" s="11">
        <f t="shared" si="18"/>
        <v>0</v>
      </c>
    </row>
    <row r="153" spans="1:16" x14ac:dyDescent="0.25">
      <c r="A153" s="11">
        <f t="shared" si="17"/>
        <v>98</v>
      </c>
      <c r="B153">
        <v>-14.820502415903684</v>
      </c>
      <c r="E153" s="11">
        <f>A153-'Mastercurve bestimmen'!$B$2</f>
        <v>-62</v>
      </c>
      <c r="F153" s="11">
        <f t="shared" si="15"/>
        <v>-14.820502415903684</v>
      </c>
      <c r="G153" s="11"/>
      <c r="H153" s="11">
        <f t="shared" si="16"/>
        <v>218340105584896</v>
      </c>
      <c r="I153" s="11">
        <f t="shared" si="19"/>
        <v>-3521614606208</v>
      </c>
      <c r="J153" s="11">
        <f t="shared" si="19"/>
        <v>56800235584</v>
      </c>
      <c r="K153" s="11">
        <f t="shared" si="19"/>
        <v>-916132832</v>
      </c>
      <c r="L153" s="11">
        <f t="shared" si="19"/>
        <v>14776336</v>
      </c>
      <c r="M153" s="11">
        <f t="shared" si="19"/>
        <v>-238328</v>
      </c>
      <c r="N153" s="11">
        <f t="shared" si="19"/>
        <v>3844</v>
      </c>
      <c r="O153" s="11">
        <f t="shared" si="19"/>
        <v>-62</v>
      </c>
      <c r="P153" s="11">
        <f t="shared" si="18"/>
        <v>0</v>
      </c>
    </row>
    <row r="154" spans="1:16" x14ac:dyDescent="0.25">
      <c r="A154" s="11">
        <f t="shared" si="17"/>
        <v>99</v>
      </c>
      <c r="B154">
        <v>-14.338677327505614</v>
      </c>
      <c r="E154" s="11">
        <f>A154-'Mastercurve bestimmen'!$B$2</f>
        <v>-61</v>
      </c>
      <c r="F154" s="11">
        <f t="shared" si="15"/>
        <v>-14.338677327505614</v>
      </c>
      <c r="G154" s="11"/>
      <c r="H154" s="11">
        <f t="shared" si="16"/>
        <v>191707312997281</v>
      </c>
      <c r="I154" s="11">
        <f t="shared" si="19"/>
        <v>-3142742836021</v>
      </c>
      <c r="J154" s="11">
        <f t="shared" si="19"/>
        <v>51520374361</v>
      </c>
      <c r="K154" s="11">
        <f t="shared" si="19"/>
        <v>-844596301</v>
      </c>
      <c r="L154" s="11">
        <f t="shared" si="19"/>
        <v>13845841</v>
      </c>
      <c r="M154" s="11">
        <f t="shared" si="19"/>
        <v>-226981</v>
      </c>
      <c r="N154" s="11">
        <f t="shared" si="19"/>
        <v>3721</v>
      </c>
      <c r="O154" s="11">
        <f t="shared" si="19"/>
        <v>-61</v>
      </c>
      <c r="P154" s="11">
        <f t="shared" si="18"/>
        <v>0</v>
      </c>
    </row>
    <row r="155" spans="1:16" x14ac:dyDescent="0.25">
      <c r="A155" s="11">
        <f t="shared" si="17"/>
        <v>100</v>
      </c>
      <c r="B155">
        <v>-13.860829745996767</v>
      </c>
      <c r="E155" s="11">
        <f>A155-'Mastercurve bestimmen'!$B$2</f>
        <v>-60</v>
      </c>
      <c r="F155" s="11">
        <f t="shared" si="15"/>
        <v>-13.860829745996767</v>
      </c>
      <c r="G155" s="11"/>
      <c r="H155" s="11">
        <f t="shared" si="16"/>
        <v>167961600000000</v>
      </c>
      <c r="I155" s="11">
        <f t="shared" si="19"/>
        <v>-2799360000000</v>
      </c>
      <c r="J155" s="11">
        <f t="shared" si="19"/>
        <v>46656000000</v>
      </c>
      <c r="K155" s="11">
        <f t="shared" si="19"/>
        <v>-777600000</v>
      </c>
      <c r="L155" s="11">
        <f t="shared" si="19"/>
        <v>12960000</v>
      </c>
      <c r="M155" s="11">
        <f t="shared" si="19"/>
        <v>-216000</v>
      </c>
      <c r="N155" s="11">
        <f t="shared" si="19"/>
        <v>3600</v>
      </c>
      <c r="O155" s="11">
        <f t="shared" si="19"/>
        <v>-60</v>
      </c>
      <c r="P155" s="11">
        <f t="shared" si="18"/>
        <v>0</v>
      </c>
    </row>
    <row r="156" spans="1:16" x14ac:dyDescent="0.25">
      <c r="A156" s="11">
        <f t="shared" si="17"/>
        <v>101</v>
      </c>
      <c r="B156">
        <v>-13.387288588694821</v>
      </c>
      <c r="E156" s="11">
        <f>A156-'Mastercurve bestimmen'!$B$2</f>
        <v>-59</v>
      </c>
      <c r="F156" s="11">
        <f t="shared" si="15"/>
        <v>-13.387288588694821</v>
      </c>
      <c r="G156" s="11"/>
      <c r="H156" s="11">
        <f t="shared" si="16"/>
        <v>146830437604321</v>
      </c>
      <c r="I156" s="11">
        <f t="shared" si="19"/>
        <v>-2488651484819</v>
      </c>
      <c r="J156" s="11">
        <f t="shared" si="19"/>
        <v>42180533641</v>
      </c>
      <c r="K156" s="11">
        <f t="shared" si="19"/>
        <v>-714924299</v>
      </c>
      <c r="L156" s="11">
        <f t="shared" si="19"/>
        <v>12117361</v>
      </c>
      <c r="M156" s="11">
        <f t="shared" si="19"/>
        <v>-205379</v>
      </c>
      <c r="N156" s="11">
        <f t="shared" si="19"/>
        <v>3481</v>
      </c>
      <c r="O156" s="11">
        <f t="shared" si="19"/>
        <v>-59</v>
      </c>
      <c r="P156" s="11">
        <f t="shared" si="18"/>
        <v>0</v>
      </c>
    </row>
    <row r="157" spans="1:16" x14ac:dyDescent="0.25">
      <c r="A157" s="11">
        <f t="shared" si="17"/>
        <v>102</v>
      </c>
      <c r="B157">
        <v>-12.918382772917441</v>
      </c>
      <c r="E157" s="11">
        <f>A157-'Mastercurve bestimmen'!$B$2</f>
        <v>-58</v>
      </c>
      <c r="F157" s="11">
        <f t="shared" si="15"/>
        <v>-12.918382772917441</v>
      </c>
      <c r="G157" s="11"/>
      <c r="H157" s="11">
        <f t="shared" si="16"/>
        <v>128063081718016</v>
      </c>
      <c r="I157" s="11">
        <f t="shared" si="19"/>
        <v>-2207984167552</v>
      </c>
      <c r="J157" s="11">
        <f t="shared" si="19"/>
        <v>38068692544</v>
      </c>
      <c r="K157" s="11">
        <f t="shared" si="19"/>
        <v>-656356768</v>
      </c>
      <c r="L157" s="11">
        <f t="shared" si="19"/>
        <v>11316496</v>
      </c>
      <c r="M157" s="11">
        <f t="shared" si="19"/>
        <v>-195112</v>
      </c>
      <c r="N157" s="11">
        <f t="shared" si="19"/>
        <v>3364</v>
      </c>
      <c r="O157" s="11">
        <f t="shared" si="19"/>
        <v>-58</v>
      </c>
      <c r="P157" s="11">
        <f t="shared" si="18"/>
        <v>0</v>
      </c>
    </row>
    <row r="158" spans="1:16" x14ac:dyDescent="0.25">
      <c r="A158" s="11">
        <f t="shared" si="17"/>
        <v>103</v>
      </c>
      <c r="B158">
        <v>-12.454441215982296</v>
      </c>
      <c r="E158" s="11">
        <f>A158-'Mastercurve bestimmen'!$B$2</f>
        <v>-57</v>
      </c>
      <c r="F158" s="11">
        <f t="shared" si="15"/>
        <v>-12.454441215982296</v>
      </c>
      <c r="G158" s="11"/>
      <c r="H158" s="11">
        <f t="shared" si="16"/>
        <v>111429157112001</v>
      </c>
      <c r="I158" s="11">
        <f t="shared" si="19"/>
        <v>-1954897493193</v>
      </c>
      <c r="J158" s="11">
        <f t="shared" si="19"/>
        <v>34296447249</v>
      </c>
      <c r="K158" s="11">
        <f t="shared" si="19"/>
        <v>-601692057</v>
      </c>
      <c r="L158" s="11">
        <f t="shared" si="19"/>
        <v>10556001</v>
      </c>
      <c r="M158" s="11">
        <f t="shared" si="19"/>
        <v>-185193</v>
      </c>
      <c r="N158" s="11">
        <f t="shared" si="19"/>
        <v>3249</v>
      </c>
      <c r="O158" s="11">
        <f t="shared" si="19"/>
        <v>-57</v>
      </c>
      <c r="P158" s="11">
        <f t="shared" si="18"/>
        <v>0</v>
      </c>
    </row>
    <row r="159" spans="1:16" x14ac:dyDescent="0.25">
      <c r="A159" s="11">
        <f t="shared" si="17"/>
        <v>104</v>
      </c>
      <c r="B159">
        <v>-11.995792835207061</v>
      </c>
      <c r="E159" s="11">
        <f>A159-'Mastercurve bestimmen'!$B$2</f>
        <v>-56</v>
      </c>
      <c r="F159" s="11">
        <f t="shared" si="15"/>
        <v>-11.995792835207061</v>
      </c>
      <c r="G159" s="11"/>
      <c r="H159" s="11">
        <f t="shared" si="16"/>
        <v>96717311574016</v>
      </c>
      <c r="I159" s="11">
        <f t="shared" si="19"/>
        <v>-1727094849536</v>
      </c>
      <c r="J159" s="11">
        <f t="shared" si="19"/>
        <v>30840979456</v>
      </c>
      <c r="K159" s="11">
        <f t="shared" si="19"/>
        <v>-550731776</v>
      </c>
      <c r="L159" s="11">
        <f t="shared" si="19"/>
        <v>9834496</v>
      </c>
      <c r="M159" s="11">
        <f t="shared" si="19"/>
        <v>-175616</v>
      </c>
      <c r="N159" s="11">
        <f t="shared" si="19"/>
        <v>3136</v>
      </c>
      <c r="O159" s="11">
        <f t="shared" si="19"/>
        <v>-56</v>
      </c>
      <c r="P159" s="11">
        <f t="shared" si="18"/>
        <v>0</v>
      </c>
    </row>
    <row r="160" spans="1:16" x14ac:dyDescent="0.25">
      <c r="A160" s="11">
        <f t="shared" si="17"/>
        <v>105</v>
      </c>
      <c r="B160">
        <v>-11.542766547909405</v>
      </c>
      <c r="E160" s="11">
        <f>A160-'Mastercurve bestimmen'!$B$2</f>
        <v>-55</v>
      </c>
      <c r="F160" s="11">
        <f t="shared" si="15"/>
        <v>-11.542766547909405</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-11.095691271406992</v>
      </c>
      <c r="E161" s="11">
        <f>A161-'Mastercurve bestimmen'!$B$2</f>
        <v>-54</v>
      </c>
      <c r="F161" s="11">
        <f t="shared" si="15"/>
        <v>-11.095691271406992</v>
      </c>
      <c r="G161" s="11"/>
      <c r="H161" s="11">
        <f t="shared" si="16"/>
        <v>72301961339136</v>
      </c>
      <c r="I161" s="11">
        <f t="shared" si="19"/>
        <v>-1338925209984</v>
      </c>
      <c r="J161" s="11">
        <f t="shared" si="19"/>
        <v>24794911296</v>
      </c>
      <c r="K161" s="11">
        <f t="shared" si="19"/>
        <v>-459165024</v>
      </c>
      <c r="L161" s="11">
        <f t="shared" si="19"/>
        <v>8503056</v>
      </c>
      <c r="M161" s="11">
        <f t="shared" si="19"/>
        <v>-157464</v>
      </c>
      <c r="N161" s="11">
        <f t="shared" si="19"/>
        <v>2916</v>
      </c>
      <c r="O161" s="11">
        <f t="shared" si="19"/>
        <v>-54</v>
      </c>
      <c r="P161" s="11">
        <f t="shared" si="18"/>
        <v>0</v>
      </c>
    </row>
    <row r="162" spans="1:16" x14ac:dyDescent="0.25">
      <c r="A162" s="11">
        <f t="shared" si="17"/>
        <v>107</v>
      </c>
      <c r="B162">
        <v>-10.654895923017499</v>
      </c>
      <c r="E162" s="11">
        <f>A162-'Mastercurve bestimmen'!$B$2</f>
        <v>-53</v>
      </c>
      <c r="F162" s="11">
        <f t="shared" si="15"/>
        <v>-10.654895923017499</v>
      </c>
      <c r="G162" s="11"/>
      <c r="H162" s="11">
        <f t="shared" si="16"/>
        <v>62259690411361</v>
      </c>
      <c r="I162" s="11">
        <f t="shared" si="19"/>
        <v>-1174711139837</v>
      </c>
      <c r="J162" s="11">
        <f t="shared" si="19"/>
        <v>22164361129</v>
      </c>
      <c r="K162" s="11">
        <f t="shared" si="19"/>
        <v>-418195493</v>
      </c>
      <c r="L162" s="11">
        <f t="shared" si="19"/>
        <v>7890481</v>
      </c>
      <c r="M162" s="11">
        <f t="shared" si="19"/>
        <v>-148877</v>
      </c>
      <c r="N162" s="11">
        <f t="shared" si="19"/>
        <v>2809</v>
      </c>
      <c r="O162" s="11">
        <f t="shared" si="19"/>
        <v>-53</v>
      </c>
      <c r="P162" s="11">
        <f t="shared" si="18"/>
        <v>0</v>
      </c>
    </row>
    <row r="163" spans="1:16" x14ac:dyDescent="0.25">
      <c r="A163" s="11">
        <f t="shared" si="17"/>
        <v>108</v>
      </c>
      <c r="B163">
        <v>-10.22070942005859</v>
      </c>
      <c r="E163" s="11">
        <f>A163-'Mastercurve bestimmen'!$B$2</f>
        <v>-52</v>
      </c>
      <c r="F163" s="11">
        <f t="shared" si="15"/>
        <v>-10.22070942005859</v>
      </c>
      <c r="G163" s="11"/>
      <c r="H163" s="11">
        <f t="shared" si="16"/>
        <v>53459728531456</v>
      </c>
      <c r="I163" s="11">
        <f t="shared" si="19"/>
        <v>-1028071702528</v>
      </c>
      <c r="J163" s="11">
        <f t="shared" si="19"/>
        <v>19770609664</v>
      </c>
      <c r="K163" s="11">
        <f t="shared" si="19"/>
        <v>-380204032</v>
      </c>
      <c r="L163" s="11">
        <f t="shared" si="19"/>
        <v>7311616</v>
      </c>
      <c r="M163" s="11">
        <f t="shared" si="19"/>
        <v>-140608</v>
      </c>
      <c r="N163" s="11">
        <f t="shared" si="19"/>
        <v>2704</v>
      </c>
      <c r="O163" s="11">
        <f t="shared" si="19"/>
        <v>-52</v>
      </c>
      <c r="P163" s="11">
        <f t="shared" si="18"/>
        <v>0</v>
      </c>
    </row>
    <row r="164" spans="1:16" x14ac:dyDescent="0.25">
      <c r="A164" s="11">
        <f t="shared" si="17"/>
        <v>109</v>
      </c>
      <c r="B164">
        <v>-9.7934606798479411</v>
      </c>
      <c r="E164" s="11">
        <f>A164-'Mastercurve bestimmen'!$B$2</f>
        <v>-51</v>
      </c>
      <c r="F164" s="11">
        <f t="shared" si="15"/>
        <v>-9.7934606798479411</v>
      </c>
      <c r="G164" s="11"/>
      <c r="H164" s="11">
        <f t="shared" si="16"/>
        <v>45767944570401</v>
      </c>
      <c r="I164" s="11">
        <f t="shared" si="19"/>
        <v>-897410677851</v>
      </c>
      <c r="J164" s="11">
        <f t="shared" si="19"/>
        <v>17596287801</v>
      </c>
      <c r="K164" s="11">
        <f t="shared" si="19"/>
        <v>-345025251</v>
      </c>
      <c r="L164" s="11">
        <f t="shared" si="19"/>
        <v>6765201</v>
      </c>
      <c r="M164" s="11">
        <f t="shared" si="19"/>
        <v>-132651</v>
      </c>
      <c r="N164" s="11">
        <f t="shared" si="19"/>
        <v>2601</v>
      </c>
      <c r="O164" s="11">
        <f t="shared" si="19"/>
        <v>-51</v>
      </c>
      <c r="P164" s="11">
        <f t="shared" si="18"/>
        <v>0</v>
      </c>
    </row>
    <row r="165" spans="1:16" x14ac:dyDescent="0.25">
      <c r="A165" s="11">
        <f t="shared" si="17"/>
        <v>110</v>
      </c>
      <c r="B165">
        <v>-9.3734786197032189</v>
      </c>
      <c r="E165" s="11">
        <f>A165-'Mastercurve bestimmen'!$B$2</f>
        <v>-50</v>
      </c>
      <c r="F165" s="11">
        <f t="shared" si="15"/>
        <v>-9.3734786197032189</v>
      </c>
      <c r="G165" s="11"/>
      <c r="H165" s="11">
        <f t="shared" si="16"/>
        <v>39062500000000</v>
      </c>
      <c r="I165" s="11">
        <f t="shared" si="19"/>
        <v>-781250000000</v>
      </c>
      <c r="J165" s="11">
        <f t="shared" si="19"/>
        <v>15625000000</v>
      </c>
      <c r="K165" s="11">
        <f t="shared" si="19"/>
        <v>-312500000</v>
      </c>
      <c r="L165" s="11">
        <f t="shared" si="19"/>
        <v>6250000</v>
      </c>
      <c r="M165" s="11">
        <f t="shared" si="19"/>
        <v>-125000</v>
      </c>
      <c r="N165" s="11">
        <f t="shared" si="19"/>
        <v>2500</v>
      </c>
      <c r="O165" s="11">
        <f t="shared" si="19"/>
        <v>-50</v>
      </c>
      <c r="P165" s="11">
        <f t="shared" si="18"/>
        <v>0</v>
      </c>
    </row>
    <row r="166" spans="1:16" x14ac:dyDescent="0.25">
      <c r="A166" s="11">
        <f t="shared" si="17"/>
        <v>111</v>
      </c>
      <c r="B166">
        <v>-8.9610921569420938</v>
      </c>
      <c r="E166" s="11">
        <f>A166-'Mastercurve bestimmen'!$B$2</f>
        <v>-49</v>
      </c>
      <c r="F166" s="11">
        <f t="shared" si="15"/>
        <v>-8.9610921569420938</v>
      </c>
      <c r="G166" s="11"/>
      <c r="H166" s="11">
        <f t="shared" si="16"/>
        <v>33232930569601</v>
      </c>
      <c r="I166" s="11">
        <f t="shared" si="19"/>
        <v>-678223072849</v>
      </c>
      <c r="J166" s="11">
        <f t="shared" si="19"/>
        <v>13841287201</v>
      </c>
      <c r="K166" s="11">
        <f t="shared" si="19"/>
        <v>-282475249</v>
      </c>
      <c r="L166" s="11">
        <f t="shared" si="19"/>
        <v>5764801</v>
      </c>
      <c r="M166" s="11">
        <f t="shared" si="19"/>
        <v>-117649</v>
      </c>
      <c r="N166" s="11">
        <f t="shared" si="19"/>
        <v>2401</v>
      </c>
      <c r="O166" s="11">
        <f t="shared" si="19"/>
        <v>-49</v>
      </c>
      <c r="P166" s="11">
        <f t="shared" si="18"/>
        <v>0</v>
      </c>
    </row>
    <row r="167" spans="1:16" x14ac:dyDescent="0.25">
      <c r="A167" s="11">
        <f t="shared" si="17"/>
        <v>112</v>
      </c>
      <c r="B167">
        <v>-8.5566302088822379</v>
      </c>
      <c r="E167" s="11">
        <f>A167-'Mastercurve bestimmen'!$B$2</f>
        <v>-48</v>
      </c>
      <c r="F167" s="11">
        <f t="shared" si="15"/>
        <v>-8.5566302088822379</v>
      </c>
      <c r="G167" s="11"/>
      <c r="H167" s="11">
        <f t="shared" si="16"/>
        <v>28179280429056</v>
      </c>
      <c r="I167" s="11">
        <f t="shared" si="19"/>
        <v>-587068342272</v>
      </c>
      <c r="J167" s="11">
        <f t="shared" si="19"/>
        <v>12230590464</v>
      </c>
      <c r="K167" s="11">
        <f t="shared" si="19"/>
        <v>-254803968</v>
      </c>
      <c r="L167" s="11">
        <f t="shared" si="19"/>
        <v>5308416</v>
      </c>
      <c r="M167" s="11">
        <f t="shared" si="19"/>
        <v>-110592</v>
      </c>
      <c r="N167" s="11">
        <f t="shared" si="19"/>
        <v>2304</v>
      </c>
      <c r="O167" s="11">
        <f t="shared" si="19"/>
        <v>-48</v>
      </c>
      <c r="P167" s="11">
        <f t="shared" si="18"/>
        <v>0</v>
      </c>
    </row>
    <row r="168" spans="1:16" x14ac:dyDescent="0.25">
      <c r="A168" s="11">
        <f t="shared" si="17"/>
        <v>113</v>
      </c>
      <c r="B168">
        <v>-8.160421692841318</v>
      </c>
      <c r="E168" s="11">
        <f>A168-'Mastercurve bestimmen'!$B$2</f>
        <v>-47</v>
      </c>
      <c r="F168" s="11">
        <f t="shared" si="15"/>
        <v>-8.160421692841318</v>
      </c>
      <c r="G168" s="11"/>
      <c r="H168" s="11">
        <f t="shared" si="16"/>
        <v>23811286661761</v>
      </c>
      <c r="I168" s="11">
        <f t="shared" si="19"/>
        <v>-506623120463</v>
      </c>
      <c r="J168" s="11">
        <f t="shared" si="19"/>
        <v>10779215329</v>
      </c>
      <c r="K168" s="11">
        <f t="shared" si="19"/>
        <v>-229345007</v>
      </c>
      <c r="L168" s="11">
        <f t="shared" si="19"/>
        <v>4879681</v>
      </c>
      <c r="M168" s="11">
        <f t="shared" si="19"/>
        <v>-103823</v>
      </c>
      <c r="N168" s="11">
        <f t="shared" si="19"/>
        <v>2209</v>
      </c>
      <c r="O168" s="11">
        <f t="shared" si="19"/>
        <v>-47</v>
      </c>
      <c r="P168" s="11">
        <f t="shared" si="18"/>
        <v>0</v>
      </c>
    </row>
    <row r="169" spans="1:16" x14ac:dyDescent="0.25">
      <c r="A169" s="11">
        <f t="shared" si="17"/>
        <v>114</v>
      </c>
      <c r="B169">
        <v>-7.7727955261370072</v>
      </c>
      <c r="E169" s="11">
        <f>A169-'Mastercurve bestimmen'!$B$2</f>
        <v>-46</v>
      </c>
      <c r="F169" s="11">
        <f t="shared" si="15"/>
        <v>-7.7727955261370072</v>
      </c>
      <c r="G169" s="11"/>
      <c r="H169" s="11">
        <f t="shared" si="16"/>
        <v>20047612231936</v>
      </c>
      <c r="I169" s="11">
        <f t="shared" si="19"/>
        <v>-435817657216</v>
      </c>
      <c r="J169" s="11">
        <f t="shared" si="19"/>
        <v>9474296896</v>
      </c>
      <c r="K169" s="11">
        <f t="shared" si="19"/>
        <v>-205962976</v>
      </c>
      <c r="L169" s="11">
        <f t="shared" si="19"/>
        <v>4477456</v>
      </c>
      <c r="M169" s="11">
        <f t="shared" si="19"/>
        <v>-97336</v>
      </c>
      <c r="N169" s="11">
        <f t="shared" si="19"/>
        <v>2116</v>
      </c>
      <c r="O169" s="11">
        <f t="shared" si="19"/>
        <v>-46</v>
      </c>
      <c r="P169" s="11">
        <f t="shared" si="18"/>
        <v>0</v>
      </c>
    </row>
    <row r="170" spans="1:16" x14ac:dyDescent="0.25">
      <c r="A170" s="11">
        <f t="shared" si="17"/>
        <v>115</v>
      </c>
      <c r="B170">
        <v>-7.394080626086974</v>
      </c>
      <c r="E170" s="11">
        <f>A170-'Mastercurve bestimmen'!$B$2</f>
        <v>-45</v>
      </c>
      <c r="F170" s="11">
        <f t="shared" si="15"/>
        <v>-7.394080626086974</v>
      </c>
      <c r="G170" s="11"/>
      <c r="H170" s="11">
        <f t="shared" si="16"/>
        <v>16815125390625</v>
      </c>
      <c r="I170" s="11">
        <f t="shared" si="19"/>
        <v>-373669453125</v>
      </c>
      <c r="J170" s="11">
        <f t="shared" si="19"/>
        <v>8303765625</v>
      </c>
      <c r="K170" s="11">
        <f t="shared" si="19"/>
        <v>-184528125</v>
      </c>
      <c r="L170" s="11">
        <f t="shared" si="19"/>
        <v>4100625</v>
      </c>
      <c r="M170" s="11">
        <f t="shared" si="19"/>
        <v>-91125</v>
      </c>
      <c r="N170" s="11">
        <f t="shared" si="19"/>
        <v>2025</v>
      </c>
      <c r="O170" s="11">
        <f t="shared" si="19"/>
        <v>-45</v>
      </c>
      <c r="P170" s="11">
        <f t="shared" si="18"/>
        <v>0</v>
      </c>
    </row>
    <row r="171" spans="1:16" x14ac:dyDescent="0.25">
      <c r="A171" s="11">
        <f t="shared" si="17"/>
        <v>116</v>
      </c>
      <c r="B171">
        <v>-7.024605910008888</v>
      </c>
      <c r="E171" s="11">
        <f>A171-'Mastercurve bestimmen'!$B$2</f>
        <v>-44</v>
      </c>
      <c r="F171" s="11">
        <f t="shared" si="15"/>
        <v>-7.024605910008888</v>
      </c>
      <c r="G171" s="11"/>
      <c r="H171" s="11">
        <f t="shared" si="16"/>
        <v>14048223625216</v>
      </c>
      <c r="I171" s="11">
        <f t="shared" si="19"/>
        <v>-319277809664</v>
      </c>
      <c r="J171" s="11">
        <f t="shared" si="19"/>
        <v>7256313856</v>
      </c>
      <c r="K171" s="11">
        <f t="shared" si="19"/>
        <v>-164916224</v>
      </c>
      <c r="L171" s="11">
        <f t="shared" si="19"/>
        <v>3748096</v>
      </c>
      <c r="M171" s="11">
        <f t="shared" si="19"/>
        <v>-85184</v>
      </c>
      <c r="N171" s="11">
        <f t="shared" si="19"/>
        <v>1936</v>
      </c>
      <c r="O171" s="11">
        <f t="shared" si="19"/>
        <v>-44</v>
      </c>
      <c r="P171" s="11">
        <f t="shared" si="18"/>
        <v>0</v>
      </c>
    </row>
    <row r="172" spans="1:16" x14ac:dyDescent="0.25">
      <c r="A172" s="11">
        <f t="shared" si="17"/>
        <v>117</v>
      </c>
      <c r="B172">
        <v>-6.6647002952204204</v>
      </c>
      <c r="E172" s="11">
        <f>A172-'Mastercurve bestimmen'!$B$2</f>
        <v>-43</v>
      </c>
      <c r="F172" s="11">
        <f t="shared" si="15"/>
        <v>-6.6647002952204204</v>
      </c>
      <c r="G172" s="11"/>
      <c r="H172" s="11">
        <f t="shared" si="16"/>
        <v>11688200277601</v>
      </c>
      <c r="I172" s="11">
        <f t="shared" si="19"/>
        <v>-271818611107</v>
      </c>
      <c r="J172" s="11">
        <f t="shared" si="19"/>
        <v>6321363049</v>
      </c>
      <c r="K172" s="11">
        <f t="shared" si="19"/>
        <v>-147008443</v>
      </c>
      <c r="L172" s="11">
        <f t="shared" si="19"/>
        <v>3418801</v>
      </c>
      <c r="M172" s="11">
        <f t="shared" si="19"/>
        <v>-79507</v>
      </c>
      <c r="N172" s="11">
        <f t="shared" si="19"/>
        <v>1849</v>
      </c>
      <c r="O172" s="11">
        <f t="shared" si="19"/>
        <v>-43</v>
      </c>
      <c r="P172" s="11">
        <f t="shared" si="18"/>
        <v>0</v>
      </c>
    </row>
    <row r="173" spans="1:16" x14ac:dyDescent="0.25">
      <c r="A173" s="11">
        <f t="shared" si="17"/>
        <v>118</v>
      </c>
      <c r="B173">
        <v>-6.3146926990392398</v>
      </c>
      <c r="E173" s="11">
        <f>A173-'Mastercurve bestimmen'!$B$2</f>
        <v>-42</v>
      </c>
      <c r="F173" s="11">
        <f t="shared" si="15"/>
        <v>-6.3146926990392398</v>
      </c>
      <c r="G173" s="11"/>
      <c r="H173" s="11">
        <f t="shared" si="16"/>
        <v>9682651996416</v>
      </c>
      <c r="I173" s="11">
        <f t="shared" si="19"/>
        <v>-230539333248</v>
      </c>
      <c r="J173" s="11">
        <f t="shared" si="19"/>
        <v>5489031744</v>
      </c>
      <c r="K173" s="11">
        <f t="shared" si="19"/>
        <v>-130691232</v>
      </c>
      <c r="L173" s="11">
        <f t="shared" si="19"/>
        <v>3111696</v>
      </c>
      <c r="M173" s="11">
        <f t="shared" si="19"/>
        <v>-74088</v>
      </c>
      <c r="N173" s="11">
        <f t="shared" si="19"/>
        <v>1764</v>
      </c>
      <c r="O173" s="11">
        <f t="shared" si="19"/>
        <v>-42</v>
      </c>
      <c r="P173" s="11">
        <f t="shared" si="18"/>
        <v>0</v>
      </c>
    </row>
    <row r="174" spans="1:16" x14ac:dyDescent="0.25">
      <c r="A174" s="11">
        <f t="shared" si="17"/>
        <v>119</v>
      </c>
      <c r="B174">
        <v>-5.9749120387830192</v>
      </c>
      <c r="E174" s="11">
        <f>A174-'Mastercurve bestimmen'!$B$2</f>
        <v>-41</v>
      </c>
      <c r="F174" s="11">
        <f t="shared" si="15"/>
        <v>-5.9749120387830192</v>
      </c>
      <c r="G174" s="11"/>
      <c r="H174" s="11">
        <f t="shared" si="16"/>
        <v>7984925229121</v>
      </c>
      <c r="I174" s="11">
        <f t="shared" si="19"/>
        <v>-194754273881</v>
      </c>
      <c r="J174" s="11">
        <f t="shared" si="19"/>
        <v>4750104241</v>
      </c>
      <c r="K174" s="11">
        <f t="shared" si="19"/>
        <v>-115856201</v>
      </c>
      <c r="L174" s="11">
        <f t="shared" si="19"/>
        <v>2825761</v>
      </c>
      <c r="M174" s="11">
        <f t="shared" si="19"/>
        <v>-68921</v>
      </c>
      <c r="N174" s="11">
        <f t="shared" si="19"/>
        <v>1681</v>
      </c>
      <c r="O174" s="11">
        <f t="shared" si="19"/>
        <v>-41</v>
      </c>
      <c r="P174" s="11">
        <f t="shared" si="18"/>
        <v>0</v>
      </c>
    </row>
    <row r="175" spans="1:16" x14ac:dyDescent="0.25">
      <c r="A175" s="11">
        <f t="shared" si="17"/>
        <v>120</v>
      </c>
      <c r="B175">
        <v>-5.6456872317694256</v>
      </c>
      <c r="E175" s="11">
        <f>A175-'Mastercurve bestimmen'!$B$2</f>
        <v>-40</v>
      </c>
      <c r="F175" s="11">
        <f t="shared" si="15"/>
        <v>-5.6456872317694256</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-5.3273471953161291</v>
      </c>
      <c r="E176" s="11">
        <f>A176-'Mastercurve bestimmen'!$B$2</f>
        <v>-39</v>
      </c>
      <c r="F176" s="11">
        <f t="shared" si="15"/>
        <v>-5.3273471953161291</v>
      </c>
      <c r="G176" s="11"/>
      <c r="H176" s="11">
        <f t="shared" si="16"/>
        <v>5352009260481</v>
      </c>
      <c r="I176" s="11">
        <f t="shared" si="19"/>
        <v>-137231006679</v>
      </c>
      <c r="J176" s="11">
        <f t="shared" si="19"/>
        <v>3518743761</v>
      </c>
      <c r="K176" s="11">
        <f t="shared" si="19"/>
        <v>-90224199</v>
      </c>
      <c r="L176" s="11">
        <f t="shared" si="19"/>
        <v>2313441</v>
      </c>
      <c r="M176" s="11">
        <f t="shared" si="19"/>
        <v>-59319</v>
      </c>
      <c r="N176" s="11">
        <f t="shared" si="19"/>
        <v>1521</v>
      </c>
      <c r="O176" s="11">
        <f t="shared" si="19"/>
        <v>-39</v>
      </c>
      <c r="P176" s="11">
        <f t="shared" si="18"/>
        <v>0</v>
      </c>
    </row>
    <row r="177" spans="1:16" x14ac:dyDescent="0.25">
      <c r="A177" s="11">
        <f t="shared" si="17"/>
        <v>122</v>
      </c>
      <c r="B177">
        <v>-5.0202208467408029</v>
      </c>
      <c r="E177" s="11">
        <f>A177-'Mastercurve bestimmen'!$B$2</f>
        <v>-38</v>
      </c>
      <c r="F177" s="11">
        <f t="shared" si="15"/>
        <v>-5.0202208467408029</v>
      </c>
      <c r="G177" s="11"/>
      <c r="H177" s="11">
        <f t="shared" si="16"/>
        <v>4347792138496</v>
      </c>
      <c r="I177" s="11">
        <f t="shared" si="19"/>
        <v>-114415582592</v>
      </c>
      <c r="J177" s="11">
        <f t="shared" si="19"/>
        <v>3010936384</v>
      </c>
      <c r="K177" s="11">
        <f t="shared" si="19"/>
        <v>-79235168</v>
      </c>
      <c r="L177" s="11">
        <f t="shared" si="19"/>
        <v>2085136</v>
      </c>
      <c r="M177" s="11">
        <f t="shared" si="19"/>
        <v>-54872</v>
      </c>
      <c r="N177" s="11">
        <f t="shared" si="19"/>
        <v>1444</v>
      </c>
      <c r="O177" s="11">
        <f t="shared" si="19"/>
        <v>-38</v>
      </c>
      <c r="P177" s="11">
        <f t="shared" si="18"/>
        <v>0</v>
      </c>
    </row>
    <row r="178" spans="1:16" x14ac:dyDescent="0.25">
      <c r="A178" s="11">
        <f t="shared" si="17"/>
        <v>123</v>
      </c>
      <c r="B178">
        <v>-4.7246371033611139</v>
      </c>
      <c r="E178" s="11">
        <f>A178-'Mastercurve bestimmen'!$B$2</f>
        <v>-37</v>
      </c>
      <c r="F178" s="11">
        <f t="shared" si="15"/>
        <v>-4.7246371033611139</v>
      </c>
      <c r="G178" s="11"/>
      <c r="H178" s="11">
        <f t="shared" si="16"/>
        <v>3512479453921</v>
      </c>
      <c r="I178" s="11">
        <f t="shared" si="19"/>
        <v>-94931877133</v>
      </c>
      <c r="J178" s="11">
        <f t="shared" si="19"/>
        <v>2565726409</v>
      </c>
      <c r="K178" s="11">
        <f t="shared" si="19"/>
        <v>-69343957</v>
      </c>
      <c r="L178" s="11">
        <f t="shared" si="19"/>
        <v>1874161</v>
      </c>
      <c r="M178" s="11">
        <f t="shared" si="19"/>
        <v>-50653</v>
      </c>
      <c r="N178" s="11">
        <f t="shared" si="19"/>
        <v>1369</v>
      </c>
      <c r="O178" s="11">
        <f t="shared" si="19"/>
        <v>-37</v>
      </c>
      <c r="P178" s="11">
        <f t="shared" si="18"/>
        <v>0</v>
      </c>
    </row>
    <row r="179" spans="1:16" x14ac:dyDescent="0.25">
      <c r="A179" s="11">
        <f t="shared" si="17"/>
        <v>124</v>
      </c>
      <c r="B179">
        <v>-4.440924882494734</v>
      </c>
      <c r="E179" s="11">
        <f>A179-'Mastercurve bestimmen'!$B$2</f>
        <v>-36</v>
      </c>
      <c r="F179" s="11">
        <f t="shared" si="15"/>
        <v>-4.440924882494734</v>
      </c>
      <c r="G179" s="11"/>
      <c r="H179" s="11">
        <f t="shared" si="16"/>
        <v>2821109907456</v>
      </c>
      <c r="I179" s="11">
        <f t="shared" si="19"/>
        <v>-78364164096</v>
      </c>
      <c r="J179" s="11">
        <f t="shared" si="19"/>
        <v>2176782336</v>
      </c>
      <c r="K179" s="11">
        <f t="shared" si="19"/>
        <v>-60466176</v>
      </c>
      <c r="L179" s="11">
        <f t="shared" si="19"/>
        <v>1679616</v>
      </c>
      <c r="M179" s="11">
        <f t="shared" si="19"/>
        <v>-46656</v>
      </c>
      <c r="N179" s="11">
        <f t="shared" si="19"/>
        <v>1296</v>
      </c>
      <c r="O179" s="11">
        <f t="shared" si="19"/>
        <v>-36</v>
      </c>
      <c r="P179" s="11">
        <f t="shared" si="18"/>
        <v>0</v>
      </c>
    </row>
    <row r="180" spans="1:16" x14ac:dyDescent="0.25">
      <c r="A180" s="11">
        <f t="shared" si="17"/>
        <v>125</v>
      </c>
      <c r="B180">
        <v>-4.1694131014593312</v>
      </c>
      <c r="E180" s="11">
        <f>A180-'Mastercurve bestimmen'!$B$2</f>
        <v>-35</v>
      </c>
      <c r="F180" s="11">
        <f t="shared" si="15"/>
        <v>-4.1694131014593312</v>
      </c>
      <c r="G180" s="11"/>
      <c r="H180" s="11">
        <f t="shared" si="16"/>
        <v>2251875390625</v>
      </c>
      <c r="I180" s="11">
        <f t="shared" si="19"/>
        <v>-64339296875</v>
      </c>
      <c r="J180" s="11">
        <f t="shared" si="19"/>
        <v>1838265625</v>
      </c>
      <c r="K180" s="11">
        <f t="shared" si="19"/>
        <v>-52521875</v>
      </c>
      <c r="L180" s="11">
        <f t="shared" si="19"/>
        <v>1500625</v>
      </c>
      <c r="M180" s="11">
        <f t="shared" si="19"/>
        <v>-42875</v>
      </c>
      <c r="N180" s="11">
        <f t="shared" si="19"/>
        <v>1225</v>
      </c>
      <c r="O180" s="11">
        <f t="shared" si="19"/>
        <v>-35</v>
      </c>
      <c r="P180" s="11">
        <f t="shared" si="18"/>
        <v>0</v>
      </c>
    </row>
    <row r="181" spans="1:16" x14ac:dyDescent="0.25">
      <c r="A181" s="11">
        <f t="shared" si="17"/>
        <v>126</v>
      </c>
      <c r="B181">
        <v>-3.9103161944141638</v>
      </c>
      <c r="E181" s="11">
        <f>A181-'Mastercurve bestimmen'!$B$2</f>
        <v>-34</v>
      </c>
      <c r="F181" s="11">
        <f t="shared" si="15"/>
        <v>-3.9103161944141638</v>
      </c>
      <c r="G181" s="11"/>
      <c r="H181" s="11">
        <f t="shared" si="16"/>
        <v>1785793904896</v>
      </c>
      <c r="I181" s="11">
        <f t="shared" si="19"/>
        <v>-52523350144</v>
      </c>
      <c r="J181" s="11">
        <f t="shared" si="19"/>
        <v>1544804416</v>
      </c>
      <c r="K181" s="11">
        <f t="shared" si="19"/>
        <v>-45435424</v>
      </c>
      <c r="L181" s="11">
        <f t="shared" si="19"/>
        <v>1336336</v>
      </c>
      <c r="M181" s="11">
        <f t="shared" si="19"/>
        <v>-39304</v>
      </c>
      <c r="N181" s="11">
        <f t="shared" si="19"/>
        <v>1156</v>
      </c>
      <c r="O181" s="11">
        <f t="shared" si="19"/>
        <v>-34</v>
      </c>
      <c r="P181" s="11">
        <f t="shared" si="18"/>
        <v>0</v>
      </c>
    </row>
    <row r="182" spans="1:16" x14ac:dyDescent="0.25">
      <c r="A182" s="11">
        <f t="shared" si="17"/>
        <v>127</v>
      </c>
      <c r="B182">
        <v>-3.6633906628848258</v>
      </c>
      <c r="E182" s="11">
        <f>A182-'Mastercurve bestimmen'!$B$2</f>
        <v>-33</v>
      </c>
      <c r="F182" s="11">
        <f t="shared" si="15"/>
        <v>-3.6633906628848258</v>
      </c>
      <c r="G182" s="11"/>
      <c r="H182" s="11">
        <f t="shared" si="16"/>
        <v>1406408618241</v>
      </c>
      <c r="I182" s="11">
        <f t="shared" si="19"/>
        <v>-42618442977</v>
      </c>
      <c r="J182" s="11">
        <f t="shared" si="19"/>
        <v>1291467969</v>
      </c>
      <c r="K182" s="11">
        <f t="shared" si="19"/>
        <v>-39135393</v>
      </c>
      <c r="L182" s="11">
        <f t="shared" si="19"/>
        <v>1185921</v>
      </c>
      <c r="M182" s="11">
        <f t="shared" si="19"/>
        <v>-35937</v>
      </c>
      <c r="N182" s="11">
        <f t="shared" si="19"/>
        <v>1089</v>
      </c>
      <c r="O182" s="11">
        <f t="shared" si="19"/>
        <v>-33</v>
      </c>
      <c r="P182" s="11">
        <f t="shared" si="18"/>
        <v>0</v>
      </c>
    </row>
    <row r="183" spans="1:16" x14ac:dyDescent="0.25">
      <c r="A183" s="11">
        <f t="shared" si="17"/>
        <v>128</v>
      </c>
      <c r="B183">
        <v>-3.4282785252384986</v>
      </c>
      <c r="E183" s="11">
        <f>A183-'Mastercurve bestimmen'!$B$2</f>
        <v>-32</v>
      </c>
      <c r="F183" s="11">
        <f t="shared" si="15"/>
        <v>-3.4282785252384986</v>
      </c>
      <c r="G183" s="11"/>
      <c r="H183" s="11">
        <f t="shared" si="16"/>
        <v>1099511627776</v>
      </c>
      <c r="I183" s="11">
        <f t="shared" si="19"/>
        <v>-34359738368</v>
      </c>
      <c r="J183" s="11">
        <f t="shared" si="19"/>
        <v>1073741824</v>
      </c>
      <c r="K183" s="11">
        <f t="shared" si="19"/>
        <v>-33554432</v>
      </c>
      <c r="L183" s="11">
        <f t="shared" si="19"/>
        <v>1048576</v>
      </c>
      <c r="M183" s="11">
        <f t="shared" si="19"/>
        <v>-32768</v>
      </c>
      <c r="N183" s="11">
        <f t="shared" si="19"/>
        <v>1024</v>
      </c>
      <c r="O183" s="11">
        <f t="shared" si="19"/>
        <v>-32</v>
      </c>
      <c r="P183" s="11">
        <f t="shared" si="18"/>
        <v>0</v>
      </c>
    </row>
    <row r="184" spans="1:16" x14ac:dyDescent="0.25">
      <c r="A184" s="11">
        <f t="shared" si="17"/>
        <v>129</v>
      </c>
      <c r="B184">
        <v>-3.2046217998423643</v>
      </c>
      <c r="E184" s="11">
        <f>A184-'Mastercurve bestimmen'!$B$2</f>
        <v>-31</v>
      </c>
      <c r="F184" s="11">
        <f t="shared" si="15"/>
        <v>-3.2046217998423643</v>
      </c>
      <c r="G184" s="11"/>
      <c r="H184" s="11">
        <f t="shared" si="16"/>
        <v>852891037441</v>
      </c>
      <c r="I184" s="11">
        <f t="shared" si="19"/>
        <v>-27512614111</v>
      </c>
      <c r="J184" s="11">
        <f t="shared" si="19"/>
        <v>887503681</v>
      </c>
      <c r="K184" s="11">
        <f t="shared" si="19"/>
        <v>-28629151</v>
      </c>
      <c r="L184" s="11">
        <f t="shared" si="19"/>
        <v>923521</v>
      </c>
      <c r="M184" s="11">
        <f t="shared" si="19"/>
        <v>-29791</v>
      </c>
      <c r="N184" s="11">
        <f t="shared" si="19"/>
        <v>961</v>
      </c>
      <c r="O184" s="11">
        <f t="shared" si="19"/>
        <v>-31</v>
      </c>
      <c r="P184" s="11">
        <f t="shared" si="18"/>
        <v>0</v>
      </c>
    </row>
    <row r="185" spans="1:16" x14ac:dyDescent="0.25">
      <c r="A185" s="11">
        <f t="shared" si="17"/>
        <v>130</v>
      </c>
      <c r="B185">
        <v>-2.9920625050636049</v>
      </c>
      <c r="E185" s="11">
        <f>A185-'Mastercurve bestimmen'!$B$2</f>
        <v>-30</v>
      </c>
      <c r="F185" s="11">
        <f t="shared" si="15"/>
        <v>-2.9920625050636049</v>
      </c>
      <c r="G185" s="11"/>
      <c r="H185" s="11">
        <f t="shared" si="16"/>
        <v>656100000000</v>
      </c>
      <c r="I185" s="11">
        <f t="shared" si="19"/>
        <v>-21870000000</v>
      </c>
      <c r="J185" s="11">
        <f t="shared" si="19"/>
        <v>729000000</v>
      </c>
      <c r="K185" s="11">
        <f t="shared" si="19"/>
        <v>-24300000</v>
      </c>
      <c r="L185" s="11">
        <f t="shared" si="19"/>
        <v>810000</v>
      </c>
      <c r="M185" s="11">
        <f t="shared" si="19"/>
        <v>-27000</v>
      </c>
      <c r="N185" s="11">
        <f t="shared" si="19"/>
        <v>900</v>
      </c>
      <c r="O185" s="11">
        <f t="shared" si="19"/>
        <v>-30</v>
      </c>
      <c r="P185" s="11">
        <f t="shared" si="18"/>
        <v>0</v>
      </c>
    </row>
    <row r="186" spans="1:16" x14ac:dyDescent="0.25">
      <c r="A186" s="11">
        <f t="shared" si="17"/>
        <v>131</v>
      </c>
      <c r="B186">
        <v>-2.790242659269401</v>
      </c>
      <c r="E186" s="11">
        <f>A186-'Mastercurve bestimmen'!$B$2</f>
        <v>-29</v>
      </c>
      <c r="F186" s="11">
        <f t="shared" si="15"/>
        <v>-2.790242659269401</v>
      </c>
      <c r="G186" s="11"/>
      <c r="H186" s="11">
        <f t="shared" si="16"/>
        <v>500246412961</v>
      </c>
      <c r="I186" s="11">
        <f t="shared" si="19"/>
        <v>-17249876309</v>
      </c>
      <c r="J186" s="11">
        <f t="shared" si="19"/>
        <v>594823321</v>
      </c>
      <c r="K186" s="11">
        <f t="shared" si="19"/>
        <v>-20511149</v>
      </c>
      <c r="L186" s="11">
        <f t="shared" si="19"/>
        <v>707281</v>
      </c>
      <c r="M186" s="11">
        <f t="shared" si="19"/>
        <v>-24389</v>
      </c>
      <c r="N186" s="11">
        <f t="shared" si="19"/>
        <v>841</v>
      </c>
      <c r="O186" s="11">
        <f t="shared" si="19"/>
        <v>-29</v>
      </c>
      <c r="P186" s="11">
        <f t="shared" si="18"/>
        <v>0</v>
      </c>
    </row>
    <row r="187" spans="1:16" x14ac:dyDescent="0.25">
      <c r="A187" s="11">
        <f t="shared" si="17"/>
        <v>132</v>
      </c>
      <c r="B187">
        <v>-2.5988042808269345</v>
      </c>
      <c r="E187" s="11">
        <f>A187-'Mastercurve bestimmen'!$B$2</f>
        <v>-28</v>
      </c>
      <c r="F187" s="11">
        <f t="shared" si="15"/>
        <v>-2.5988042808269345</v>
      </c>
      <c r="G187" s="11"/>
      <c r="H187" s="11">
        <f t="shared" si="16"/>
        <v>377801998336</v>
      </c>
      <c r="I187" s="11">
        <f t="shared" si="19"/>
        <v>-13492928512</v>
      </c>
      <c r="J187" s="11">
        <f t="shared" si="19"/>
        <v>481890304</v>
      </c>
      <c r="K187" s="11">
        <f t="shared" si="19"/>
        <v>-17210368</v>
      </c>
      <c r="L187" s="11">
        <f t="shared" si="19"/>
        <v>614656</v>
      </c>
      <c r="M187" s="11">
        <f t="shared" si="19"/>
        <v>-21952</v>
      </c>
      <c r="N187" s="11">
        <f t="shared" si="19"/>
        <v>784</v>
      </c>
      <c r="O187" s="11">
        <f t="shared" si="19"/>
        <v>-28</v>
      </c>
      <c r="P187" s="11">
        <f t="shared" si="18"/>
        <v>0</v>
      </c>
    </row>
    <row r="188" spans="1:16" x14ac:dyDescent="0.25">
      <c r="A188" s="11">
        <f t="shared" si="17"/>
        <v>133</v>
      </c>
      <c r="B188">
        <v>-2.4173893881033868</v>
      </c>
      <c r="E188" s="11">
        <f>A188-'Mastercurve bestimmen'!$B$2</f>
        <v>-27</v>
      </c>
      <c r="F188" s="11">
        <f t="shared" si="15"/>
        <v>-2.4173893881033868</v>
      </c>
      <c r="G188" s="11"/>
      <c r="H188" s="11">
        <f t="shared" si="16"/>
        <v>282429536481</v>
      </c>
      <c r="I188" s="11">
        <f t="shared" si="19"/>
        <v>-10460353203</v>
      </c>
      <c r="J188" s="11">
        <f t="shared" si="19"/>
        <v>387420489</v>
      </c>
      <c r="K188" s="11">
        <f t="shared" si="19"/>
        <v>-14348907</v>
      </c>
      <c r="L188" s="11">
        <f t="shared" si="19"/>
        <v>531441</v>
      </c>
      <c r="M188" s="11">
        <f t="shared" si="19"/>
        <v>-19683</v>
      </c>
      <c r="N188" s="11">
        <f t="shared" si="19"/>
        <v>729</v>
      </c>
      <c r="O188" s="11">
        <f t="shared" si="19"/>
        <v>-27</v>
      </c>
      <c r="P188" s="11">
        <f t="shared" si="18"/>
        <v>0</v>
      </c>
    </row>
    <row r="189" spans="1:16" x14ac:dyDescent="0.25">
      <c r="A189" s="11">
        <f t="shared" si="17"/>
        <v>134</v>
      </c>
      <c r="B189">
        <v>-2.2456399994659395</v>
      </c>
      <c r="E189" s="11">
        <f>A189-'Mastercurve bestimmen'!$B$2</f>
        <v>-26</v>
      </c>
      <c r="F189" s="11">
        <f t="shared" si="15"/>
        <v>-2.2456399994659395</v>
      </c>
      <c r="G189" s="11"/>
      <c r="H189" s="11">
        <f t="shared" si="16"/>
        <v>208827064576</v>
      </c>
      <c r="I189" s="11">
        <f t="shared" si="19"/>
        <v>-8031810176</v>
      </c>
      <c r="J189" s="11">
        <f t="shared" ref="I189:O215" si="20">IF($H$12&gt;=J$14,$E189^J$14,0)</f>
        <v>308915776</v>
      </c>
      <c r="K189" s="11">
        <f t="shared" si="20"/>
        <v>-11881376</v>
      </c>
      <c r="L189" s="11">
        <f t="shared" si="20"/>
        <v>456976</v>
      </c>
      <c r="M189" s="11">
        <f t="shared" si="20"/>
        <v>-17576</v>
      </c>
      <c r="N189" s="11">
        <f t="shared" si="20"/>
        <v>676</v>
      </c>
      <c r="O189" s="11">
        <f t="shared" si="20"/>
        <v>-26</v>
      </c>
      <c r="P189" s="11">
        <f t="shared" si="18"/>
        <v>0</v>
      </c>
    </row>
    <row r="190" spans="1:16" x14ac:dyDescent="0.25">
      <c r="A190" s="11">
        <f t="shared" si="17"/>
        <v>135</v>
      </c>
      <c r="B190">
        <v>-2.0831981332817739</v>
      </c>
      <c r="E190" s="11">
        <f>A190-'Mastercurve bestimmen'!$B$2</f>
        <v>-25</v>
      </c>
      <c r="F190" s="11">
        <f t="shared" si="15"/>
        <v>-2.0831981332817739</v>
      </c>
      <c r="G190" s="11"/>
      <c r="H190" s="11">
        <f t="shared" si="16"/>
        <v>152587890625</v>
      </c>
      <c r="I190" s="11">
        <f t="shared" si="20"/>
        <v>-6103515625</v>
      </c>
      <c r="J190" s="11">
        <f t="shared" si="20"/>
        <v>244140625</v>
      </c>
      <c r="K190" s="11">
        <f t="shared" si="20"/>
        <v>-9765625</v>
      </c>
      <c r="L190" s="11">
        <f t="shared" si="20"/>
        <v>390625</v>
      </c>
      <c r="M190" s="11">
        <f t="shared" si="20"/>
        <v>-15625</v>
      </c>
      <c r="N190" s="11">
        <f t="shared" si="20"/>
        <v>625</v>
      </c>
      <c r="O190" s="11">
        <f t="shared" si="20"/>
        <v>-25</v>
      </c>
      <c r="P190" s="11">
        <f t="shared" si="18"/>
        <v>0</v>
      </c>
    </row>
    <row r="191" spans="1:16" x14ac:dyDescent="0.25">
      <c r="A191" s="11">
        <f t="shared" si="17"/>
        <v>136</v>
      </c>
      <c r="B191">
        <v>-1.9297058079180713</v>
      </c>
      <c r="E191" s="11">
        <f>A191-'Mastercurve bestimmen'!$B$2</f>
        <v>-24</v>
      </c>
      <c r="F191" s="11">
        <f t="shared" si="15"/>
        <v>-1.9297058079180713</v>
      </c>
      <c r="G191" s="11"/>
      <c r="H191" s="11">
        <f t="shared" si="16"/>
        <v>110075314176</v>
      </c>
      <c r="I191" s="11">
        <f t="shared" si="20"/>
        <v>-4586471424</v>
      </c>
      <c r="J191" s="11">
        <f t="shared" si="20"/>
        <v>191102976</v>
      </c>
      <c r="K191" s="11">
        <f t="shared" si="20"/>
        <v>-7962624</v>
      </c>
      <c r="L191" s="11">
        <f t="shared" si="20"/>
        <v>331776</v>
      </c>
      <c r="M191" s="11">
        <f t="shared" si="20"/>
        <v>-13824</v>
      </c>
      <c r="N191" s="11">
        <f t="shared" si="20"/>
        <v>576</v>
      </c>
      <c r="O191" s="11">
        <f t="shared" si="20"/>
        <v>-24</v>
      </c>
      <c r="P191" s="11">
        <f t="shared" si="18"/>
        <v>0</v>
      </c>
    </row>
    <row r="192" spans="1:16" x14ac:dyDescent="0.25">
      <c r="A192" s="11">
        <f t="shared" si="17"/>
        <v>137</v>
      </c>
      <c r="B192">
        <v>-1.7848050417420134</v>
      </c>
      <c r="E192" s="11">
        <f>A192-'Mastercurve bestimmen'!$B$2</f>
        <v>-23</v>
      </c>
      <c r="F192" s="11">
        <f t="shared" si="15"/>
        <v>-1.7848050417420134</v>
      </c>
      <c r="G192" s="11"/>
      <c r="H192" s="11">
        <f t="shared" si="16"/>
        <v>78310985281</v>
      </c>
      <c r="I192" s="11">
        <f t="shared" si="20"/>
        <v>-3404825447</v>
      </c>
      <c r="J192" s="11">
        <f t="shared" si="20"/>
        <v>148035889</v>
      </c>
      <c r="K192" s="11">
        <f t="shared" si="20"/>
        <v>-6436343</v>
      </c>
      <c r="L192" s="11">
        <f t="shared" si="20"/>
        <v>279841</v>
      </c>
      <c r="M192" s="11">
        <f t="shared" si="20"/>
        <v>-12167</v>
      </c>
      <c r="N192" s="11">
        <f t="shared" si="20"/>
        <v>529</v>
      </c>
      <c r="O192" s="11">
        <f t="shared" si="20"/>
        <v>-23</v>
      </c>
      <c r="P192" s="11">
        <f t="shared" si="18"/>
        <v>0</v>
      </c>
    </row>
    <row r="193" spans="1:16" x14ac:dyDescent="0.25">
      <c r="A193" s="11">
        <f t="shared" si="17"/>
        <v>138</v>
      </c>
      <c r="B193">
        <v>-1.6481378531207818</v>
      </c>
      <c r="E193" s="11">
        <f>A193-'Mastercurve bestimmen'!$B$2</f>
        <v>-22</v>
      </c>
      <c r="F193" s="11">
        <f t="shared" si="15"/>
        <v>-1.6481378531207818</v>
      </c>
      <c r="G193" s="11"/>
      <c r="H193" s="11">
        <f t="shared" si="16"/>
        <v>54875873536</v>
      </c>
      <c r="I193" s="11">
        <f t="shared" si="20"/>
        <v>-2494357888</v>
      </c>
      <c r="J193" s="11">
        <f t="shared" si="20"/>
        <v>113379904</v>
      </c>
      <c r="K193" s="11">
        <f t="shared" si="20"/>
        <v>-5153632</v>
      </c>
      <c r="L193" s="11">
        <f t="shared" si="20"/>
        <v>234256</v>
      </c>
      <c r="M193" s="11">
        <f t="shared" si="20"/>
        <v>-10648</v>
      </c>
      <c r="N193" s="11">
        <f t="shared" si="20"/>
        <v>484</v>
      </c>
      <c r="O193" s="11">
        <f t="shared" si="20"/>
        <v>-22</v>
      </c>
      <c r="P193" s="11">
        <f t="shared" si="18"/>
        <v>0</v>
      </c>
    </row>
    <row r="194" spans="1:16" x14ac:dyDescent="0.25">
      <c r="A194" s="11">
        <f t="shared" si="17"/>
        <v>139</v>
      </c>
      <c r="B194">
        <v>-1.5193462604215577</v>
      </c>
      <c r="E194" s="11">
        <f>A194-'Mastercurve bestimmen'!$B$2</f>
        <v>-21</v>
      </c>
      <c r="F194" s="11">
        <f t="shared" si="15"/>
        <v>-1.5193462604215577</v>
      </c>
      <c r="G194" s="11"/>
      <c r="H194" s="11">
        <f t="shared" si="16"/>
        <v>37822859361</v>
      </c>
      <c r="I194" s="11">
        <f t="shared" si="20"/>
        <v>-1801088541</v>
      </c>
      <c r="J194" s="11">
        <f t="shared" si="20"/>
        <v>85766121</v>
      </c>
      <c r="K194" s="11">
        <f t="shared" si="20"/>
        <v>-4084101</v>
      </c>
      <c r="L194" s="11">
        <f t="shared" si="20"/>
        <v>194481</v>
      </c>
      <c r="M194" s="11">
        <f t="shared" si="20"/>
        <v>-9261</v>
      </c>
      <c r="N194" s="11">
        <f t="shared" si="20"/>
        <v>441</v>
      </c>
      <c r="O194" s="11">
        <f t="shared" si="20"/>
        <v>-21</v>
      </c>
      <c r="P194" s="11">
        <f t="shared" si="18"/>
        <v>0</v>
      </c>
    </row>
    <row r="195" spans="1:16" x14ac:dyDescent="0.25">
      <c r="A195" s="11">
        <f t="shared" si="17"/>
        <v>140</v>
      </c>
      <c r="B195">
        <v>-1.3980722820115228</v>
      </c>
      <c r="E195" s="11">
        <f>A195-'Mastercurve bestimmen'!$B$2</f>
        <v>-20</v>
      </c>
      <c r="F195" s="11">
        <f t="shared" si="15"/>
        <v>-1.3980722820115228</v>
      </c>
      <c r="G195" s="11"/>
      <c r="H195" s="11">
        <f t="shared" si="16"/>
        <v>25600000000</v>
      </c>
      <c r="I195" s="11">
        <f t="shared" si="20"/>
        <v>-1280000000</v>
      </c>
      <c r="J195" s="11">
        <f t="shared" si="20"/>
        <v>64000000</v>
      </c>
      <c r="K195" s="11">
        <f t="shared" si="20"/>
        <v>-3200000</v>
      </c>
      <c r="L195" s="11">
        <f t="shared" si="20"/>
        <v>160000</v>
      </c>
      <c r="M195" s="11">
        <f t="shared" si="20"/>
        <v>-8000</v>
      </c>
      <c r="N195" s="11">
        <f t="shared" si="20"/>
        <v>400</v>
      </c>
      <c r="O195" s="11">
        <f t="shared" si="20"/>
        <v>-20</v>
      </c>
      <c r="P195" s="11">
        <f t="shared" si="18"/>
        <v>0</v>
      </c>
    </row>
    <row r="196" spans="1:16" x14ac:dyDescent="0.25">
      <c r="A196" s="11">
        <f t="shared" si="17"/>
        <v>141</v>
      </c>
      <c r="B196">
        <v>-1.2839579362578584</v>
      </c>
      <c r="E196" s="11">
        <f>A196-'Mastercurve bestimmen'!$B$2</f>
        <v>-19</v>
      </c>
      <c r="F196" s="11">
        <f t="shared" si="15"/>
        <v>-1.2839579362578584</v>
      </c>
      <c r="G196" s="11"/>
      <c r="H196" s="11">
        <f t="shared" si="16"/>
        <v>16983563041</v>
      </c>
      <c r="I196" s="11">
        <f t="shared" si="20"/>
        <v>-893871739</v>
      </c>
      <c r="J196" s="11">
        <f t="shared" si="20"/>
        <v>47045881</v>
      </c>
      <c r="K196" s="11">
        <f t="shared" si="20"/>
        <v>-2476099</v>
      </c>
      <c r="L196" s="11">
        <f t="shared" si="20"/>
        <v>130321</v>
      </c>
      <c r="M196" s="11">
        <f t="shared" si="20"/>
        <v>-6859</v>
      </c>
      <c r="N196" s="11">
        <f t="shared" si="20"/>
        <v>361</v>
      </c>
      <c r="O196" s="11">
        <f t="shared" si="20"/>
        <v>-19</v>
      </c>
      <c r="P196" s="11">
        <f t="shared" si="18"/>
        <v>0</v>
      </c>
    </row>
    <row r="197" spans="1:16" x14ac:dyDescent="0.25">
      <c r="A197" s="11">
        <f t="shared" si="17"/>
        <v>142</v>
      </c>
      <c r="B197">
        <v>-1.176645241527746</v>
      </c>
      <c r="E197" s="11">
        <f>A197-'Mastercurve bestimmen'!$B$2</f>
        <v>-18</v>
      </c>
      <c r="F197" s="11">
        <f t="shared" si="15"/>
        <v>-1.176645241527746</v>
      </c>
      <c r="G197" s="11"/>
      <c r="H197" s="11">
        <f t="shared" si="16"/>
        <v>11019960576</v>
      </c>
      <c r="I197" s="11">
        <f t="shared" si="20"/>
        <v>-612220032</v>
      </c>
      <c r="J197" s="11">
        <f t="shared" si="20"/>
        <v>34012224</v>
      </c>
      <c r="K197" s="11">
        <f t="shared" si="20"/>
        <v>-1889568</v>
      </c>
      <c r="L197" s="11">
        <f t="shared" si="20"/>
        <v>104976</v>
      </c>
      <c r="M197" s="11">
        <f t="shared" si="20"/>
        <v>-5832</v>
      </c>
      <c r="N197" s="11">
        <f t="shared" si="20"/>
        <v>324</v>
      </c>
      <c r="O197" s="11">
        <f t="shared" si="20"/>
        <v>-18</v>
      </c>
      <c r="P197" s="11">
        <f t="shared" si="18"/>
        <v>0</v>
      </c>
    </row>
    <row r="198" spans="1:16" x14ac:dyDescent="0.25">
      <c r="A198" s="11">
        <f t="shared" si="17"/>
        <v>143</v>
      </c>
      <c r="B198">
        <v>-1.0757762161883673</v>
      </c>
      <c r="E198" s="11">
        <f>A198-'Mastercurve bestimmen'!$B$2</f>
        <v>-17</v>
      </c>
      <c r="F198" s="11">
        <f t="shared" si="15"/>
        <v>-1.0757762161883673</v>
      </c>
      <c r="G198" s="11"/>
      <c r="H198" s="11">
        <f t="shared" si="16"/>
        <v>6975757441</v>
      </c>
      <c r="I198" s="11">
        <f t="shared" si="20"/>
        <v>-410338673</v>
      </c>
      <c r="J198" s="11">
        <f t="shared" si="20"/>
        <v>24137569</v>
      </c>
      <c r="K198" s="11">
        <f t="shared" si="20"/>
        <v>-1419857</v>
      </c>
      <c r="L198" s="11">
        <f t="shared" si="20"/>
        <v>83521</v>
      </c>
      <c r="M198" s="11">
        <f t="shared" si="20"/>
        <v>-4913</v>
      </c>
      <c r="N198" s="11">
        <f t="shared" si="20"/>
        <v>289</v>
      </c>
      <c r="O198" s="11">
        <f t="shared" si="20"/>
        <v>-17</v>
      </c>
      <c r="P198" s="11">
        <f t="shared" si="18"/>
        <v>0</v>
      </c>
    </row>
    <row r="199" spans="1:16" x14ac:dyDescent="0.25">
      <c r="A199" s="11">
        <f t="shared" si="17"/>
        <v>144</v>
      </c>
      <c r="B199">
        <v>-0.98099287860690343</v>
      </c>
      <c r="E199" s="11">
        <f>A199-'Mastercurve bestimmen'!$B$2</f>
        <v>-16</v>
      </c>
      <c r="F199" s="11">
        <f t="shared" si="15"/>
        <v>-0.98099287860690343</v>
      </c>
      <c r="G199" s="11"/>
      <c r="H199" s="11">
        <f t="shared" si="16"/>
        <v>4294967296</v>
      </c>
      <c r="I199" s="11">
        <f t="shared" si="20"/>
        <v>-268435456</v>
      </c>
      <c r="J199" s="11">
        <f t="shared" si="20"/>
        <v>16777216</v>
      </c>
      <c r="K199" s="11">
        <f t="shared" si="20"/>
        <v>-1048576</v>
      </c>
      <c r="L199" s="11">
        <f t="shared" si="20"/>
        <v>65536</v>
      </c>
      <c r="M199" s="11">
        <f t="shared" si="20"/>
        <v>-4096</v>
      </c>
      <c r="N199" s="11">
        <f t="shared" si="20"/>
        <v>256</v>
      </c>
      <c r="O199" s="11">
        <f t="shared" si="20"/>
        <v>-16</v>
      </c>
      <c r="P199" s="11">
        <f t="shared" si="18"/>
        <v>0</v>
      </c>
    </row>
    <row r="200" spans="1:16" x14ac:dyDescent="0.25">
      <c r="A200" s="11">
        <f t="shared" si="17"/>
        <v>145</v>
      </c>
      <c r="B200">
        <v>-0.89193724715053602</v>
      </c>
      <c r="E200" s="11">
        <f>A200-'Mastercurve bestimmen'!$B$2</f>
        <v>-15</v>
      </c>
      <c r="F200" s="11">
        <f t="shared" si="15"/>
        <v>-0.89193724715053602</v>
      </c>
      <c r="G200" s="11"/>
      <c r="H200" s="11">
        <f t="shared" si="16"/>
        <v>2562890625</v>
      </c>
      <c r="I200" s="11">
        <f t="shared" si="20"/>
        <v>-170859375</v>
      </c>
      <c r="J200" s="11">
        <f t="shared" si="20"/>
        <v>11390625</v>
      </c>
      <c r="K200" s="11">
        <f t="shared" si="20"/>
        <v>-759375</v>
      </c>
      <c r="L200" s="11">
        <f t="shared" si="20"/>
        <v>50625</v>
      </c>
      <c r="M200" s="11">
        <f t="shared" si="20"/>
        <v>-3375</v>
      </c>
      <c r="N200" s="11">
        <f t="shared" si="20"/>
        <v>225</v>
      </c>
      <c r="O200" s="11">
        <f t="shared" si="20"/>
        <v>-15</v>
      </c>
      <c r="P200" s="11">
        <f t="shared" si="18"/>
        <v>0</v>
      </c>
    </row>
    <row r="201" spans="1:16" x14ac:dyDescent="0.25">
      <c r="A201" s="11">
        <f t="shared" si="17"/>
        <v>146</v>
      </c>
      <c r="B201">
        <v>-0.80825134018644662</v>
      </c>
      <c r="E201" s="11">
        <f>A201-'Mastercurve bestimmen'!$B$2</f>
        <v>-14</v>
      </c>
      <c r="F201" s="11">
        <f t="shared" si="15"/>
        <v>-0.80825134018644662</v>
      </c>
      <c r="G201" s="11"/>
      <c r="H201" s="11">
        <f t="shared" si="16"/>
        <v>1475789056</v>
      </c>
      <c r="I201" s="11">
        <f t="shared" si="20"/>
        <v>-105413504</v>
      </c>
      <c r="J201" s="11">
        <f t="shared" si="20"/>
        <v>7529536</v>
      </c>
      <c r="K201" s="11">
        <f t="shared" si="20"/>
        <v>-537824</v>
      </c>
      <c r="L201" s="11">
        <f t="shared" si="20"/>
        <v>38416</v>
      </c>
      <c r="M201" s="11">
        <f t="shared" si="20"/>
        <v>-2744</v>
      </c>
      <c r="N201" s="11">
        <f t="shared" si="20"/>
        <v>196</v>
      </c>
      <c r="O201" s="11">
        <f t="shared" si="20"/>
        <v>-14</v>
      </c>
      <c r="P201" s="11">
        <f t="shared" si="18"/>
        <v>0</v>
      </c>
    </row>
    <row r="202" spans="1:16" x14ac:dyDescent="0.25">
      <c r="A202" s="11">
        <f t="shared" si="17"/>
        <v>147</v>
      </c>
      <c r="B202">
        <v>-0.72957717608181638</v>
      </c>
      <c r="E202" s="11">
        <f>A202-'Mastercurve bestimmen'!$B$2</f>
        <v>-13</v>
      </c>
      <c r="F202" s="11">
        <f t="shared" si="15"/>
        <v>-0.72957717608181638</v>
      </c>
      <c r="G202" s="11"/>
      <c r="H202" s="11">
        <f t="shared" si="16"/>
        <v>815730721</v>
      </c>
      <c r="I202" s="11">
        <f t="shared" si="20"/>
        <v>-62748517</v>
      </c>
      <c r="J202" s="11">
        <f t="shared" si="20"/>
        <v>4826809</v>
      </c>
      <c r="K202" s="11">
        <f t="shared" si="20"/>
        <v>-371293</v>
      </c>
      <c r="L202" s="11">
        <f t="shared" si="20"/>
        <v>28561</v>
      </c>
      <c r="M202" s="11">
        <f t="shared" si="20"/>
        <v>-2197</v>
      </c>
      <c r="N202" s="11">
        <f t="shared" si="20"/>
        <v>169</v>
      </c>
      <c r="O202" s="11">
        <f t="shared" si="20"/>
        <v>-13</v>
      </c>
      <c r="P202" s="11">
        <f t="shared" si="18"/>
        <v>0</v>
      </c>
    </row>
    <row r="203" spans="1:16" x14ac:dyDescent="0.25">
      <c r="A203" s="11">
        <f t="shared" si="17"/>
        <v>148</v>
      </c>
      <c r="B203">
        <v>-0.65555677320382721</v>
      </c>
      <c r="E203" s="11">
        <f>A203-'Mastercurve bestimmen'!$B$2</f>
        <v>-12</v>
      </c>
      <c r="F203" s="11">
        <f t="shared" si="15"/>
        <v>-0.65555677320382721</v>
      </c>
      <c r="G203" s="11"/>
      <c r="H203" s="11">
        <f t="shared" si="16"/>
        <v>429981696</v>
      </c>
      <c r="I203" s="11">
        <f t="shared" si="20"/>
        <v>-35831808</v>
      </c>
      <c r="J203" s="11">
        <f t="shared" si="20"/>
        <v>2985984</v>
      </c>
      <c r="K203" s="11">
        <f t="shared" si="20"/>
        <v>-248832</v>
      </c>
      <c r="L203" s="11">
        <f t="shared" si="20"/>
        <v>20736</v>
      </c>
      <c r="M203" s="11">
        <f t="shared" si="20"/>
        <v>-1728</v>
      </c>
      <c r="N203" s="11">
        <f t="shared" si="20"/>
        <v>144</v>
      </c>
      <c r="O203" s="11">
        <f t="shared" si="20"/>
        <v>-12</v>
      </c>
      <c r="P203" s="11">
        <f t="shared" si="18"/>
        <v>0</v>
      </c>
    </row>
    <row r="204" spans="1:16" x14ac:dyDescent="0.25">
      <c r="A204" s="11">
        <f t="shared" si="17"/>
        <v>149</v>
      </c>
      <c r="B204">
        <v>-0.58583214991966037</v>
      </c>
      <c r="E204" s="11">
        <f>A204-'Mastercurve bestimmen'!$B$2</f>
        <v>-11</v>
      </c>
      <c r="F204" s="11">
        <f t="shared" si="15"/>
        <v>-0.58583214991966037</v>
      </c>
      <c r="G204" s="11"/>
      <c r="H204" s="11">
        <f t="shared" si="16"/>
        <v>214358881</v>
      </c>
      <c r="I204" s="11">
        <f t="shared" si="20"/>
        <v>-19487171</v>
      </c>
      <c r="J204" s="11">
        <f t="shared" si="20"/>
        <v>1771561</v>
      </c>
      <c r="K204" s="11">
        <f t="shared" si="20"/>
        <v>-161051</v>
      </c>
      <c r="L204" s="11">
        <f t="shared" si="20"/>
        <v>14641</v>
      </c>
      <c r="M204" s="11">
        <f t="shared" si="20"/>
        <v>-1331</v>
      </c>
      <c r="N204" s="11">
        <f t="shared" si="20"/>
        <v>121</v>
      </c>
      <c r="O204" s="11">
        <f t="shared" si="20"/>
        <v>-11</v>
      </c>
      <c r="P204" s="11">
        <f t="shared" si="18"/>
        <v>0</v>
      </c>
    </row>
    <row r="205" spans="1:16" x14ac:dyDescent="0.25">
      <c r="A205" s="11">
        <f t="shared" si="17"/>
        <v>150</v>
      </c>
      <c r="B205">
        <v>-0.52004532459649733</v>
      </c>
      <c r="E205" s="11">
        <f>A205-'Mastercurve bestimmen'!$B$2</f>
        <v>-10</v>
      </c>
      <c r="F205" s="11">
        <f t="shared" si="15"/>
        <v>-0.52004532459649733</v>
      </c>
      <c r="G205" s="11"/>
      <c r="H205" s="11">
        <f t="shared" si="16"/>
        <v>100000000</v>
      </c>
      <c r="I205" s="11">
        <f t="shared" si="20"/>
        <v>-10000000</v>
      </c>
      <c r="J205" s="11">
        <f t="shared" si="20"/>
        <v>1000000</v>
      </c>
      <c r="K205" s="11">
        <f t="shared" si="20"/>
        <v>-100000</v>
      </c>
      <c r="L205" s="11">
        <f t="shared" si="20"/>
        <v>10000</v>
      </c>
      <c r="M205" s="11">
        <f t="shared" si="20"/>
        <v>-1000</v>
      </c>
      <c r="N205" s="11">
        <f t="shared" si="20"/>
        <v>100</v>
      </c>
      <c r="O205" s="11">
        <f t="shared" si="20"/>
        <v>-10</v>
      </c>
      <c r="P205" s="11">
        <f t="shared" si="18"/>
        <v>0</v>
      </c>
    </row>
    <row r="206" spans="1:16" x14ac:dyDescent="0.25">
      <c r="A206" s="11">
        <f t="shared" si="17"/>
        <v>151</v>
      </c>
      <c r="B206">
        <v>-0.4578383156015195</v>
      </c>
      <c r="E206" s="11">
        <f>A206-'Mastercurve bestimmen'!$B$2</f>
        <v>-9</v>
      </c>
      <c r="F206" s="11">
        <f t="shared" si="15"/>
        <v>-0.4578383156015195</v>
      </c>
      <c r="G206" s="11"/>
      <c r="H206" s="11">
        <f t="shared" si="16"/>
        <v>43046721</v>
      </c>
      <c r="I206" s="11">
        <f t="shared" si="20"/>
        <v>-4782969</v>
      </c>
      <c r="J206" s="11">
        <f t="shared" si="20"/>
        <v>531441</v>
      </c>
      <c r="K206" s="11">
        <f t="shared" si="20"/>
        <v>-59049</v>
      </c>
      <c r="L206" s="11">
        <f t="shared" si="20"/>
        <v>6561</v>
      </c>
      <c r="M206" s="11">
        <f t="shared" si="20"/>
        <v>-729</v>
      </c>
      <c r="N206" s="11">
        <f t="shared" si="20"/>
        <v>81</v>
      </c>
      <c r="O206" s="11">
        <f t="shared" si="20"/>
        <v>-9</v>
      </c>
      <c r="P206" s="11">
        <f t="shared" si="18"/>
        <v>0</v>
      </c>
    </row>
    <row r="207" spans="1:16" x14ac:dyDescent="0.25">
      <c r="A207" s="11">
        <f t="shared" si="17"/>
        <v>152</v>
      </c>
      <c r="B207">
        <v>-0.39885314130190846</v>
      </c>
      <c r="E207" s="11">
        <f>A207-'Mastercurve bestimmen'!$B$2</f>
        <v>-8</v>
      </c>
      <c r="F207" s="11">
        <f t="shared" si="15"/>
        <v>-0.39885314130190846</v>
      </c>
      <c r="G207" s="11"/>
      <c r="H207" s="11">
        <f t="shared" si="16"/>
        <v>16777216</v>
      </c>
      <c r="I207" s="11">
        <f t="shared" si="20"/>
        <v>-2097152</v>
      </c>
      <c r="J207" s="11">
        <f t="shared" si="20"/>
        <v>262144</v>
      </c>
      <c r="K207" s="11">
        <f t="shared" si="20"/>
        <v>-32768</v>
      </c>
      <c r="L207" s="11">
        <f t="shared" si="20"/>
        <v>4096</v>
      </c>
      <c r="M207" s="11">
        <f t="shared" si="20"/>
        <v>-512</v>
      </c>
      <c r="N207" s="11">
        <f t="shared" si="20"/>
        <v>64</v>
      </c>
      <c r="O207" s="11">
        <f t="shared" si="20"/>
        <v>-8</v>
      </c>
      <c r="P207" s="11">
        <f t="shared" si="18"/>
        <v>0</v>
      </c>
    </row>
    <row r="208" spans="1:16" x14ac:dyDescent="0.25">
      <c r="A208" s="11">
        <f t="shared" si="17"/>
        <v>153</v>
      </c>
      <c r="B208">
        <v>-0.3427318200648457</v>
      </c>
      <c r="E208" s="11">
        <f>A208-'Mastercurve bestimmen'!$B$2</f>
        <v>-7</v>
      </c>
      <c r="F208" s="11">
        <f t="shared" ref="F208:F215" si="21">B208</f>
        <v>-0.3427318200648457</v>
      </c>
      <c r="G208" s="11"/>
      <c r="H208" s="11">
        <f t="shared" ref="H208:H215" si="22">IF($H$12&gt;=H$14,$E208^H$14,0)</f>
        <v>5764801</v>
      </c>
      <c r="I208" s="11">
        <f t="shared" si="20"/>
        <v>-823543</v>
      </c>
      <c r="J208" s="11">
        <f t="shared" si="20"/>
        <v>117649</v>
      </c>
      <c r="K208" s="11">
        <f t="shared" si="20"/>
        <v>-16807</v>
      </c>
      <c r="L208" s="11">
        <f t="shared" si="20"/>
        <v>2401</v>
      </c>
      <c r="M208" s="11">
        <f t="shared" si="20"/>
        <v>-343</v>
      </c>
      <c r="N208" s="11">
        <f t="shared" si="20"/>
        <v>49</v>
      </c>
      <c r="O208" s="11">
        <f t="shared" si="20"/>
        <v>-7</v>
      </c>
      <c r="P208" s="11">
        <f t="shared" si="18"/>
        <v>0</v>
      </c>
    </row>
    <row r="209" spans="1:16" x14ac:dyDescent="0.25">
      <c r="A209" s="11">
        <f t="shared" ref="A209:A215" si="23">A208+1</f>
        <v>154</v>
      </c>
      <c r="B209">
        <v>-0.28911637025751258</v>
      </c>
      <c r="E209" s="11">
        <f>A209-'Mastercurve bestimmen'!$B$2</f>
        <v>-6</v>
      </c>
      <c r="F209" s="11">
        <f t="shared" si="21"/>
        <v>-0.28911637025751258</v>
      </c>
      <c r="G209" s="11"/>
      <c r="H209" s="11">
        <f t="shared" si="22"/>
        <v>1679616</v>
      </c>
      <c r="I209" s="11">
        <f t="shared" si="20"/>
        <v>-279936</v>
      </c>
      <c r="J209" s="11">
        <f t="shared" si="20"/>
        <v>46656</v>
      </c>
      <c r="K209" s="11">
        <f t="shared" si="20"/>
        <v>-7776</v>
      </c>
      <c r="L209" s="11">
        <f t="shared" si="20"/>
        <v>1296</v>
      </c>
      <c r="M209" s="11">
        <f t="shared" si="20"/>
        <v>-216</v>
      </c>
      <c r="N209" s="11">
        <f t="shared" si="20"/>
        <v>36</v>
      </c>
      <c r="O209" s="11">
        <f t="shared" si="20"/>
        <v>-6</v>
      </c>
      <c r="P209" s="11">
        <f t="shared" ref="P209:P215" si="24">P208</f>
        <v>0</v>
      </c>
    </row>
    <row r="210" spans="1:16" x14ac:dyDescent="0.25">
      <c r="A210" s="11">
        <f t="shared" si="23"/>
        <v>155</v>
      </c>
      <c r="B210">
        <v>-0.23764881024709064</v>
      </c>
      <c r="E210" s="11">
        <f>A210-'Mastercurve bestimmen'!$B$2</f>
        <v>-5</v>
      </c>
      <c r="F210" s="11">
        <f t="shared" si="21"/>
        <v>-0.23764881024709064</v>
      </c>
      <c r="G210" s="11"/>
      <c r="H210" s="11">
        <f t="shared" si="22"/>
        <v>390625</v>
      </c>
      <c r="I210" s="11">
        <f t="shared" si="20"/>
        <v>-78125</v>
      </c>
      <c r="J210" s="11">
        <f t="shared" si="20"/>
        <v>15625</v>
      </c>
      <c r="K210" s="11">
        <f t="shared" si="20"/>
        <v>-3125</v>
      </c>
      <c r="L210" s="11">
        <f t="shared" si="20"/>
        <v>625</v>
      </c>
      <c r="M210" s="11">
        <f t="shared" si="20"/>
        <v>-125</v>
      </c>
      <c r="N210" s="11">
        <f t="shared" si="20"/>
        <v>25</v>
      </c>
      <c r="O210" s="11">
        <f t="shared" si="20"/>
        <v>-5</v>
      </c>
      <c r="P210" s="11">
        <f t="shared" si="24"/>
        <v>0</v>
      </c>
    </row>
    <row r="211" spans="1:16" x14ac:dyDescent="0.25">
      <c r="A211" s="11">
        <f t="shared" si="23"/>
        <v>156</v>
      </c>
      <c r="B211">
        <v>-0.18797115840076134</v>
      </c>
      <c r="E211" s="11">
        <f>A211-'Mastercurve bestimmen'!$B$2</f>
        <v>-4</v>
      </c>
      <c r="F211" s="11">
        <f t="shared" si="21"/>
        <v>-0.18797115840076134</v>
      </c>
      <c r="G211" s="11"/>
      <c r="H211" s="11">
        <f t="shared" si="22"/>
        <v>65536</v>
      </c>
      <c r="I211" s="11">
        <f t="shared" si="20"/>
        <v>-16384</v>
      </c>
      <c r="J211" s="11">
        <f t="shared" si="20"/>
        <v>4096</v>
      </c>
      <c r="K211" s="11">
        <f t="shared" si="20"/>
        <v>-1024</v>
      </c>
      <c r="L211" s="11">
        <f t="shared" si="20"/>
        <v>256</v>
      </c>
      <c r="M211" s="11">
        <f t="shared" si="20"/>
        <v>-64</v>
      </c>
      <c r="N211" s="11">
        <f t="shared" si="20"/>
        <v>16</v>
      </c>
      <c r="O211" s="11">
        <f t="shared" si="20"/>
        <v>-4</v>
      </c>
      <c r="P211" s="11">
        <f t="shared" si="24"/>
        <v>0</v>
      </c>
    </row>
    <row r="212" spans="1:16" x14ac:dyDescent="0.25">
      <c r="A212" s="11">
        <f t="shared" si="23"/>
        <v>157</v>
      </c>
      <c r="B212">
        <v>-0.13972543308570615</v>
      </c>
      <c r="E212" s="11">
        <f>A212-'Mastercurve bestimmen'!$B$2</f>
        <v>-3</v>
      </c>
      <c r="F212" s="11">
        <f t="shared" si="21"/>
        <v>-0.13972543308570615</v>
      </c>
      <c r="G212" s="11"/>
      <c r="H212" s="11">
        <f t="shared" si="22"/>
        <v>6561</v>
      </c>
      <c r="I212" s="11">
        <f t="shared" si="20"/>
        <v>-2187</v>
      </c>
      <c r="J212" s="11">
        <f t="shared" si="20"/>
        <v>729</v>
      </c>
      <c r="K212" s="11">
        <f t="shared" si="20"/>
        <v>-243</v>
      </c>
      <c r="L212" s="11">
        <f t="shared" si="20"/>
        <v>81</v>
      </c>
      <c r="M212" s="11">
        <f t="shared" si="20"/>
        <v>-27</v>
      </c>
      <c r="N212" s="11">
        <f t="shared" si="20"/>
        <v>9</v>
      </c>
      <c r="O212" s="11">
        <f t="shared" si="20"/>
        <v>-3</v>
      </c>
      <c r="P212" s="11">
        <f t="shared" si="24"/>
        <v>0</v>
      </c>
    </row>
    <row r="213" spans="1:16" x14ac:dyDescent="0.25">
      <c r="A213" s="11">
        <f t="shared" si="23"/>
        <v>158</v>
      </c>
      <c r="B213">
        <v>-9.2553652669106548E-2</v>
      </c>
      <c r="E213" s="11">
        <f>A213-'Mastercurve bestimmen'!$B$2</f>
        <v>-2</v>
      </c>
      <c r="F213" s="11">
        <f t="shared" si="21"/>
        <v>-9.2553652669106548E-2</v>
      </c>
      <c r="G213" s="11"/>
      <c r="H213" s="11">
        <f t="shared" si="22"/>
        <v>256</v>
      </c>
      <c r="I213" s="11">
        <f t="shared" si="20"/>
        <v>-128</v>
      </c>
      <c r="J213" s="11">
        <f t="shared" si="20"/>
        <v>64</v>
      </c>
      <c r="K213" s="11">
        <f t="shared" si="20"/>
        <v>-32</v>
      </c>
      <c r="L213" s="11">
        <f t="shared" si="20"/>
        <v>16</v>
      </c>
      <c r="M213" s="11">
        <f t="shared" si="20"/>
        <v>-8</v>
      </c>
      <c r="N213" s="11">
        <f t="shared" si="20"/>
        <v>4</v>
      </c>
      <c r="O213" s="11">
        <f t="shared" si="20"/>
        <v>-2</v>
      </c>
      <c r="P213" s="11">
        <f t="shared" si="24"/>
        <v>0</v>
      </c>
    </row>
    <row r="214" spans="1:16" x14ac:dyDescent="0.25">
      <c r="A214" s="11">
        <f t="shared" si="23"/>
        <v>159</v>
      </c>
      <c r="B214">
        <v>-4.6097835518144011E-2</v>
      </c>
      <c r="E214" s="11">
        <f>A214-'Mastercurve bestimmen'!$B$2</f>
        <v>-1</v>
      </c>
      <c r="F214" s="11">
        <f t="shared" si="21"/>
        <v>-4.6097835518144011E-2</v>
      </c>
      <c r="G214" s="11"/>
      <c r="H214" s="11">
        <f t="shared" si="22"/>
        <v>1</v>
      </c>
      <c r="I214" s="11">
        <f t="shared" si="20"/>
        <v>-1</v>
      </c>
      <c r="J214" s="11">
        <f t="shared" si="20"/>
        <v>1</v>
      </c>
      <c r="K214" s="11">
        <f t="shared" si="20"/>
        <v>-1</v>
      </c>
      <c r="L214" s="11">
        <f t="shared" si="20"/>
        <v>1</v>
      </c>
      <c r="M214" s="11">
        <f t="shared" si="20"/>
        <v>-1</v>
      </c>
      <c r="N214" s="11">
        <f t="shared" si="20"/>
        <v>1</v>
      </c>
      <c r="O214" s="11">
        <f t="shared" si="20"/>
        <v>-1</v>
      </c>
      <c r="P214" s="11">
        <f t="shared" si="24"/>
        <v>0</v>
      </c>
    </row>
    <row r="215" spans="1:16" x14ac:dyDescent="0.25">
      <c r="A215" s="11">
        <f t="shared" si="23"/>
        <v>160</v>
      </c>
      <c r="B215">
        <v>0</v>
      </c>
      <c r="E215" s="11">
        <f>A215-'Mastercurve bestimmen'!$B$2</f>
        <v>0</v>
      </c>
      <c r="F215" s="11">
        <f t="shared" si="21"/>
        <v>0</v>
      </c>
      <c r="G215" s="11"/>
      <c r="H215" s="11">
        <f t="shared" si="22"/>
        <v>0</v>
      </c>
      <c r="I215" s="11">
        <f t="shared" si="20"/>
        <v>0</v>
      </c>
      <c r="J215" s="11">
        <f t="shared" si="20"/>
        <v>0</v>
      </c>
      <c r="K215" s="11">
        <f t="shared" si="20"/>
        <v>0</v>
      </c>
      <c r="L215" s="11">
        <f t="shared" si="20"/>
        <v>0</v>
      </c>
      <c r="M215" s="11">
        <f t="shared" si="20"/>
        <v>0</v>
      </c>
      <c r="N215" s="11">
        <f t="shared" si="20"/>
        <v>0</v>
      </c>
      <c r="O215" s="11">
        <f t="shared" si="20"/>
        <v>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5.2152154304594453E-2</v>
      </c>
      <c r="J217" s="98">
        <v>9.186153299304919E-4</v>
      </c>
      <c r="K217" s="98">
        <v>8.3620905634611238E-5</v>
      </c>
      <c r="L217" s="98">
        <v>-6.8614198806741529E-7</v>
      </c>
      <c r="M217" s="98">
        <v>-2.8703120339600652E-8</v>
      </c>
      <c r="N217" s="98">
        <v>-2.5181423490787961E-10</v>
      </c>
      <c r="O217" s="98">
        <v>-9.2799343990824399E-13</v>
      </c>
      <c r="P217" s="98">
        <v>-1.2725285306644477E-15</v>
      </c>
    </row>
    <row r="218" spans="1:16" x14ac:dyDescent="0.25">
      <c r="G218" s="11"/>
      <c r="H218" s="11">
        <v>0</v>
      </c>
      <c r="I218" s="11">
        <v>2.8290016599585468E-3</v>
      </c>
      <c r="J218" s="11">
        <v>2.805639808676041E-4</v>
      </c>
      <c r="K218" s="3">
        <v>1.064540276936108E-5</v>
      </c>
      <c r="L218" s="3">
        <v>2.0293727831415294E-7</v>
      </c>
      <c r="M218" s="3">
        <v>2.1365428459256923E-9</v>
      </c>
      <c r="N218" s="3">
        <v>1.260454091140542E-11</v>
      </c>
      <c r="O218" s="11">
        <v>3.9021712235556638E-14</v>
      </c>
      <c r="P218" s="11">
        <v>4.9337663136195168E-17</v>
      </c>
    </row>
    <row r="219" spans="1:16" x14ac:dyDescent="0.25">
      <c r="G219" s="11"/>
      <c r="H219" s="11">
        <v>0.99999875213789113</v>
      </c>
      <c r="I219" s="11">
        <v>3.8632753561026162E-2</v>
      </c>
      <c r="J219" s="11" t="e">
        <v>#N/A</v>
      </c>
      <c r="K219" s="11" t="e">
        <v>#N/A</v>
      </c>
      <c r="L219" s="11" t="e">
        <v>#N/A</v>
      </c>
      <c r="M219" s="11" t="e">
        <v>#N/A</v>
      </c>
      <c r="N219" s="11" t="e">
        <v>#N/A</v>
      </c>
      <c r="O219" s="11" t="e">
        <v>#N/A</v>
      </c>
      <c r="P219" s="11" t="e">
        <v>#N/A</v>
      </c>
    </row>
    <row r="222" spans="1:16" x14ac:dyDescent="0.25">
      <c r="E222">
        <f>E15</f>
        <v>-200</v>
      </c>
      <c r="F222">
        <f>$H$217*0+E222*$I$217+E222^2*$J$217+E222^3*$K$217+E222^4*$L$217+E222^5*$M$217+E222^6*$N$217+E222^7*$O$217+E222^8*$P$217</f>
        <v>-50.949776756003757</v>
      </c>
      <c r="G222">
        <f>F15</f>
        <v>-50.877186227047318</v>
      </c>
    </row>
    <row r="223" spans="1:16" x14ac:dyDescent="0.25">
      <c r="E223" s="11">
        <f t="shared" ref="E223:E286" si="25">E16</f>
        <v>-199</v>
      </c>
      <c r="F223" s="11">
        <f t="shared" ref="F223:F286" si="26">$H$217*0+E223*$I$217+E223^2*$J$217+E223^3*$K$217+E223^4*$L$217+E223^5*$M$217+E223^6*$N$217+E223^7*$O$217+E223^8*$P$217</f>
        <v>-50.854992948803556</v>
      </c>
      <c r="G223" s="11">
        <f t="shared" ref="G223:G286" si="27">F16</f>
        <v>-50.821032244799198</v>
      </c>
    </row>
    <row r="224" spans="1:16" x14ac:dyDescent="0.25">
      <c r="E224" s="11">
        <f t="shared" si="25"/>
        <v>-198</v>
      </c>
      <c r="F224" s="11">
        <f t="shared" si="26"/>
        <v>-50.769572433322992</v>
      </c>
      <c r="G224" s="11">
        <f t="shared" si="27"/>
        <v>-50.764775448822334</v>
      </c>
    </row>
    <row r="225" spans="5:7" x14ac:dyDescent="0.25">
      <c r="E225" s="11">
        <f t="shared" si="25"/>
        <v>-197</v>
      </c>
      <c r="F225" s="11">
        <f t="shared" si="26"/>
        <v>-50.692047185707452</v>
      </c>
      <c r="G225" s="11">
        <f t="shared" si="27"/>
        <v>-50.70831302538798</v>
      </c>
    </row>
    <row r="226" spans="5:7" x14ac:dyDescent="0.25">
      <c r="E226" s="11">
        <f t="shared" si="25"/>
        <v>-196</v>
      </c>
      <c r="F226" s="11">
        <f t="shared" si="26"/>
        <v>-50.621072548027314</v>
      </c>
      <c r="G226" s="11">
        <f t="shared" si="27"/>
        <v>-50.651542160767406</v>
      </c>
    </row>
    <row r="227" spans="5:7" x14ac:dyDescent="0.25">
      <c r="E227" s="11">
        <f t="shared" si="25"/>
        <v>-195</v>
      </c>
      <c r="F227" s="11">
        <f t="shared" si="26"/>
        <v>-50.555420203713311</v>
      </c>
      <c r="G227" s="11">
        <f t="shared" si="27"/>
        <v>-50.594360041231845</v>
      </c>
    </row>
    <row r="228" spans="5:7" x14ac:dyDescent="0.25">
      <c r="E228" s="11">
        <f t="shared" si="25"/>
        <v>-194</v>
      </c>
      <c r="F228" s="11">
        <f t="shared" si="26"/>
        <v>-50.493971408505786</v>
      </c>
      <c r="G228" s="11">
        <f t="shared" si="27"/>
        <v>-50.53666385305258</v>
      </c>
    </row>
    <row r="229" spans="5:7" x14ac:dyDescent="0.25">
      <c r="E229" s="11">
        <f t="shared" si="25"/>
        <v>-193</v>
      </c>
      <c r="F229" s="11">
        <f t="shared" si="26"/>
        <v>-50.43571047154046</v>
      </c>
      <c r="G229" s="11">
        <f t="shared" si="27"/>
        <v>-50.478350782500861</v>
      </c>
    </row>
    <row r="230" spans="5:7" x14ac:dyDescent="0.25">
      <c r="E230" s="11">
        <f t="shared" si="25"/>
        <v>-192</v>
      </c>
      <c r="F230" s="11">
        <f t="shared" si="26"/>
        <v>-50.379718481268355</v>
      </c>
      <c r="G230" s="11">
        <f t="shared" si="27"/>
        <v>-50.419318015847935</v>
      </c>
    </row>
    <row r="231" spans="5:7" x14ac:dyDescent="0.25">
      <c r="E231" s="11">
        <f t="shared" si="25"/>
        <v>-191</v>
      </c>
      <c r="F231" s="11">
        <f t="shared" si="26"/>
        <v>-50.325167270796101</v>
      </c>
      <c r="G231" s="11">
        <f t="shared" si="27"/>
        <v>-50.359462739365071</v>
      </c>
    </row>
    <row r="232" spans="5:7" x14ac:dyDescent="0.25">
      <c r="E232" s="11">
        <f t="shared" si="25"/>
        <v>-190</v>
      </c>
      <c r="F232" s="11">
        <f t="shared" si="26"/>
        <v>-50.27131361751799</v>
      </c>
      <c r="G232" s="11">
        <f t="shared" si="27"/>
        <v>-50.298682139323525</v>
      </c>
    </row>
    <row r="233" spans="5:7" x14ac:dyDescent="0.25">
      <c r="E233" s="11">
        <f t="shared" si="25"/>
        <v>-189</v>
      </c>
      <c r="F233" s="11">
        <f t="shared" si="26"/>
        <v>-50.217493671740158</v>
      </c>
      <c r="G233" s="11">
        <f t="shared" si="27"/>
        <v>-50.236873401994544</v>
      </c>
    </row>
    <row r="234" spans="5:7" x14ac:dyDescent="0.25">
      <c r="E234" s="11">
        <f t="shared" si="25"/>
        <v>-188</v>
      </c>
      <c r="F234" s="11">
        <f t="shared" si="26"/>
        <v>-50.163117609212804</v>
      </c>
      <c r="G234" s="11">
        <f t="shared" si="27"/>
        <v>-50.173933713649376</v>
      </c>
    </row>
    <row r="235" spans="5:7" x14ac:dyDescent="0.25">
      <c r="E235" s="11">
        <f t="shared" si="25"/>
        <v>-187</v>
      </c>
      <c r="F235" s="11">
        <f t="shared" si="26"/>
        <v>-50.107664502447733</v>
      </c>
      <c r="G235" s="11">
        <f t="shared" si="27"/>
        <v>-50.109760260559312</v>
      </c>
    </row>
    <row r="236" spans="5:7" x14ac:dyDescent="0.25">
      <c r="E236" s="11">
        <f t="shared" si="25"/>
        <v>-186</v>
      </c>
      <c r="F236" s="11">
        <f t="shared" si="26"/>
        <v>-50.050677405762599</v>
      </c>
      <c r="G236" s="11">
        <f t="shared" si="27"/>
        <v>-50.044250228995594</v>
      </c>
    </row>
    <row r="237" spans="5:7" x14ac:dyDescent="0.25">
      <c r="E237" s="11">
        <f t="shared" si="25"/>
        <v>-185</v>
      </c>
      <c r="F237" s="11">
        <f t="shared" si="26"/>
        <v>-49.991758649100348</v>
      </c>
      <c r="G237" s="11">
        <f t="shared" si="27"/>
        <v>-49.977300805229468</v>
      </c>
    </row>
    <row r="238" spans="5:7" x14ac:dyDescent="0.25">
      <c r="E238" s="11">
        <f t="shared" si="25"/>
        <v>-184</v>
      </c>
      <c r="F238" s="11">
        <f t="shared" si="26"/>
        <v>-49.93056533562617</v>
      </c>
      <c r="G238" s="11">
        <f t="shared" si="27"/>
        <v>-49.908809175532198</v>
      </c>
    </row>
    <row r="239" spans="5:7" x14ac:dyDescent="0.25">
      <c r="E239" s="11">
        <f t="shared" si="25"/>
        <v>-183</v>
      </c>
      <c r="F239" s="11">
        <f t="shared" si="26"/>
        <v>-49.866805038261646</v>
      </c>
      <c r="G239" s="11">
        <f t="shared" si="27"/>
        <v>-49.838672526175046</v>
      </c>
    </row>
    <row r="240" spans="5:7" x14ac:dyDescent="0.25">
      <c r="E240" s="11">
        <f t="shared" si="25"/>
        <v>-182</v>
      </c>
      <c r="F240" s="11">
        <f t="shared" si="26"/>
        <v>-49.800231690265036</v>
      </c>
      <c r="G240" s="11">
        <f t="shared" si="27"/>
        <v>-49.766788043429258</v>
      </c>
    </row>
    <row r="241" spans="5:7" x14ac:dyDescent="0.25">
      <c r="E241" s="11">
        <f t="shared" si="25"/>
        <v>-181</v>
      </c>
      <c r="F241" s="11">
        <f t="shared" si="26"/>
        <v>-49.730641665115627</v>
      </c>
      <c r="G241" s="11">
        <f t="shared" si="27"/>
        <v>-49.693052913566106</v>
      </c>
    </row>
    <row r="242" spans="5:7" x14ac:dyDescent="0.25">
      <c r="E242" s="11">
        <f t="shared" si="25"/>
        <v>-180</v>
      </c>
      <c r="F242" s="11">
        <f t="shared" si="26"/>
        <v>-49.657870040939542</v>
      </c>
      <c r="G242" s="11">
        <f t="shared" si="27"/>
        <v>-49.617364322856837</v>
      </c>
    </row>
    <row r="243" spans="5:7" x14ac:dyDescent="0.25">
      <c r="E243" s="11">
        <f t="shared" si="25"/>
        <v>-179</v>
      </c>
      <c r="F243" s="11">
        <f t="shared" si="26"/>
        <v>-49.581787044778821</v>
      </c>
      <c r="G243" s="11">
        <f t="shared" si="27"/>
        <v>-49.539619457572712</v>
      </c>
    </row>
    <row r="244" spans="5:7" x14ac:dyDescent="0.25">
      <c r="E244" s="11">
        <f t="shared" si="25"/>
        <v>-178</v>
      </c>
      <c r="F244" s="11">
        <f t="shared" si="26"/>
        <v>-49.502294672104199</v>
      </c>
      <c r="G244" s="11">
        <f t="shared" si="27"/>
        <v>-49.459715503984981</v>
      </c>
    </row>
    <row r="245" spans="5:7" x14ac:dyDescent="0.25">
      <c r="E245" s="11">
        <f t="shared" si="25"/>
        <v>-177</v>
      </c>
      <c r="F245" s="11">
        <f t="shared" si="26"/>
        <v>-49.419323476947739</v>
      </c>
      <c r="G245" s="11">
        <f t="shared" si="27"/>
        <v>-49.377549648364912</v>
      </c>
    </row>
    <row r="246" spans="5:7" x14ac:dyDescent="0.25">
      <c r="E246" s="11">
        <f t="shared" si="25"/>
        <v>-176</v>
      </c>
      <c r="F246" s="11">
        <f t="shared" si="26"/>
        <v>-49.332829528158527</v>
      </c>
      <c r="G246" s="11">
        <f t="shared" si="27"/>
        <v>-49.293019076983754</v>
      </c>
    </row>
    <row r="247" spans="5:7" x14ac:dyDescent="0.25">
      <c r="E247" s="11">
        <f t="shared" si="25"/>
        <v>-175</v>
      </c>
      <c r="F247" s="11">
        <f t="shared" si="26"/>
        <v>-49.242791527267627</v>
      </c>
      <c r="G247" s="11">
        <f t="shared" si="27"/>
        <v>-49.206020976112768</v>
      </c>
    </row>
    <row r="248" spans="5:7" x14ac:dyDescent="0.25">
      <c r="E248" s="11">
        <f t="shared" si="25"/>
        <v>-174</v>
      </c>
      <c r="F248" s="11">
        <f t="shared" si="26"/>
        <v>-49.149208083556687</v>
      </c>
      <c r="G248" s="11">
        <f t="shared" si="27"/>
        <v>-49.116452532023203</v>
      </c>
    </row>
    <row r="249" spans="5:7" x14ac:dyDescent="0.25">
      <c r="E249" s="11">
        <f t="shared" si="25"/>
        <v>-173</v>
      </c>
      <c r="F249" s="11">
        <f t="shared" si="26"/>
        <v>-49.052095141941891</v>
      </c>
      <c r="G249" s="11">
        <f t="shared" si="27"/>
        <v>-49.024210930986335</v>
      </c>
    </row>
    <row r="250" spans="5:7" x14ac:dyDescent="0.25">
      <c r="E250" s="11">
        <f t="shared" si="25"/>
        <v>-172</v>
      </c>
      <c r="F250" s="11">
        <f t="shared" si="26"/>
        <v>-48.951483559341909</v>
      </c>
      <c r="G250" s="11">
        <f t="shared" si="27"/>
        <v>-48.929193359273405</v>
      </c>
    </row>
    <row r="251" spans="5:7" x14ac:dyDescent="0.25">
      <c r="E251" s="11">
        <f t="shared" si="25"/>
        <v>-171</v>
      </c>
      <c r="F251" s="11">
        <f t="shared" si="26"/>
        <v>-48.847416825252708</v>
      </c>
      <c r="G251" s="11">
        <f t="shared" si="27"/>
        <v>-48.831297003155676</v>
      </c>
    </row>
    <row r="252" spans="5:7" x14ac:dyDescent="0.25">
      <c r="E252" s="11">
        <f t="shared" si="25"/>
        <v>-170</v>
      </c>
      <c r="F252" s="11">
        <f t="shared" si="26"/>
        <v>-48.739948922328495</v>
      </c>
      <c r="G252" s="11">
        <f t="shared" si="27"/>
        <v>-48.730419048904402</v>
      </c>
    </row>
    <row r="253" spans="5:7" x14ac:dyDescent="0.25">
      <c r="E253" s="11">
        <f t="shared" si="25"/>
        <v>-169</v>
      </c>
      <c r="F253" s="11">
        <f t="shared" si="26"/>
        <v>-48.629142322752273</v>
      </c>
      <c r="G253" s="11">
        <f t="shared" si="27"/>
        <v>-48.626456682790845</v>
      </c>
    </row>
    <row r="254" spans="5:7" x14ac:dyDescent="0.25">
      <c r="E254" s="11">
        <f t="shared" si="25"/>
        <v>-168</v>
      </c>
      <c r="F254" s="11">
        <f t="shared" si="26"/>
        <v>-48.515066116313392</v>
      </c>
      <c r="G254" s="11">
        <f t="shared" si="27"/>
        <v>-48.519307091086247</v>
      </c>
    </row>
    <row r="255" spans="5:7" x14ac:dyDescent="0.25">
      <c r="E255" s="11">
        <f t="shared" si="25"/>
        <v>-167</v>
      </c>
      <c r="F255" s="11">
        <f t="shared" si="26"/>
        <v>-48.397794266098344</v>
      </c>
      <c r="G255" s="11">
        <f t="shared" si="27"/>
        <v>-48.408867460061884</v>
      </c>
    </row>
    <row r="256" spans="5:7" x14ac:dyDescent="0.25">
      <c r="E256" s="11">
        <f t="shared" si="25"/>
        <v>-166</v>
      </c>
      <c r="F256" s="11">
        <f t="shared" si="26"/>
        <v>-48.277403987783714</v>
      </c>
      <c r="G256" s="11">
        <f t="shared" si="27"/>
        <v>-48.295034975989012</v>
      </c>
    </row>
    <row r="257" spans="5:7" x14ac:dyDescent="0.25">
      <c r="E257" s="11">
        <f t="shared" si="25"/>
        <v>-165</v>
      </c>
      <c r="F257" s="11">
        <f t="shared" si="26"/>
        <v>-48.153974248561099</v>
      </c>
      <c r="G257" s="11">
        <f t="shared" si="27"/>
        <v>-48.177706825138877</v>
      </c>
    </row>
    <row r="258" spans="5:7" x14ac:dyDescent="0.25">
      <c r="E258" s="11">
        <f t="shared" si="25"/>
        <v>-164</v>
      </c>
      <c r="F258" s="11">
        <f t="shared" si="26"/>
        <v>-48.027584381776023</v>
      </c>
      <c r="G258" s="11">
        <f t="shared" si="27"/>
        <v>-48.056780193782743</v>
      </c>
    </row>
    <row r="259" spans="5:7" x14ac:dyDescent="0.25">
      <c r="E259" s="11">
        <f t="shared" si="25"/>
        <v>-163</v>
      </c>
      <c r="F259" s="11">
        <f t="shared" si="26"/>
        <v>-47.898312813415146</v>
      </c>
      <c r="G259" s="11">
        <f t="shared" si="27"/>
        <v>-47.932152268191864</v>
      </c>
    </row>
    <row r="260" spans="5:7" x14ac:dyDescent="0.25">
      <c r="E260" s="11">
        <f t="shared" si="25"/>
        <v>-162</v>
      </c>
      <c r="F260" s="11">
        <f t="shared" si="26"/>
        <v>-47.766235896632111</v>
      </c>
      <c r="G260" s="11">
        <f t="shared" si="27"/>
        <v>-47.803720234637495</v>
      </c>
    </row>
    <row r="261" spans="5:7" x14ac:dyDescent="0.25">
      <c r="E261" s="11">
        <f t="shared" si="25"/>
        <v>-161</v>
      </c>
      <c r="F261" s="11">
        <f t="shared" si="26"/>
        <v>-47.631426850538674</v>
      </c>
      <c r="G261" s="11">
        <f t="shared" si="27"/>
        <v>-47.6713812793909</v>
      </c>
    </row>
    <row r="262" spans="5:7" x14ac:dyDescent="0.25">
      <c r="E262" s="11">
        <f t="shared" si="25"/>
        <v>-160</v>
      </c>
      <c r="F262" s="11">
        <f t="shared" si="26"/>
        <v>-47.493954799563198</v>
      </c>
      <c r="G262" s="11">
        <f t="shared" si="27"/>
        <v>-47.535032588723332</v>
      </c>
    </row>
    <row r="263" spans="5:7" x14ac:dyDescent="0.25">
      <c r="E263" s="11">
        <f t="shared" si="25"/>
        <v>-159</v>
      </c>
      <c r="F263" s="11">
        <f t="shared" si="26"/>
        <v>-47.35388390970104</v>
      </c>
      <c r="G263" s="11">
        <f t="shared" si="27"/>
        <v>-47.400429464281466</v>
      </c>
    </row>
    <row r="264" spans="5:7" x14ac:dyDescent="0.25">
      <c r="E264" s="11">
        <f t="shared" si="25"/>
        <v>-158</v>
      </c>
      <c r="F264" s="11">
        <f t="shared" si="26"/>
        <v>-47.211272618058047</v>
      </c>
      <c r="G264" s="11">
        <f t="shared" si="27"/>
        <v>-47.261804576645979</v>
      </c>
    </row>
    <row r="265" spans="5:7" x14ac:dyDescent="0.25">
      <c r="E265" s="11">
        <f t="shared" si="25"/>
        <v>-157</v>
      </c>
      <c r="F265" s="11">
        <f t="shared" si="26"/>
        <v>-47.066172952126863</v>
      </c>
      <c r="G265" s="11">
        <f t="shared" si="27"/>
        <v>-47.119248711773018</v>
      </c>
    </row>
    <row r="266" spans="5:7" x14ac:dyDescent="0.25">
      <c r="E266" s="11">
        <f t="shared" si="25"/>
        <v>-156</v>
      </c>
      <c r="F266" s="11">
        <f t="shared" si="26"/>
        <v>-46.918629935289232</v>
      </c>
      <c r="G266" s="11">
        <f t="shared" si="27"/>
        <v>-46.972852655618674</v>
      </c>
    </row>
    <row r="267" spans="5:7" x14ac:dyDescent="0.25">
      <c r="E267" s="11">
        <f t="shared" si="25"/>
        <v>-155</v>
      </c>
      <c r="F267" s="11">
        <f t="shared" si="26"/>
        <v>-46.768681075084885</v>
      </c>
      <c r="G267" s="11">
        <f t="shared" si="27"/>
        <v>-46.82270719413907</v>
      </c>
    </row>
    <row r="268" spans="5:7" x14ac:dyDescent="0.25">
      <c r="E268" s="11">
        <f t="shared" si="25"/>
        <v>-154</v>
      </c>
      <c r="F268" s="11">
        <f t="shared" si="26"/>
        <v>-46.616355930849238</v>
      </c>
      <c r="G268" s="11">
        <f t="shared" si="27"/>
        <v>-46.668903113290312</v>
      </c>
    </row>
    <row r="269" spans="5:7" x14ac:dyDescent="0.25">
      <c r="E269" s="11">
        <f t="shared" si="25"/>
        <v>-153</v>
      </c>
      <c r="F269" s="11">
        <f t="shared" si="26"/>
        <v>-46.46167575736456</v>
      </c>
      <c r="G269" s="11">
        <f t="shared" si="27"/>
        <v>-46.511531199028532</v>
      </c>
    </row>
    <row r="270" spans="5:7" x14ac:dyDescent="0.25">
      <c r="E270" s="11">
        <f t="shared" si="25"/>
        <v>-152</v>
      </c>
      <c r="F270" s="11">
        <f t="shared" si="26"/>
        <v>-46.304653221223418</v>
      </c>
      <c r="G270" s="11">
        <f t="shared" si="27"/>
        <v>-46.350682237309833</v>
      </c>
    </row>
    <row r="271" spans="5:7" x14ac:dyDescent="0.25">
      <c r="E271" s="11">
        <f t="shared" si="25"/>
        <v>-151</v>
      </c>
      <c r="F271" s="11">
        <f t="shared" si="26"/>
        <v>-46.145292186653137</v>
      </c>
      <c r="G271" s="11">
        <f t="shared" si="27"/>
        <v>-46.186447014090319</v>
      </c>
    </row>
    <row r="272" spans="5:7" x14ac:dyDescent="0.25">
      <c r="E272" s="11">
        <f t="shared" si="25"/>
        <v>-150</v>
      </c>
      <c r="F272" s="11">
        <f t="shared" si="26"/>
        <v>-45.983587567603877</v>
      </c>
      <c r="G272" s="11">
        <f t="shared" si="27"/>
        <v>-46.018916315326123</v>
      </c>
    </row>
    <row r="273" spans="5:7" x14ac:dyDescent="0.25">
      <c r="E273" s="11">
        <f t="shared" si="25"/>
        <v>-149</v>
      </c>
      <c r="F273" s="11">
        <f t="shared" si="26"/>
        <v>-45.819525242955308</v>
      </c>
      <c r="G273" s="11">
        <f t="shared" si="27"/>
        <v>-45.848180926973335</v>
      </c>
    </row>
    <row r="274" spans="5:7" x14ac:dyDescent="0.25">
      <c r="E274" s="11">
        <f t="shared" si="25"/>
        <v>-148</v>
      </c>
      <c r="F274" s="11">
        <f t="shared" si="26"/>
        <v>-45.653082031736403</v>
      </c>
      <c r="G274" s="11">
        <f t="shared" si="27"/>
        <v>-45.674331634988079</v>
      </c>
    </row>
    <row r="275" spans="5:7" x14ac:dyDescent="0.25">
      <c r="E275" s="11">
        <f t="shared" si="25"/>
        <v>-147</v>
      </c>
      <c r="F275" s="11">
        <f t="shared" si="26"/>
        <v>-45.484225725327974</v>
      </c>
      <c r="G275" s="11">
        <f t="shared" si="27"/>
        <v>-45.49745922532648</v>
      </c>
    </row>
    <row r="276" spans="5:7" x14ac:dyDescent="0.25">
      <c r="E276" s="11">
        <f t="shared" si="25"/>
        <v>-146</v>
      </c>
      <c r="F276" s="11">
        <f t="shared" si="26"/>
        <v>-45.312915173644342</v>
      </c>
      <c r="G276" s="11">
        <f t="shared" si="27"/>
        <v>-45.317654483944636</v>
      </c>
    </row>
    <row r="277" spans="5:7" x14ac:dyDescent="0.25">
      <c r="E277" s="11">
        <f t="shared" si="25"/>
        <v>-145</v>
      </c>
      <c r="F277" s="11">
        <f t="shared" si="26"/>
        <v>-45.139100422349543</v>
      </c>
      <c r="G277" s="11">
        <f t="shared" si="27"/>
        <v>-45.135008196798665</v>
      </c>
    </row>
    <row r="278" spans="5:7" x14ac:dyDescent="0.25">
      <c r="E278" s="11">
        <f t="shared" si="25"/>
        <v>-144</v>
      </c>
      <c r="F278" s="11">
        <f t="shared" si="26"/>
        <v>-44.962722898226588</v>
      </c>
      <c r="G278" s="11">
        <f t="shared" si="27"/>
        <v>-44.949611149844685</v>
      </c>
    </row>
    <row r="279" spans="5:7" x14ac:dyDescent="0.25">
      <c r="E279" s="11">
        <f t="shared" si="25"/>
        <v>-143</v>
      </c>
      <c r="F279" s="11">
        <f t="shared" si="26"/>
        <v>-44.783715639857263</v>
      </c>
      <c r="G279" s="11">
        <f t="shared" si="27"/>
        <v>-44.761554129038814</v>
      </c>
    </row>
    <row r="280" spans="5:7" x14ac:dyDescent="0.25">
      <c r="E280" s="11">
        <f t="shared" si="25"/>
        <v>-142</v>
      </c>
      <c r="F280" s="11">
        <f t="shared" si="26"/>
        <v>-44.602003570816606</v>
      </c>
      <c r="G280" s="11">
        <f t="shared" si="27"/>
        <v>-44.570927920337148</v>
      </c>
    </row>
    <row r="281" spans="5:7" x14ac:dyDescent="0.25">
      <c r="E281" s="11">
        <f t="shared" si="25"/>
        <v>-141</v>
      </c>
      <c r="F281" s="11">
        <f t="shared" si="26"/>
        <v>-44.417503812654502</v>
      </c>
      <c r="G281" s="11">
        <f t="shared" si="27"/>
        <v>-44.377823309695813</v>
      </c>
    </row>
    <row r="282" spans="5:7" x14ac:dyDescent="0.25">
      <c r="E282" s="11">
        <f t="shared" si="25"/>
        <v>-140</v>
      </c>
      <c r="F282" s="11">
        <f t="shared" si="26"/>
        <v>-44.230126034976138</v>
      </c>
      <c r="G282" s="11">
        <f t="shared" si="27"/>
        <v>-44.182331083070927</v>
      </c>
    </row>
    <row r="283" spans="5:7" x14ac:dyDescent="0.25">
      <c r="E283" s="11">
        <f t="shared" si="25"/>
        <v>-139</v>
      </c>
      <c r="F283" s="11">
        <f t="shared" si="26"/>
        <v>-44.039772839981936</v>
      </c>
      <c r="G283" s="11">
        <f t="shared" si="27"/>
        <v>-43.984542026418588</v>
      </c>
    </row>
    <row r="284" spans="5:7" x14ac:dyDescent="0.25">
      <c r="E284" s="11">
        <f t="shared" si="25"/>
        <v>-138</v>
      </c>
      <c r="F284" s="11">
        <f t="shared" si="26"/>
        <v>-43.846340178893882</v>
      </c>
      <c r="G284" s="11">
        <f t="shared" si="27"/>
        <v>-43.784546925694919</v>
      </c>
    </row>
    <row r="285" spans="5:7" x14ac:dyDescent="0.25">
      <c r="E285" s="11">
        <f t="shared" si="25"/>
        <v>-137</v>
      </c>
      <c r="F285" s="11">
        <f t="shared" si="26"/>
        <v>-43.649717797723099</v>
      </c>
      <c r="G285" s="11">
        <f t="shared" si="27"/>
        <v>-43.582436566856039</v>
      </c>
    </row>
    <row r="286" spans="5:7" x14ac:dyDescent="0.25">
      <c r="E286" s="11">
        <f t="shared" si="25"/>
        <v>-136</v>
      </c>
      <c r="F286" s="11">
        <f t="shared" si="26"/>
        <v>-43.449789709913773</v>
      </c>
      <c r="G286" s="11">
        <f t="shared" si="27"/>
        <v>-43.378301735858045</v>
      </c>
    </row>
    <row r="287" spans="5:7" x14ac:dyDescent="0.25">
      <c r="E287" s="11">
        <f t="shared" ref="E287:E350" si="28">E80</f>
        <v>-135</v>
      </c>
      <c r="F287" s="11">
        <f t="shared" ref="F287:F350" si="29">$H$217*0+E287*$I$217+E287^2*$J$217+E287^3*$K$217+E287^4*$L$217+E287^5*$M$217+E287^6*$N$217+E287^7*$O$217+E287^8*$P$217</f>
        <v>-43.246434693419133</v>
      </c>
      <c r="G287" s="11">
        <f t="shared" ref="G287:G350" si="30">F80</f>
        <v>-43.17223321865707</v>
      </c>
    </row>
    <row r="288" spans="5:7" x14ac:dyDescent="0.25">
      <c r="E288" s="11">
        <f t="shared" si="28"/>
        <v>-134</v>
      </c>
      <c r="F288" s="11">
        <f t="shared" si="29"/>
        <v>-43.039526809843807</v>
      </c>
      <c r="G288" s="11">
        <f t="shared" si="30"/>
        <v>-42.964262720090673</v>
      </c>
    </row>
    <row r="289" spans="5:7" x14ac:dyDescent="0.25">
      <c r="E289" s="11">
        <f t="shared" si="28"/>
        <v>-133</v>
      </c>
      <c r="F289" s="11">
        <f t="shared" si="29"/>
        <v>-42.828935943319195</v>
      </c>
      <c r="G289" s="11">
        <f t="shared" si="30"/>
        <v>-42.754185620522236</v>
      </c>
    </row>
    <row r="290" spans="5:7" x14ac:dyDescent="0.25">
      <c r="E290" s="11">
        <f t="shared" si="28"/>
        <v>-132</v>
      </c>
      <c r="F290" s="11">
        <f t="shared" si="29"/>
        <v>-42.614528356837738</v>
      </c>
      <c r="G290" s="11">
        <f t="shared" si="30"/>
        <v>-42.541738219196603</v>
      </c>
    </row>
    <row r="291" spans="5:7" x14ac:dyDescent="0.25">
      <c r="E291" s="11">
        <f t="shared" si="28"/>
        <v>-131</v>
      </c>
      <c r="F291" s="11">
        <f t="shared" si="29"/>
        <v>-42.396167263823742</v>
      </c>
      <c r="G291" s="11">
        <f t="shared" si="30"/>
        <v>-42.326656815358611</v>
      </c>
    </row>
    <row r="292" spans="5:7" x14ac:dyDescent="0.25">
      <c r="E292" s="11">
        <f t="shared" si="28"/>
        <v>-130</v>
      </c>
      <c r="F292" s="11">
        <f t="shared" si="29"/>
        <v>-42.173713412769047</v>
      </c>
      <c r="G292" s="11">
        <f t="shared" si="30"/>
        <v>-42.108677708253104</v>
      </c>
    </row>
    <row r="293" spans="5:7" x14ac:dyDescent="0.25">
      <c r="E293" s="11">
        <f t="shared" si="28"/>
        <v>-129</v>
      </c>
      <c r="F293" s="11">
        <f t="shared" si="29"/>
        <v>-41.947025682806967</v>
      </c>
      <c r="G293" s="11">
        <f t="shared" si="30"/>
        <v>-41.887537197124921</v>
      </c>
    </row>
    <row r="294" spans="5:7" x14ac:dyDescent="0.25">
      <c r="E294" s="11">
        <f t="shared" si="28"/>
        <v>-128</v>
      </c>
      <c r="F294" s="11">
        <f t="shared" si="29"/>
        <v>-41.715961688162224</v>
      </c>
      <c r="G294" s="11">
        <f t="shared" si="30"/>
        <v>-41.662971581218898</v>
      </c>
    </row>
    <row r="295" spans="5:7" x14ac:dyDescent="0.25">
      <c r="E295" s="11">
        <f t="shared" si="28"/>
        <v>-127</v>
      </c>
      <c r="F295" s="11">
        <f t="shared" si="29"/>
        <v>-41.480378389450578</v>
      </c>
      <c r="G295" s="11">
        <f t="shared" si="30"/>
        <v>-41.434717159779879</v>
      </c>
    </row>
    <row r="296" spans="5:7" x14ac:dyDescent="0.25">
      <c r="E296" s="11">
        <f t="shared" si="28"/>
        <v>-126</v>
      </c>
      <c r="F296" s="11">
        <f t="shared" si="29"/>
        <v>-41.240132709868163</v>
      </c>
      <c r="G296" s="11">
        <f t="shared" si="30"/>
        <v>-41.202510232052703</v>
      </c>
    </row>
    <row r="297" spans="5:7" x14ac:dyDescent="0.25">
      <c r="E297" s="11">
        <f t="shared" si="28"/>
        <v>-125</v>
      </c>
      <c r="F297" s="11">
        <f t="shared" si="29"/>
        <v>-40.99508215434679</v>
      </c>
      <c r="G297" s="11">
        <f t="shared" si="30"/>
        <v>-40.966087097282212</v>
      </c>
    </row>
    <row r="298" spans="5:7" x14ac:dyDescent="0.25">
      <c r="E298" s="11">
        <f t="shared" si="28"/>
        <v>-124</v>
      </c>
      <c r="F298" s="11">
        <f t="shared" si="29"/>
        <v>-40.745085429817919</v>
      </c>
      <c r="G298" s="11">
        <f t="shared" si="30"/>
        <v>-40.725184054713246</v>
      </c>
    </row>
    <row r="299" spans="5:7" x14ac:dyDescent="0.25">
      <c r="E299" s="11">
        <f t="shared" si="28"/>
        <v>-123</v>
      </c>
      <c r="F299" s="11">
        <f t="shared" si="29"/>
        <v>-40.490003064766697</v>
      </c>
      <c r="G299" s="11">
        <f t="shared" si="30"/>
        <v>-40.479537403590641</v>
      </c>
    </row>
    <row r="300" spans="5:7" x14ac:dyDescent="0.25">
      <c r="E300" s="11">
        <f t="shared" si="28"/>
        <v>-122</v>
      </c>
      <c r="F300" s="11">
        <f t="shared" si="29"/>
        <v>-40.22969802631571</v>
      </c>
      <c r="G300" s="11">
        <f t="shared" si="30"/>
        <v>-40.228883443159233</v>
      </c>
    </row>
    <row r="301" spans="5:7" x14ac:dyDescent="0.25">
      <c r="E301" s="11">
        <f t="shared" si="28"/>
        <v>-121</v>
      </c>
      <c r="F301" s="11">
        <f t="shared" si="29"/>
        <v>-39.964036333128163</v>
      </c>
      <c r="G301" s="11">
        <f t="shared" si="30"/>
        <v>-39.972958472663876</v>
      </c>
    </row>
    <row r="302" spans="5:7" x14ac:dyDescent="0.25">
      <c r="E302" s="11">
        <f t="shared" si="28"/>
        <v>-120</v>
      </c>
      <c r="F302" s="11">
        <f t="shared" si="29"/>
        <v>-39.692887662470106</v>
      </c>
      <c r="G302" s="11">
        <f t="shared" si="30"/>
        <v>-39.711498791349399</v>
      </c>
    </row>
    <row r="303" spans="5:7" x14ac:dyDescent="0.25">
      <c r="E303" s="11">
        <f t="shared" si="28"/>
        <v>-119</v>
      </c>
      <c r="F303" s="11">
        <f t="shared" si="29"/>
        <v>-39.416125949824206</v>
      </c>
      <c r="G303" s="11">
        <f t="shared" si="30"/>
        <v>-39.444240698460639</v>
      </c>
    </row>
    <row r="304" spans="5:7" x14ac:dyDescent="0.25">
      <c r="E304" s="11">
        <f t="shared" si="28"/>
        <v>-118</v>
      </c>
      <c r="F304" s="11">
        <f t="shared" si="29"/>
        <v>-39.133629979497783</v>
      </c>
      <c r="G304" s="11">
        <f t="shared" si="30"/>
        <v>-39.170920493242448</v>
      </c>
    </row>
    <row r="305" spans="5:7" x14ac:dyDescent="0.25">
      <c r="E305" s="11">
        <f t="shared" si="28"/>
        <v>-117</v>
      </c>
      <c r="F305" s="11">
        <f t="shared" si="29"/>
        <v>-38.845283964718597</v>
      </c>
      <c r="G305" s="11">
        <f t="shared" si="30"/>
        <v>-38.891274474939657</v>
      </c>
    </row>
    <row r="306" spans="5:7" x14ac:dyDescent="0.25">
      <c r="E306" s="11">
        <f t="shared" si="28"/>
        <v>-116</v>
      </c>
      <c r="F306" s="11">
        <f t="shared" si="29"/>
        <v>-38.550978115767172</v>
      </c>
      <c r="G306" s="11">
        <f t="shared" si="30"/>
        <v>-38.605038942797108</v>
      </c>
    </row>
    <row r="307" spans="5:7" x14ac:dyDescent="0.25">
      <c r="E307" s="11">
        <f t="shared" si="28"/>
        <v>-115</v>
      </c>
      <c r="F307" s="11">
        <f t="shared" si="29"/>
        <v>-38.250609194738722</v>
      </c>
      <c r="G307" s="11">
        <f t="shared" si="30"/>
        <v>-38.311950196059641</v>
      </c>
    </row>
    <row r="308" spans="5:7" x14ac:dyDescent="0.25">
      <c r="E308" s="11">
        <f t="shared" si="28"/>
        <v>-114</v>
      </c>
      <c r="F308" s="11">
        <f t="shared" si="29"/>
        <v>-37.944081055586281</v>
      </c>
      <c r="G308" s="11">
        <f t="shared" si="30"/>
        <v>-38.011744533972099</v>
      </c>
    </row>
    <row r="309" spans="5:7" x14ac:dyDescent="0.25">
      <c r="E309" s="11">
        <f t="shared" si="28"/>
        <v>-113</v>
      </c>
      <c r="F309" s="11">
        <f t="shared" si="29"/>
        <v>-37.631305168142305</v>
      </c>
      <c r="G309" s="11">
        <f t="shared" si="30"/>
        <v>-37.704158255779312</v>
      </c>
    </row>
    <row r="310" spans="5:7" x14ac:dyDescent="0.25">
      <c r="E310" s="11">
        <f t="shared" si="28"/>
        <v>-112</v>
      </c>
      <c r="F310" s="11">
        <f t="shared" si="29"/>
        <v>-37.312201124872502</v>
      </c>
      <c r="G310" s="11">
        <f t="shared" si="30"/>
        <v>-37.388927660726139</v>
      </c>
    </row>
    <row r="311" spans="5:7" x14ac:dyDescent="0.25">
      <c r="E311" s="11">
        <f t="shared" si="28"/>
        <v>-111</v>
      </c>
      <c r="F311" s="11">
        <f t="shared" si="29"/>
        <v>-36.986697129160071</v>
      </c>
      <c r="G311" s="11">
        <f t="shared" si="30"/>
        <v>-37.065789048057404</v>
      </c>
    </row>
    <row r="312" spans="5:7" x14ac:dyDescent="0.25">
      <c r="E312" s="11">
        <f t="shared" si="28"/>
        <v>-110</v>
      </c>
      <c r="F312" s="11">
        <f t="shared" si="29"/>
        <v>-36.654730463978709</v>
      </c>
      <c r="G312" s="11">
        <f t="shared" si="30"/>
        <v>-36.734478717017943</v>
      </c>
    </row>
    <row r="313" spans="5:7" x14ac:dyDescent="0.25">
      <c r="E313" s="11">
        <f t="shared" si="28"/>
        <v>-109</v>
      </c>
      <c r="F313" s="11">
        <f t="shared" si="29"/>
        <v>-36.316247939855145</v>
      </c>
      <c r="G313" s="11">
        <f t="shared" si="30"/>
        <v>-36.394811158628357</v>
      </c>
    </row>
    <row r="314" spans="5:7" x14ac:dyDescent="0.25">
      <c r="E314" s="11">
        <f t="shared" si="28"/>
        <v>-108</v>
      </c>
      <c r="F314" s="11">
        <f t="shared" si="29"/>
        <v>-35.971206321080942</v>
      </c>
      <c r="G314" s="11">
        <f t="shared" si="30"/>
        <v>-36.04691363101221</v>
      </c>
    </row>
    <row r="315" spans="5:7" x14ac:dyDescent="0.25">
      <c r="E315" s="11">
        <f t="shared" si="28"/>
        <v>-107</v>
      </c>
      <c r="F315" s="11">
        <f t="shared" si="29"/>
        <v>-35.619572729177321</v>
      </c>
      <c r="G315" s="11">
        <f t="shared" si="30"/>
        <v>-35.690991584068797</v>
      </c>
    </row>
    <row r="316" spans="5:7" x14ac:dyDescent="0.25">
      <c r="E316" s="11">
        <f t="shared" si="28"/>
        <v>-106</v>
      </c>
      <c r="F316" s="11">
        <f t="shared" si="29"/>
        <v>-35.2613250226755</v>
      </c>
      <c r="G316" s="11">
        <f t="shared" si="30"/>
        <v>-35.327250467697461</v>
      </c>
    </row>
    <row r="317" spans="5:7" x14ac:dyDescent="0.25">
      <c r="E317" s="11">
        <f t="shared" si="28"/>
        <v>-105</v>
      </c>
      <c r="F317" s="11">
        <f t="shared" si="29"/>
        <v>-34.896452152320208</v>
      </c>
      <c r="G317" s="11">
        <f t="shared" si="30"/>
        <v>-34.955895731797483</v>
      </c>
    </row>
    <row r="318" spans="5:7" x14ac:dyDescent="0.25">
      <c r="E318" s="11">
        <f t="shared" si="28"/>
        <v>-104</v>
      </c>
      <c r="F318" s="11">
        <f t="shared" si="29"/>
        <v>-34.524954490859002</v>
      </c>
      <c r="G318" s="11">
        <f t="shared" si="30"/>
        <v>-34.577132826268191</v>
      </c>
    </row>
    <row r="319" spans="5:7" x14ac:dyDescent="0.25">
      <c r="E319" s="11">
        <f t="shared" si="28"/>
        <v>-103</v>
      </c>
      <c r="F319" s="11">
        <f t="shared" si="29"/>
        <v>-34.146844136629085</v>
      </c>
      <c r="G319" s="11">
        <f t="shared" si="30"/>
        <v>-34.191167201008895</v>
      </c>
    </row>
    <row r="320" spans="5:7" x14ac:dyDescent="0.25">
      <c r="E320" s="11">
        <f t="shared" si="28"/>
        <v>-102</v>
      </c>
      <c r="F320" s="11">
        <f t="shared" si="29"/>
        <v>-33.762145190207413</v>
      </c>
      <c r="G320" s="11">
        <f t="shared" si="30"/>
        <v>-33.798204305918908</v>
      </c>
    </row>
    <row r="321" spans="5:7" x14ac:dyDescent="0.25">
      <c r="E321" s="11">
        <f t="shared" si="28"/>
        <v>-101</v>
      </c>
      <c r="F321" s="11">
        <f t="shared" si="29"/>
        <v>-33.370894003437392</v>
      </c>
      <c r="G321" s="11">
        <f t="shared" si="30"/>
        <v>-33.398449590897549</v>
      </c>
    </row>
    <row r="322" spans="5:7" x14ac:dyDescent="0.25">
      <c r="E322" s="11">
        <f t="shared" si="28"/>
        <v>-100</v>
      </c>
      <c r="F322" s="11">
        <f t="shared" si="29"/>
        <v>-32.973139400200481</v>
      </c>
      <c r="G322" s="11">
        <f t="shared" si="30"/>
        <v>-32.992108505844122</v>
      </c>
    </row>
    <row r="323" spans="5:7" x14ac:dyDescent="0.25">
      <c r="E323" s="11">
        <f t="shared" si="28"/>
        <v>-99</v>
      </c>
      <c r="F323" s="11">
        <f t="shared" si="29"/>
        <v>-32.568942868349687</v>
      </c>
      <c r="G323" s="11">
        <f t="shared" si="30"/>
        <v>-32.57938650065794</v>
      </c>
    </row>
    <row r="324" spans="5:7" x14ac:dyDescent="0.25">
      <c r="E324" s="11">
        <f t="shared" si="28"/>
        <v>-98</v>
      </c>
      <c r="F324" s="11">
        <f t="shared" si="29"/>
        <v>-32.15837872227501</v>
      </c>
      <c r="G324" s="11">
        <f t="shared" si="30"/>
        <v>-32.16048902523832</v>
      </c>
    </row>
    <row r="325" spans="5:7" x14ac:dyDescent="0.25">
      <c r="E325" s="11">
        <f t="shared" si="28"/>
        <v>-97</v>
      </c>
      <c r="F325" s="11">
        <f t="shared" si="29"/>
        <v>-31.741534235620296</v>
      </c>
      <c r="G325" s="11">
        <f t="shared" si="30"/>
        <v>-31.735621529484561</v>
      </c>
    </row>
    <row r="326" spans="5:7" x14ac:dyDescent="0.25">
      <c r="E326" s="11">
        <f t="shared" si="28"/>
        <v>-96</v>
      </c>
      <c r="F326" s="11">
        <f t="shared" si="29"/>
        <v>-31.31850974372492</v>
      </c>
      <c r="G326" s="11">
        <f t="shared" si="30"/>
        <v>-31.304989463295996</v>
      </c>
    </row>
    <row r="327" spans="5:7" x14ac:dyDescent="0.25">
      <c r="E327" s="11">
        <f t="shared" si="28"/>
        <v>-95</v>
      </c>
      <c r="F327" s="11">
        <f t="shared" si="29"/>
        <v>-30.88941871541245</v>
      </c>
      <c r="G327" s="11">
        <f t="shared" si="30"/>
        <v>-30.868798276571923</v>
      </c>
    </row>
    <row r="328" spans="5:7" x14ac:dyDescent="0.25">
      <c r="E328" s="11">
        <f t="shared" si="28"/>
        <v>-94</v>
      </c>
      <c r="F328" s="11">
        <f t="shared" si="29"/>
        <v>-30.45438779380067</v>
      </c>
      <c r="G328" s="11">
        <f t="shared" si="30"/>
        <v>-30.427253419211659</v>
      </c>
    </row>
    <row r="329" spans="5:7" x14ac:dyDescent="0.25">
      <c r="E329" s="11">
        <f t="shared" si="28"/>
        <v>-93</v>
      </c>
      <c r="F329" s="11">
        <f t="shared" si="29"/>
        <v>-30.01355680585992</v>
      </c>
      <c r="G329" s="11">
        <f t="shared" si="30"/>
        <v>-29.980560341114522</v>
      </c>
    </row>
    <row r="330" spans="5:7" x14ac:dyDescent="0.25">
      <c r="E330" s="11">
        <f t="shared" si="28"/>
        <v>-92</v>
      </c>
      <c r="F330" s="11">
        <f t="shared" si="29"/>
        <v>-29.567078740495564</v>
      </c>
      <c r="G330" s="11">
        <f t="shared" si="30"/>
        <v>-29.528924492179812</v>
      </c>
    </row>
    <row r="331" spans="5:7" x14ac:dyDescent="0.25">
      <c r="E331" s="11">
        <f t="shared" si="28"/>
        <v>-91</v>
      </c>
      <c r="F331" s="11">
        <f t="shared" si="29"/>
        <v>-29.115119694984141</v>
      </c>
      <c r="G331" s="11">
        <f t="shared" si="30"/>
        <v>-29.072551322306854</v>
      </c>
    </row>
    <row r="332" spans="5:7" x14ac:dyDescent="0.25">
      <c r="E332" s="11">
        <f t="shared" si="28"/>
        <v>-90</v>
      </c>
      <c r="F332" s="11">
        <f t="shared" si="29"/>
        <v>-28.657858789642084</v>
      </c>
      <c r="G332" s="11">
        <f t="shared" si="30"/>
        <v>-28.61164628139495</v>
      </c>
    </row>
    <row r="333" spans="5:7" x14ac:dyDescent="0.25">
      <c r="E333" s="11">
        <f t="shared" si="28"/>
        <v>-89</v>
      </c>
      <c r="F333" s="11">
        <f t="shared" si="29"/>
        <v>-28.195488050658717</v>
      </c>
      <c r="G333" s="11">
        <f t="shared" si="30"/>
        <v>-28.14641481934342</v>
      </c>
    </row>
    <row r="334" spans="5:7" x14ac:dyDescent="0.25">
      <c r="E334" s="11">
        <f t="shared" si="28"/>
        <v>-88</v>
      </c>
      <c r="F334" s="11">
        <f t="shared" si="29"/>
        <v>-27.728212261075477</v>
      </c>
      <c r="G334" s="11">
        <f t="shared" si="30"/>
        <v>-27.677062386051574</v>
      </c>
    </row>
    <row r="335" spans="5:7" x14ac:dyDescent="0.25">
      <c r="E335" s="11">
        <f t="shared" si="28"/>
        <v>-87</v>
      </c>
      <c r="F335" s="11">
        <f t="shared" si="29"/>
        <v>-27.256248779945281</v>
      </c>
      <c r="G335" s="11">
        <f t="shared" si="30"/>
        <v>-27.203794431418721</v>
      </c>
    </row>
    <row r="336" spans="5:7" x14ac:dyDescent="0.25">
      <c r="E336" s="11">
        <f t="shared" si="28"/>
        <v>-86</v>
      </c>
      <c r="F336" s="11">
        <f t="shared" si="29"/>
        <v>-26.779827329757101</v>
      </c>
      <c r="G336" s="11">
        <f t="shared" si="30"/>
        <v>-26.726816405344177</v>
      </c>
    </row>
    <row r="337" spans="5:7" x14ac:dyDescent="0.25">
      <c r="E337" s="11">
        <f t="shared" si="28"/>
        <v>-85</v>
      </c>
      <c r="F337" s="11">
        <f t="shared" si="29"/>
        <v>-26.29918975226142</v>
      </c>
      <c r="G337" s="11">
        <f t="shared" si="30"/>
        <v>-26.246333757727257</v>
      </c>
    </row>
    <row r="338" spans="5:7" x14ac:dyDescent="0.25">
      <c r="E338" s="11">
        <f t="shared" si="28"/>
        <v>-84</v>
      </c>
      <c r="F338" s="11">
        <f t="shared" si="29"/>
        <v>-25.81458973288532</v>
      </c>
      <c r="G338" s="11">
        <f t="shared" si="30"/>
        <v>-25.762551938467265</v>
      </c>
    </row>
    <row r="339" spans="5:7" x14ac:dyDescent="0.25">
      <c r="E339" s="11">
        <f t="shared" si="28"/>
        <v>-83</v>
      </c>
      <c r="F339" s="11">
        <f t="shared" si="29"/>
        <v>-25.326292493974879</v>
      </c>
      <c r="G339" s="11">
        <f t="shared" si="30"/>
        <v>-25.275676397463524</v>
      </c>
    </row>
    <row r="340" spans="5:7" x14ac:dyDescent="0.25">
      <c r="E340" s="11">
        <f t="shared" si="28"/>
        <v>-82</v>
      </c>
      <c r="F340" s="11">
        <f t="shared" si="29"/>
        <v>-24.834574457155984</v>
      </c>
      <c r="G340" s="11">
        <f t="shared" si="30"/>
        <v>-24.785912584615343</v>
      </c>
    </row>
    <row r="341" spans="5:7" x14ac:dyDescent="0.25">
      <c r="E341" s="11">
        <f t="shared" si="28"/>
        <v>-81</v>
      </c>
      <c r="F341" s="11">
        <f t="shared" si="29"/>
        <v>-24.339722875154667</v>
      </c>
      <c r="G341" s="11">
        <f t="shared" si="30"/>
        <v>-24.293465949822025</v>
      </c>
    </row>
    <row r="342" spans="5:7" x14ac:dyDescent="0.25">
      <c r="E342" s="11">
        <f t="shared" si="28"/>
        <v>-80</v>
      </c>
      <c r="F342" s="11">
        <f t="shared" si="29"/>
        <v>-23.842035433469938</v>
      </c>
      <c r="G342" s="11">
        <f t="shared" si="30"/>
        <v>-23.798541942982897</v>
      </c>
    </row>
    <row r="343" spans="5:7" x14ac:dyDescent="0.25">
      <c r="E343" s="11">
        <f t="shared" si="28"/>
        <v>-79</v>
      </c>
      <c r="F343" s="11">
        <f t="shared" si="29"/>
        <v>-23.341819822343254</v>
      </c>
      <c r="G343" s="11">
        <f t="shared" si="30"/>
        <v>-23.301366591900319</v>
      </c>
    </row>
    <row r="344" spans="5:7" x14ac:dyDescent="0.25">
      <c r="E344" s="11">
        <f t="shared" si="28"/>
        <v>-78</v>
      </c>
      <c r="F344" s="11">
        <f t="shared" si="29"/>
        <v>-22.839393279520028</v>
      </c>
      <c r="G344" s="11">
        <f t="shared" si="30"/>
        <v>-22.802248235988909</v>
      </c>
    </row>
    <row r="345" spans="5:7" x14ac:dyDescent="0.25">
      <c r="E345" s="11">
        <f t="shared" si="28"/>
        <v>-77</v>
      </c>
      <c r="F345" s="11">
        <f t="shared" si="29"/>
        <v>-22.335082104350032</v>
      </c>
      <c r="G345" s="11">
        <f t="shared" si="30"/>
        <v>-22.301515792566338</v>
      </c>
    </row>
    <row r="346" spans="5:7" x14ac:dyDescent="0.25">
      <c r="E346" s="11">
        <f t="shared" si="28"/>
        <v>-76</v>
      </c>
      <c r="F346" s="11">
        <f t="shared" si="29"/>
        <v>-21.829221143824608</v>
      </c>
      <c r="G346" s="11">
        <f t="shared" si="30"/>
        <v>-21.79949817895027</v>
      </c>
    </row>
    <row r="347" spans="5:7" x14ac:dyDescent="0.25">
      <c r="E347" s="11">
        <f t="shared" si="28"/>
        <v>-75</v>
      </c>
      <c r="F347" s="11">
        <f t="shared" si="29"/>
        <v>-21.322153251200358</v>
      </c>
      <c r="G347" s="11">
        <f t="shared" si="30"/>
        <v>-21.296524312458381</v>
      </c>
    </row>
    <row r="348" spans="5:7" x14ac:dyDescent="0.25">
      <c r="E348" s="11">
        <f t="shared" si="28"/>
        <v>-74</v>
      </c>
      <c r="F348" s="11">
        <f t="shared" si="29"/>
        <v>-20.814228717909664</v>
      </c>
      <c r="G348" s="11">
        <f t="shared" si="30"/>
        <v>-20.792923110408331</v>
      </c>
    </row>
    <row r="349" spans="5:7" x14ac:dyDescent="0.25">
      <c r="E349" s="11">
        <f t="shared" si="28"/>
        <v>-73</v>
      </c>
      <c r="F349" s="11">
        <f t="shared" si="29"/>
        <v>-20.305804679510203</v>
      </c>
      <c r="G349" s="11">
        <f t="shared" si="30"/>
        <v>-20.289023490117803</v>
      </c>
    </row>
    <row r="350" spans="5:7" x14ac:dyDescent="0.25">
      <c r="E350" s="11">
        <f t="shared" si="28"/>
        <v>-72</v>
      </c>
      <c r="F350" s="11">
        <f t="shared" si="29"/>
        <v>-19.797244496476885</v>
      </c>
      <c r="G350" s="11">
        <f t="shared" si="30"/>
        <v>-19.785154368904461</v>
      </c>
    </row>
    <row r="351" spans="5:7" x14ac:dyDescent="0.25">
      <c r="E351" s="11">
        <f t="shared" ref="E351:E414" si="31">E144</f>
        <v>-71</v>
      </c>
      <c r="F351" s="11">
        <f t="shared" ref="F351:F414" si="32">$H$217*0+E351*$I$217+E351^2*$J$217+E351^3*$K$217+E351^4*$L$217+E351^5*$M$217+E351^6*$N$217+E351^7*$O$217+E351^8*$P$217</f>
        <v>-19.288917110690559</v>
      </c>
      <c r="G351" s="11">
        <f t="shared" ref="G351:G414" si="33">F144</f>
        <v>-19.281644664085974</v>
      </c>
    </row>
    <row r="352" spans="5:7" x14ac:dyDescent="0.25">
      <c r="E352" s="11">
        <f t="shared" si="31"/>
        <v>-70</v>
      </c>
      <c r="F352" s="11">
        <f t="shared" si="32"/>
        <v>-18.781196378529557</v>
      </c>
      <c r="G352" s="11">
        <f t="shared" si="33"/>
        <v>-18.778823292980018</v>
      </c>
    </row>
    <row r="353" spans="5:7" x14ac:dyDescent="0.25">
      <c r="E353" s="11">
        <f t="shared" si="31"/>
        <v>-69</v>
      </c>
      <c r="F353" s="11">
        <f t="shared" si="32"/>
        <v>-18.274460381521415</v>
      </c>
      <c r="G353" s="11">
        <f t="shared" si="33"/>
        <v>-18.27701917290425</v>
      </c>
    </row>
    <row r="354" spans="5:7" x14ac:dyDescent="0.25">
      <c r="E354" s="11">
        <f t="shared" si="31"/>
        <v>-68</v>
      </c>
      <c r="F354" s="11">
        <f t="shared" si="32"/>
        <v>-17.769090715563063</v>
      </c>
      <c r="G354" s="11">
        <f t="shared" si="33"/>
        <v>-17.776561221176355</v>
      </c>
    </row>
    <row r="355" spans="5:7" x14ac:dyDescent="0.25">
      <c r="E355" s="11">
        <f t="shared" si="31"/>
        <v>-67</v>
      </c>
      <c r="F355" s="11">
        <f t="shared" si="32"/>
        <v>-17.265471759769547</v>
      </c>
      <c r="G355" s="11">
        <f t="shared" si="33"/>
        <v>-17.277778355113991</v>
      </c>
    </row>
    <row r="356" spans="5:7" x14ac:dyDescent="0.25">
      <c r="E356" s="11">
        <f t="shared" si="31"/>
        <v>-66</v>
      </c>
      <c r="F356" s="11">
        <f t="shared" si="32"/>
        <v>-16.763989926062333</v>
      </c>
      <c r="G356" s="11">
        <f t="shared" si="33"/>
        <v>-16.780999492034837</v>
      </c>
    </row>
    <row r="357" spans="5:7" x14ac:dyDescent="0.25">
      <c r="E357" s="11">
        <f t="shared" si="31"/>
        <v>-65</v>
      </c>
      <c r="F357" s="11">
        <f t="shared" si="32"/>
        <v>-16.265032890659629</v>
      </c>
      <c r="G357" s="11">
        <f t="shared" si="33"/>
        <v>-16.28655354925656</v>
      </c>
    </row>
    <row r="358" spans="5:7" x14ac:dyDescent="0.25">
      <c r="E358" s="11">
        <f t="shared" si="31"/>
        <v>-64</v>
      </c>
      <c r="F358" s="11">
        <f t="shared" si="32"/>
        <v>-15.768988808682668</v>
      </c>
      <c r="G358" s="11">
        <f t="shared" si="33"/>
        <v>-15.794769444096827</v>
      </c>
    </row>
    <row r="359" spans="5:7" x14ac:dyDescent="0.25">
      <c r="E359" s="11">
        <f t="shared" si="31"/>
        <v>-63</v>
      </c>
      <c r="F359" s="11">
        <f t="shared" si="32"/>
        <v>-15.276245513142783</v>
      </c>
      <c r="G359" s="11">
        <f t="shared" si="33"/>
        <v>-15.305976093873312</v>
      </c>
    </row>
    <row r="360" spans="5:7" x14ac:dyDescent="0.25">
      <c r="E360" s="11">
        <f t="shared" si="31"/>
        <v>-62</v>
      </c>
      <c r="F360" s="11">
        <f t="shared" si="32"/>
        <v>-14.787189699625911</v>
      </c>
      <c r="G360" s="11">
        <f t="shared" si="33"/>
        <v>-14.820502415903684</v>
      </c>
    </row>
    <row r="361" spans="5:7" x14ac:dyDescent="0.25">
      <c r="E361" s="11">
        <f t="shared" si="31"/>
        <v>-61</v>
      </c>
      <c r="F361" s="11">
        <f t="shared" si="32"/>
        <v>-14.30220609804204</v>
      </c>
      <c r="G361" s="11">
        <f t="shared" si="33"/>
        <v>-14.338677327505614</v>
      </c>
    </row>
    <row r="362" spans="5:7" x14ac:dyDescent="0.25">
      <c r="E362" s="11">
        <f t="shared" si="31"/>
        <v>-60</v>
      </c>
      <c r="F362" s="11">
        <f t="shared" si="32"/>
        <v>-13.821676632858694</v>
      </c>
      <c r="G362" s="11">
        <f t="shared" si="33"/>
        <v>-13.860829745996767</v>
      </c>
    </row>
    <row r="363" spans="5:7" x14ac:dyDescent="0.25">
      <c r="E363" s="11">
        <f t="shared" si="31"/>
        <v>-59</v>
      </c>
      <c r="F363" s="11">
        <f t="shared" si="32"/>
        <v>-13.345979573288769</v>
      </c>
      <c r="G363" s="11">
        <f t="shared" si="33"/>
        <v>-13.387288588694821</v>
      </c>
    </row>
    <row r="364" spans="5:7" x14ac:dyDescent="0.25">
      <c r="E364" s="11">
        <f t="shared" si="31"/>
        <v>-58</v>
      </c>
      <c r="F364" s="11">
        <f t="shared" si="32"/>
        <v>-12.875488674954308</v>
      </c>
      <c r="G364" s="11">
        <f t="shared" si="33"/>
        <v>-12.918382772917441</v>
      </c>
    </row>
    <row r="365" spans="5:7" x14ac:dyDescent="0.25">
      <c r="E365" s="11">
        <f t="shared" si="31"/>
        <v>-57</v>
      </c>
      <c r="F365" s="11">
        <f t="shared" si="32"/>
        <v>-12.41057231459917</v>
      </c>
      <c r="G365" s="11">
        <f t="shared" si="33"/>
        <v>-12.454441215982296</v>
      </c>
    </row>
    <row r="366" spans="5:7" x14ac:dyDescent="0.25">
      <c r="E366" s="11">
        <f t="shared" si="31"/>
        <v>-56</v>
      </c>
      <c r="F366" s="11">
        <f t="shared" si="32"/>
        <v>-11.951592619474855</v>
      </c>
      <c r="G366" s="11">
        <f t="shared" si="33"/>
        <v>-11.995792835207061</v>
      </c>
    </row>
    <row r="367" spans="5:7" x14ac:dyDescent="0.25">
      <c r="E367" s="11">
        <f t="shared" si="31"/>
        <v>-55</v>
      </c>
      <c r="F367" s="11">
        <f t="shared" si="32"/>
        <v>-11.498904593074972</v>
      </c>
      <c r="G367" s="11">
        <f t="shared" si="33"/>
        <v>-11.542766547909405</v>
      </c>
    </row>
    <row r="368" spans="5:7" x14ac:dyDescent="0.25">
      <c r="E368" s="11">
        <f t="shared" si="31"/>
        <v>-54</v>
      </c>
      <c r="F368" s="11">
        <f t="shared" si="32"/>
        <v>-11.052855238945261</v>
      </c>
      <c r="G368" s="11">
        <f t="shared" si="33"/>
        <v>-11.095691271406992</v>
      </c>
    </row>
    <row r="369" spans="5:7" x14ac:dyDescent="0.25">
      <c r="E369" s="11">
        <f t="shared" si="31"/>
        <v>-53</v>
      </c>
      <c r="F369" s="11">
        <f t="shared" si="32"/>
        <v>-10.613782684347321</v>
      </c>
      <c r="G369" s="11">
        <f t="shared" si="33"/>
        <v>-10.654895923017499</v>
      </c>
    </row>
    <row r="370" spans="5:7" x14ac:dyDescent="0.25">
      <c r="E370" s="11">
        <f t="shared" si="31"/>
        <v>-52</v>
      </c>
      <c r="F370" s="11">
        <f t="shared" si="32"/>
        <v>-10.182015305605486</v>
      </c>
      <c r="G370" s="11">
        <f t="shared" si="33"/>
        <v>-10.22070942005859</v>
      </c>
    </row>
    <row r="371" spans="5:7" x14ac:dyDescent="0.25">
      <c r="E371" s="11">
        <f t="shared" si="31"/>
        <v>-51</v>
      </c>
      <c r="F371" s="11">
        <f t="shared" si="32"/>
        <v>-9.7578708570177053</v>
      </c>
      <c r="G371" s="11">
        <f t="shared" si="33"/>
        <v>-9.7934606798479411</v>
      </c>
    </row>
    <row r="372" spans="5:7" x14ac:dyDescent="0.25">
      <c r="E372" s="11">
        <f t="shared" si="31"/>
        <v>-50</v>
      </c>
      <c r="F372" s="11">
        <f t="shared" si="32"/>
        <v>-9.3416556052624209</v>
      </c>
      <c r="G372" s="11">
        <f t="shared" si="33"/>
        <v>-9.3734786197032189</v>
      </c>
    </row>
    <row r="373" spans="5:7" x14ac:dyDescent="0.25">
      <c r="E373" s="11">
        <f t="shared" si="31"/>
        <v>-49</v>
      </c>
      <c r="F373" s="11">
        <f t="shared" si="32"/>
        <v>-8.9336634712849268</v>
      </c>
      <c r="G373" s="11">
        <f t="shared" si="33"/>
        <v>-8.9610921569420938</v>
      </c>
    </row>
    <row r="374" spans="5:7" x14ac:dyDescent="0.25">
      <c r="E374" s="11">
        <f t="shared" si="31"/>
        <v>-48</v>
      </c>
      <c r="F374" s="11">
        <f t="shared" si="32"/>
        <v>-8.5341751816978402</v>
      </c>
      <c r="G374" s="11">
        <f t="shared" si="33"/>
        <v>-8.5566302088822379</v>
      </c>
    </row>
    <row r="375" spans="5:7" x14ac:dyDescent="0.25">
      <c r="E375" s="11">
        <f t="shared" si="31"/>
        <v>-47</v>
      </c>
      <c r="F375" s="11">
        <f t="shared" si="32"/>
        <v>-8.1434574317817976</v>
      </c>
      <c r="G375" s="11">
        <f t="shared" si="33"/>
        <v>-8.160421692841318</v>
      </c>
    </row>
    <row r="376" spans="5:7" x14ac:dyDescent="0.25">
      <c r="E376" s="11">
        <f t="shared" si="31"/>
        <v>-46</v>
      </c>
      <c r="F376" s="11">
        <f t="shared" si="32"/>
        <v>-7.7617620622235863</v>
      </c>
      <c r="G376" s="11">
        <f t="shared" si="33"/>
        <v>-7.7727955261370072</v>
      </c>
    </row>
    <row r="377" spans="5:7" x14ac:dyDescent="0.25">
      <c r="E377" s="11">
        <f t="shared" si="31"/>
        <v>-45</v>
      </c>
      <c r="F377" s="11">
        <f t="shared" si="32"/>
        <v>-7.38932525178042</v>
      </c>
      <c r="G377" s="11">
        <f t="shared" si="33"/>
        <v>-7.394080626086974</v>
      </c>
    </row>
    <row r="378" spans="5:7" x14ac:dyDescent="0.25">
      <c r="E378" s="11">
        <f t="shared" si="31"/>
        <v>-44</v>
      </c>
      <c r="F378" s="11">
        <f t="shared" si="32"/>
        <v>-7.0263667281102986</v>
      </c>
      <c r="G378" s="11">
        <f t="shared" si="33"/>
        <v>-7.024605910008888</v>
      </c>
    </row>
    <row r="379" spans="5:7" x14ac:dyDescent="0.25">
      <c r="E379" s="11">
        <f t="shared" si="31"/>
        <v>-43</v>
      </c>
      <c r="F379" s="11">
        <f t="shared" si="32"/>
        <v>-6.673088999059642</v>
      </c>
      <c r="G379" s="11">
        <f t="shared" si="33"/>
        <v>-6.6647002952204204</v>
      </c>
    </row>
    <row r="380" spans="5:7" x14ac:dyDescent="0.25">
      <c r="E380" s="11">
        <f t="shared" si="31"/>
        <v>-42</v>
      </c>
      <c r="F380" s="11">
        <f t="shared" si="32"/>
        <v>-6.3296766067508061</v>
      </c>
      <c r="G380" s="11">
        <f t="shared" si="33"/>
        <v>-6.3146926990392398</v>
      </c>
    </row>
    <row r="381" spans="5:7" x14ac:dyDescent="0.25">
      <c r="E381" s="11">
        <f t="shared" si="31"/>
        <v>-41</v>
      </c>
      <c r="F381" s="11">
        <f t="shared" si="32"/>
        <v>-5.9962954068633696</v>
      </c>
      <c r="G381" s="11">
        <f t="shared" si="33"/>
        <v>-5.9749120387830192</v>
      </c>
    </row>
    <row r="382" spans="5:7" x14ac:dyDescent="0.25">
      <c r="E382" s="11">
        <f t="shared" si="31"/>
        <v>-40</v>
      </c>
      <c r="F382" s="11">
        <f t="shared" si="32"/>
        <v>-5.673091875554257</v>
      </c>
      <c r="G382" s="11">
        <f t="shared" si="33"/>
        <v>-5.6456872317694256</v>
      </c>
    </row>
    <row r="383" spans="5:7" x14ac:dyDescent="0.25">
      <c r="E383" s="11">
        <f t="shared" si="31"/>
        <v>-39</v>
      </c>
      <c r="F383" s="11">
        <f t="shared" si="32"/>
        <v>-5.3601924465133175</v>
      </c>
      <c r="G383" s="11">
        <f t="shared" si="33"/>
        <v>-5.3273471953161291</v>
      </c>
    </row>
    <row r="384" spans="5:7" x14ac:dyDescent="0.25">
      <c r="E384" s="11">
        <f t="shared" si="31"/>
        <v>-38</v>
      </c>
      <c r="F384" s="11">
        <f t="shared" si="32"/>
        <v>-5.0577028807020472</v>
      </c>
      <c r="G384" s="11">
        <f t="shared" si="33"/>
        <v>-5.0202208467408029</v>
      </c>
    </row>
    <row r="385" spans="5:7" x14ac:dyDescent="0.25">
      <c r="E385" s="11">
        <f t="shared" si="31"/>
        <v>-37</v>
      </c>
      <c r="F385" s="11">
        <f t="shared" si="32"/>
        <v>-4.7657076713746012</v>
      </c>
      <c r="G385" s="11">
        <f t="shared" si="33"/>
        <v>-4.7246371033611139</v>
      </c>
    </row>
    <row r="386" spans="5:7" x14ac:dyDescent="0.25">
      <c r="E386" s="11">
        <f t="shared" si="31"/>
        <v>-36</v>
      </c>
      <c r="F386" s="11">
        <f t="shared" si="32"/>
        <v>-4.4842694870314954</v>
      </c>
      <c r="G386" s="11">
        <f t="shared" si="33"/>
        <v>-4.440924882494734</v>
      </c>
    </row>
    <row r="387" spans="5:7" x14ac:dyDescent="0.25">
      <c r="E387" s="11">
        <f t="shared" si="31"/>
        <v>-35</v>
      </c>
      <c r="F387" s="11">
        <f t="shared" si="32"/>
        <v>-4.2134286550077045</v>
      </c>
      <c r="G387" s="11">
        <f t="shared" si="33"/>
        <v>-4.1694131014593312</v>
      </c>
    </row>
    <row r="388" spans="5:7" x14ac:dyDescent="0.25">
      <c r="E388" s="11">
        <f t="shared" si="31"/>
        <v>-34</v>
      </c>
      <c r="F388" s="11">
        <f t="shared" si="32"/>
        <v>-3.9532026884481861</v>
      </c>
      <c r="G388" s="11">
        <f t="shared" si="33"/>
        <v>-3.9103161944141638</v>
      </c>
    </row>
    <row r="389" spans="5:7" x14ac:dyDescent="0.25">
      <c r="E389" s="11">
        <f t="shared" si="31"/>
        <v>-33</v>
      </c>
      <c r="F389" s="11">
        <f t="shared" si="32"/>
        <v>-3.7035858594751598</v>
      </c>
      <c r="G389" s="11">
        <f t="shared" si="33"/>
        <v>-3.6633906628848258</v>
      </c>
    </row>
    <row r="390" spans="5:7" x14ac:dyDescent="0.25">
      <c r="E390" s="11">
        <f t="shared" si="31"/>
        <v>-32</v>
      </c>
      <c r="F390" s="11">
        <f t="shared" si="32"/>
        <v>-3.4645488214027962</v>
      </c>
      <c r="G390" s="11">
        <f t="shared" si="33"/>
        <v>-3.4282785252384986</v>
      </c>
    </row>
    <row r="391" spans="5:7" x14ac:dyDescent="0.25">
      <c r="E391" s="11">
        <f t="shared" si="31"/>
        <v>-31</v>
      </c>
      <c r="F391" s="11">
        <f t="shared" si="32"/>
        <v>-3.2360382829062364</v>
      </c>
      <c r="G391" s="11">
        <f t="shared" si="33"/>
        <v>-3.2046217998423643</v>
      </c>
    </row>
    <row r="392" spans="5:7" x14ac:dyDescent="0.25">
      <c r="E392" s="11">
        <f t="shared" si="31"/>
        <v>-30</v>
      </c>
      <c r="F392" s="11">
        <f t="shared" si="32"/>
        <v>-3.0179767371032242</v>
      </c>
      <c r="G392" s="11">
        <f t="shared" si="33"/>
        <v>-2.9920625050636049</v>
      </c>
    </row>
    <row r="393" spans="5:7" x14ac:dyDescent="0.25">
      <c r="E393" s="11">
        <f t="shared" si="31"/>
        <v>-29</v>
      </c>
      <c r="F393" s="11">
        <f t="shared" si="32"/>
        <v>-2.8102622485579123</v>
      </c>
      <c r="G393" s="11">
        <f t="shared" si="33"/>
        <v>-2.790242659269401</v>
      </c>
    </row>
    <row r="394" spans="5:7" x14ac:dyDescent="0.25">
      <c r="E394" s="11">
        <f t="shared" si="31"/>
        <v>-28</v>
      </c>
      <c r="F394" s="11">
        <f t="shared" si="32"/>
        <v>-2.6127683012677014</v>
      </c>
      <c r="G394" s="11">
        <f t="shared" si="33"/>
        <v>-2.5988042808269345</v>
      </c>
    </row>
    <row r="395" spans="5:7" x14ac:dyDescent="0.25">
      <c r="E395" s="11">
        <f t="shared" si="31"/>
        <v>-27</v>
      </c>
      <c r="F395" s="11">
        <f t="shared" si="32"/>
        <v>-2.4253437107453104</v>
      </c>
      <c r="G395" s="11">
        <f t="shared" si="33"/>
        <v>-2.4173893881033868</v>
      </c>
    </row>
    <row r="396" spans="5:7" x14ac:dyDescent="0.25">
      <c r="E396" s="11">
        <f t="shared" si="31"/>
        <v>-26</v>
      </c>
      <c r="F396" s="11">
        <f t="shared" si="32"/>
        <v>-2.2478126033595673</v>
      </c>
      <c r="G396" s="11">
        <f t="shared" si="33"/>
        <v>-2.2456399994659395</v>
      </c>
    </row>
    <row r="397" spans="5:7" x14ac:dyDescent="0.25">
      <c r="E397" s="11">
        <f t="shared" si="31"/>
        <v>-25</v>
      </c>
      <c r="F397" s="11">
        <f t="shared" si="32"/>
        <v>-2.079974466149709</v>
      </c>
      <c r="G397" s="11">
        <f t="shared" si="33"/>
        <v>-2.0831981332817739</v>
      </c>
    </row>
    <row r="398" spans="5:7" x14ac:dyDescent="0.25">
      <c r="E398" s="11">
        <f t="shared" si="31"/>
        <v>-24</v>
      </c>
      <c r="F398" s="11">
        <f t="shared" si="32"/>
        <v>-1.9216042703793026</v>
      </c>
      <c r="G398" s="11">
        <f t="shared" si="33"/>
        <v>-1.9297058079180713</v>
      </c>
    </row>
    <row r="399" spans="5:7" x14ac:dyDescent="0.25">
      <c r="E399" s="11">
        <f t="shared" si="31"/>
        <v>-23</v>
      </c>
      <c r="F399" s="11">
        <f t="shared" si="32"/>
        <v>-1.7724526721472131</v>
      </c>
      <c r="G399" s="11">
        <f t="shared" si="33"/>
        <v>-1.7848050417420134</v>
      </c>
    </row>
    <row r="400" spans="5:7" x14ac:dyDescent="0.25">
      <c r="E400" s="11">
        <f t="shared" si="31"/>
        <v>-22</v>
      </c>
      <c r="F400" s="11">
        <f t="shared" si="32"/>
        <v>-1.6322462934243249</v>
      </c>
      <c r="G400" s="11">
        <f t="shared" si="33"/>
        <v>-1.6481378531207818</v>
      </c>
    </row>
    <row r="401" spans="5:7" x14ac:dyDescent="0.25">
      <c r="E401" s="11">
        <f t="shared" si="31"/>
        <v>-21</v>
      </c>
      <c r="F401" s="11">
        <f t="shared" si="32"/>
        <v>-1.5006880869360646</v>
      </c>
      <c r="G401" s="11">
        <f t="shared" si="33"/>
        <v>-1.5193462604215577</v>
      </c>
    </row>
    <row r="402" spans="5:7" x14ac:dyDescent="0.25">
      <c r="E402" s="11">
        <f t="shared" si="31"/>
        <v>-20</v>
      </c>
      <c r="F402" s="11">
        <f t="shared" si="32"/>
        <v>-1.3774577883620536</v>
      </c>
      <c r="G402" s="11">
        <f t="shared" si="33"/>
        <v>-1.3980722820115228</v>
      </c>
    </row>
    <row r="403" spans="5:7" x14ac:dyDescent="0.25">
      <c r="E403" s="11">
        <f t="shared" si="31"/>
        <v>-19</v>
      </c>
      <c r="F403" s="11">
        <f t="shared" si="32"/>
        <v>-1.2622124593755473</v>
      </c>
      <c r="G403" s="11">
        <f t="shared" si="33"/>
        <v>-1.2839579362578584</v>
      </c>
    </row>
    <row r="404" spans="5:7" x14ac:dyDescent="0.25">
      <c r="E404" s="11">
        <f t="shared" si="31"/>
        <v>-18</v>
      </c>
      <c r="F404" s="11">
        <f t="shared" si="32"/>
        <v>-1.1545871250966189</v>
      </c>
      <c r="G404" s="11">
        <f t="shared" si="33"/>
        <v>-1.176645241527746</v>
      </c>
    </row>
    <row r="405" spans="5:7" x14ac:dyDescent="0.25">
      <c r="E405" s="11">
        <f t="shared" si="31"/>
        <v>-17</v>
      </c>
      <c r="F405" s="11">
        <f t="shared" si="32"/>
        <v>-1.0541955095843458</v>
      </c>
      <c r="G405" s="11">
        <f t="shared" si="33"/>
        <v>-1.0757762161883673</v>
      </c>
    </row>
    <row r="406" spans="5:7" x14ac:dyDescent="0.25">
      <c r="E406" s="11">
        <f t="shared" si="31"/>
        <v>-16</v>
      </c>
      <c r="F406" s="11">
        <f t="shared" si="32"/>
        <v>-0.96063087304458183</v>
      </c>
      <c r="G406" s="11">
        <f t="shared" si="33"/>
        <v>-0.98099287860690343</v>
      </c>
    </row>
    <row r="407" spans="5:7" x14ac:dyDescent="0.25">
      <c r="E407" s="11">
        <f t="shared" si="31"/>
        <v>-15</v>
      </c>
      <c r="F407" s="11">
        <f t="shared" si="32"/>
        <v>-0.87346695448118961</v>
      </c>
      <c r="G407" s="11">
        <f t="shared" si="33"/>
        <v>-0.89193724715053602</v>
      </c>
    </row>
    <row r="408" spans="5:7" x14ac:dyDescent="0.25">
      <c r="E408" s="11">
        <f t="shared" si="31"/>
        <v>-14</v>
      </c>
      <c r="F408" s="11">
        <f t="shared" si="32"/>
        <v>-0.79225902356993216</v>
      </c>
      <c r="G408" s="11">
        <f t="shared" si="33"/>
        <v>-0.80825134018644662</v>
      </c>
    </row>
    <row r="409" spans="5:7" x14ac:dyDescent="0.25">
      <c r="E409" s="11">
        <f t="shared" si="31"/>
        <v>-13</v>
      </c>
      <c r="F409" s="11">
        <f t="shared" si="32"/>
        <v>-0.71654504558551491</v>
      </c>
      <c r="G409" s="11">
        <f t="shared" si="33"/>
        <v>-0.72957717608181638</v>
      </c>
    </row>
    <row r="410" spans="5:7" x14ac:dyDescent="0.25">
      <c r="E410" s="11">
        <f t="shared" si="31"/>
        <v>-12</v>
      </c>
      <c r="F410" s="11">
        <f t="shared" si="32"/>
        <v>-0.64584696326359226</v>
      </c>
      <c r="G410" s="11">
        <f t="shared" si="33"/>
        <v>-0.65555677320382721</v>
      </c>
    </row>
    <row r="411" spans="5:7" x14ac:dyDescent="0.25">
      <c r="E411" s="11">
        <f t="shared" si="31"/>
        <v>-11</v>
      </c>
      <c r="F411" s="11">
        <f t="shared" si="32"/>
        <v>-0.57967209953084819</v>
      </c>
      <c r="G411" s="11">
        <f t="shared" si="33"/>
        <v>-0.58583214991966037</v>
      </c>
    </row>
    <row r="412" spans="5:7" x14ac:dyDescent="0.25">
      <c r="E412" s="11">
        <f t="shared" si="31"/>
        <v>-10</v>
      </c>
      <c r="F412" s="11">
        <f t="shared" si="32"/>
        <v>-0.51751468508758247</v>
      </c>
      <c r="G412" s="11">
        <f t="shared" si="33"/>
        <v>-0.52004532459649733</v>
      </c>
    </row>
    <row r="413" spans="5:7" x14ac:dyDescent="0.25">
      <c r="E413" s="11">
        <f t="shared" si="31"/>
        <v>-9</v>
      </c>
      <c r="F413" s="11">
        <f t="shared" si="32"/>
        <v>-0.45885751487852805</v>
      </c>
      <c r="G413" s="11">
        <f t="shared" si="33"/>
        <v>-0.4578383156015195</v>
      </c>
    </row>
    <row r="414" spans="5:7" x14ac:dyDescent="0.25">
      <c r="E414" s="11">
        <f t="shared" si="31"/>
        <v>-8</v>
      </c>
      <c r="F414" s="11">
        <f t="shared" si="32"/>
        <v>-0.40317373753894437</v>
      </c>
      <c r="G414" s="11">
        <f t="shared" si="33"/>
        <v>-0.39885314130190846</v>
      </c>
    </row>
    <row r="415" spans="5:7" x14ac:dyDescent="0.25">
      <c r="E415" s="11">
        <f t="shared" ref="E415:E422" si="34">E208</f>
        <v>-7</v>
      </c>
      <c r="F415" s="11">
        <f t="shared" ref="F415:F422" si="35">$H$217*0+E415*$I$217+E415^2*$J$217+E415^3*$K$217+E415^4*$L$217+E415^5*$M$217+E415^6*$N$217+E415^7*$O$217+E415^8*$P$217</f>
        <v>-0.3499287819543358</v>
      </c>
      <c r="G415" s="11">
        <f t="shared" ref="G415:G422" si="36">F208</f>
        <v>-0.3427318200648457</v>
      </c>
    </row>
    <row r="416" spans="5:7" x14ac:dyDescent="0.25">
      <c r="E416" s="11">
        <f t="shared" si="34"/>
        <v>-6</v>
      </c>
      <c r="F416" s="11">
        <f t="shared" si="35"/>
        <v>-0.29858242512345118</v>
      </c>
      <c r="G416" s="11">
        <f t="shared" si="36"/>
        <v>-0.28911637025751258</v>
      </c>
    </row>
    <row r="417" spans="5:7" x14ac:dyDescent="0.25">
      <c r="E417" s="11">
        <f t="shared" si="34"/>
        <v>-5</v>
      </c>
      <c r="F417" s="11">
        <f t="shared" si="35"/>
        <v>-0.24859100556553165</v>
      </c>
      <c r="G417" s="11">
        <f t="shared" si="36"/>
        <v>-0.23764881024709064</v>
      </c>
    </row>
    <row r="418" spans="5:7" x14ac:dyDescent="0.25">
      <c r="E418" s="11">
        <f t="shared" si="34"/>
        <v>-4</v>
      </c>
      <c r="F418" s="11">
        <f t="shared" si="35"/>
        <v>-0.19940978656408065</v>
      </c>
      <c r="G418" s="11">
        <f t="shared" si="36"/>
        <v>-0.18797115840076134</v>
      </c>
    </row>
    <row r="419" spans="5:7" x14ac:dyDescent="0.25">
      <c r="E419" s="11">
        <f t="shared" si="34"/>
        <v>-3</v>
      </c>
      <c r="F419" s="11">
        <f t="shared" si="35"/>
        <v>-0.150495473590739</v>
      </c>
      <c r="G419" s="11">
        <f t="shared" si="36"/>
        <v>-0.13972543308570615</v>
      </c>
    </row>
    <row r="420" spans="5:7" x14ac:dyDescent="0.25">
      <c r="E420" s="11">
        <f t="shared" si="34"/>
        <v>-2</v>
      </c>
      <c r="F420" s="11">
        <f t="shared" si="35"/>
        <v>-0.10130889030415569</v>
      </c>
      <c r="G420" s="11">
        <f t="shared" si="36"/>
        <v>-9.2553652669106548E-2</v>
      </c>
    </row>
    <row r="421" spans="5:7" x14ac:dyDescent="0.25">
      <c r="E421" s="11">
        <f t="shared" si="34"/>
        <v>-1</v>
      </c>
      <c r="F421" s="11">
        <f t="shared" si="35"/>
        <v>-5.1317817570053811E-2</v>
      </c>
      <c r="G421" s="11">
        <f t="shared" si="36"/>
        <v>-4.6097835518144011E-2</v>
      </c>
    </row>
    <row r="422" spans="5:7" x14ac:dyDescent="0.25">
      <c r="E422" s="11">
        <f t="shared" si="34"/>
        <v>0</v>
      </c>
      <c r="F422" s="11">
        <f t="shared" si="35"/>
        <v>0</v>
      </c>
      <c r="G422" s="11">
        <f t="shared" si="36"/>
        <v>0</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9.412E-5</v>
      </c>
      <c r="C3" s="2">
        <v>1.76E-4</v>
      </c>
      <c r="D3" s="2">
        <v>-5.3620000000000002E-4</v>
      </c>
      <c r="E3" s="2">
        <v>0</v>
      </c>
      <c r="F3" s="2">
        <v>0</v>
      </c>
      <c r="G3" s="2">
        <v>0</v>
      </c>
      <c r="H3" s="2">
        <v>7.7503479000000003E-5</v>
      </c>
      <c r="I3" s="2">
        <v>1.8645478999999999E-5</v>
      </c>
      <c r="J3" s="2">
        <v>-2.1683746E-4</v>
      </c>
      <c r="K3" s="3"/>
      <c r="L3" s="3">
        <f>-B3/D3</f>
        <v>0.17553151809026482</v>
      </c>
      <c r="M3" s="3"/>
      <c r="N3" s="2">
        <f>IF('Modell einstellen'!$B$1="Voll",H3/0.35,H3/0.35*2)</f>
        <v>2.2143851142857147E-4</v>
      </c>
      <c r="O3" s="2">
        <f>IF('Modell einstellen'!$B$1="Voll",J3/0.35,J3/0.35*2)</f>
        <v>-6.1953560000000004E-4</v>
      </c>
      <c r="P3" s="3">
        <f>-N3/O3</f>
        <v>0.35742661346429722</v>
      </c>
      <c r="Q3" s="3"/>
      <c r="R3" s="3"/>
      <c r="S3" s="3"/>
      <c r="T3" s="3"/>
      <c r="U3" s="3"/>
      <c r="V3" s="3"/>
      <c r="W3" s="3"/>
    </row>
    <row r="4" spans="1:23" x14ac:dyDescent="0.25">
      <c r="A4" s="2">
        <v>1E-14</v>
      </c>
      <c r="B4" s="2">
        <v>9.412E-5</v>
      </c>
      <c r="C4" s="2">
        <v>1.76E-4</v>
      </c>
      <c r="D4" s="2">
        <v>-5.3620000000000002E-4</v>
      </c>
      <c r="E4" s="2">
        <v>0</v>
      </c>
      <c r="F4" s="2">
        <v>0</v>
      </c>
      <c r="G4" s="2">
        <v>0</v>
      </c>
      <c r="H4" s="2">
        <v>7.7505678999999995E-5</v>
      </c>
      <c r="I4" s="2">
        <v>1.8646080999999999E-5</v>
      </c>
      <c r="J4" s="2">
        <v>-2.1683341999999999E-4</v>
      </c>
      <c r="K4" s="3"/>
      <c r="L4" s="3">
        <f t="shared" ref="L4:L33" si="0">-B4/D4</f>
        <v>0.17553151809026482</v>
      </c>
      <c r="M4" s="3"/>
      <c r="N4" s="2">
        <f>IF('Modell einstellen'!$B$1="Voll",H4/0.35,H4/0.35*2)</f>
        <v>2.2144479714285715E-4</v>
      </c>
      <c r="O4" s="2">
        <f>IF('Modell einstellen'!$B$1="Voll",J4/0.35,J4/0.35*2)</f>
        <v>-6.1952405714285716E-4</v>
      </c>
      <c r="P4" s="3">
        <f t="shared" ref="P4:P33" si="1">-N4/O4</f>
        <v>0.35744341900801085</v>
      </c>
      <c r="Q4" s="3"/>
      <c r="R4" s="3"/>
      <c r="S4" s="3"/>
      <c r="T4" s="3"/>
      <c r="U4" s="3"/>
      <c r="V4" s="3"/>
      <c r="W4" s="3"/>
    </row>
    <row r="5" spans="1:23" x14ac:dyDescent="0.25">
      <c r="A5" s="2">
        <v>1E-13</v>
      </c>
      <c r="B5" s="2">
        <v>9.412E-5</v>
      </c>
      <c r="C5" s="2">
        <v>1.76E-4</v>
      </c>
      <c r="D5" s="2">
        <v>-5.3620000000000002E-4</v>
      </c>
      <c r="E5" s="2">
        <v>0</v>
      </c>
      <c r="F5" s="2">
        <v>0</v>
      </c>
      <c r="G5" s="2">
        <v>0</v>
      </c>
      <c r="H5" s="2">
        <v>7.7505983999999996E-5</v>
      </c>
      <c r="I5" s="2">
        <v>1.8646213E-5</v>
      </c>
      <c r="J5" s="2">
        <v>-2.1683423999999999E-4</v>
      </c>
      <c r="K5" s="3"/>
      <c r="L5" s="3">
        <f t="shared" si="0"/>
        <v>0.17553151809026482</v>
      </c>
      <c r="M5" s="3"/>
      <c r="N5" s="2">
        <f>IF('Modell einstellen'!$B$1="Voll",H5/0.35,H5/0.35*2)</f>
        <v>2.2144566857142857E-4</v>
      </c>
      <c r="O5" s="2">
        <f>IF('Modell einstellen'!$B$1="Voll",J5/0.35,J5/0.35*2)</f>
        <v>-6.1952640000000005E-4</v>
      </c>
      <c r="P5" s="3">
        <f t="shared" si="1"/>
        <v>0.35744347387202313</v>
      </c>
      <c r="Q5" s="3"/>
      <c r="R5" s="3"/>
      <c r="S5" s="3"/>
      <c r="T5" s="3"/>
      <c r="U5" s="3"/>
      <c r="V5" s="3"/>
      <c r="W5" s="3"/>
    </row>
    <row r="6" spans="1:23" x14ac:dyDescent="0.25">
      <c r="A6" s="2">
        <v>9.9999999999999998E-13</v>
      </c>
      <c r="B6" s="2">
        <v>9.412E-5</v>
      </c>
      <c r="C6" s="2">
        <v>1.76E-4</v>
      </c>
      <c r="D6" s="2">
        <v>-5.3620000000000002E-4</v>
      </c>
      <c r="E6" s="2">
        <v>0</v>
      </c>
      <c r="F6" s="2">
        <v>0</v>
      </c>
      <c r="G6" s="2">
        <v>0</v>
      </c>
      <c r="H6" s="2">
        <v>7.7506081999999997E-5</v>
      </c>
      <c r="I6" s="2">
        <v>1.8646247E-5</v>
      </c>
      <c r="J6" s="2">
        <v>-2.1683447E-4</v>
      </c>
      <c r="K6" s="3"/>
      <c r="L6" s="3">
        <f t="shared" si="0"/>
        <v>0.17553151809026482</v>
      </c>
      <c r="M6" s="3"/>
      <c r="N6" s="2">
        <f>IF('Modell einstellen'!$B$1="Voll",H6/0.35,H6/0.35*2)</f>
        <v>2.2144594857142859E-4</v>
      </c>
      <c r="O6" s="2">
        <f>IF('Modell einstellen'!$B$1="Voll",J6/0.35,J6/0.35*2)</f>
        <v>-6.1952705714285721E-4</v>
      </c>
      <c r="P6" s="3">
        <f t="shared" si="1"/>
        <v>0.35744354668332945</v>
      </c>
      <c r="Q6" s="3"/>
      <c r="R6" s="3"/>
      <c r="S6" s="3"/>
      <c r="T6" s="3"/>
      <c r="U6" s="3"/>
      <c r="V6" s="3"/>
      <c r="W6" s="3"/>
    </row>
    <row r="7" spans="1:23" x14ac:dyDescent="0.25">
      <c r="A7" s="2">
        <v>9.9999999999999994E-12</v>
      </c>
      <c r="B7" s="2">
        <v>9.412E-5</v>
      </c>
      <c r="C7" s="2">
        <v>1.76E-4</v>
      </c>
      <c r="D7" s="2">
        <v>-5.3620000000000002E-4</v>
      </c>
      <c r="E7" s="2">
        <v>0</v>
      </c>
      <c r="F7" s="2">
        <v>0</v>
      </c>
      <c r="G7" s="2">
        <v>0</v>
      </c>
      <c r="H7" s="2">
        <v>7.7506114000000005E-5</v>
      </c>
      <c r="I7" s="2">
        <v>1.8646257E-5</v>
      </c>
      <c r="J7" s="2">
        <v>-2.1683453999999999E-4</v>
      </c>
      <c r="K7" s="3"/>
      <c r="L7" s="3">
        <f t="shared" si="0"/>
        <v>0.17553151809026482</v>
      </c>
      <c r="M7" s="3"/>
      <c r="N7" s="2">
        <f>IF('Modell einstellen'!$B$1="Voll",H7/0.35,H7/0.35*2)</f>
        <v>2.2144604000000004E-4</v>
      </c>
      <c r="O7" s="2">
        <f>IF('Modell einstellen'!$B$1="Voll",J7/0.35,J7/0.35*2)</f>
        <v>-6.1952725714285717E-4</v>
      </c>
      <c r="P7" s="3">
        <f t="shared" si="1"/>
        <v>0.35744357886893852</v>
      </c>
      <c r="Q7" s="3"/>
      <c r="R7" s="3"/>
      <c r="S7" s="3"/>
      <c r="T7" s="3"/>
      <c r="U7" s="3"/>
      <c r="V7" s="3"/>
      <c r="W7" s="3"/>
    </row>
    <row r="8" spans="1:23" x14ac:dyDescent="0.25">
      <c r="A8" s="2">
        <v>1E-10</v>
      </c>
      <c r="B8" s="2">
        <v>9.412E-5</v>
      </c>
      <c r="C8" s="2">
        <v>1.76E-4</v>
      </c>
      <c r="D8" s="2">
        <v>-5.3620000000000002E-4</v>
      </c>
      <c r="E8" s="2">
        <v>0</v>
      </c>
      <c r="F8" s="2">
        <v>0</v>
      </c>
      <c r="G8" s="2">
        <v>0</v>
      </c>
      <c r="H8" s="2">
        <v>7.7506125000000002E-5</v>
      </c>
      <c r="I8" s="2">
        <v>1.8646259999999999E-5</v>
      </c>
      <c r="J8" s="2">
        <v>-2.1683457E-4</v>
      </c>
      <c r="K8" s="3"/>
      <c r="L8" s="3">
        <f t="shared" si="0"/>
        <v>0.17553151809026482</v>
      </c>
      <c r="M8" s="3"/>
      <c r="N8" s="2">
        <f>IF('Modell einstellen'!$B$1="Voll",H8/0.35,H8/0.35*2)</f>
        <v>2.2144607142857145E-4</v>
      </c>
      <c r="O8" s="2">
        <f>IF('Modell einstellen'!$B$1="Voll",J8/0.35,J8/0.35*2)</f>
        <v>-6.1952734285714288E-4</v>
      </c>
      <c r="P8" s="3">
        <f t="shared" si="1"/>
        <v>0.35744358014499261</v>
      </c>
      <c r="Q8" s="3"/>
      <c r="R8" s="3"/>
      <c r="S8" s="3"/>
      <c r="T8" s="3"/>
      <c r="U8" s="3"/>
      <c r="V8" s="3"/>
      <c r="W8" s="3"/>
    </row>
    <row r="9" spans="1:23" x14ac:dyDescent="0.25">
      <c r="A9" s="2">
        <v>1.0000000000000001E-9</v>
      </c>
      <c r="B9" s="2">
        <v>9.412E-5</v>
      </c>
      <c r="C9" s="2">
        <v>1.76E-4</v>
      </c>
      <c r="D9" s="2">
        <v>-5.3620000000000002E-4</v>
      </c>
      <c r="E9" s="2">
        <v>0</v>
      </c>
      <c r="F9" s="2">
        <v>0</v>
      </c>
      <c r="G9" s="2">
        <v>0</v>
      </c>
      <c r="H9" s="2">
        <v>7.7506128000000003E-5</v>
      </c>
      <c r="I9" s="2">
        <v>1.8646261000000001E-5</v>
      </c>
      <c r="J9" s="2">
        <v>-2.1683457999999999E-4</v>
      </c>
      <c r="K9" s="3"/>
      <c r="L9" s="3">
        <f t="shared" si="0"/>
        <v>0.17553151809026482</v>
      </c>
      <c r="M9" s="3"/>
      <c r="N9" s="2">
        <f>IF('Modell einstellen'!$B$1="Voll",H9/0.35,H9/0.35*2)</f>
        <v>2.2144608000000001E-4</v>
      </c>
      <c r="O9" s="2">
        <f>IF('Modell einstellen'!$B$1="Voll",J9/0.35,J9/0.35*2)</f>
        <v>-6.1952737142857142E-4</v>
      </c>
      <c r="P9" s="3">
        <f t="shared" si="1"/>
        <v>0.35744357749580352</v>
      </c>
      <c r="Q9" s="3"/>
      <c r="R9" s="3"/>
      <c r="S9" s="3"/>
      <c r="T9" s="3"/>
      <c r="U9" s="3"/>
      <c r="V9" s="3"/>
      <c r="W9" s="3"/>
    </row>
    <row r="10" spans="1:23" x14ac:dyDescent="0.25">
      <c r="A10" s="2">
        <v>1E-8</v>
      </c>
      <c r="B10" s="2">
        <v>9.412E-5</v>
      </c>
      <c r="C10" s="2">
        <v>1.76E-4</v>
      </c>
      <c r="D10" s="2">
        <v>-5.3620000000000002E-4</v>
      </c>
      <c r="E10" s="2">
        <v>0</v>
      </c>
      <c r="F10" s="2">
        <v>0</v>
      </c>
      <c r="G10" s="2">
        <v>0</v>
      </c>
      <c r="H10" s="2">
        <v>7.7506129999999995E-5</v>
      </c>
      <c r="I10" s="2">
        <v>1.8646262000000001E-5</v>
      </c>
      <c r="J10" s="2">
        <v>-2.1683457999999999E-4</v>
      </c>
      <c r="K10" s="3"/>
      <c r="L10" s="3">
        <f t="shared" si="0"/>
        <v>0.17553151809026482</v>
      </c>
      <c r="M10" s="3"/>
      <c r="N10" s="2">
        <f>IF('Modell einstellen'!$B$1="Voll",H10/0.35,H10/0.35*2)</f>
        <v>2.2144608571428572E-4</v>
      </c>
      <c r="O10" s="2">
        <f>IF('Modell einstellen'!$B$1="Voll",J10/0.35,J10/0.35*2)</f>
        <v>-6.1952737142857142E-4</v>
      </c>
      <c r="P10" s="3">
        <f t="shared" si="1"/>
        <v>0.35744358671942456</v>
      </c>
      <c r="Q10" s="3"/>
      <c r="R10" s="3"/>
      <c r="S10" s="3"/>
      <c r="T10" s="3"/>
      <c r="U10" s="3"/>
      <c r="V10" s="3"/>
      <c r="W10" s="3"/>
    </row>
    <row r="11" spans="1:23" x14ac:dyDescent="0.25">
      <c r="A11" s="2">
        <v>9.9999999999999995E-8</v>
      </c>
      <c r="B11" s="2">
        <v>9.412E-5</v>
      </c>
      <c r="C11" s="2">
        <v>1.76E-4</v>
      </c>
      <c r="D11" s="2">
        <v>-5.3620000000000002E-4</v>
      </c>
      <c r="E11" s="2">
        <v>0</v>
      </c>
      <c r="F11" s="2">
        <v>0</v>
      </c>
      <c r="G11" s="2">
        <v>0</v>
      </c>
      <c r="H11" s="2">
        <v>7.7506129999999995E-5</v>
      </c>
      <c r="I11" s="2">
        <v>1.8646262000000001E-5</v>
      </c>
      <c r="J11" s="2">
        <v>-2.1683457999999999E-4</v>
      </c>
      <c r="K11" s="3"/>
      <c r="L11" s="3">
        <f t="shared" si="0"/>
        <v>0.17553151809026482</v>
      </c>
      <c r="M11" s="3"/>
      <c r="N11" s="2">
        <f>IF('Modell einstellen'!$B$1="Voll",H11/0.35,H11/0.35*2)</f>
        <v>2.2144608571428572E-4</v>
      </c>
      <c r="O11" s="2">
        <f>IF('Modell einstellen'!$B$1="Voll",J11/0.35,J11/0.35*2)</f>
        <v>-6.1952737142857142E-4</v>
      </c>
      <c r="P11" s="3">
        <f t="shared" si="1"/>
        <v>0.35744358671942456</v>
      </c>
      <c r="Q11" s="3"/>
      <c r="R11" s="3"/>
      <c r="S11" s="3"/>
      <c r="T11" s="3"/>
      <c r="U11" s="3"/>
      <c r="V11" s="3"/>
      <c r="W11" s="3"/>
    </row>
    <row r="12" spans="1:23" x14ac:dyDescent="0.25">
      <c r="A12" s="2">
        <v>9.9999999999999995E-7</v>
      </c>
      <c r="B12" s="2">
        <v>9.412E-5</v>
      </c>
      <c r="C12" s="2">
        <v>1.76E-4</v>
      </c>
      <c r="D12" s="2">
        <v>-5.3620000000000002E-4</v>
      </c>
      <c r="E12" s="2">
        <v>0</v>
      </c>
      <c r="F12" s="2">
        <v>0</v>
      </c>
      <c r="G12" s="2">
        <v>0</v>
      </c>
      <c r="H12" s="2">
        <v>7.7506129999999995E-5</v>
      </c>
      <c r="I12" s="2">
        <v>1.8646262000000001E-5</v>
      </c>
      <c r="J12" s="2">
        <v>-2.1683457999999999E-4</v>
      </c>
      <c r="K12" s="3"/>
      <c r="L12" s="3">
        <f t="shared" si="0"/>
        <v>0.17553151809026482</v>
      </c>
      <c r="M12" s="3"/>
      <c r="N12" s="2">
        <f>IF('Modell einstellen'!$B$1="Voll",H12/0.35,H12/0.35*2)</f>
        <v>2.2144608571428572E-4</v>
      </c>
      <c r="O12" s="2">
        <f>IF('Modell einstellen'!$B$1="Voll",J12/0.35,J12/0.35*2)</f>
        <v>-6.1952737142857142E-4</v>
      </c>
      <c r="P12" s="3">
        <f t="shared" si="1"/>
        <v>0.35744358671942456</v>
      </c>
      <c r="Q12" s="3"/>
      <c r="R12" s="3"/>
      <c r="S12" s="3"/>
      <c r="T12" s="3"/>
      <c r="U12" s="3"/>
      <c r="V12" s="3"/>
      <c r="W12" s="3"/>
    </row>
    <row r="13" spans="1:23" x14ac:dyDescent="0.25">
      <c r="A13" s="2">
        <v>1.0000000000000001E-5</v>
      </c>
      <c r="B13" s="2">
        <v>9.412E-5</v>
      </c>
      <c r="C13" s="2">
        <v>1.76E-4</v>
      </c>
      <c r="D13" s="2">
        <v>-5.3620000000000002E-4</v>
      </c>
      <c r="E13" s="2">
        <v>0</v>
      </c>
      <c r="F13" s="2">
        <v>0</v>
      </c>
      <c r="G13" s="2">
        <v>0</v>
      </c>
      <c r="H13" s="2">
        <v>7.7506129999999995E-5</v>
      </c>
      <c r="I13" s="2">
        <v>1.8646262000000001E-5</v>
      </c>
      <c r="J13" s="2">
        <v>-2.1683457999999999E-4</v>
      </c>
      <c r="K13" s="3"/>
      <c r="L13" s="3">
        <f t="shared" si="0"/>
        <v>0.17553151809026482</v>
      </c>
      <c r="M13" s="3"/>
      <c r="N13" s="2">
        <f>IF('Modell einstellen'!$B$1="Voll",H13/0.35,H13/0.35*2)</f>
        <v>2.2144608571428572E-4</v>
      </c>
      <c r="O13" s="2">
        <f>IF('Modell einstellen'!$B$1="Voll",J13/0.35,J13/0.35*2)</f>
        <v>-6.1952737142857142E-4</v>
      </c>
      <c r="P13" s="3">
        <f t="shared" si="1"/>
        <v>0.35744358671942456</v>
      </c>
      <c r="Q13" s="3"/>
      <c r="R13" s="3"/>
      <c r="S13" s="3"/>
      <c r="T13" s="3"/>
      <c r="U13" s="3"/>
      <c r="V13" s="3"/>
      <c r="W13" s="3"/>
    </row>
    <row r="14" spans="1:23" x14ac:dyDescent="0.25">
      <c r="A14" s="2">
        <v>1E-4</v>
      </c>
      <c r="B14" s="2">
        <v>9.412E-5</v>
      </c>
      <c r="C14" s="2">
        <v>1.76E-4</v>
      </c>
      <c r="D14" s="2">
        <v>-5.3620000000000002E-4</v>
      </c>
      <c r="E14" s="2">
        <v>0</v>
      </c>
      <c r="F14" s="2">
        <v>0</v>
      </c>
      <c r="G14" s="2">
        <v>0</v>
      </c>
      <c r="H14" s="2">
        <v>7.7506132000000001E-5</v>
      </c>
      <c r="I14" s="2">
        <v>1.8646262000000001E-5</v>
      </c>
      <c r="J14" s="2">
        <v>-2.1683457999999999E-4</v>
      </c>
      <c r="K14" s="3"/>
      <c r="L14" s="3">
        <f t="shared" si="0"/>
        <v>0.17553151809026482</v>
      </c>
      <c r="M14" s="3"/>
      <c r="N14" s="2">
        <f>IF('Modell einstellen'!$B$1="Voll",H14/0.35,H14/0.35*2)</f>
        <v>2.2144609142857145E-4</v>
      </c>
      <c r="O14" s="2">
        <f>IF('Modell einstellen'!$B$1="Voll",J14/0.35,J14/0.35*2)</f>
        <v>-6.1952737142857142E-4</v>
      </c>
      <c r="P14" s="3">
        <f t="shared" si="1"/>
        <v>0.35744359594304564</v>
      </c>
      <c r="Q14" s="3"/>
      <c r="R14" s="3"/>
      <c r="S14" s="3"/>
      <c r="T14" s="3"/>
      <c r="U14" s="3"/>
      <c r="V14" s="3"/>
      <c r="W14" s="3"/>
    </row>
    <row r="15" spans="1:23" x14ac:dyDescent="0.25">
      <c r="A15" s="2">
        <v>1E-3</v>
      </c>
      <c r="B15" s="2">
        <v>9.412E-5</v>
      </c>
      <c r="C15" s="2">
        <v>1.76E-4</v>
      </c>
      <c r="D15" s="2">
        <v>-5.3620000000000002E-4</v>
      </c>
      <c r="E15" s="2">
        <v>0</v>
      </c>
      <c r="F15" s="2">
        <v>0</v>
      </c>
      <c r="G15" s="2">
        <v>0</v>
      </c>
      <c r="H15" s="2">
        <v>7.7506143999999993E-5</v>
      </c>
      <c r="I15" s="2">
        <v>1.8646264E-5</v>
      </c>
      <c r="J15" s="2">
        <v>-2.1683459999999999E-4</v>
      </c>
      <c r="K15" s="3"/>
      <c r="L15" s="3">
        <f t="shared" si="0"/>
        <v>0.17553151809026482</v>
      </c>
      <c r="M15" s="3"/>
      <c r="N15" s="2">
        <f>IF('Modell einstellen'!$B$1="Voll",H15/0.35,H15/0.35*2)</f>
        <v>2.2144612571428572E-4</v>
      </c>
      <c r="O15" s="2">
        <f>IF('Modell einstellen'!$B$1="Voll",J15/0.35,J15/0.35*2)</f>
        <v>-6.195274285714286E-4</v>
      </c>
      <c r="P15" s="3">
        <f t="shared" si="1"/>
        <v>0.35744361831552712</v>
      </c>
      <c r="Q15" s="3"/>
      <c r="R15" s="3"/>
      <c r="S15" s="3"/>
      <c r="T15" s="3"/>
      <c r="U15" s="3"/>
      <c r="V15" s="3"/>
      <c r="W15" s="3"/>
    </row>
    <row r="16" spans="1:23" x14ac:dyDescent="0.25">
      <c r="A16" s="2">
        <v>0.01</v>
      </c>
      <c r="B16" s="2">
        <v>9.412E-5</v>
      </c>
      <c r="C16" s="2">
        <v>1.76E-4</v>
      </c>
      <c r="D16" s="2">
        <v>-5.3620000000000002E-4</v>
      </c>
      <c r="E16" s="2">
        <v>0</v>
      </c>
      <c r="F16" s="2">
        <v>0</v>
      </c>
      <c r="G16" s="2">
        <v>0</v>
      </c>
      <c r="H16" s="2">
        <v>7.7506267000000003E-5</v>
      </c>
      <c r="I16" s="2">
        <v>1.8646286999999999E-5</v>
      </c>
      <c r="J16" s="2">
        <v>-2.1683482000000001E-4</v>
      </c>
      <c r="K16" s="3"/>
      <c r="L16" s="3">
        <f t="shared" si="0"/>
        <v>0.17553151809026482</v>
      </c>
      <c r="M16" s="3"/>
      <c r="N16" s="2">
        <f>IF('Modell einstellen'!$B$1="Voll",H16/0.35,H16/0.35*2)</f>
        <v>2.2144647714285716E-4</v>
      </c>
      <c r="O16" s="2">
        <f>IF('Modell einstellen'!$B$1="Voll",J16/0.35,J16/0.35*2)</f>
        <v>-6.1952805714285723E-4</v>
      </c>
      <c r="P16" s="3">
        <f t="shared" si="1"/>
        <v>0.35744382290630256</v>
      </c>
      <c r="Q16" s="3"/>
      <c r="R16" s="3"/>
      <c r="S16" s="3"/>
      <c r="T16" s="3"/>
      <c r="U16" s="3"/>
      <c r="V16" s="3"/>
      <c r="W16" s="3"/>
    </row>
    <row r="17" spans="1:23" x14ac:dyDescent="0.25">
      <c r="A17" s="2">
        <v>0.1</v>
      </c>
      <c r="B17" s="2">
        <v>9.412E-5</v>
      </c>
      <c r="C17" s="2">
        <v>1.76E-4</v>
      </c>
      <c r="D17" s="2">
        <v>-5.3620000000000002E-4</v>
      </c>
      <c r="E17" s="2">
        <v>0</v>
      </c>
      <c r="F17" s="2">
        <v>0</v>
      </c>
      <c r="G17" s="2">
        <v>0</v>
      </c>
      <c r="H17" s="2">
        <v>7.7507495000000003E-5</v>
      </c>
      <c r="I17" s="2">
        <v>1.8646513000000001E-5</v>
      </c>
      <c r="J17" s="2">
        <v>-2.16837E-4</v>
      </c>
      <c r="K17" s="3"/>
      <c r="L17" s="3">
        <f t="shared" si="0"/>
        <v>0.17553151809026482</v>
      </c>
      <c r="M17" s="3"/>
      <c r="N17" s="2">
        <f>IF('Modell einstellen'!$B$1="Voll",H17/0.35,H17/0.35*2)</f>
        <v>2.2144998571428575E-4</v>
      </c>
      <c r="O17" s="2">
        <f>IF('Modell einstellen'!$B$1="Voll",J17/0.35,J17/0.35*2)</f>
        <v>-6.1953428571428571E-4</v>
      </c>
      <c r="P17" s="3">
        <f t="shared" si="1"/>
        <v>0.35744589253679038</v>
      </c>
      <c r="Q17" s="3"/>
      <c r="R17" s="3"/>
      <c r="S17" s="3"/>
      <c r="T17" s="3"/>
      <c r="U17" s="3"/>
      <c r="V17" s="3"/>
      <c r="W17" s="3"/>
    </row>
    <row r="18" spans="1:23" x14ac:dyDescent="0.25">
      <c r="A18" s="2">
        <v>1</v>
      </c>
      <c r="B18" s="2">
        <v>9.412E-5</v>
      </c>
      <c r="C18" s="2">
        <v>1.76E-4</v>
      </c>
      <c r="D18" s="2">
        <v>-5.3620000000000002E-4</v>
      </c>
      <c r="E18" s="2">
        <v>0</v>
      </c>
      <c r="F18" s="2">
        <v>0</v>
      </c>
      <c r="G18" s="2">
        <v>0</v>
      </c>
      <c r="H18" s="2">
        <v>7.7519756000000002E-5</v>
      </c>
      <c r="I18" s="2">
        <v>1.8648768999999999E-5</v>
      </c>
      <c r="J18" s="2">
        <v>-2.1685874999999999E-4</v>
      </c>
      <c r="K18" s="3"/>
      <c r="L18" s="3">
        <f t="shared" si="0"/>
        <v>0.17553151809026482</v>
      </c>
      <c r="M18" s="3"/>
      <c r="N18" s="2">
        <f>IF('Modell einstellen'!$B$1="Voll",H18/0.35,H18/0.35*2)</f>
        <v>2.2148501714285717E-4</v>
      </c>
      <c r="O18" s="2">
        <f>IF('Modell einstellen'!$B$1="Voll",J18/0.35,J18/0.35*2)</f>
        <v>-6.195964285714286E-4</v>
      </c>
      <c r="P18" s="3">
        <f t="shared" si="1"/>
        <v>0.357466581357681</v>
      </c>
      <c r="Q18" s="3"/>
      <c r="R18" s="3"/>
      <c r="S18" s="3"/>
      <c r="T18" s="3"/>
      <c r="U18" s="3"/>
      <c r="V18" s="3"/>
      <c r="W18" s="3"/>
    </row>
    <row r="19" spans="1:23" x14ac:dyDescent="0.25">
      <c r="A19" s="2">
        <v>10</v>
      </c>
      <c r="B19" s="2">
        <v>9.4090000000000002E-5</v>
      </c>
      <c r="C19" s="2">
        <v>1.762E-4</v>
      </c>
      <c r="D19" s="2">
        <v>-5.3649999999999998E-4</v>
      </c>
      <c r="E19" s="2">
        <v>0</v>
      </c>
      <c r="F19" s="2">
        <v>0</v>
      </c>
      <c r="G19" s="2">
        <v>0</v>
      </c>
      <c r="H19" s="2">
        <v>7.7639781000000003E-5</v>
      </c>
      <c r="I19" s="2">
        <v>1.8670849000000002E-5</v>
      </c>
      <c r="J19" s="2">
        <v>-2.1707160000000001E-4</v>
      </c>
      <c r="K19" s="3"/>
      <c r="L19" s="3">
        <f t="shared" si="0"/>
        <v>0.17537744641192918</v>
      </c>
      <c r="M19" s="3"/>
      <c r="N19" s="2">
        <f>IF('Modell einstellen'!$B$1="Voll",H19/0.35,H19/0.35*2)</f>
        <v>2.2182794571428573E-4</v>
      </c>
      <c r="O19" s="2">
        <f>IF('Modell einstellen'!$B$1="Voll",J19/0.35,J19/0.35*2)</f>
        <v>-6.2020457142857152E-4</v>
      </c>
      <c r="P19" s="3">
        <f t="shared" si="1"/>
        <v>0.35766899493070486</v>
      </c>
      <c r="Q19" s="3"/>
      <c r="R19" s="3"/>
      <c r="S19" s="3"/>
      <c r="T19" s="3"/>
      <c r="U19" s="3"/>
      <c r="V19" s="3"/>
      <c r="W19" s="3"/>
    </row>
    <row r="20" spans="1:23" x14ac:dyDescent="0.25">
      <c r="A20" s="2">
        <v>100</v>
      </c>
      <c r="B20" s="2">
        <v>9.3880000000000002E-5</v>
      </c>
      <c r="C20" s="2">
        <v>1.7770000000000001E-4</v>
      </c>
      <c r="D20" s="2">
        <v>-5.3839999999999997E-4</v>
      </c>
      <c r="E20" s="2">
        <v>0</v>
      </c>
      <c r="F20" s="2">
        <v>0</v>
      </c>
      <c r="G20" s="2">
        <v>0</v>
      </c>
      <c r="H20" s="2">
        <v>7.8615143999999999E-5</v>
      </c>
      <c r="I20" s="2">
        <v>1.8850022000000001E-5</v>
      </c>
      <c r="J20" s="2">
        <v>-2.1879996999999999E-4</v>
      </c>
      <c r="K20" s="3"/>
      <c r="L20" s="3">
        <f t="shared" si="0"/>
        <v>0.17436849925705797</v>
      </c>
      <c r="M20" s="3"/>
      <c r="N20" s="2">
        <f>IF('Modell einstellen'!$B$1="Voll",H20/0.35,H20/0.35*2)</f>
        <v>2.2461469714285716E-4</v>
      </c>
      <c r="O20" s="2">
        <f>IF('Modell einstellen'!$B$1="Voll",J20/0.35,J20/0.35*2)</f>
        <v>-6.2514277142857149E-4</v>
      </c>
      <c r="P20" s="3">
        <f t="shared" si="1"/>
        <v>0.35930143866107478</v>
      </c>
      <c r="Q20" s="3"/>
      <c r="R20" s="3"/>
      <c r="S20" s="3"/>
      <c r="T20" s="3"/>
      <c r="U20" s="3"/>
      <c r="V20" s="3"/>
      <c r="W20" s="3"/>
    </row>
    <row r="21" spans="1:23" x14ac:dyDescent="0.25">
      <c r="A21" s="2">
        <v>1000</v>
      </c>
      <c r="B21" s="2">
        <v>9.4240000000000006E-5</v>
      </c>
      <c r="C21" s="2">
        <v>1.8210000000000001E-4</v>
      </c>
      <c r="D21" s="2">
        <v>-5.4469999999999996E-4</v>
      </c>
      <c r="E21" s="2">
        <v>0</v>
      </c>
      <c r="F21" s="2">
        <v>0</v>
      </c>
      <c r="G21" s="2">
        <v>0</v>
      </c>
      <c r="H21" s="2">
        <v>8.1310544000000001E-5</v>
      </c>
      <c r="I21" s="2">
        <v>1.9368717999999999E-5</v>
      </c>
      <c r="J21" s="2">
        <v>-2.2364379999999999E-4</v>
      </c>
      <c r="K21" s="3"/>
      <c r="L21" s="3">
        <f t="shared" si="0"/>
        <v>0.17301266752340741</v>
      </c>
      <c r="M21" s="3"/>
      <c r="N21" s="2">
        <f>IF('Modell einstellen'!$B$1="Voll",H21/0.35,H21/0.35*2)</f>
        <v>2.3231584000000001E-4</v>
      </c>
      <c r="O21" s="2">
        <f>IF('Modell einstellen'!$B$1="Voll",J21/0.35,J21/0.35*2)</f>
        <v>-6.3898228571428574E-4</v>
      </c>
      <c r="P21" s="3">
        <f t="shared" si="1"/>
        <v>0.36357164383720897</v>
      </c>
      <c r="Q21" s="3"/>
      <c r="R21" s="3"/>
      <c r="S21" s="3"/>
      <c r="T21" s="3"/>
      <c r="U21" s="3"/>
      <c r="V21" s="3"/>
      <c r="W21" s="3"/>
    </row>
    <row r="22" spans="1:23" x14ac:dyDescent="0.25">
      <c r="A22" s="2">
        <v>10000</v>
      </c>
      <c r="B22" s="2">
        <v>9.4350000000000003E-5</v>
      </c>
      <c r="C22" s="2">
        <v>1.8709999999999999E-4</v>
      </c>
      <c r="D22" s="2">
        <v>-5.5130000000000001E-4</v>
      </c>
      <c r="E22" s="2">
        <v>0</v>
      </c>
      <c r="F22" s="2">
        <v>0</v>
      </c>
      <c r="G22" s="2">
        <v>0</v>
      </c>
      <c r="H22" s="2">
        <v>8.4231238999999994E-5</v>
      </c>
      <c r="I22" s="2">
        <v>1.9953260000000001E-5</v>
      </c>
      <c r="J22" s="2">
        <v>-2.2892442000000001E-4</v>
      </c>
      <c r="K22" s="3"/>
      <c r="L22" s="3">
        <f t="shared" si="0"/>
        <v>0.17114093959731544</v>
      </c>
      <c r="M22" s="3"/>
      <c r="N22" s="2">
        <f>IF('Modell einstellen'!$B$1="Voll",H22/0.35,H22/0.35*2)</f>
        <v>2.4066068285714286E-4</v>
      </c>
      <c r="O22" s="2">
        <f>IF('Modell einstellen'!$B$1="Voll",J22/0.35,J22/0.35*2)</f>
        <v>-6.5406977142857148E-4</v>
      </c>
      <c r="P22" s="3">
        <f t="shared" si="1"/>
        <v>0.36794344176999549</v>
      </c>
      <c r="Q22" s="3"/>
      <c r="R22" s="3"/>
      <c r="S22" s="3"/>
      <c r="T22" s="3"/>
      <c r="U22" s="3"/>
      <c r="V22" s="3"/>
      <c r="W22" s="3"/>
    </row>
    <row r="23" spans="1:23" x14ac:dyDescent="0.25">
      <c r="A23" s="2">
        <v>100000</v>
      </c>
      <c r="B23" s="2">
        <v>9.6280000000000007E-5</v>
      </c>
      <c r="C23" s="2">
        <v>1.9579999999999999E-4</v>
      </c>
      <c r="D23" s="2">
        <v>-5.6280000000000002E-4</v>
      </c>
      <c r="E23" s="2">
        <v>0</v>
      </c>
      <c r="F23" s="2">
        <v>0</v>
      </c>
      <c r="G23" s="2">
        <v>0</v>
      </c>
      <c r="H23" s="2">
        <v>8.7867564E-5</v>
      </c>
      <c r="I23" s="2">
        <v>2.096882E-5</v>
      </c>
      <c r="J23" s="2">
        <v>-2.362369E-4</v>
      </c>
      <c r="K23" s="3"/>
      <c r="L23" s="3">
        <f t="shared" si="0"/>
        <v>0.17107320540156362</v>
      </c>
      <c r="M23" s="3"/>
      <c r="N23" s="2">
        <f>IF('Modell einstellen'!$B$1="Voll",H23/0.35,H23/0.35*2)</f>
        <v>2.510501828571429E-4</v>
      </c>
      <c r="O23" s="2">
        <f>IF('Modell einstellen'!$B$1="Voll",J23/0.35,J23/0.35*2)</f>
        <v>-6.7496257142857143E-4</v>
      </c>
      <c r="P23" s="3">
        <f t="shared" si="1"/>
        <v>0.37194682117823258</v>
      </c>
      <c r="Q23" s="3"/>
      <c r="R23" s="3"/>
      <c r="S23" s="3"/>
      <c r="T23" s="3"/>
      <c r="U23" s="3"/>
      <c r="V23" s="3"/>
      <c r="W23" s="3"/>
    </row>
    <row r="24" spans="1:23" x14ac:dyDescent="0.25">
      <c r="A24" s="2">
        <v>1000000</v>
      </c>
      <c r="B24" s="2">
        <v>1.043E-4</v>
      </c>
      <c r="C24" s="2">
        <v>2.1379999999999999E-4</v>
      </c>
      <c r="D24" s="2">
        <v>-5.8750000000000002E-4</v>
      </c>
      <c r="E24" s="2">
        <v>0</v>
      </c>
      <c r="F24" s="2">
        <v>0</v>
      </c>
      <c r="G24" s="2">
        <v>0</v>
      </c>
      <c r="H24" s="2">
        <v>9.2598409999999998E-5</v>
      </c>
      <c r="I24" s="2">
        <v>2.3050413000000001E-5</v>
      </c>
      <c r="J24" s="2">
        <v>-2.4774627999999999E-4</v>
      </c>
      <c r="K24" s="3"/>
      <c r="L24" s="3">
        <f t="shared" si="0"/>
        <v>0.17753191489361703</v>
      </c>
      <c r="M24" s="3"/>
      <c r="N24" s="2">
        <f>IF('Modell einstellen'!$B$1="Voll",H24/0.35,H24/0.35*2)</f>
        <v>2.645668857142857E-4</v>
      </c>
      <c r="O24" s="2">
        <f>IF('Modell einstellen'!$B$1="Voll",J24/0.35,J24/0.35*2)</f>
        <v>-7.0784651428571431E-4</v>
      </c>
      <c r="P24" s="3">
        <f t="shared" si="1"/>
        <v>0.37376306921742675</v>
      </c>
      <c r="Q24" s="3"/>
      <c r="R24" s="3"/>
      <c r="S24" s="3"/>
      <c r="T24" s="3"/>
      <c r="U24" s="3"/>
      <c r="V24" s="3"/>
      <c r="W24" s="3"/>
    </row>
    <row r="25" spans="1:23" x14ac:dyDescent="0.25">
      <c r="A25" s="2">
        <v>10000000</v>
      </c>
      <c r="B25" s="2">
        <v>1.1790000000000001E-4</v>
      </c>
      <c r="C25" s="2">
        <v>2.385E-4</v>
      </c>
      <c r="D25" s="2">
        <v>-6.2299999999999996E-4</v>
      </c>
      <c r="E25" s="2">
        <v>0</v>
      </c>
      <c r="F25" s="2">
        <v>0</v>
      </c>
      <c r="G25" s="2">
        <v>0</v>
      </c>
      <c r="H25" s="2">
        <v>9.8108349000000005E-5</v>
      </c>
      <c r="I25" s="2">
        <v>2.5906394999999999E-5</v>
      </c>
      <c r="J25" s="2">
        <v>-2.6231886000000002E-4</v>
      </c>
      <c r="K25" s="3"/>
      <c r="L25" s="3">
        <f t="shared" si="0"/>
        <v>0.18924558587479937</v>
      </c>
      <c r="M25" s="3"/>
      <c r="N25" s="2">
        <f>IF('Modell einstellen'!$B$1="Voll",H25/0.35,H25/0.35*2)</f>
        <v>2.8030956857142862E-4</v>
      </c>
      <c r="O25" s="2">
        <f>IF('Modell einstellen'!$B$1="Voll",J25/0.35,J25/0.35*2)</f>
        <v>-7.4948245714285731E-4</v>
      </c>
      <c r="P25" s="3">
        <f t="shared" si="1"/>
        <v>0.37400417568145877</v>
      </c>
      <c r="Q25" s="3"/>
      <c r="R25" s="3"/>
      <c r="S25" s="3"/>
      <c r="T25" s="3"/>
      <c r="U25" s="3"/>
      <c r="V25" s="3"/>
      <c r="W25" s="3"/>
    </row>
    <row r="26" spans="1:23" x14ac:dyDescent="0.25">
      <c r="A26" s="2">
        <v>100000000</v>
      </c>
      <c r="B26" s="2">
        <v>1.3300000000000001E-4</v>
      </c>
      <c r="C26" s="2">
        <v>2.6610000000000002E-4</v>
      </c>
      <c r="D26" s="2">
        <v>-6.6390000000000004E-4</v>
      </c>
      <c r="E26" s="2">
        <v>0</v>
      </c>
      <c r="F26" s="2">
        <v>0</v>
      </c>
      <c r="G26" s="2">
        <v>0</v>
      </c>
      <c r="H26" s="2">
        <v>1.0562747E-4</v>
      </c>
      <c r="I26" s="2">
        <v>2.918651E-5</v>
      </c>
      <c r="J26" s="2">
        <v>-2.8063570000000002E-4</v>
      </c>
      <c r="K26" s="3"/>
      <c r="L26" s="3">
        <f t="shared" si="0"/>
        <v>0.2003313752071095</v>
      </c>
      <c r="M26" s="3"/>
      <c r="N26" s="2">
        <f>IF('Modell einstellen'!$B$1="Voll",H26/0.35,H26/0.35*2)</f>
        <v>3.0179277142857147E-4</v>
      </c>
      <c r="O26" s="2">
        <f>IF('Modell einstellen'!$B$1="Voll",J26/0.35,J26/0.35*2)</f>
        <v>-8.0181628571428579E-4</v>
      </c>
      <c r="P26" s="3">
        <f t="shared" si="1"/>
        <v>0.3763864326598505</v>
      </c>
      <c r="Q26" s="3"/>
      <c r="R26" s="3"/>
      <c r="S26" s="3"/>
      <c r="T26" s="3"/>
      <c r="U26" s="3"/>
      <c r="V26" s="3"/>
      <c r="W26" s="3"/>
    </row>
    <row r="27" spans="1:23" x14ac:dyDescent="0.25">
      <c r="A27" s="2">
        <v>1000000000</v>
      </c>
      <c r="B27" s="2">
        <v>1.45E-4</v>
      </c>
      <c r="C27" s="2">
        <v>2.9369999999999998E-4</v>
      </c>
      <c r="D27" s="2">
        <v>-7.0319999999999996E-4</v>
      </c>
      <c r="E27" s="2">
        <v>0</v>
      </c>
      <c r="F27" s="2">
        <v>0</v>
      </c>
      <c r="G27" s="2">
        <v>0</v>
      </c>
      <c r="H27" s="2">
        <v>1.1435205E-4</v>
      </c>
      <c r="I27" s="2">
        <v>3.2549114000000001E-5</v>
      </c>
      <c r="J27" s="2">
        <v>-3.0081307999999999E-4</v>
      </c>
      <c r="K27" s="3"/>
      <c r="L27" s="3">
        <f t="shared" si="0"/>
        <v>0.20620022753128556</v>
      </c>
      <c r="M27" s="3"/>
      <c r="N27" s="2">
        <f>IF('Modell einstellen'!$B$1="Voll",H27/0.35,H27/0.35*2)</f>
        <v>3.2672014285714285E-4</v>
      </c>
      <c r="O27" s="2">
        <f>IF('Modell einstellen'!$B$1="Voll",J27/0.35,J27/0.35*2)</f>
        <v>-8.5946594285714285E-4</v>
      </c>
      <c r="P27" s="3">
        <f t="shared" si="1"/>
        <v>0.38014321052794647</v>
      </c>
      <c r="Q27" s="3"/>
      <c r="R27" s="3"/>
      <c r="S27" s="3"/>
      <c r="T27" s="3"/>
      <c r="U27" s="3"/>
      <c r="V27" s="3"/>
      <c r="W27" s="3"/>
    </row>
    <row r="28" spans="1:23" x14ac:dyDescent="0.25">
      <c r="A28" s="2">
        <v>10000000000</v>
      </c>
      <c r="B28" s="2">
        <v>1.5349999999999999E-4</v>
      </c>
      <c r="C28" s="2">
        <v>3.1990000000000002E-4</v>
      </c>
      <c r="D28" s="2">
        <v>-7.3870000000000001E-4</v>
      </c>
      <c r="E28" s="2">
        <v>0</v>
      </c>
      <c r="F28" s="2">
        <v>0</v>
      </c>
      <c r="G28" s="2">
        <v>0</v>
      </c>
      <c r="H28" s="2">
        <v>1.2372368999999999E-4</v>
      </c>
      <c r="I28" s="2">
        <v>3.5836363E-5</v>
      </c>
      <c r="J28" s="2">
        <v>-3.2167303000000001E-4</v>
      </c>
      <c r="K28" s="3"/>
      <c r="L28" s="3">
        <f t="shared" si="0"/>
        <v>0.20779748206308377</v>
      </c>
      <c r="M28" s="3"/>
      <c r="N28" s="2">
        <f>IF('Modell einstellen'!$B$1="Voll",H28/0.35,H28/0.35*2)</f>
        <v>3.5349625714285716E-4</v>
      </c>
      <c r="O28" s="2">
        <f>IF('Modell einstellen'!$B$1="Voll",J28/0.35,J28/0.35*2)</f>
        <v>-9.1906580000000011E-4</v>
      </c>
      <c r="P28" s="3">
        <f t="shared" si="1"/>
        <v>0.38462562434904785</v>
      </c>
      <c r="Q28" s="3"/>
      <c r="R28" s="3"/>
      <c r="S28" s="3"/>
      <c r="T28" s="3"/>
      <c r="U28" s="3"/>
      <c r="V28" s="3"/>
      <c r="W28" s="3"/>
    </row>
    <row r="29" spans="1:23" x14ac:dyDescent="0.25">
      <c r="A29" s="2">
        <v>100000000000</v>
      </c>
      <c r="B29" s="2">
        <v>1.571E-4</v>
      </c>
      <c r="C29" s="2">
        <v>3.478E-4</v>
      </c>
      <c r="D29" s="2">
        <v>-7.7209999999999996E-4</v>
      </c>
      <c r="E29" s="2">
        <v>0</v>
      </c>
      <c r="F29" s="2">
        <v>0</v>
      </c>
      <c r="G29" s="2">
        <v>0</v>
      </c>
      <c r="H29" s="2">
        <v>1.3487562E-4</v>
      </c>
      <c r="I29" s="2">
        <v>3.9441718999999997E-5</v>
      </c>
      <c r="J29" s="2">
        <v>-3.4572961999999999E-4</v>
      </c>
      <c r="K29" s="3"/>
      <c r="L29" s="3">
        <f t="shared" si="0"/>
        <v>0.20347105297241291</v>
      </c>
      <c r="M29" s="3"/>
      <c r="N29" s="2">
        <f>IF('Modell einstellen'!$B$1="Voll",H29/0.35,H29/0.35*2)</f>
        <v>3.8535891428571434E-4</v>
      </c>
      <c r="O29" s="2">
        <f>IF('Modell einstellen'!$B$1="Voll",J29/0.35,J29/0.35*2)</f>
        <v>-9.8779891428571421E-4</v>
      </c>
      <c r="P29" s="3">
        <f t="shared" si="1"/>
        <v>0.39011878704520608</v>
      </c>
      <c r="Q29" s="3"/>
      <c r="R29" s="3"/>
      <c r="S29" s="3"/>
      <c r="T29" s="3"/>
      <c r="U29" s="3"/>
      <c r="V29" s="3"/>
      <c r="W29" s="3"/>
    </row>
    <row r="30" spans="1:23" x14ac:dyDescent="0.25">
      <c r="A30" s="2">
        <v>1000000000000</v>
      </c>
      <c r="B30" s="2">
        <v>1.5440000000000001E-4</v>
      </c>
      <c r="C30" s="2">
        <v>3.7879999999999999E-4</v>
      </c>
      <c r="D30" s="2">
        <v>-8.0320000000000001E-4</v>
      </c>
      <c r="E30" s="2">
        <v>0</v>
      </c>
      <c r="F30" s="2">
        <v>0</v>
      </c>
      <c r="G30" s="2">
        <v>0</v>
      </c>
      <c r="H30" s="2">
        <v>1.4808662000000001E-4</v>
      </c>
      <c r="I30" s="2">
        <v>4.3572835E-5</v>
      </c>
      <c r="J30" s="2">
        <v>-3.7390851000000002E-4</v>
      </c>
      <c r="K30" s="3"/>
      <c r="L30" s="3">
        <f t="shared" si="0"/>
        <v>0.19223107569721118</v>
      </c>
      <c r="M30" s="3"/>
      <c r="N30" s="2">
        <f>IF('Modell einstellen'!$B$1="Voll",H30/0.35,H30/0.35*2)</f>
        <v>4.2310462857142862E-4</v>
      </c>
      <c r="O30" s="2">
        <f>IF('Modell einstellen'!$B$1="Voll",J30/0.35,J30/0.35*2)</f>
        <v>-1.0683100285714287E-3</v>
      </c>
      <c r="P30" s="3">
        <f t="shared" si="1"/>
        <v>0.39605041350890891</v>
      </c>
      <c r="Q30" s="3"/>
      <c r="R30" s="3"/>
      <c r="S30" s="3"/>
      <c r="T30" s="3"/>
      <c r="U30" s="3"/>
      <c r="V30" s="3"/>
      <c r="W30" s="3"/>
    </row>
    <row r="31" spans="1:23" x14ac:dyDescent="0.25">
      <c r="A31" s="2">
        <v>10000000000000</v>
      </c>
      <c r="B31" s="2">
        <v>1.3870000000000001E-4</v>
      </c>
      <c r="C31" s="2">
        <v>4.2279999999999998E-4</v>
      </c>
      <c r="D31" s="2">
        <v>-8.3589999999999999E-4</v>
      </c>
      <c r="E31" s="2">
        <v>0</v>
      </c>
      <c r="F31" s="2">
        <v>0</v>
      </c>
      <c r="G31" s="2">
        <v>0</v>
      </c>
      <c r="H31" s="2">
        <v>1.6799569E-4</v>
      </c>
      <c r="I31" s="2">
        <v>4.9639175000000002E-5</v>
      </c>
      <c r="J31" s="2">
        <v>-4.1599296999999998E-4</v>
      </c>
      <c r="K31" s="3"/>
      <c r="L31" s="3">
        <f t="shared" si="0"/>
        <v>0.16592893886828569</v>
      </c>
      <c r="M31" s="3"/>
      <c r="N31" s="2">
        <f>IF('Modell einstellen'!$B$1="Voll",H31/0.35,H31/0.35*2)</f>
        <v>4.7998768571428572E-4</v>
      </c>
      <c r="O31" s="2">
        <f>IF('Modell einstellen'!$B$1="Voll",J31/0.35,J31/0.35*2)</f>
        <v>-1.1885513428571428E-3</v>
      </c>
      <c r="P31" s="3">
        <f t="shared" si="1"/>
        <v>0.40384261782116176</v>
      </c>
      <c r="Q31" s="3"/>
      <c r="R31" s="3"/>
      <c r="S31" s="3"/>
      <c r="T31" s="3"/>
      <c r="U31" s="3"/>
      <c r="V31" s="3"/>
      <c r="W31" s="3"/>
    </row>
    <row r="32" spans="1:23" x14ac:dyDescent="0.25">
      <c r="A32" s="2">
        <v>100000000000000</v>
      </c>
      <c r="B32" s="2">
        <v>9.5039999999999998E-5</v>
      </c>
      <c r="C32" s="2">
        <v>4.8950000000000003E-4</v>
      </c>
      <c r="D32" s="2">
        <v>-8.6530000000000005E-4</v>
      </c>
      <c r="E32" s="2">
        <v>0</v>
      </c>
      <c r="F32" s="2">
        <v>0</v>
      </c>
      <c r="G32" s="2">
        <v>0</v>
      </c>
      <c r="H32" s="2">
        <v>1.9984399000000001E-4</v>
      </c>
      <c r="I32" s="2">
        <v>5.9228016E-5</v>
      </c>
      <c r="J32" s="2">
        <v>-4.8294788999999998E-4</v>
      </c>
      <c r="K32" s="3"/>
      <c r="L32" s="3">
        <f t="shared" si="0"/>
        <v>0.109834739396741</v>
      </c>
      <c r="M32" s="3"/>
      <c r="N32" s="2">
        <f>IF('Modell einstellen'!$B$1="Voll",H32/0.35,H32/0.35*2)</f>
        <v>5.7098282857142863E-4</v>
      </c>
      <c r="O32" s="2">
        <f>IF('Modell einstellen'!$B$1="Voll",J32/0.35,J32/0.35*2)</f>
        <v>-1.3798511142857142E-3</v>
      </c>
      <c r="P32" s="3">
        <f t="shared" si="1"/>
        <v>0.41380031704869863</v>
      </c>
      <c r="Q32" s="3"/>
      <c r="R32" s="3"/>
      <c r="S32" s="3"/>
      <c r="T32" s="3"/>
      <c r="U32" s="3"/>
      <c r="V32" s="3"/>
      <c r="W32" s="3"/>
    </row>
    <row r="33" spans="1:23" x14ac:dyDescent="0.25">
      <c r="A33" s="2">
        <v>1000000000000000</v>
      </c>
      <c r="B33" s="2">
        <v>-1.208E-5</v>
      </c>
      <c r="C33" s="2">
        <v>5.9389999999999996E-4</v>
      </c>
      <c r="D33" s="2">
        <v>-8.7120000000000003E-4</v>
      </c>
      <c r="E33" s="2">
        <v>0</v>
      </c>
      <c r="F33" s="2">
        <v>0</v>
      </c>
      <c r="G33" s="2">
        <v>0</v>
      </c>
      <c r="H33" s="2">
        <v>2.5420029999999999E-4</v>
      </c>
      <c r="I33" s="2">
        <v>7.5134281000000005E-5</v>
      </c>
      <c r="J33" s="2">
        <v>-5.9551497000000003E-4</v>
      </c>
      <c r="K33" s="3"/>
      <c r="L33" s="3">
        <f t="shared" si="0"/>
        <v>-1.3865932047750228E-2</v>
      </c>
      <c r="M33" s="3"/>
      <c r="N33" s="2">
        <f>IF('Modell einstellen'!$B$1="Voll",H33/0.35,H33/0.35*2)</f>
        <v>7.2628657142857149E-4</v>
      </c>
      <c r="O33" s="2">
        <f>IF('Modell einstellen'!$B$1="Voll",J33/0.35,J33/0.35*2)</f>
        <v>-1.701471342857143E-3</v>
      </c>
      <c r="P33" s="3">
        <f t="shared" si="1"/>
        <v>0.42685795119474496</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9.5149999999999995E-5</v>
      </c>
      <c r="C3" s="3">
        <v>1.772E-4</v>
      </c>
      <c r="D3" s="3">
        <v>-5.3799999999999996E-4</v>
      </c>
      <c r="E3" s="3">
        <v>0</v>
      </c>
      <c r="F3" s="3">
        <v>0</v>
      </c>
      <c r="G3" s="3">
        <v>0</v>
      </c>
      <c r="H3" s="3">
        <v>7.7556930999999994E-5</v>
      </c>
      <c r="I3" s="3">
        <v>1.8769906000000001E-5</v>
      </c>
      <c r="J3" s="3">
        <v>-2.1723734E-4</v>
      </c>
      <c r="L3" s="3">
        <f>-B3/D3</f>
        <v>0.17685873605947955</v>
      </c>
      <c r="M3" s="3"/>
      <c r="N3" s="2">
        <f>IF('Modell einstellen'!$B$1="Voll",H3/0.35,H3/0.35*2)</f>
        <v>2.2159123142857142E-4</v>
      </c>
      <c r="O3" s="2">
        <f>IF('Modell einstellen'!$B$1="Voll",J3/0.35,J3/0.35*2)</f>
        <v>-6.206781142857143E-4</v>
      </c>
      <c r="P3" s="3">
        <f>-N3/O3</f>
        <v>0.35701473328664396</v>
      </c>
    </row>
    <row r="4" spans="1:16" x14ac:dyDescent="0.25">
      <c r="A4" s="3">
        <v>1E-14</v>
      </c>
      <c r="B4" s="3">
        <v>9.5149999999999995E-5</v>
      </c>
      <c r="C4" s="3">
        <v>1.772E-4</v>
      </c>
      <c r="D4" s="3">
        <v>-5.3799999999999996E-4</v>
      </c>
      <c r="E4" s="3">
        <v>0</v>
      </c>
      <c r="F4" s="3">
        <v>0</v>
      </c>
      <c r="G4" s="3">
        <v>0</v>
      </c>
      <c r="H4" s="3">
        <v>7.7559174000000003E-5</v>
      </c>
      <c r="I4" s="3">
        <v>1.8770480000000001E-5</v>
      </c>
      <c r="J4" s="3">
        <v>-2.1723325999999999E-4</v>
      </c>
      <c r="L4" s="3">
        <f t="shared" ref="L4:L33" si="0">-B4/D4</f>
        <v>0.17685873605947955</v>
      </c>
      <c r="M4" s="3"/>
      <c r="N4" s="2">
        <f>IF('Modell einstellen'!$B$1="Voll",H4/0.35,H4/0.35*2)</f>
        <v>2.2159764000000002E-4</v>
      </c>
      <c r="O4" s="2">
        <f>IF('Modell einstellen'!$B$1="Voll",J4/0.35,J4/0.35*2)</f>
        <v>-6.2066645714285718E-4</v>
      </c>
      <c r="P4" s="3">
        <f t="shared" ref="P4:P33" si="1">-N4/O4</f>
        <v>0.35703176392049729</v>
      </c>
    </row>
    <row r="5" spans="1:16" x14ac:dyDescent="0.25">
      <c r="A5" s="3">
        <v>1E-13</v>
      </c>
      <c r="B5" s="3">
        <v>9.5149999999999995E-5</v>
      </c>
      <c r="C5" s="3">
        <v>1.772E-4</v>
      </c>
      <c r="D5" s="3">
        <v>-5.3799999999999996E-4</v>
      </c>
      <c r="E5" s="3">
        <v>0</v>
      </c>
      <c r="F5" s="3">
        <v>0</v>
      </c>
      <c r="G5" s="3">
        <v>0</v>
      </c>
      <c r="H5" s="3">
        <v>7.755948E-5</v>
      </c>
      <c r="I5" s="3">
        <v>1.8770611E-5</v>
      </c>
      <c r="J5" s="3">
        <v>-2.1723407000000001E-4</v>
      </c>
      <c r="L5" s="3">
        <f t="shared" si="0"/>
        <v>0.17685873605947955</v>
      </c>
      <c r="M5" s="3"/>
      <c r="N5" s="2">
        <f>IF('Modell einstellen'!$B$1="Voll",H5/0.35,H5/0.35*2)</f>
        <v>2.2159851428571429E-4</v>
      </c>
      <c r="O5" s="2">
        <f>IF('Modell einstellen'!$B$1="Voll",J5/0.35,J5/0.35*2)</f>
        <v>-6.2066877142857152E-4</v>
      </c>
      <c r="P5" s="3">
        <f t="shared" si="1"/>
        <v>0.35703184127609444</v>
      </c>
    </row>
    <row r="6" spans="1:16" x14ac:dyDescent="0.25">
      <c r="A6" s="3">
        <v>9.9999999999999998E-13</v>
      </c>
      <c r="B6" s="3">
        <v>9.5160000000000004E-5</v>
      </c>
      <c r="C6" s="3">
        <v>1.772E-4</v>
      </c>
      <c r="D6" s="3">
        <v>-5.3799999999999996E-4</v>
      </c>
      <c r="E6" s="3">
        <v>0</v>
      </c>
      <c r="F6" s="3">
        <v>0</v>
      </c>
      <c r="G6" s="3">
        <v>0</v>
      </c>
      <c r="H6" s="3">
        <v>7.7559578000000002E-5</v>
      </c>
      <c r="I6" s="3">
        <v>1.8770644999999999E-5</v>
      </c>
      <c r="J6" s="3">
        <v>-2.1723431E-4</v>
      </c>
      <c r="L6" s="3">
        <f t="shared" si="0"/>
        <v>0.17687732342007437</v>
      </c>
      <c r="M6" s="3"/>
      <c r="N6" s="2">
        <f>IF('Modell einstellen'!$B$1="Voll",H6/0.35,H6/0.35*2)</f>
        <v>2.2159879428571431E-4</v>
      </c>
      <c r="O6" s="2">
        <f>IF('Modell einstellen'!$B$1="Voll",J6/0.35,J6/0.35*2)</f>
        <v>-6.2066945714285722E-4</v>
      </c>
      <c r="P6" s="3">
        <f t="shared" si="1"/>
        <v>0.35703189795387291</v>
      </c>
    </row>
    <row r="7" spans="1:16" x14ac:dyDescent="0.25">
      <c r="A7" s="3">
        <v>9.9999999999999994E-12</v>
      </c>
      <c r="B7" s="3">
        <v>9.5160000000000004E-5</v>
      </c>
      <c r="C7" s="3">
        <v>1.772E-4</v>
      </c>
      <c r="D7" s="3">
        <v>-5.3799999999999996E-4</v>
      </c>
      <c r="E7" s="3">
        <v>0</v>
      </c>
      <c r="F7" s="3">
        <v>0</v>
      </c>
      <c r="G7" s="3">
        <v>0</v>
      </c>
      <c r="H7" s="3">
        <v>7.7559611000000005E-5</v>
      </c>
      <c r="I7" s="3">
        <v>1.8770655E-5</v>
      </c>
      <c r="J7" s="3">
        <v>-2.1723437999999999E-4</v>
      </c>
      <c r="L7" s="3">
        <f t="shared" si="0"/>
        <v>0.17687732342007437</v>
      </c>
      <c r="M7" s="3"/>
      <c r="N7" s="2">
        <f>IF('Modell einstellen'!$B$1="Voll",H7/0.35,H7/0.35*2)</f>
        <v>2.2159888857142861E-4</v>
      </c>
      <c r="O7" s="2">
        <f>IF('Modell einstellen'!$B$1="Voll",J7/0.35,J7/0.35*2)</f>
        <v>-6.2066965714285718E-4</v>
      </c>
      <c r="P7" s="3">
        <f t="shared" si="1"/>
        <v>0.35703193481621098</v>
      </c>
    </row>
    <row r="8" spans="1:16" x14ac:dyDescent="0.25">
      <c r="A8" s="3">
        <v>1E-10</v>
      </c>
      <c r="B8" s="3">
        <v>9.5160000000000004E-5</v>
      </c>
      <c r="C8" s="3">
        <v>1.772E-4</v>
      </c>
      <c r="D8" s="3">
        <v>-5.3799999999999996E-4</v>
      </c>
      <c r="E8" s="3">
        <v>0</v>
      </c>
      <c r="F8" s="3">
        <v>0</v>
      </c>
      <c r="G8" s="3">
        <v>0</v>
      </c>
      <c r="H8" s="3">
        <v>7.7559621000000006E-5</v>
      </c>
      <c r="I8" s="3">
        <v>1.8770658000000002E-5</v>
      </c>
      <c r="J8" s="3">
        <v>-2.1723439999999999E-4</v>
      </c>
      <c r="L8" s="3">
        <f t="shared" si="0"/>
        <v>0.17687732342007437</v>
      </c>
      <c r="M8" s="3"/>
      <c r="N8" s="2">
        <f>IF('Modell einstellen'!$B$1="Voll",H8/0.35,H8/0.35*2)</f>
        <v>2.2159891714285717E-4</v>
      </c>
      <c r="O8" s="2">
        <f>IF('Modell einstellen'!$B$1="Voll",J8/0.35,J8/0.35*2)</f>
        <v>-6.2066971428571425E-4</v>
      </c>
      <c r="P8" s="3">
        <f t="shared" si="1"/>
        <v>0.35703194797877325</v>
      </c>
    </row>
    <row r="9" spans="1:16" x14ac:dyDescent="0.25">
      <c r="A9" s="3">
        <v>1.0000000000000001E-9</v>
      </c>
      <c r="B9" s="3">
        <v>9.5160000000000004E-5</v>
      </c>
      <c r="C9" s="3">
        <v>1.772E-4</v>
      </c>
      <c r="D9" s="3">
        <v>-5.3799999999999996E-4</v>
      </c>
      <c r="E9" s="3">
        <v>0</v>
      </c>
      <c r="F9" s="3">
        <v>0</v>
      </c>
      <c r="G9" s="3">
        <v>0</v>
      </c>
      <c r="H9" s="3">
        <v>7.7559625000000004E-5</v>
      </c>
      <c r="I9" s="3">
        <v>1.8770659000000001E-5</v>
      </c>
      <c r="J9" s="3">
        <v>-2.1723441E-4</v>
      </c>
      <c r="L9" s="3">
        <f t="shared" si="0"/>
        <v>0.17687732342007437</v>
      </c>
      <c r="M9" s="3"/>
      <c r="N9" s="2">
        <f>IF('Modell einstellen'!$B$1="Voll",H9/0.35,H9/0.35*2)</f>
        <v>2.2159892857142859E-4</v>
      </c>
      <c r="O9" s="2">
        <f>IF('Modell einstellen'!$B$1="Voll",J9/0.35,J9/0.35*2)</f>
        <v>-6.2066974285714289E-4</v>
      </c>
      <c r="P9" s="3">
        <f t="shared" si="1"/>
        <v>0.3570319499567311</v>
      </c>
    </row>
    <row r="10" spans="1:16" x14ac:dyDescent="0.25">
      <c r="A10" s="3">
        <v>1E-8</v>
      </c>
      <c r="B10" s="3">
        <v>9.5160000000000004E-5</v>
      </c>
      <c r="C10" s="3">
        <v>1.772E-4</v>
      </c>
      <c r="D10" s="3">
        <v>-5.3799999999999996E-4</v>
      </c>
      <c r="E10" s="3">
        <v>0</v>
      </c>
      <c r="F10" s="3">
        <v>0</v>
      </c>
      <c r="G10" s="3">
        <v>0</v>
      </c>
      <c r="H10" s="3">
        <v>7.7559626E-5</v>
      </c>
      <c r="I10" s="3">
        <v>1.877066E-5</v>
      </c>
      <c r="J10" s="3">
        <v>-2.1723441E-4</v>
      </c>
      <c r="L10" s="3">
        <f t="shared" si="0"/>
        <v>0.17687732342007437</v>
      </c>
      <c r="M10" s="3"/>
      <c r="N10" s="2">
        <f>IF('Modell einstellen'!$B$1="Voll",H10/0.35,H10/0.35*2)</f>
        <v>2.2159893142857144E-4</v>
      </c>
      <c r="O10" s="2">
        <f>IF('Modell einstellen'!$B$1="Voll",J10/0.35,J10/0.35*2)</f>
        <v>-6.2066974285714289E-4</v>
      </c>
      <c r="P10" s="3">
        <f t="shared" si="1"/>
        <v>0.35703195456005338</v>
      </c>
    </row>
    <row r="11" spans="1:16" x14ac:dyDescent="0.25">
      <c r="A11" s="3">
        <v>9.9999999999999995E-8</v>
      </c>
      <c r="B11" s="3">
        <v>9.5160000000000004E-5</v>
      </c>
      <c r="C11" s="3">
        <v>1.772E-4</v>
      </c>
      <c r="D11" s="3">
        <v>-5.3799999999999996E-4</v>
      </c>
      <c r="E11" s="3">
        <v>0</v>
      </c>
      <c r="F11" s="3">
        <v>0</v>
      </c>
      <c r="G11" s="3">
        <v>0</v>
      </c>
      <c r="H11" s="3">
        <v>7.7559626999999996E-5</v>
      </c>
      <c r="I11" s="3">
        <v>1.877066E-5</v>
      </c>
      <c r="J11" s="3">
        <v>-2.1723441999999999E-4</v>
      </c>
      <c r="L11" s="3">
        <f t="shared" si="0"/>
        <v>0.17687732342007437</v>
      </c>
      <c r="M11" s="3"/>
      <c r="N11" s="2">
        <f>IF('Modell einstellen'!$B$1="Voll",H11/0.35,H11/0.35*2)</f>
        <v>2.2159893428571429E-4</v>
      </c>
      <c r="O11" s="2">
        <f>IF('Modell einstellen'!$B$1="Voll",J11/0.35,J11/0.35*2)</f>
        <v>-6.2066977142857143E-4</v>
      </c>
      <c r="P11" s="3">
        <f t="shared" si="1"/>
        <v>0.35703194272804467</v>
      </c>
    </row>
    <row r="12" spans="1:16" x14ac:dyDescent="0.25">
      <c r="A12" s="3">
        <v>9.9999999999999995E-7</v>
      </c>
      <c r="B12" s="3">
        <v>9.5160000000000004E-5</v>
      </c>
      <c r="C12" s="3">
        <v>1.772E-4</v>
      </c>
      <c r="D12" s="3">
        <v>-5.3799999999999996E-4</v>
      </c>
      <c r="E12" s="3">
        <v>0</v>
      </c>
      <c r="F12" s="3">
        <v>0</v>
      </c>
      <c r="G12" s="3">
        <v>0</v>
      </c>
      <c r="H12" s="3">
        <v>7.7559626999999996E-5</v>
      </c>
      <c r="I12" s="3">
        <v>1.877066E-5</v>
      </c>
      <c r="J12" s="3">
        <v>-2.1723441999999999E-4</v>
      </c>
      <c r="L12" s="3">
        <f t="shared" si="0"/>
        <v>0.17687732342007437</v>
      </c>
      <c r="M12" s="3"/>
      <c r="N12" s="2">
        <f>IF('Modell einstellen'!$B$1="Voll",H12/0.35,H12/0.35*2)</f>
        <v>2.2159893428571429E-4</v>
      </c>
      <c r="O12" s="2">
        <f>IF('Modell einstellen'!$B$1="Voll",J12/0.35,J12/0.35*2)</f>
        <v>-6.2066977142857143E-4</v>
      </c>
      <c r="P12" s="3">
        <f t="shared" si="1"/>
        <v>0.35703194272804467</v>
      </c>
    </row>
    <row r="13" spans="1:16" x14ac:dyDescent="0.25">
      <c r="A13" s="3">
        <v>1.0000000000000001E-5</v>
      </c>
      <c r="B13" s="3">
        <v>9.5160000000000004E-5</v>
      </c>
      <c r="C13" s="3">
        <v>1.772E-4</v>
      </c>
      <c r="D13" s="3">
        <v>-5.3799999999999996E-4</v>
      </c>
      <c r="E13" s="3">
        <v>0</v>
      </c>
      <c r="F13" s="3">
        <v>0</v>
      </c>
      <c r="G13" s="3">
        <v>0</v>
      </c>
      <c r="H13" s="3">
        <v>7.7559632000000003E-5</v>
      </c>
      <c r="I13" s="3">
        <v>1.8770661E-5</v>
      </c>
      <c r="J13" s="3">
        <v>-2.1723443E-4</v>
      </c>
      <c r="L13" s="3">
        <f t="shared" si="0"/>
        <v>0.17687732342007437</v>
      </c>
      <c r="M13" s="3"/>
      <c r="N13" s="2">
        <f>IF('Modell einstellen'!$B$1="Voll",H13/0.35,H13/0.35*2)</f>
        <v>2.2159894857142859E-4</v>
      </c>
      <c r="O13" s="2">
        <f>IF('Modell einstellen'!$B$1="Voll",J13/0.35,J13/0.35*2)</f>
        <v>-6.2066980000000007E-4</v>
      </c>
      <c r="P13" s="3">
        <f t="shared" si="1"/>
        <v>0.35703194930932447</v>
      </c>
    </row>
    <row r="14" spans="1:16" x14ac:dyDescent="0.25">
      <c r="A14" s="3">
        <v>1E-4</v>
      </c>
      <c r="B14" s="3">
        <v>9.5160000000000004E-5</v>
      </c>
      <c r="C14" s="3">
        <v>1.772E-4</v>
      </c>
      <c r="D14" s="3">
        <v>-5.3799999999999996E-4</v>
      </c>
      <c r="E14" s="3">
        <v>0</v>
      </c>
      <c r="F14" s="3">
        <v>0</v>
      </c>
      <c r="G14" s="3">
        <v>0</v>
      </c>
      <c r="H14" s="3">
        <v>7.7559676000000003E-5</v>
      </c>
      <c r="I14" s="3">
        <v>1.8770669000000002E-5</v>
      </c>
      <c r="J14" s="3">
        <v>-2.172345E-4</v>
      </c>
      <c r="L14" s="3">
        <f t="shared" si="0"/>
        <v>0.17687732342007437</v>
      </c>
      <c r="M14" s="3"/>
      <c r="N14" s="2">
        <f>IF('Modell einstellen'!$B$1="Voll",H14/0.35,H14/0.35*2)</f>
        <v>2.215990742857143E-4</v>
      </c>
      <c r="O14" s="2">
        <f>IF('Modell einstellen'!$B$1="Voll",J14/0.35,J14/0.35*2)</f>
        <v>-6.2067000000000003E-4</v>
      </c>
      <c r="P14" s="3">
        <f t="shared" si="1"/>
        <v>0.35703203680814971</v>
      </c>
    </row>
    <row r="15" spans="1:16" x14ac:dyDescent="0.25">
      <c r="A15" s="3">
        <v>1E-3</v>
      </c>
      <c r="B15" s="3">
        <v>9.5160000000000004E-5</v>
      </c>
      <c r="C15" s="3">
        <v>1.772E-4</v>
      </c>
      <c r="D15" s="3">
        <v>-5.3799999999999996E-4</v>
      </c>
      <c r="E15" s="3">
        <v>0</v>
      </c>
      <c r="F15" s="3">
        <v>0</v>
      </c>
      <c r="G15" s="3">
        <v>0</v>
      </c>
      <c r="H15" s="3">
        <v>7.7560123000000006E-5</v>
      </c>
      <c r="I15" s="3">
        <v>1.8770753000000001E-5</v>
      </c>
      <c r="J15" s="3">
        <v>-2.172353E-4</v>
      </c>
      <c r="L15" s="3">
        <f t="shared" si="0"/>
        <v>0.17687732342007437</v>
      </c>
      <c r="M15" s="3"/>
      <c r="N15" s="2">
        <f>IF('Modell einstellen'!$B$1="Voll",H15/0.35,H15/0.35*2)</f>
        <v>2.2160035142857146E-4</v>
      </c>
      <c r="O15" s="2">
        <f>IF('Modell einstellen'!$B$1="Voll",J15/0.35,J15/0.35*2)</f>
        <v>-6.2067228571428574E-4</v>
      </c>
      <c r="P15" s="3">
        <f t="shared" si="1"/>
        <v>0.35703277966334201</v>
      </c>
    </row>
    <row r="16" spans="1:16" x14ac:dyDescent="0.25">
      <c r="A16" s="3">
        <v>0.01</v>
      </c>
      <c r="B16" s="3">
        <v>9.5149999999999995E-5</v>
      </c>
      <c r="C16" s="3">
        <v>1.772E-4</v>
      </c>
      <c r="D16" s="3">
        <v>-5.3799999999999996E-4</v>
      </c>
      <c r="E16" s="3">
        <v>0</v>
      </c>
      <c r="F16" s="3">
        <v>0</v>
      </c>
      <c r="G16" s="3">
        <v>0</v>
      </c>
      <c r="H16" s="3">
        <v>7.7564587000000004E-5</v>
      </c>
      <c r="I16" s="3">
        <v>1.8771587999999999E-5</v>
      </c>
      <c r="J16" s="3">
        <v>-2.1724326000000001E-4</v>
      </c>
      <c r="L16" s="3">
        <f t="shared" si="0"/>
        <v>0.17685873605947955</v>
      </c>
      <c r="M16" s="3"/>
      <c r="N16" s="2">
        <f>IF('Modell einstellen'!$B$1="Voll",H16/0.35,H16/0.35*2)</f>
        <v>2.2161310571428575E-4</v>
      </c>
      <c r="O16" s="2">
        <f>IF('Modell einstellen'!$B$1="Voll",J16/0.35,J16/0.35*2)</f>
        <v>-6.2069502857142864E-4</v>
      </c>
      <c r="P16" s="3">
        <f t="shared" si="1"/>
        <v>0.35704024603571133</v>
      </c>
    </row>
    <row r="17" spans="1:16" x14ac:dyDescent="0.25">
      <c r="A17" s="3">
        <v>0.1</v>
      </c>
      <c r="B17" s="3">
        <v>9.5149999999999995E-5</v>
      </c>
      <c r="C17" s="3">
        <v>1.772E-4</v>
      </c>
      <c r="D17" s="3">
        <v>-5.3810000000000001E-4</v>
      </c>
      <c r="E17" s="3">
        <v>0</v>
      </c>
      <c r="F17" s="3">
        <v>0</v>
      </c>
      <c r="G17" s="3">
        <v>0</v>
      </c>
      <c r="H17" s="3">
        <v>7.7608879000000004E-5</v>
      </c>
      <c r="I17" s="3">
        <v>1.8779877999999999E-5</v>
      </c>
      <c r="J17" s="3">
        <v>-2.1732220999999999E-4</v>
      </c>
      <c r="L17" s="3">
        <f t="shared" si="0"/>
        <v>0.17682586879762124</v>
      </c>
      <c r="M17" s="3"/>
      <c r="N17" s="2">
        <f>IF('Modell einstellen'!$B$1="Voll",H17/0.35,H17/0.35*2)</f>
        <v>2.2173965428571432E-4</v>
      </c>
      <c r="O17" s="2">
        <f>IF('Modell einstellen'!$B$1="Voll",J17/0.35,J17/0.35*2)</f>
        <v>-6.2092060000000005E-4</v>
      </c>
      <c r="P17" s="3">
        <f t="shared" si="1"/>
        <v>0.35711434648119955</v>
      </c>
    </row>
    <row r="18" spans="1:16" x14ac:dyDescent="0.25">
      <c r="A18" s="3">
        <v>1</v>
      </c>
      <c r="B18" s="3">
        <v>9.5060000000000001E-5</v>
      </c>
      <c r="C18" s="3">
        <v>1.7789999999999999E-4</v>
      </c>
      <c r="D18" s="3">
        <v>-5.3890000000000003E-4</v>
      </c>
      <c r="E18" s="3">
        <v>0</v>
      </c>
      <c r="F18" s="3">
        <v>0</v>
      </c>
      <c r="G18" s="3">
        <v>0</v>
      </c>
      <c r="H18" s="3">
        <v>7.8018788000000006E-5</v>
      </c>
      <c r="I18" s="3">
        <v>1.8856556000000001E-5</v>
      </c>
      <c r="J18" s="3">
        <v>-2.1805267E-4</v>
      </c>
      <c r="L18" s="3">
        <f t="shared" si="0"/>
        <v>0.17639636296158842</v>
      </c>
      <c r="M18" s="3"/>
      <c r="N18" s="2">
        <f>IF('Modell einstellen'!$B$1="Voll",H18/0.35,H18/0.35*2)</f>
        <v>2.229108228571429E-4</v>
      </c>
      <c r="O18" s="2">
        <f>IF('Modell einstellen'!$B$1="Voll",J18/0.35,J18/0.35*2)</f>
        <v>-6.230076285714286E-4</v>
      </c>
      <c r="P18" s="3">
        <f t="shared" si="1"/>
        <v>0.35779790268103578</v>
      </c>
    </row>
    <row r="19" spans="1:16" x14ac:dyDescent="0.25">
      <c r="A19" s="3">
        <v>10</v>
      </c>
      <c r="B19" s="3">
        <v>9.5279999999999996E-5</v>
      </c>
      <c r="C19" s="3">
        <v>1.816E-4</v>
      </c>
      <c r="D19" s="3">
        <v>-5.4410000000000005E-4</v>
      </c>
      <c r="E19" s="3">
        <v>0</v>
      </c>
      <c r="F19" s="3">
        <v>0</v>
      </c>
      <c r="G19" s="3">
        <v>0</v>
      </c>
      <c r="H19" s="3">
        <v>8.0246115000000005E-5</v>
      </c>
      <c r="I19" s="3">
        <v>1.9289359999999999E-5</v>
      </c>
      <c r="J19" s="3">
        <v>-2.2207203000000001E-4</v>
      </c>
      <c r="L19" s="3">
        <f t="shared" si="0"/>
        <v>0.17511486859033262</v>
      </c>
      <c r="M19" s="3"/>
      <c r="N19" s="2">
        <f>IF('Modell einstellen'!$B$1="Voll",H19/0.35,H19/0.35*2)</f>
        <v>2.2927461428571432E-4</v>
      </c>
      <c r="O19" s="2">
        <f>IF('Modell einstellen'!$B$1="Voll",J19/0.35,J19/0.35*2)</f>
        <v>-6.3449151428571432E-4</v>
      </c>
      <c r="P19" s="3">
        <f t="shared" si="1"/>
        <v>0.36135174249544172</v>
      </c>
    </row>
    <row r="20" spans="1:16" x14ac:dyDescent="0.25">
      <c r="A20" s="3">
        <v>100</v>
      </c>
      <c r="B20" s="3">
        <v>9.535E-5</v>
      </c>
      <c r="C20" s="3">
        <v>1.861E-4</v>
      </c>
      <c r="D20" s="3">
        <v>-5.5020000000000004E-4</v>
      </c>
      <c r="E20" s="3">
        <v>0</v>
      </c>
      <c r="F20" s="3">
        <v>0</v>
      </c>
      <c r="G20" s="3">
        <v>0</v>
      </c>
      <c r="H20" s="3">
        <v>8.2983228999999995E-5</v>
      </c>
      <c r="I20" s="3">
        <v>1.9828931000000001E-5</v>
      </c>
      <c r="J20" s="3">
        <v>-2.2700925E-4</v>
      </c>
      <c r="L20" s="3">
        <f t="shared" si="0"/>
        <v>0.1733006179571065</v>
      </c>
      <c r="M20" s="3"/>
      <c r="N20" s="2">
        <f>IF('Modell einstellen'!$B$1="Voll",H20/0.35,H20/0.35*2)</f>
        <v>2.3709493999999999E-4</v>
      </c>
      <c r="O20" s="2">
        <f>IF('Modell einstellen'!$B$1="Voll",J20/0.35,J20/0.35*2)</f>
        <v>-6.4859785714285723E-4</v>
      </c>
      <c r="P20" s="3">
        <f t="shared" si="1"/>
        <v>0.36554998970306268</v>
      </c>
    </row>
    <row r="21" spans="1:16" x14ac:dyDescent="0.25">
      <c r="A21" s="3">
        <v>1000</v>
      </c>
      <c r="B21" s="3">
        <v>9.6429999999999997E-5</v>
      </c>
      <c r="C21" s="3">
        <v>1.93E-4</v>
      </c>
      <c r="D21" s="3">
        <v>-5.5940000000000004E-4</v>
      </c>
      <c r="E21" s="3">
        <v>0</v>
      </c>
      <c r="F21" s="3">
        <v>0</v>
      </c>
      <c r="G21" s="3">
        <v>0</v>
      </c>
      <c r="H21" s="3">
        <v>8.6231045000000005E-5</v>
      </c>
      <c r="I21" s="3">
        <v>2.0636291E-5</v>
      </c>
      <c r="J21" s="3">
        <v>-2.3328596999999999E-4</v>
      </c>
      <c r="L21" s="3">
        <f t="shared" si="0"/>
        <v>0.17238112263139074</v>
      </c>
      <c r="M21" s="3"/>
      <c r="N21" s="2">
        <f>IF('Modell einstellen'!$B$1="Voll",H21/0.35,H21/0.35*2)</f>
        <v>2.4637441428571429E-4</v>
      </c>
      <c r="O21" s="2">
        <f>IF('Modell einstellen'!$B$1="Voll",J21/0.35,J21/0.35*2)</f>
        <v>-6.665313428571429E-4</v>
      </c>
      <c r="P21" s="3">
        <f t="shared" si="1"/>
        <v>0.36963665238848264</v>
      </c>
    </row>
    <row r="22" spans="1:16" x14ac:dyDescent="0.25">
      <c r="A22" s="3">
        <v>10000</v>
      </c>
      <c r="B22" s="3">
        <v>1.025E-4</v>
      </c>
      <c r="C22" s="3">
        <v>2.0790000000000001E-4</v>
      </c>
      <c r="D22" s="3">
        <v>-5.7959999999999999E-4</v>
      </c>
      <c r="E22" s="3">
        <v>0</v>
      </c>
      <c r="F22" s="3">
        <v>0</v>
      </c>
      <c r="G22" s="3">
        <v>0</v>
      </c>
      <c r="H22" s="3">
        <v>9.0523705000000002E-5</v>
      </c>
      <c r="I22" s="3">
        <v>2.2347336E-5</v>
      </c>
      <c r="J22" s="3">
        <v>-2.4325732999999999E-4</v>
      </c>
      <c r="L22" s="3">
        <f t="shared" si="0"/>
        <v>0.17684610075914423</v>
      </c>
      <c r="M22" s="3"/>
      <c r="N22" s="2">
        <f>IF('Modell einstellen'!$B$1="Voll",H22/0.35,H22/0.35*2)</f>
        <v>2.5863915714285717E-4</v>
      </c>
      <c r="O22" s="2">
        <f>IF('Modell einstellen'!$B$1="Voll",J22/0.35,J22/0.35*2)</f>
        <v>-6.9502094285714292E-4</v>
      </c>
      <c r="P22" s="3">
        <f t="shared" si="1"/>
        <v>0.37213145848472479</v>
      </c>
    </row>
    <row r="23" spans="1:16" x14ac:dyDescent="0.25">
      <c r="A23" s="3">
        <v>100000</v>
      </c>
      <c r="B23" s="3">
        <v>1.1510000000000001E-4</v>
      </c>
      <c r="C23" s="3">
        <v>2.3059999999999999E-4</v>
      </c>
      <c r="D23" s="3">
        <v>-6.1240000000000003E-4</v>
      </c>
      <c r="E23" s="3">
        <v>0</v>
      </c>
      <c r="F23" s="3">
        <v>0</v>
      </c>
      <c r="G23" s="3">
        <v>0</v>
      </c>
      <c r="H23" s="3">
        <v>9.5633619000000004E-5</v>
      </c>
      <c r="I23" s="3">
        <v>2.4971773E-5</v>
      </c>
      <c r="J23" s="3">
        <v>-2.5668092999999999E-4</v>
      </c>
      <c r="L23" s="3">
        <f t="shared" si="0"/>
        <v>0.187949052906597</v>
      </c>
      <c r="M23" s="3"/>
      <c r="N23" s="2">
        <f>IF('Modell einstellen'!$B$1="Voll",H23/0.35,H23/0.35*2)</f>
        <v>2.7323891142857148E-4</v>
      </c>
      <c r="O23" s="2">
        <f>IF('Modell einstellen'!$B$1="Voll",J23/0.35,J23/0.35*2)</f>
        <v>-7.3337408571428567E-4</v>
      </c>
      <c r="P23" s="3">
        <f t="shared" si="1"/>
        <v>0.37257781090320979</v>
      </c>
    </row>
    <row r="24" spans="1:16" x14ac:dyDescent="0.25">
      <c r="A24" s="3">
        <v>1000000</v>
      </c>
      <c r="B24" s="3">
        <v>1.2970000000000001E-4</v>
      </c>
      <c r="C24" s="3">
        <v>2.566E-4</v>
      </c>
      <c r="D24" s="3">
        <v>-6.5070000000000004E-4</v>
      </c>
      <c r="E24" s="3">
        <v>0</v>
      </c>
      <c r="F24" s="3">
        <v>0</v>
      </c>
      <c r="G24" s="3">
        <v>0</v>
      </c>
      <c r="H24" s="3">
        <v>1.0216652000000001E-4</v>
      </c>
      <c r="I24" s="3">
        <v>2.8026249E-5</v>
      </c>
      <c r="J24" s="3">
        <v>-2.7311639000000002E-4</v>
      </c>
      <c r="L24" s="3">
        <f t="shared" si="0"/>
        <v>0.19932380513293377</v>
      </c>
      <c r="M24" s="3"/>
      <c r="N24" s="2">
        <f>IF('Modell einstellen'!$B$1="Voll",H24/0.35,H24/0.35*2)</f>
        <v>2.9190434285714291E-4</v>
      </c>
      <c r="O24" s="2">
        <f>IF('Modell einstellen'!$B$1="Voll",J24/0.35,J24/0.35*2)</f>
        <v>-7.8033254285714293E-4</v>
      </c>
      <c r="P24" s="3">
        <f t="shared" si="1"/>
        <v>0.37407685419392078</v>
      </c>
    </row>
    <row r="25" spans="1:16" x14ac:dyDescent="0.25">
      <c r="A25" s="3">
        <v>10000000</v>
      </c>
      <c r="B25" s="3">
        <v>1.4339999999999999E-4</v>
      </c>
      <c r="C25" s="3">
        <v>2.833E-4</v>
      </c>
      <c r="D25" s="3">
        <v>-6.9050000000000003E-4</v>
      </c>
      <c r="E25" s="3">
        <v>0</v>
      </c>
      <c r="F25" s="3">
        <v>0</v>
      </c>
      <c r="G25" s="3">
        <v>0</v>
      </c>
      <c r="H25" s="3">
        <v>1.1039706E-4</v>
      </c>
      <c r="I25" s="3">
        <v>3.1256302E-5</v>
      </c>
      <c r="J25" s="3">
        <v>-2.9224767999999998E-4</v>
      </c>
      <c r="L25" s="3">
        <f t="shared" si="0"/>
        <v>0.2076755973931933</v>
      </c>
      <c r="M25" s="3"/>
      <c r="N25" s="2">
        <f>IF('Modell einstellen'!$B$1="Voll",H25/0.35,H25/0.35*2)</f>
        <v>3.1542017142857144E-4</v>
      </c>
      <c r="O25" s="2">
        <f>IF('Modell einstellen'!$B$1="Voll",J25/0.35,J25/0.35*2)</f>
        <v>-8.349933714285714E-4</v>
      </c>
      <c r="P25" s="3">
        <f t="shared" si="1"/>
        <v>0.37775170704520222</v>
      </c>
    </row>
    <row r="26" spans="1:16" x14ac:dyDescent="0.25">
      <c r="A26" s="3">
        <v>100000000</v>
      </c>
      <c r="B26" s="3">
        <v>1.5320000000000001E-4</v>
      </c>
      <c r="C26" s="3">
        <v>3.0919999999999998E-4</v>
      </c>
      <c r="D26" s="3">
        <v>-7.2670000000000005E-4</v>
      </c>
      <c r="E26" s="3">
        <v>0</v>
      </c>
      <c r="F26" s="3">
        <v>0</v>
      </c>
      <c r="G26" s="3">
        <v>0</v>
      </c>
      <c r="H26" s="3">
        <v>1.1940260999999999E-4</v>
      </c>
      <c r="I26" s="3">
        <v>3.446786E-5</v>
      </c>
      <c r="J26" s="3">
        <v>-3.1240598999999998E-4</v>
      </c>
      <c r="L26" s="3">
        <f t="shared" si="0"/>
        <v>0.21081601761387092</v>
      </c>
      <c r="M26" s="3"/>
      <c r="N26" s="2">
        <f>IF('Modell einstellen'!$B$1="Voll",H26/0.35,H26/0.35*2)</f>
        <v>3.4115031428571429E-4</v>
      </c>
      <c r="O26" s="2">
        <f>IF('Modell einstellen'!$B$1="Voll",J26/0.35,J26/0.35*2)</f>
        <v>-8.9258854285714285E-4</v>
      </c>
      <c r="P26" s="3">
        <f t="shared" si="1"/>
        <v>0.38220333099246911</v>
      </c>
    </row>
    <row r="27" spans="1:16" x14ac:dyDescent="0.25">
      <c r="A27" s="3">
        <v>1000000000</v>
      </c>
      <c r="B27" s="3">
        <v>1.5870000000000001E-4</v>
      </c>
      <c r="C27" s="3">
        <v>3.3530000000000002E-4</v>
      </c>
      <c r="D27" s="3">
        <v>-7.5989999999999999E-4</v>
      </c>
      <c r="E27" s="3">
        <v>0</v>
      </c>
      <c r="F27" s="3">
        <v>0</v>
      </c>
      <c r="G27" s="3">
        <v>0</v>
      </c>
      <c r="H27" s="3">
        <v>1.2955883000000001E-4</v>
      </c>
      <c r="I27" s="3">
        <v>3.7809236000000002E-5</v>
      </c>
      <c r="J27" s="3">
        <v>-3.3444759000000001E-4</v>
      </c>
      <c r="L27" s="3">
        <f t="shared" si="0"/>
        <v>0.20884326885116464</v>
      </c>
      <c r="M27" s="3"/>
      <c r="N27" s="2">
        <f>IF('Modell einstellen'!$B$1="Voll",H27/0.35,H27/0.35*2)</f>
        <v>3.7016808571428575E-4</v>
      </c>
      <c r="O27" s="2">
        <f>IF('Modell einstellen'!$B$1="Voll",J27/0.35,J27/0.35*2)</f>
        <v>-9.5556454285714292E-4</v>
      </c>
      <c r="P27" s="3">
        <f t="shared" si="1"/>
        <v>0.38738156253420752</v>
      </c>
    </row>
    <row r="28" spans="1:16" x14ac:dyDescent="0.25">
      <c r="A28" s="3">
        <v>10000000000</v>
      </c>
      <c r="B28" s="3">
        <v>1.5870000000000001E-4</v>
      </c>
      <c r="C28" s="3">
        <v>3.6410000000000001E-4</v>
      </c>
      <c r="D28" s="3">
        <v>-7.9120000000000004E-4</v>
      </c>
      <c r="E28" s="3">
        <v>0</v>
      </c>
      <c r="F28" s="3">
        <v>0</v>
      </c>
      <c r="G28" s="3">
        <v>0</v>
      </c>
      <c r="H28" s="3">
        <v>1.4161413E-4</v>
      </c>
      <c r="I28" s="3">
        <v>4.1602125999999997E-5</v>
      </c>
      <c r="J28" s="3">
        <v>-3.6020775999999997E-4</v>
      </c>
      <c r="L28" s="3">
        <f t="shared" si="0"/>
        <v>0.2005813953488372</v>
      </c>
      <c r="M28" s="3"/>
      <c r="N28" s="2">
        <f>IF('Modell einstellen'!$B$1="Voll",H28/0.35,H28/0.35*2)</f>
        <v>4.0461180000000003E-4</v>
      </c>
      <c r="O28" s="2">
        <f>IF('Modell einstellen'!$B$1="Voll",J28/0.35,J28/0.35*2)</f>
        <v>-1.0291650285714285E-3</v>
      </c>
      <c r="P28" s="3">
        <f t="shared" si="1"/>
        <v>0.39314569458470305</v>
      </c>
    </row>
    <row r="29" spans="1:16" x14ac:dyDescent="0.25">
      <c r="A29" s="3">
        <v>100000000000</v>
      </c>
      <c r="B29" s="3">
        <v>1.4980000000000001E-4</v>
      </c>
      <c r="C29" s="3">
        <v>4.0049999999999998E-4</v>
      </c>
      <c r="D29" s="3">
        <v>-8.2229999999999998E-4</v>
      </c>
      <c r="E29" s="3">
        <v>0</v>
      </c>
      <c r="F29" s="3">
        <v>0</v>
      </c>
      <c r="G29" s="3">
        <v>0</v>
      </c>
      <c r="H29" s="3">
        <v>1.5763153000000001E-4</v>
      </c>
      <c r="I29" s="3">
        <v>4.6530151999999999E-5</v>
      </c>
      <c r="J29" s="3">
        <v>-3.9419360999999999E-4</v>
      </c>
      <c r="L29" s="3">
        <f t="shared" si="0"/>
        <v>0.18217195670679803</v>
      </c>
      <c r="M29" s="3"/>
      <c r="N29" s="2">
        <f>IF('Modell einstellen'!$B$1="Voll",H29/0.35,H29/0.35*2)</f>
        <v>4.5037580000000004E-4</v>
      </c>
      <c r="O29" s="2">
        <f>IF('Modell einstellen'!$B$1="Voll",J29/0.35,J29/0.35*2)</f>
        <v>-1.1262674571428572E-3</v>
      </c>
      <c r="P29" s="3">
        <f t="shared" si="1"/>
        <v>0.39988352424079121</v>
      </c>
    </row>
    <row r="30" spans="1:16" x14ac:dyDescent="0.25">
      <c r="A30" s="3">
        <v>1000000000000</v>
      </c>
      <c r="B30" s="3">
        <v>1.211E-4</v>
      </c>
      <c r="C30" s="3">
        <v>4.5560000000000002E-4</v>
      </c>
      <c r="D30" s="3">
        <v>-8.5400000000000005E-4</v>
      </c>
      <c r="E30" s="3">
        <v>0</v>
      </c>
      <c r="F30" s="3">
        <v>0</v>
      </c>
      <c r="G30" s="3">
        <v>0</v>
      </c>
      <c r="H30" s="3">
        <v>1.8320585E-4</v>
      </c>
      <c r="I30" s="3">
        <v>5.4289144999999998E-5</v>
      </c>
      <c r="J30" s="3">
        <v>-4.4817001999999999E-4</v>
      </c>
      <c r="L30" s="3">
        <f t="shared" si="0"/>
        <v>0.14180327868852458</v>
      </c>
      <c r="M30" s="3"/>
      <c r="N30" s="2">
        <f>IF('Modell einstellen'!$B$1="Voll",H30/0.35,H30/0.35*2)</f>
        <v>5.2344528571428577E-4</v>
      </c>
      <c r="O30" s="2">
        <f>IF('Modell einstellen'!$B$1="Voll",J30/0.35,J30/0.35*2)</f>
        <v>-1.2804857714285715E-3</v>
      </c>
      <c r="P30" s="3">
        <f t="shared" si="1"/>
        <v>0.40878649134094247</v>
      </c>
    </row>
    <row r="31" spans="1:16" x14ac:dyDescent="0.25">
      <c r="A31" s="3">
        <v>10000000000000</v>
      </c>
      <c r="B31" s="3">
        <v>4.8340000000000001E-5</v>
      </c>
      <c r="C31" s="3">
        <v>5.4080000000000003E-4</v>
      </c>
      <c r="D31" s="3">
        <v>-8.742E-4</v>
      </c>
      <c r="E31" s="3">
        <v>0</v>
      </c>
      <c r="F31" s="3">
        <v>0</v>
      </c>
      <c r="G31" s="3">
        <v>0</v>
      </c>
      <c r="H31" s="3">
        <v>2.2569775999999999E-4</v>
      </c>
      <c r="I31" s="3">
        <v>6.6929802999999999E-5</v>
      </c>
      <c r="J31" s="3">
        <v>-5.3693275999999995E-4</v>
      </c>
      <c r="L31" s="3">
        <f t="shared" si="0"/>
        <v>5.5296270876229695E-2</v>
      </c>
      <c r="M31" s="3"/>
      <c r="N31" s="2">
        <f>IF('Modell einstellen'!$B$1="Voll",H31/0.35,H31/0.35*2)</f>
        <v>6.4485074285714286E-4</v>
      </c>
      <c r="O31" s="2">
        <f>IF('Modell einstellen'!$B$1="Voll",J31/0.35,J31/0.35*2)</f>
        <v>-1.5340936E-3</v>
      </c>
      <c r="P31" s="3">
        <f t="shared" si="1"/>
        <v>0.42034641358072472</v>
      </c>
    </row>
    <row r="32" spans="1:16" x14ac:dyDescent="0.25">
      <c r="A32" s="3">
        <v>100000000000000</v>
      </c>
      <c r="B32" s="3">
        <v>-1.3569999999999999E-4</v>
      </c>
      <c r="C32" s="3">
        <v>6.8269999999999995E-4</v>
      </c>
      <c r="D32" s="3">
        <v>-8.4250000000000004E-4</v>
      </c>
      <c r="E32" s="3">
        <v>0</v>
      </c>
      <c r="F32" s="3">
        <v>0</v>
      </c>
      <c r="G32" s="3">
        <v>0</v>
      </c>
      <c r="H32" s="3">
        <v>3.0482333E-4</v>
      </c>
      <c r="I32" s="3">
        <v>8.9475178E-5</v>
      </c>
      <c r="J32" s="3">
        <v>-6.9851101000000004E-4</v>
      </c>
      <c r="L32" s="3">
        <f t="shared" si="0"/>
        <v>-0.16106824925816021</v>
      </c>
      <c r="M32" s="3"/>
      <c r="N32" s="2">
        <f>IF('Modell einstellen'!$B$1="Voll",H32/0.35,H32/0.35*2)</f>
        <v>8.7092380000000007E-4</v>
      </c>
      <c r="O32" s="2">
        <f>IF('Modell einstellen'!$B$1="Voll",J32/0.35,J32/0.35*2)</f>
        <v>-1.9957457428571431E-3</v>
      </c>
      <c r="P32" s="3">
        <f t="shared" si="1"/>
        <v>0.43639015797331526</v>
      </c>
    </row>
    <row r="33" spans="1:16" x14ac:dyDescent="0.25">
      <c r="A33" s="3">
        <v>1000000000000000</v>
      </c>
      <c r="B33" s="3">
        <v>-6.4809999999999998E-4</v>
      </c>
      <c r="C33" s="3">
        <v>9.5E-4</v>
      </c>
      <c r="D33" s="3">
        <v>-6.1090000000000005E-4</v>
      </c>
      <c r="E33" s="3">
        <v>0</v>
      </c>
      <c r="F33" s="3">
        <v>0</v>
      </c>
      <c r="G33" s="3">
        <v>0</v>
      </c>
      <c r="H33" s="3">
        <v>4.7958627E-4</v>
      </c>
      <c r="I33" s="3">
        <v>1.3580800000000001E-4</v>
      </c>
      <c r="J33" s="3">
        <v>-1.0423800999999999E-3</v>
      </c>
      <c r="L33" s="3">
        <f t="shared" si="0"/>
        <v>-1.060893763300049</v>
      </c>
      <c r="M33" s="3"/>
      <c r="N33" s="2">
        <f>IF('Modell einstellen'!$B$1="Voll",H33/0.35,H33/0.35*2)</f>
        <v>1.3702464857142857E-3</v>
      </c>
      <c r="O33" s="2">
        <f>IF('Modell einstellen'!$B$1="Voll",J33/0.35,J33/0.35*2)</f>
        <v>-2.978228857142857E-3</v>
      </c>
      <c r="P33" s="3">
        <f t="shared" si="1"/>
        <v>0.46008770696984719</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9.5829999999999996E-5</v>
      </c>
      <c r="C3" s="3">
        <v>1.7789999999999999E-4</v>
      </c>
      <c r="D3" s="3">
        <v>-5.3919999999999999E-4</v>
      </c>
      <c r="E3" s="3">
        <v>0</v>
      </c>
      <c r="F3" s="3">
        <v>0</v>
      </c>
      <c r="G3" s="3">
        <v>0</v>
      </c>
      <c r="H3" s="3">
        <v>7.7593030000000003E-5</v>
      </c>
      <c r="I3" s="3">
        <v>1.8849818E-5</v>
      </c>
      <c r="J3" s="3">
        <v>-2.1749635999999999E-4</v>
      </c>
      <c r="K3" s="3"/>
      <c r="L3" s="3">
        <f>-B3/D3</f>
        <v>0.17772626112759643</v>
      </c>
      <c r="M3" s="3"/>
      <c r="N3" s="2">
        <f>IF('Modell einstellen'!$B$1="Voll",H3/0.35,H3/0.35*2)</f>
        <v>2.2169437142857145E-4</v>
      </c>
      <c r="O3" s="2">
        <f>IF('Modell einstellen'!$B$1="Voll",J3/0.35,J3/0.35*2)</f>
        <v>-6.2141817142857142E-4</v>
      </c>
      <c r="P3" s="3">
        <f>-N3/O3</f>
        <v>0.35675553374778324</v>
      </c>
      <c r="Q3" s="3"/>
      <c r="R3" s="3"/>
      <c r="S3" s="3"/>
      <c r="T3" s="3"/>
      <c r="U3" s="3"/>
    </row>
    <row r="4" spans="1:21" x14ac:dyDescent="0.25">
      <c r="A4" s="3">
        <v>1E-14</v>
      </c>
      <c r="B4" s="3">
        <v>9.5829999999999996E-5</v>
      </c>
      <c r="C4" s="3">
        <v>1.7789999999999999E-4</v>
      </c>
      <c r="D4" s="3">
        <v>-5.3919999999999999E-4</v>
      </c>
      <c r="E4" s="3">
        <v>0</v>
      </c>
      <c r="F4" s="3">
        <v>0</v>
      </c>
      <c r="G4" s="3">
        <v>0</v>
      </c>
      <c r="H4" s="3">
        <v>7.7595300999999995E-5</v>
      </c>
      <c r="I4" s="3">
        <v>1.8850374000000001E-5</v>
      </c>
      <c r="J4" s="3">
        <v>-2.1749226E-4</v>
      </c>
      <c r="K4" s="3"/>
      <c r="L4" s="3">
        <f t="shared" ref="L4:L33" si="0">-B4/D4</f>
        <v>0.17772626112759643</v>
      </c>
      <c r="M4" s="3"/>
      <c r="N4" s="2">
        <f>IF('Modell einstellen'!$B$1="Voll",H4/0.35,H4/0.35*2)</f>
        <v>2.2170086E-4</v>
      </c>
      <c r="O4" s="2">
        <f>IF('Modell einstellen'!$B$1="Voll",J4/0.35,J4/0.35*2)</f>
        <v>-6.2140645714285723E-4</v>
      </c>
      <c r="P4" s="3">
        <f t="shared" ref="P4:P33" si="1">-N4/O4</f>
        <v>0.3567727007848463</v>
      </c>
      <c r="Q4" s="3"/>
      <c r="R4" s="3"/>
      <c r="S4" s="3"/>
      <c r="T4" s="3"/>
      <c r="U4" s="3"/>
    </row>
    <row r="5" spans="1:21" x14ac:dyDescent="0.25">
      <c r="A5" s="3">
        <v>1E-13</v>
      </c>
      <c r="B5" s="3">
        <v>9.5829999999999996E-5</v>
      </c>
      <c r="C5" s="3">
        <v>1.7789999999999999E-4</v>
      </c>
      <c r="D5" s="3">
        <v>-5.3919999999999999E-4</v>
      </c>
      <c r="E5" s="3">
        <v>0</v>
      </c>
      <c r="F5" s="3">
        <v>0</v>
      </c>
      <c r="G5" s="3">
        <v>0</v>
      </c>
      <c r="H5" s="3">
        <v>7.7595608000000001E-5</v>
      </c>
      <c r="I5" s="3">
        <v>1.8850503999999999E-5</v>
      </c>
      <c r="J5" s="3">
        <v>-2.1749306999999999E-4</v>
      </c>
      <c r="K5" s="3"/>
      <c r="L5" s="3">
        <f t="shared" si="0"/>
        <v>0.17772626112759643</v>
      </c>
      <c r="M5" s="3"/>
      <c r="N5" s="2">
        <f>IF('Modell einstellen'!$B$1="Voll",H5/0.35,H5/0.35*2)</f>
        <v>2.2170173714285715E-4</v>
      </c>
      <c r="O5" s="2">
        <f>IF('Modell einstellen'!$B$1="Voll",J5/0.35,J5/0.35*2)</f>
        <v>-6.2140877142857146E-4</v>
      </c>
      <c r="P5" s="3">
        <f t="shared" si="1"/>
        <v>0.35677278361099046</v>
      </c>
      <c r="Q5" s="3"/>
      <c r="R5" s="3"/>
      <c r="S5" s="3"/>
      <c r="T5" s="3"/>
      <c r="U5" s="3"/>
    </row>
    <row r="6" spans="1:21" x14ac:dyDescent="0.25">
      <c r="A6" s="3">
        <v>9.9999999999999998E-13</v>
      </c>
      <c r="B6" s="3">
        <v>9.5829999999999996E-5</v>
      </c>
      <c r="C6" s="3">
        <v>1.7789999999999999E-4</v>
      </c>
      <c r="D6" s="3">
        <v>-5.3919999999999999E-4</v>
      </c>
      <c r="E6" s="3">
        <v>0</v>
      </c>
      <c r="F6" s="3">
        <v>0</v>
      </c>
      <c r="G6" s="3">
        <v>0</v>
      </c>
      <c r="H6" s="3">
        <v>7.7595706000000003E-5</v>
      </c>
      <c r="I6" s="3">
        <v>1.8850537999999999E-5</v>
      </c>
      <c r="J6" s="3">
        <v>-2.1749331000000001E-4</v>
      </c>
      <c r="K6" s="3"/>
      <c r="L6" s="3">
        <f t="shared" si="0"/>
        <v>0.17772626112759643</v>
      </c>
      <c r="M6" s="3"/>
      <c r="N6" s="2">
        <f>IF('Modell einstellen'!$B$1="Voll",H6/0.35,H6/0.35*2)</f>
        <v>2.2170201714285717E-4</v>
      </c>
      <c r="O6" s="2">
        <f>IF('Modell einstellen'!$B$1="Voll",J6/0.35,J6/0.35*2)</f>
        <v>-6.2140945714285716E-4</v>
      </c>
      <c r="P6" s="3">
        <f t="shared" si="1"/>
        <v>0.35677284050714025</v>
      </c>
      <c r="Q6" s="3"/>
      <c r="R6" s="3"/>
      <c r="S6" s="3"/>
      <c r="T6" s="3"/>
      <c r="U6" s="3"/>
    </row>
    <row r="7" spans="1:21" x14ac:dyDescent="0.25">
      <c r="A7" s="3">
        <v>9.9999999999999994E-12</v>
      </c>
      <c r="B7" s="3">
        <v>9.5829999999999996E-5</v>
      </c>
      <c r="C7" s="3">
        <v>1.7789999999999999E-4</v>
      </c>
      <c r="D7" s="3">
        <v>-5.3919999999999999E-4</v>
      </c>
      <c r="E7" s="3">
        <v>0</v>
      </c>
      <c r="F7" s="3">
        <v>0</v>
      </c>
      <c r="G7" s="3">
        <v>0</v>
      </c>
      <c r="H7" s="3">
        <v>7.7595739000000007E-5</v>
      </c>
      <c r="I7" s="3">
        <v>1.8850548E-5</v>
      </c>
      <c r="J7" s="3">
        <v>-2.1749338E-4</v>
      </c>
      <c r="K7" s="3"/>
      <c r="L7" s="3">
        <f t="shared" si="0"/>
        <v>0.17772626112759643</v>
      </c>
      <c r="M7" s="3"/>
      <c r="N7" s="2">
        <f>IF('Modell einstellen'!$B$1="Voll",H7/0.35,H7/0.35*2)</f>
        <v>2.2170211142857147E-4</v>
      </c>
      <c r="O7" s="2">
        <f>IF('Modell einstellen'!$B$1="Voll",J7/0.35,J7/0.35*2)</f>
        <v>-6.2140965714285723E-4</v>
      </c>
      <c r="P7" s="3">
        <f t="shared" si="1"/>
        <v>0.35677287740895841</v>
      </c>
      <c r="Q7" s="3"/>
      <c r="R7" s="3"/>
      <c r="S7" s="3"/>
      <c r="T7" s="3"/>
      <c r="U7" s="3"/>
    </row>
    <row r="8" spans="1:21" x14ac:dyDescent="0.25">
      <c r="A8" s="3">
        <v>1E-10</v>
      </c>
      <c r="B8" s="3">
        <v>9.5829999999999996E-5</v>
      </c>
      <c r="C8" s="3">
        <v>1.7789999999999999E-4</v>
      </c>
      <c r="D8" s="3">
        <v>-5.3919999999999999E-4</v>
      </c>
      <c r="E8" s="3">
        <v>0</v>
      </c>
      <c r="F8" s="3">
        <v>0</v>
      </c>
      <c r="G8" s="3">
        <v>0</v>
      </c>
      <c r="H8" s="3">
        <v>7.7595748999999994E-5</v>
      </c>
      <c r="I8" s="3">
        <v>1.8850551000000001E-5</v>
      </c>
      <c r="J8" s="3">
        <v>-2.1749340999999999E-4</v>
      </c>
      <c r="K8" s="3"/>
      <c r="L8" s="3">
        <f t="shared" si="0"/>
        <v>0.17772626112759643</v>
      </c>
      <c r="M8" s="3"/>
      <c r="N8" s="2">
        <f>IF('Modell einstellen'!$B$1="Voll",H8/0.35,H8/0.35*2)</f>
        <v>2.2170214000000001E-4</v>
      </c>
      <c r="O8" s="2">
        <f>IF('Modell einstellen'!$B$1="Voll",J8/0.35,J8/0.35*2)</f>
        <v>-6.2140974285714284E-4</v>
      </c>
      <c r="P8" s="3">
        <f t="shared" si="1"/>
        <v>0.35677287417581988</v>
      </c>
      <c r="Q8" s="3"/>
      <c r="R8" s="3"/>
      <c r="S8" s="3"/>
      <c r="T8" s="3"/>
      <c r="U8" s="3"/>
    </row>
    <row r="9" spans="1:21" x14ac:dyDescent="0.25">
      <c r="A9" s="3">
        <v>1.0000000000000001E-9</v>
      </c>
      <c r="B9" s="3">
        <v>9.5829999999999996E-5</v>
      </c>
      <c r="C9" s="3">
        <v>1.7789999999999999E-4</v>
      </c>
      <c r="D9" s="3">
        <v>-5.3919999999999999E-4</v>
      </c>
      <c r="E9" s="3">
        <v>0</v>
      </c>
      <c r="F9" s="3">
        <v>0</v>
      </c>
      <c r="G9" s="3">
        <v>0</v>
      </c>
      <c r="H9" s="3">
        <v>7.7595753000000005E-5</v>
      </c>
      <c r="I9" s="3">
        <v>1.8850552000000001E-5</v>
      </c>
      <c r="J9" s="3">
        <v>-2.1749340999999999E-4</v>
      </c>
      <c r="K9" s="3"/>
      <c r="L9" s="3">
        <f t="shared" si="0"/>
        <v>0.17772626112759643</v>
      </c>
      <c r="M9" s="3"/>
      <c r="N9" s="2">
        <f>IF('Modell einstellen'!$B$1="Voll",H9/0.35,H9/0.35*2)</f>
        <v>2.2170215142857145E-4</v>
      </c>
      <c r="O9" s="2">
        <f>IF('Modell einstellen'!$B$1="Voll",J9/0.35,J9/0.35*2)</f>
        <v>-6.2140974285714284E-4</v>
      </c>
      <c r="P9" s="3">
        <f t="shared" si="1"/>
        <v>0.35677289256718175</v>
      </c>
      <c r="Q9" s="3"/>
      <c r="R9" s="3"/>
      <c r="S9" s="3"/>
      <c r="T9" s="3"/>
      <c r="U9" s="3"/>
    </row>
    <row r="10" spans="1:21" x14ac:dyDescent="0.25">
      <c r="A10" s="3">
        <v>1E-8</v>
      </c>
      <c r="B10" s="3">
        <v>9.5829999999999996E-5</v>
      </c>
      <c r="C10" s="3">
        <v>1.7789999999999999E-4</v>
      </c>
      <c r="D10" s="3">
        <v>-5.3919999999999999E-4</v>
      </c>
      <c r="E10" s="3">
        <v>0</v>
      </c>
      <c r="F10" s="3">
        <v>0</v>
      </c>
      <c r="G10" s="3">
        <v>0</v>
      </c>
      <c r="H10" s="3">
        <v>7.7595754999999997E-5</v>
      </c>
      <c r="I10" s="3">
        <v>1.8850552000000001E-5</v>
      </c>
      <c r="J10" s="3">
        <v>-2.1749342E-4</v>
      </c>
      <c r="K10" s="3"/>
      <c r="L10" s="3">
        <f t="shared" si="0"/>
        <v>0.17772626112759643</v>
      </c>
      <c r="M10" s="3"/>
      <c r="N10" s="2">
        <f>IF('Modell einstellen'!$B$1="Voll",H10/0.35,H10/0.35*2)</f>
        <v>2.2170215714285716E-4</v>
      </c>
      <c r="O10" s="2">
        <f>IF('Modell einstellen'!$B$1="Voll",J10/0.35,J10/0.35*2)</f>
        <v>-6.2140977142857148E-4</v>
      </c>
      <c r="P10" s="3">
        <f t="shared" si="1"/>
        <v>0.35677288535901452</v>
      </c>
      <c r="Q10" s="3"/>
      <c r="R10" s="3"/>
      <c r="S10" s="3"/>
      <c r="T10" s="3"/>
      <c r="U10" s="3"/>
    </row>
    <row r="11" spans="1:21" x14ac:dyDescent="0.25">
      <c r="A11" s="3">
        <v>9.9999999999999995E-8</v>
      </c>
      <c r="B11" s="3">
        <v>9.5829999999999996E-5</v>
      </c>
      <c r="C11" s="3">
        <v>1.7789999999999999E-4</v>
      </c>
      <c r="D11" s="3">
        <v>-5.3919999999999999E-4</v>
      </c>
      <c r="E11" s="3">
        <v>0</v>
      </c>
      <c r="F11" s="3">
        <v>0</v>
      </c>
      <c r="G11" s="3">
        <v>0</v>
      </c>
      <c r="H11" s="3">
        <v>7.7595758999999994E-5</v>
      </c>
      <c r="I11" s="3">
        <v>1.8850553E-5</v>
      </c>
      <c r="J11" s="3">
        <v>-2.1749342999999999E-4</v>
      </c>
      <c r="K11" s="3"/>
      <c r="L11" s="3">
        <f t="shared" si="0"/>
        <v>0.17772626112759643</v>
      </c>
      <c r="M11" s="3"/>
      <c r="N11" s="2">
        <f>IF('Modell einstellen'!$B$1="Voll",H11/0.35,H11/0.35*2)</f>
        <v>2.2170216857142857E-4</v>
      </c>
      <c r="O11" s="2">
        <f>IF('Modell einstellen'!$B$1="Voll",J11/0.35,J11/0.35*2)</f>
        <v>-6.2140980000000001E-4</v>
      </c>
      <c r="P11" s="3">
        <f t="shared" si="1"/>
        <v>0.35677288734652812</v>
      </c>
      <c r="Q11" s="3"/>
      <c r="R11" s="3"/>
      <c r="S11" s="3"/>
      <c r="T11" s="3"/>
      <c r="U11" s="3"/>
    </row>
    <row r="12" spans="1:21" x14ac:dyDescent="0.25">
      <c r="A12" s="3">
        <v>9.9999999999999995E-7</v>
      </c>
      <c r="B12" s="3">
        <v>9.5829999999999996E-5</v>
      </c>
      <c r="C12" s="3">
        <v>1.7789999999999999E-4</v>
      </c>
      <c r="D12" s="3">
        <v>-5.3919999999999999E-4</v>
      </c>
      <c r="E12" s="3">
        <v>0</v>
      </c>
      <c r="F12" s="3">
        <v>0</v>
      </c>
      <c r="G12" s="3">
        <v>0</v>
      </c>
      <c r="H12" s="3">
        <v>7.7595801000000003E-5</v>
      </c>
      <c r="I12" s="3">
        <v>1.8850560999999999E-5</v>
      </c>
      <c r="J12" s="3">
        <v>-2.1749350000000001E-4</v>
      </c>
      <c r="K12" s="3"/>
      <c r="L12" s="3">
        <f t="shared" si="0"/>
        <v>0.17772626112759643</v>
      </c>
      <c r="M12" s="3"/>
      <c r="N12" s="2">
        <f>IF('Modell einstellen'!$B$1="Voll",H12/0.35,H12/0.35*2)</f>
        <v>2.2170228857142861E-4</v>
      </c>
      <c r="O12" s="2">
        <f>IF('Modell einstellen'!$B$1="Voll",J12/0.35,J12/0.35*2)</f>
        <v>-6.2141000000000008E-4</v>
      </c>
      <c r="P12" s="3">
        <f t="shared" si="1"/>
        <v>0.35677296562885791</v>
      </c>
      <c r="Q12" s="3"/>
      <c r="R12" s="3"/>
      <c r="S12" s="3"/>
      <c r="T12" s="3"/>
      <c r="U12" s="3"/>
    </row>
    <row r="13" spans="1:21" x14ac:dyDescent="0.25">
      <c r="A13" s="3">
        <v>1.0000000000000001E-5</v>
      </c>
      <c r="B13" s="3">
        <v>9.5829999999999996E-5</v>
      </c>
      <c r="C13" s="3">
        <v>1.7789999999999999E-4</v>
      </c>
      <c r="D13" s="3">
        <v>-5.3919999999999999E-4</v>
      </c>
      <c r="E13" s="3">
        <v>0</v>
      </c>
      <c r="F13" s="3">
        <v>0</v>
      </c>
      <c r="G13" s="3">
        <v>0</v>
      </c>
      <c r="H13" s="3">
        <v>7.7596218999999999E-5</v>
      </c>
      <c r="I13" s="3">
        <v>1.8850640000000002E-5</v>
      </c>
      <c r="J13" s="3">
        <v>-2.1749424999999999E-4</v>
      </c>
      <c r="K13" s="3"/>
      <c r="L13" s="3">
        <f t="shared" si="0"/>
        <v>0.17772626112759643</v>
      </c>
      <c r="M13" s="3"/>
      <c r="N13" s="2">
        <f>IF('Modell einstellen'!$B$1="Voll",H13/0.35,H13/0.35*2)</f>
        <v>2.2170348285714288E-4</v>
      </c>
      <c r="O13" s="2">
        <f>IF('Modell einstellen'!$B$1="Voll",J13/0.35,J13/0.35*2)</f>
        <v>-6.214121428571429E-4</v>
      </c>
      <c r="P13" s="3">
        <f t="shared" si="1"/>
        <v>0.35677365723461657</v>
      </c>
      <c r="Q13" s="3"/>
      <c r="R13" s="3"/>
      <c r="S13" s="3"/>
      <c r="T13" s="3"/>
      <c r="U13" s="3"/>
    </row>
    <row r="14" spans="1:21" x14ac:dyDescent="0.25">
      <c r="A14" s="3">
        <v>1E-4</v>
      </c>
      <c r="B14" s="3">
        <v>9.5829999999999996E-5</v>
      </c>
      <c r="C14" s="3">
        <v>1.7789999999999999E-4</v>
      </c>
      <c r="D14" s="3">
        <v>-5.3919999999999999E-4</v>
      </c>
      <c r="E14" s="3">
        <v>0</v>
      </c>
      <c r="F14" s="3">
        <v>0</v>
      </c>
      <c r="G14" s="3">
        <v>0</v>
      </c>
      <c r="H14" s="3">
        <v>7.7600393000000004E-5</v>
      </c>
      <c r="I14" s="3">
        <v>1.8851428E-5</v>
      </c>
      <c r="J14" s="3">
        <v>-2.1750171E-4</v>
      </c>
      <c r="K14" s="3"/>
      <c r="L14" s="3">
        <f t="shared" si="0"/>
        <v>0.17772626112759643</v>
      </c>
      <c r="M14" s="3"/>
      <c r="N14" s="2">
        <f>IF('Modell einstellen'!$B$1="Voll",H14/0.35,H14/0.35*2)</f>
        <v>2.217154085714286E-4</v>
      </c>
      <c r="O14" s="2">
        <f>IF('Modell einstellen'!$B$1="Voll",J14/0.35,J14/0.35*2)</f>
        <v>-6.2143345714285722E-4</v>
      </c>
      <c r="P14" s="3">
        <f t="shared" si="1"/>
        <v>0.35678061105818432</v>
      </c>
      <c r="Q14" s="3"/>
      <c r="R14" s="3"/>
      <c r="S14" s="3"/>
      <c r="T14" s="3"/>
      <c r="U14" s="3"/>
    </row>
    <row r="15" spans="1:21" x14ac:dyDescent="0.25">
      <c r="A15" s="3">
        <v>1E-3</v>
      </c>
      <c r="B15" s="3">
        <v>9.5820000000000001E-5</v>
      </c>
      <c r="C15" s="3">
        <v>1.7799999999999999E-4</v>
      </c>
      <c r="D15" s="3">
        <v>-5.3930000000000004E-4</v>
      </c>
      <c r="E15" s="3">
        <v>0</v>
      </c>
      <c r="F15" s="3">
        <v>0</v>
      </c>
      <c r="G15" s="3">
        <v>0</v>
      </c>
      <c r="H15" s="3">
        <v>7.7641833000000003E-5</v>
      </c>
      <c r="I15" s="3">
        <v>1.8859251E-5</v>
      </c>
      <c r="J15" s="3">
        <v>-2.1757577E-4</v>
      </c>
      <c r="K15" s="3"/>
      <c r="L15" s="3">
        <f t="shared" si="0"/>
        <v>0.17767476358242165</v>
      </c>
      <c r="M15" s="3"/>
      <c r="N15" s="2">
        <f>IF('Modell einstellen'!$B$1="Voll",H15/0.35,H15/0.35*2)</f>
        <v>2.2183380857142859E-4</v>
      </c>
      <c r="O15" s="2">
        <f>IF('Modell einstellen'!$B$1="Voll",J15/0.35,J15/0.35*2)</f>
        <v>-6.2164505714285717E-4</v>
      </c>
      <c r="P15" s="3">
        <f t="shared" si="1"/>
        <v>0.35684962990134428</v>
      </c>
      <c r="Q15" s="3"/>
      <c r="R15" s="3"/>
      <c r="S15" s="3"/>
      <c r="T15" s="3"/>
      <c r="U15" s="3"/>
    </row>
    <row r="16" spans="1:21" x14ac:dyDescent="0.25">
      <c r="A16" s="3">
        <v>0.01</v>
      </c>
      <c r="B16" s="3">
        <v>9.5740000000000002E-5</v>
      </c>
      <c r="C16" s="3">
        <v>1.786E-4</v>
      </c>
      <c r="D16" s="3">
        <v>-5.4000000000000001E-4</v>
      </c>
      <c r="E16" s="3">
        <v>0</v>
      </c>
      <c r="F16" s="3">
        <v>0</v>
      </c>
      <c r="G16" s="3">
        <v>0</v>
      </c>
      <c r="H16" s="3">
        <v>7.8027208999999995E-5</v>
      </c>
      <c r="I16" s="3">
        <v>1.8931956000000001E-5</v>
      </c>
      <c r="J16" s="3">
        <v>-2.1826431999999999E-4</v>
      </c>
      <c r="K16" s="3"/>
      <c r="L16" s="3">
        <f t="shared" si="0"/>
        <v>0.17729629629629629</v>
      </c>
      <c r="M16" s="3"/>
      <c r="N16" s="2">
        <f>IF('Modell einstellen'!$B$1="Voll",H16/0.35,H16/0.35*2)</f>
        <v>2.2293488285714285E-4</v>
      </c>
      <c r="O16" s="2">
        <f>IF('Modell einstellen'!$B$1="Voll",J16/0.35,J16/0.35*2)</f>
        <v>-6.2361234285714291E-4</v>
      </c>
      <c r="P16" s="3">
        <f t="shared" si="1"/>
        <v>0.35748952920935495</v>
      </c>
      <c r="Q16" s="3"/>
      <c r="R16" s="3"/>
      <c r="S16" s="3"/>
      <c r="T16" s="3"/>
      <c r="U16" s="3"/>
    </row>
    <row r="17" spans="1:25" x14ac:dyDescent="0.25">
      <c r="A17" s="3">
        <v>0.1</v>
      </c>
      <c r="B17" s="3">
        <v>9.5950000000000001E-5</v>
      </c>
      <c r="C17" s="3">
        <v>1.8220000000000001E-4</v>
      </c>
      <c r="D17" s="3">
        <v>-5.4509999999999997E-4</v>
      </c>
      <c r="E17" s="3">
        <v>0</v>
      </c>
      <c r="F17" s="3">
        <v>0</v>
      </c>
      <c r="G17" s="3">
        <v>0</v>
      </c>
      <c r="H17" s="3">
        <v>8.0196196000000006E-5</v>
      </c>
      <c r="I17" s="3">
        <v>1.9355408E-5</v>
      </c>
      <c r="J17" s="3">
        <v>-2.2218503999999999E-4</v>
      </c>
      <c r="K17" s="3"/>
      <c r="L17" s="3">
        <f t="shared" si="0"/>
        <v>0.17602274811961111</v>
      </c>
      <c r="M17" s="3"/>
      <c r="N17" s="2">
        <f>IF('Modell einstellen'!$B$1="Voll",H17/0.35,H17/0.35*2)</f>
        <v>2.2913198857142861E-4</v>
      </c>
      <c r="O17" s="2">
        <f>IF('Modell einstellen'!$B$1="Voll",J17/0.35,J17/0.35*2)</f>
        <v>-6.3481440000000007E-4</v>
      </c>
      <c r="P17" s="3">
        <f t="shared" si="1"/>
        <v>0.36094327502877782</v>
      </c>
      <c r="Q17" s="3"/>
      <c r="R17" s="3"/>
      <c r="S17" s="3"/>
      <c r="T17" s="3"/>
      <c r="U17" s="3"/>
      <c r="V17" s="3"/>
      <c r="W17" s="3"/>
      <c r="X17" s="3"/>
      <c r="Y17" s="3"/>
    </row>
    <row r="18" spans="1:25" x14ac:dyDescent="0.25">
      <c r="A18" s="3">
        <v>1</v>
      </c>
      <c r="B18" s="3">
        <v>9.5870000000000002E-5</v>
      </c>
      <c r="C18" s="3">
        <v>1.8660000000000001E-4</v>
      </c>
      <c r="D18" s="3">
        <v>-5.5099999999999995E-4</v>
      </c>
      <c r="E18" s="3">
        <v>0</v>
      </c>
      <c r="F18" s="3">
        <v>0</v>
      </c>
      <c r="G18" s="3">
        <v>0</v>
      </c>
      <c r="H18" s="3">
        <v>8.2915054000000003E-5</v>
      </c>
      <c r="I18" s="3">
        <v>1.9875882000000001E-5</v>
      </c>
      <c r="J18" s="3">
        <v>-2.2705132E-4</v>
      </c>
      <c r="K18" s="3"/>
      <c r="L18" s="3">
        <f t="shared" si="0"/>
        <v>0.17399274047186936</v>
      </c>
      <c r="M18" s="3"/>
      <c r="N18" s="2">
        <f>IF('Modell einstellen'!$B$1="Voll",H18/0.35,H18/0.35*2)</f>
        <v>2.3690015428571432E-4</v>
      </c>
      <c r="O18" s="2">
        <f>IF('Modell einstellen'!$B$1="Voll",J18/0.35,J18/0.35*2)</f>
        <v>-6.4871805714285724E-4</v>
      </c>
      <c r="P18" s="3">
        <f t="shared" si="1"/>
        <v>0.36518199497805165</v>
      </c>
      <c r="Q18" s="3"/>
      <c r="R18" s="3"/>
      <c r="S18" s="3"/>
      <c r="T18" s="3"/>
      <c r="U18" s="3"/>
      <c r="V18" s="3"/>
      <c r="W18" s="3"/>
      <c r="X18" s="3"/>
      <c r="Y18" s="3"/>
    </row>
    <row r="19" spans="1:25" x14ac:dyDescent="0.25">
      <c r="A19" s="3">
        <v>10</v>
      </c>
      <c r="B19" s="3">
        <v>9.5660000000000002E-5</v>
      </c>
      <c r="C19" s="3">
        <v>1.917E-4</v>
      </c>
      <c r="D19" s="3">
        <v>-5.576E-4</v>
      </c>
      <c r="E19" s="3">
        <v>0</v>
      </c>
      <c r="F19" s="3">
        <v>0</v>
      </c>
      <c r="G19" s="3">
        <v>0</v>
      </c>
      <c r="H19" s="3">
        <v>8.6096283000000005E-5</v>
      </c>
      <c r="I19" s="3">
        <v>2.0489436999999999E-5</v>
      </c>
      <c r="J19" s="3">
        <v>-2.3273597E-4</v>
      </c>
      <c r="K19" s="3"/>
      <c r="L19" s="3">
        <f t="shared" si="0"/>
        <v>0.17155667144906744</v>
      </c>
      <c r="M19" s="3"/>
      <c r="N19" s="2">
        <f>IF('Modell einstellen'!$B$1="Voll",H19/0.35,H19/0.35*2)</f>
        <v>2.4598938000000001E-4</v>
      </c>
      <c r="O19" s="2">
        <f>IF('Modell einstellen'!$B$1="Voll",J19/0.35,J19/0.35*2)</f>
        <v>-6.6495991428571432E-4</v>
      </c>
      <c r="P19" s="3">
        <f t="shared" si="1"/>
        <v>0.36993114128426302</v>
      </c>
      <c r="Q19" s="3"/>
      <c r="R19" s="3"/>
      <c r="S19" s="3"/>
      <c r="T19" s="3"/>
      <c r="U19" s="3"/>
      <c r="V19" s="3"/>
      <c r="W19" s="3"/>
      <c r="X19" s="3"/>
      <c r="Y19" s="3"/>
    </row>
    <row r="20" spans="1:25" x14ac:dyDescent="0.25">
      <c r="A20" s="3">
        <v>100</v>
      </c>
      <c r="B20" s="3">
        <v>9.6050000000000004E-5</v>
      </c>
      <c r="C20" s="3">
        <v>1.994E-4</v>
      </c>
      <c r="D20" s="3">
        <v>-5.6729999999999997E-4</v>
      </c>
      <c r="E20" s="3">
        <v>0</v>
      </c>
      <c r="F20" s="3">
        <v>0</v>
      </c>
      <c r="G20" s="3">
        <v>0</v>
      </c>
      <c r="H20" s="3">
        <v>9.0150247999999994E-5</v>
      </c>
      <c r="I20" s="3">
        <v>2.1404931E-5</v>
      </c>
      <c r="J20" s="3">
        <v>-2.4030849E-4</v>
      </c>
      <c r="K20" s="3"/>
      <c r="L20" s="3">
        <f t="shared" si="0"/>
        <v>0.16931077031552971</v>
      </c>
      <c r="M20" s="3"/>
      <c r="N20" s="2">
        <f>IF('Modell einstellen'!$B$1="Voll",H20/0.35,H20/0.35*2)</f>
        <v>2.5757213714285715E-4</v>
      </c>
      <c r="O20" s="2">
        <f>IF('Modell einstellen'!$B$1="Voll",J20/0.35,J20/0.35*2)</f>
        <v>-6.8659568571428572E-4</v>
      </c>
      <c r="P20" s="3">
        <f t="shared" si="1"/>
        <v>0.37514383282921049</v>
      </c>
      <c r="Q20" s="3"/>
      <c r="R20" s="3"/>
      <c r="S20" s="3"/>
      <c r="T20" s="3"/>
      <c r="U20" s="3"/>
      <c r="V20" s="3"/>
      <c r="W20" s="3"/>
      <c r="X20" s="3"/>
      <c r="Y20" s="3"/>
    </row>
    <row r="21" spans="1:25" x14ac:dyDescent="0.25">
      <c r="A21" s="3">
        <v>1000</v>
      </c>
      <c r="B21" s="3">
        <v>1.008E-4</v>
      </c>
      <c r="C21" s="3">
        <v>2.142E-4</v>
      </c>
      <c r="D21" s="3">
        <v>-5.867E-4</v>
      </c>
      <c r="E21" s="3">
        <v>0</v>
      </c>
      <c r="F21" s="3">
        <v>0</v>
      </c>
      <c r="G21" s="3">
        <v>0</v>
      </c>
      <c r="H21" s="3">
        <v>9.4835808000000006E-5</v>
      </c>
      <c r="I21" s="3">
        <v>2.3131613999999999E-5</v>
      </c>
      <c r="J21" s="3">
        <v>-2.5083263999999998E-4</v>
      </c>
      <c r="K21" s="3"/>
      <c r="L21" s="3">
        <f t="shared" si="0"/>
        <v>0.17180841997613772</v>
      </c>
      <c r="M21" s="3"/>
      <c r="N21" s="2">
        <f>IF('Modell einstellen'!$B$1="Voll",H21/0.35,H21/0.35*2)</f>
        <v>2.7095945142857148E-4</v>
      </c>
      <c r="O21" s="2">
        <f>IF('Modell einstellen'!$B$1="Voll",J21/0.35,J21/0.35*2)</f>
        <v>-7.1666468571428569E-4</v>
      </c>
      <c r="P21" s="3">
        <f t="shared" si="1"/>
        <v>0.37808400055112451</v>
      </c>
      <c r="Q21" s="3"/>
      <c r="R21" s="3"/>
      <c r="S21" s="3"/>
      <c r="T21" s="3"/>
      <c r="U21" s="3"/>
      <c r="V21" s="3"/>
      <c r="W21" s="3"/>
      <c r="X21" s="3"/>
      <c r="Y21" s="3"/>
    </row>
    <row r="22" spans="1:25" x14ac:dyDescent="0.25">
      <c r="A22" s="3">
        <v>10000</v>
      </c>
      <c r="B22" s="3">
        <v>1.121E-4</v>
      </c>
      <c r="C22" s="3">
        <v>2.3910000000000001E-4</v>
      </c>
      <c r="D22" s="3">
        <v>-6.2080000000000002E-4</v>
      </c>
      <c r="E22" s="3">
        <v>0</v>
      </c>
      <c r="F22" s="3">
        <v>0</v>
      </c>
      <c r="G22" s="3">
        <v>0</v>
      </c>
      <c r="H22" s="3">
        <v>1.010157E-4</v>
      </c>
      <c r="I22" s="3">
        <v>2.6050137000000001E-5</v>
      </c>
      <c r="J22" s="3">
        <v>-2.6645873999999999E-4</v>
      </c>
      <c r="K22" s="3"/>
      <c r="L22" s="3">
        <f t="shared" si="0"/>
        <v>0.18057345360824742</v>
      </c>
      <c r="M22" s="3"/>
      <c r="N22" s="2">
        <f>IF('Modell einstellen'!$B$1="Voll",H22/0.35,H22/0.35*2)</f>
        <v>2.8861628571428573E-4</v>
      </c>
      <c r="O22" s="2">
        <f>IF('Modell einstellen'!$B$1="Voll",J22/0.35,J22/0.35*2)</f>
        <v>-7.6131068571428577E-4</v>
      </c>
      <c r="P22" s="3">
        <f t="shared" si="1"/>
        <v>0.37910447223461313</v>
      </c>
      <c r="Q22" s="3"/>
      <c r="R22" s="3"/>
      <c r="S22" s="3"/>
      <c r="T22" s="3"/>
      <c r="U22" s="3"/>
      <c r="V22" s="3"/>
      <c r="W22" s="3"/>
      <c r="X22" s="3"/>
      <c r="Y22" s="3"/>
    </row>
    <row r="23" spans="1:25" x14ac:dyDescent="0.25">
      <c r="A23" s="3">
        <v>100000</v>
      </c>
      <c r="B23" s="3">
        <v>1.2540000000000001E-4</v>
      </c>
      <c r="C23" s="3">
        <v>2.6909999999999998E-4</v>
      </c>
      <c r="D23" s="3">
        <v>-6.6220000000000005E-4</v>
      </c>
      <c r="E23" s="3">
        <v>0</v>
      </c>
      <c r="F23" s="3">
        <v>0</v>
      </c>
      <c r="G23" s="3">
        <v>0</v>
      </c>
      <c r="H23" s="3">
        <v>1.0895603999999999E-4</v>
      </c>
      <c r="I23" s="3">
        <v>2.9624218999999999E-5</v>
      </c>
      <c r="J23" s="3">
        <v>-2.861723E-4</v>
      </c>
      <c r="K23" s="3"/>
      <c r="L23" s="3">
        <f t="shared" si="0"/>
        <v>0.18936877076411959</v>
      </c>
      <c r="M23" s="3"/>
      <c r="N23" s="2">
        <f>IF('Modell einstellen'!$B$1="Voll",H23/0.35,H23/0.35*2)</f>
        <v>3.1130297142857144E-4</v>
      </c>
      <c r="O23" s="2">
        <f>IF('Modell einstellen'!$B$1="Voll",J23/0.35,J23/0.35*2)</f>
        <v>-8.1763514285714293E-4</v>
      </c>
      <c r="P23" s="3">
        <f t="shared" si="1"/>
        <v>0.38073580147344799</v>
      </c>
      <c r="Q23" s="3"/>
      <c r="R23" s="3"/>
      <c r="S23" s="3"/>
      <c r="T23" s="3"/>
      <c r="U23" s="3"/>
      <c r="V23" s="3"/>
      <c r="W23" s="3"/>
      <c r="X23" s="3"/>
      <c r="Y23" s="3"/>
    </row>
    <row r="24" spans="1:25" x14ac:dyDescent="0.25">
      <c r="A24" s="3">
        <v>1000000</v>
      </c>
      <c r="B24" s="3">
        <v>1.381E-4</v>
      </c>
      <c r="C24" s="3">
        <v>2.99E-4</v>
      </c>
      <c r="D24" s="3">
        <v>-7.0390000000000003E-4</v>
      </c>
      <c r="E24" s="3">
        <v>0</v>
      </c>
      <c r="F24" s="3">
        <v>0</v>
      </c>
      <c r="G24" s="3">
        <v>0</v>
      </c>
      <c r="H24" s="3">
        <v>1.1802469E-4</v>
      </c>
      <c r="I24" s="3">
        <v>3.3274714E-5</v>
      </c>
      <c r="J24" s="3">
        <v>-3.0758834999999998E-4</v>
      </c>
      <c r="K24" s="3"/>
      <c r="L24" s="3">
        <f t="shared" si="0"/>
        <v>0.19619264100014205</v>
      </c>
      <c r="M24" s="3"/>
      <c r="N24" s="2">
        <f>IF('Modell einstellen'!$B$1="Voll",H24/0.35,H24/0.35*2)</f>
        <v>3.3721340000000003E-4</v>
      </c>
      <c r="O24" s="2">
        <f>IF('Modell einstellen'!$B$1="Voll",J24/0.35,J24/0.35*2)</f>
        <v>-8.7882385714285716E-4</v>
      </c>
      <c r="P24" s="3">
        <f t="shared" si="1"/>
        <v>0.38370988368057507</v>
      </c>
      <c r="Q24" s="3"/>
      <c r="R24" s="3"/>
      <c r="S24" s="3"/>
      <c r="T24" s="3"/>
      <c r="U24" s="3"/>
      <c r="V24" s="3"/>
      <c r="W24" s="3"/>
      <c r="X24" s="3"/>
      <c r="Y24" s="3"/>
    </row>
    <row r="25" spans="1:25" x14ac:dyDescent="0.25">
      <c r="A25" s="3">
        <v>10000000</v>
      </c>
      <c r="B25" s="3">
        <v>1.462E-4</v>
      </c>
      <c r="C25" s="3">
        <v>3.2820000000000001E-4</v>
      </c>
      <c r="D25" s="3">
        <v>-7.4180000000000003E-4</v>
      </c>
      <c r="E25" s="3">
        <v>0</v>
      </c>
      <c r="F25" s="3">
        <v>0</v>
      </c>
      <c r="G25" s="3">
        <v>0</v>
      </c>
      <c r="H25" s="3">
        <v>1.2821594E-4</v>
      </c>
      <c r="I25" s="3">
        <v>3.6958442000000003E-5</v>
      </c>
      <c r="J25" s="3">
        <v>-3.3059263999999999E-4</v>
      </c>
      <c r="K25" s="3"/>
      <c r="L25" s="3">
        <f t="shared" si="0"/>
        <v>0.1970881639255864</v>
      </c>
      <c r="M25" s="3"/>
      <c r="N25" s="2">
        <f>IF('Modell einstellen'!$B$1="Voll",H25/0.35,H25/0.35*2)</f>
        <v>3.6633125714285715E-4</v>
      </c>
      <c r="O25" s="2">
        <f>IF('Modell einstellen'!$B$1="Voll",J25/0.35,J25/0.35*2)</f>
        <v>-9.4455039999999997E-4</v>
      </c>
      <c r="P25" s="3">
        <f t="shared" si="1"/>
        <v>0.38783664391318573</v>
      </c>
      <c r="Q25" s="3"/>
      <c r="R25" s="3"/>
      <c r="S25" s="3"/>
      <c r="T25" s="3"/>
      <c r="U25" s="3"/>
      <c r="V25" s="3"/>
      <c r="W25" s="3"/>
      <c r="X25" s="3"/>
      <c r="Y25" s="3"/>
    </row>
    <row r="26" spans="1:25" x14ac:dyDescent="0.25">
      <c r="A26" s="3">
        <v>100000000</v>
      </c>
      <c r="B26" s="3">
        <v>1.4870000000000001E-4</v>
      </c>
      <c r="C26" s="3">
        <v>3.59E-4</v>
      </c>
      <c r="D26" s="3">
        <v>-7.7700000000000002E-4</v>
      </c>
      <c r="E26" s="3">
        <v>0</v>
      </c>
      <c r="F26" s="3">
        <v>0</v>
      </c>
      <c r="G26" s="3">
        <v>0</v>
      </c>
      <c r="H26" s="3">
        <v>1.4039883000000001E-4</v>
      </c>
      <c r="I26" s="3">
        <v>4.0969612999999997E-5</v>
      </c>
      <c r="J26" s="3">
        <v>-3.5707395999999997E-4</v>
      </c>
      <c r="K26" s="3"/>
      <c r="L26" s="3">
        <f t="shared" si="0"/>
        <v>0.19137709137709139</v>
      </c>
      <c r="M26" s="3"/>
      <c r="N26" s="2">
        <f>IF('Modell einstellen'!$B$1="Voll",H26/0.35,H26/0.35*2)</f>
        <v>4.0113951428571434E-4</v>
      </c>
      <c r="O26" s="2">
        <f>IF('Modell einstellen'!$B$1="Voll",J26/0.35,J26/0.35*2)</f>
        <v>-1.0202113142857142E-3</v>
      </c>
      <c r="P26" s="3">
        <f t="shared" si="1"/>
        <v>0.39319257556613768</v>
      </c>
      <c r="Q26" s="3"/>
      <c r="R26" s="3"/>
      <c r="S26" s="3"/>
      <c r="T26" s="3"/>
      <c r="U26" s="3"/>
      <c r="V26" s="3"/>
      <c r="W26" s="3"/>
      <c r="X26" s="3"/>
      <c r="Y26" s="3"/>
    </row>
    <row r="27" spans="1:25" x14ac:dyDescent="0.25">
      <c r="A27" s="3">
        <v>1000000000</v>
      </c>
      <c r="B27" s="3">
        <v>1.4249999999999999E-4</v>
      </c>
      <c r="C27" s="3">
        <v>3.9599999999999998E-4</v>
      </c>
      <c r="D27" s="3">
        <v>-8.1099999999999998E-4</v>
      </c>
      <c r="E27" s="3">
        <v>0</v>
      </c>
      <c r="F27" s="3">
        <v>0</v>
      </c>
      <c r="G27" s="3">
        <v>0</v>
      </c>
      <c r="H27" s="3">
        <v>1.5646152999999999E-4</v>
      </c>
      <c r="I27" s="3">
        <v>4.5963247000000003E-5</v>
      </c>
      <c r="J27" s="3">
        <v>-3.9122791000000001E-4</v>
      </c>
      <c r="K27" s="3"/>
      <c r="L27" s="3">
        <f t="shared" si="0"/>
        <v>0.17570900123304561</v>
      </c>
      <c r="M27" s="3"/>
      <c r="N27" s="2">
        <f>IF('Modell einstellen'!$B$1="Voll",H27/0.35,H27/0.35*2)</f>
        <v>4.4703294285714288E-4</v>
      </c>
      <c r="O27" s="2">
        <f>IF('Modell einstellen'!$B$1="Voll",J27/0.35,J27/0.35*2)</f>
        <v>-1.1177940285714287E-3</v>
      </c>
      <c r="P27" s="3">
        <f t="shared" si="1"/>
        <v>0.39992425387033348</v>
      </c>
      <c r="Q27" s="3"/>
      <c r="R27" s="3"/>
      <c r="S27" s="3"/>
      <c r="T27" s="3"/>
      <c r="U27" s="3"/>
      <c r="V27" s="3"/>
      <c r="W27" s="3"/>
      <c r="X27" s="3"/>
      <c r="Y27" s="3"/>
    </row>
    <row r="28" spans="1:25" x14ac:dyDescent="0.25">
      <c r="A28" s="3">
        <v>10000000000</v>
      </c>
      <c r="B28" s="3">
        <v>1.1629999999999999E-4</v>
      </c>
      <c r="C28" s="3">
        <v>4.5090000000000001E-4</v>
      </c>
      <c r="D28" s="3">
        <v>-8.4500000000000005E-4</v>
      </c>
      <c r="E28" s="3">
        <v>0</v>
      </c>
      <c r="F28" s="3">
        <v>0</v>
      </c>
      <c r="G28" s="3">
        <v>0</v>
      </c>
      <c r="H28" s="3">
        <v>1.8200816000000001E-4</v>
      </c>
      <c r="I28" s="3">
        <v>5.3666555999999998E-5</v>
      </c>
      <c r="J28" s="3">
        <v>-4.4491387000000001E-4</v>
      </c>
      <c r="K28" s="3"/>
      <c r="L28" s="3">
        <f t="shared" si="0"/>
        <v>0.13763313609467454</v>
      </c>
      <c r="M28" s="3"/>
      <c r="N28" s="2">
        <f>IF('Modell einstellen'!$B$1="Voll",H28/0.35,H28/0.35*2)</f>
        <v>5.2002331428571431E-4</v>
      </c>
      <c r="O28" s="2">
        <f>IF('Modell einstellen'!$B$1="Voll",J28/0.35,J28/0.35*2)</f>
        <v>-1.2711824857142859E-3</v>
      </c>
      <c r="P28" s="3">
        <f t="shared" si="1"/>
        <v>0.4090862800029138</v>
      </c>
      <c r="Q28" s="3"/>
      <c r="R28" s="3"/>
      <c r="S28" s="3"/>
      <c r="T28" s="3"/>
      <c r="U28" s="3"/>
      <c r="V28" s="3"/>
      <c r="W28" s="3"/>
      <c r="X28" s="3"/>
      <c r="Y28" s="3"/>
    </row>
    <row r="29" spans="1:25" x14ac:dyDescent="0.25">
      <c r="A29" s="3">
        <v>100000000000</v>
      </c>
      <c r="B29" s="3">
        <v>4.6600000000000001E-5</v>
      </c>
      <c r="C29" s="3">
        <v>5.3529999999999995E-4</v>
      </c>
      <c r="D29" s="3">
        <v>-8.6720000000000005E-4</v>
      </c>
      <c r="E29" s="3">
        <v>0</v>
      </c>
      <c r="F29" s="3">
        <v>0</v>
      </c>
      <c r="G29" s="3">
        <v>0</v>
      </c>
      <c r="H29" s="3">
        <v>2.2416568000000001E-4</v>
      </c>
      <c r="I29" s="3">
        <v>6.6142421999999999E-5</v>
      </c>
      <c r="J29" s="3">
        <v>-5.3269576000000002E-4</v>
      </c>
      <c r="K29" s="3"/>
      <c r="L29" s="3">
        <f t="shared" si="0"/>
        <v>5.3736162361623617E-2</v>
      </c>
      <c r="M29" s="3"/>
      <c r="N29" s="2">
        <f>IF('Modell einstellen'!$B$1="Voll",H29/0.35,H29/0.35*2)</f>
        <v>6.4047337142857151E-4</v>
      </c>
      <c r="O29" s="2">
        <f>IF('Modell einstellen'!$B$1="Voll",J29/0.35,J29/0.35*2)</f>
        <v>-1.5219878857142858E-3</v>
      </c>
      <c r="P29" s="3">
        <f t="shared" si="1"/>
        <v>0.42081371175171361</v>
      </c>
      <c r="Q29" s="3"/>
      <c r="R29" s="3"/>
      <c r="S29" s="3"/>
      <c r="T29" s="3"/>
      <c r="U29" s="3"/>
      <c r="V29" s="3"/>
      <c r="W29" s="3"/>
      <c r="X29" s="3"/>
      <c r="Y29" s="3"/>
    </row>
    <row r="30" spans="1:25" x14ac:dyDescent="0.25">
      <c r="A30" s="3">
        <v>1000000000000</v>
      </c>
      <c r="B30" s="3">
        <v>-1.3200000000000001E-4</v>
      </c>
      <c r="C30" s="3">
        <v>6.7500000000000004E-4</v>
      </c>
      <c r="D30" s="3">
        <v>-8.386E-4</v>
      </c>
      <c r="E30" s="3">
        <v>0</v>
      </c>
      <c r="F30" s="3">
        <v>0</v>
      </c>
      <c r="G30" s="3">
        <v>0</v>
      </c>
      <c r="H30" s="3">
        <v>3.0204899000000002E-4</v>
      </c>
      <c r="I30" s="3">
        <v>8.8270947000000004E-5</v>
      </c>
      <c r="J30" s="3">
        <v>-6.9146845999999999E-4</v>
      </c>
      <c r="K30" s="3"/>
      <c r="L30" s="3">
        <f t="shared" si="0"/>
        <v>-0.1574051991414262</v>
      </c>
      <c r="M30" s="3"/>
      <c r="N30" s="2">
        <f>IF('Modell einstellen'!$B$1="Voll",H30/0.35,H30/0.35*2)</f>
        <v>8.6299711428571436E-4</v>
      </c>
      <c r="O30" s="2">
        <f>IF('Modell einstellen'!$B$1="Voll",J30/0.35,J30/0.35*2)</f>
        <v>-1.9756241714285715E-3</v>
      </c>
      <c r="P30" s="3">
        <f t="shared" si="1"/>
        <v>0.43682251248307119</v>
      </c>
      <c r="Q30" s="3"/>
      <c r="R30" s="3"/>
      <c r="S30" s="3"/>
      <c r="T30" s="3"/>
      <c r="U30" s="3"/>
      <c r="V30" s="3"/>
      <c r="W30" s="3"/>
      <c r="X30" s="3"/>
      <c r="Y30" s="3"/>
    </row>
    <row r="31" spans="1:25" x14ac:dyDescent="0.25">
      <c r="A31" s="3">
        <v>10000000000000</v>
      </c>
      <c r="B31" s="3">
        <v>-6.311E-4</v>
      </c>
      <c r="C31" s="3">
        <v>9.3769999999999997E-4</v>
      </c>
      <c r="D31" s="3">
        <v>-6.1550000000000005E-4</v>
      </c>
      <c r="E31" s="3">
        <v>0</v>
      </c>
      <c r="F31" s="3">
        <v>0</v>
      </c>
      <c r="G31" s="3">
        <v>0</v>
      </c>
      <c r="H31" s="3">
        <v>4.7349873E-4</v>
      </c>
      <c r="I31" s="3">
        <v>1.3365451E-4</v>
      </c>
      <c r="J31" s="3">
        <v>-1.028532E-3</v>
      </c>
      <c r="K31" s="3"/>
      <c r="L31" s="3">
        <f t="shared" si="0"/>
        <v>-1.0253452477660439</v>
      </c>
      <c r="M31" s="3"/>
      <c r="N31" s="2">
        <f>IF('Modell einstellen'!$B$1="Voll",H31/0.35,H31/0.35*2)</f>
        <v>1.3528535142857143E-3</v>
      </c>
      <c r="O31" s="2">
        <f>IF('Modell einstellen'!$B$1="Voll",J31/0.35,J31/0.35*2)</f>
        <v>-2.9386628571428574E-3</v>
      </c>
      <c r="P31" s="3">
        <f t="shared" si="1"/>
        <v>0.46036363477266623</v>
      </c>
      <c r="Q31" s="3"/>
      <c r="R31" s="3"/>
      <c r="S31" s="3"/>
      <c r="T31" s="3"/>
      <c r="U31" s="3"/>
      <c r="V31" s="3"/>
      <c r="W31" s="3"/>
      <c r="X31" s="3"/>
      <c r="Y31" s="3"/>
    </row>
    <row r="32" spans="1:25" x14ac:dyDescent="0.25">
      <c r="A32" s="3">
        <v>100000000000000</v>
      </c>
      <c r="B32" s="3">
        <v>-1.818E-3</v>
      </c>
      <c r="C32" s="3">
        <v>1.4009999999999999E-3</v>
      </c>
      <c r="D32" s="3">
        <v>9.5730000000000007E-5</v>
      </c>
      <c r="E32" s="3">
        <v>0</v>
      </c>
      <c r="F32" s="3">
        <v>0</v>
      </c>
      <c r="G32" s="3">
        <v>0</v>
      </c>
      <c r="H32" s="3">
        <v>8.2813440000000004E-4</v>
      </c>
      <c r="I32" s="3">
        <v>2.2018955E-4</v>
      </c>
      <c r="J32" s="3">
        <v>-1.6975768E-3</v>
      </c>
      <c r="K32" s="3"/>
      <c r="L32" s="3">
        <f t="shared" si="0"/>
        <v>18.990911939830774</v>
      </c>
      <c r="M32" s="3"/>
      <c r="N32" s="2">
        <f>IF('Modell einstellen'!$B$1="Voll",H32/0.35,H32/0.35*2)</f>
        <v>2.3660982857142861E-3</v>
      </c>
      <c r="O32" s="2">
        <f>IF('Modell einstellen'!$B$1="Voll",J32/0.35,J32/0.35*2)</f>
        <v>-4.8502194285714286E-3</v>
      </c>
      <c r="P32" s="3">
        <f t="shared" si="1"/>
        <v>0.48783324560043478</v>
      </c>
      <c r="Q32" s="3"/>
      <c r="R32" s="3"/>
      <c r="S32" s="3"/>
      <c r="T32" s="3"/>
      <c r="U32" s="3"/>
      <c r="V32" s="3"/>
      <c r="W32" s="3"/>
      <c r="X32" s="3"/>
      <c r="Y32" s="3"/>
    </row>
    <row r="33" spans="1:25" x14ac:dyDescent="0.25">
      <c r="A33" s="2">
        <v>1000000000000000</v>
      </c>
      <c r="B33" s="3">
        <v>-4.2180000000000004E-3</v>
      </c>
      <c r="C33" s="3">
        <v>2.2000000000000001E-3</v>
      </c>
      <c r="D33" s="3">
        <v>1.689E-3</v>
      </c>
      <c r="E33" s="3">
        <v>0</v>
      </c>
      <c r="F33" s="3">
        <v>0</v>
      </c>
      <c r="G33" s="3">
        <v>0</v>
      </c>
      <c r="H33" s="3">
        <v>1.5062456E-3</v>
      </c>
      <c r="I33" s="3">
        <v>3.7595868999999997E-4</v>
      </c>
      <c r="J33" s="3">
        <v>-2.9366087000000001E-3</v>
      </c>
      <c r="K33" s="3"/>
      <c r="L33" s="3">
        <f t="shared" si="0"/>
        <v>2.4973357015985793</v>
      </c>
      <c r="M33" s="3"/>
      <c r="N33" s="2">
        <f>IF('Modell einstellen'!$B$1="Voll",H33/0.35,H33/0.35*2)</f>
        <v>4.3035588571428574E-3</v>
      </c>
      <c r="O33" s="2">
        <f>IF('Modell einstellen'!$B$1="Voll",J33/0.35,J33/0.35*2)</f>
        <v>-8.3903105714285726E-3</v>
      </c>
      <c r="P33" s="3">
        <f t="shared" si="1"/>
        <v>0.51292009044310194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9.6539999999999994E-5</v>
      </c>
      <c r="C3" s="3">
        <v>1.786E-4</v>
      </c>
      <c r="D3" s="3">
        <v>-5.4040000000000002E-4</v>
      </c>
      <c r="E3" s="3">
        <v>0</v>
      </c>
      <c r="F3" s="3">
        <v>0</v>
      </c>
      <c r="G3" s="3">
        <v>0</v>
      </c>
      <c r="H3" s="3">
        <v>7.7631371999999993E-5</v>
      </c>
      <c r="I3" s="3">
        <v>1.8931443000000001E-5</v>
      </c>
      <c r="J3" s="3">
        <v>-2.1776280000000001E-4</v>
      </c>
      <c r="K3" s="3"/>
      <c r="L3" s="3">
        <f>-B3/D3</f>
        <v>0.17864544781643227</v>
      </c>
      <c r="M3" s="3"/>
      <c r="N3" s="2">
        <f>IF('Modell einstellen'!$B$1="Voll",H3/0.35,H3/0.35*2)</f>
        <v>2.2180392E-4</v>
      </c>
      <c r="O3" s="2">
        <f>IF('Modell einstellen'!$B$1="Voll",J3/0.35,J3/0.35*2)</f>
        <v>-6.2217942857142861E-4</v>
      </c>
      <c r="P3" s="3">
        <f>-N3/O3</f>
        <v>0.356495103846938</v>
      </c>
      <c r="Q3" s="3"/>
      <c r="R3" s="3"/>
      <c r="S3" s="3"/>
      <c r="T3" s="3"/>
      <c r="U3" s="3"/>
    </row>
    <row r="4" spans="1:21" x14ac:dyDescent="0.25">
      <c r="A4" s="3">
        <v>1E-14</v>
      </c>
      <c r="B4" s="3">
        <v>9.6539999999999994E-5</v>
      </c>
      <c r="C4" s="3">
        <v>1.786E-4</v>
      </c>
      <c r="D4" s="3">
        <v>-5.4040000000000002E-4</v>
      </c>
      <c r="E4" s="3">
        <v>0</v>
      </c>
      <c r="F4" s="3">
        <v>0</v>
      </c>
      <c r="G4" s="3">
        <v>0</v>
      </c>
      <c r="H4" s="3">
        <v>7.7633672000000005E-5</v>
      </c>
      <c r="I4" s="3">
        <v>1.8931980999999999E-5</v>
      </c>
      <c r="J4" s="3">
        <v>-2.1775867E-4</v>
      </c>
      <c r="K4" s="3"/>
      <c r="L4" s="3">
        <f t="shared" ref="L4:L33" si="0">-B4/D4</f>
        <v>0.17864544781643227</v>
      </c>
      <c r="M4" s="3"/>
      <c r="N4" s="2">
        <f>IF('Modell einstellen'!$B$1="Voll",H4/0.35,H4/0.35*2)</f>
        <v>2.2181049142857147E-4</v>
      </c>
      <c r="O4" s="2">
        <f>IF('Modell einstellen'!$B$1="Voll",J4/0.35,J4/0.35*2)</f>
        <v>-6.221676285714286E-4</v>
      </c>
      <c r="P4" s="3">
        <f t="shared" ref="P4:P33" si="1">-N4/O4</f>
        <v>0.35651242726638627</v>
      </c>
      <c r="Q4" s="3"/>
      <c r="R4" s="3"/>
      <c r="S4" s="3"/>
      <c r="T4" s="3"/>
      <c r="U4" s="3"/>
    </row>
    <row r="5" spans="1:21" x14ac:dyDescent="0.25">
      <c r="A5" s="3">
        <v>1E-13</v>
      </c>
      <c r="B5" s="3">
        <v>9.6539999999999994E-5</v>
      </c>
      <c r="C5" s="3">
        <v>1.786E-4</v>
      </c>
      <c r="D5" s="3">
        <v>-5.4040000000000002E-4</v>
      </c>
      <c r="E5" s="3">
        <v>0</v>
      </c>
      <c r="F5" s="3">
        <v>0</v>
      </c>
      <c r="G5" s="3">
        <v>0</v>
      </c>
      <c r="H5" s="3">
        <v>7.7633979999999994E-5</v>
      </c>
      <c r="I5" s="3">
        <v>1.8932109999999999E-5</v>
      </c>
      <c r="J5" s="3">
        <v>-2.1775947999999999E-4</v>
      </c>
      <c r="K5" s="3"/>
      <c r="L5" s="3">
        <f t="shared" si="0"/>
        <v>0.17864544781643227</v>
      </c>
      <c r="M5" s="3"/>
      <c r="N5" s="2">
        <f>IF('Modell einstellen'!$B$1="Voll",H5/0.35,H5/0.35*2)</f>
        <v>2.2181137142857142E-4</v>
      </c>
      <c r="O5" s="2">
        <f>IF('Modell einstellen'!$B$1="Voll",J5/0.35,J5/0.35*2)</f>
        <v>-6.2216994285714284E-4</v>
      </c>
      <c r="P5" s="3">
        <f t="shared" si="1"/>
        <v>0.35651251555156177</v>
      </c>
      <c r="Q5" s="3"/>
      <c r="R5" s="3"/>
      <c r="S5" s="3"/>
      <c r="T5" s="3"/>
      <c r="U5" s="3"/>
    </row>
    <row r="6" spans="1:21" x14ac:dyDescent="0.25">
      <c r="A6" s="3">
        <v>9.9999999999999998E-13</v>
      </c>
      <c r="B6" s="3">
        <v>9.6539999999999994E-5</v>
      </c>
      <c r="C6" s="3">
        <v>1.786E-4</v>
      </c>
      <c r="D6" s="3">
        <v>-5.4040000000000002E-4</v>
      </c>
      <c r="E6" s="3">
        <v>0</v>
      </c>
      <c r="F6" s="3">
        <v>0</v>
      </c>
      <c r="G6" s="3">
        <v>0</v>
      </c>
      <c r="H6" s="3">
        <v>7.7634077999999996E-5</v>
      </c>
      <c r="I6" s="3">
        <v>1.8932144000000002E-5</v>
      </c>
      <c r="J6" s="3">
        <v>-2.1775972000000001E-4</v>
      </c>
      <c r="K6" s="3"/>
      <c r="L6" s="3">
        <f t="shared" si="0"/>
        <v>0.17864544781643227</v>
      </c>
      <c r="M6" s="3"/>
      <c r="N6" s="2">
        <f>IF('Modell einstellen'!$B$1="Voll",H6/0.35,H6/0.35*2)</f>
        <v>2.2181165142857144E-4</v>
      </c>
      <c r="O6" s="2">
        <f>IF('Modell einstellen'!$B$1="Voll",J6/0.35,J6/0.35*2)</f>
        <v>-6.2217062857142865E-4</v>
      </c>
      <c r="P6" s="3">
        <f t="shared" si="1"/>
        <v>0.35651257266495379</v>
      </c>
      <c r="Q6" s="3"/>
      <c r="R6" s="3"/>
      <c r="S6" s="3"/>
      <c r="T6" s="3"/>
      <c r="U6" s="3"/>
    </row>
    <row r="7" spans="1:21" x14ac:dyDescent="0.25">
      <c r="A7" s="3">
        <v>9.9999999999999994E-12</v>
      </c>
      <c r="B7" s="3">
        <v>9.6539999999999994E-5</v>
      </c>
      <c r="C7" s="3">
        <v>1.786E-4</v>
      </c>
      <c r="D7" s="3">
        <v>-5.4040000000000002E-4</v>
      </c>
      <c r="E7" s="3">
        <v>0</v>
      </c>
      <c r="F7" s="3">
        <v>0</v>
      </c>
      <c r="G7" s="3">
        <v>0</v>
      </c>
      <c r="H7" s="3">
        <v>7.7634110999999999E-5</v>
      </c>
      <c r="I7" s="3">
        <v>1.8932153999999999E-5</v>
      </c>
      <c r="J7" s="3">
        <v>-2.1775979E-4</v>
      </c>
      <c r="K7" s="3"/>
      <c r="L7" s="3">
        <f t="shared" si="0"/>
        <v>0.17864544781643227</v>
      </c>
      <c r="M7" s="3"/>
      <c r="N7" s="2">
        <f>IF('Modell einstellen'!$B$1="Voll",H7/0.35,H7/0.35*2)</f>
        <v>2.2181174571428574E-4</v>
      </c>
      <c r="O7" s="2">
        <f>IF('Modell einstellen'!$B$1="Voll",J7/0.35,J7/0.35*2)</f>
        <v>-6.2217082857142861E-4</v>
      </c>
      <c r="P7" s="3">
        <f t="shared" si="1"/>
        <v>0.35651260960529035</v>
      </c>
      <c r="Q7" s="3"/>
      <c r="R7" s="3"/>
      <c r="S7" s="3"/>
      <c r="T7" s="3"/>
      <c r="U7" s="3"/>
    </row>
    <row r="8" spans="1:21" x14ac:dyDescent="0.25">
      <c r="A8" s="3">
        <v>1E-10</v>
      </c>
      <c r="B8" s="3">
        <v>9.6539999999999994E-5</v>
      </c>
      <c r="C8" s="3">
        <v>1.786E-4</v>
      </c>
      <c r="D8" s="3">
        <v>-5.4040000000000002E-4</v>
      </c>
      <c r="E8" s="3">
        <v>0</v>
      </c>
      <c r="F8" s="3">
        <v>0</v>
      </c>
      <c r="G8" s="3">
        <v>0</v>
      </c>
      <c r="H8" s="3">
        <v>7.7634124999999998E-5</v>
      </c>
      <c r="I8" s="3">
        <v>1.8932158E-5</v>
      </c>
      <c r="J8" s="3">
        <v>-2.1775981999999999E-4</v>
      </c>
      <c r="K8" s="3"/>
      <c r="L8" s="3">
        <f t="shared" si="0"/>
        <v>0.17864544781643227</v>
      </c>
      <c r="M8" s="3"/>
      <c r="N8" s="2">
        <f>IF('Modell einstellen'!$B$1="Voll",H8/0.35,H8/0.35*2)</f>
        <v>2.2181178571428572E-4</v>
      </c>
      <c r="O8" s="2">
        <f>IF('Modell einstellen'!$B$1="Voll",J8/0.35,J8/0.35*2)</f>
        <v>-6.2217091428571432E-4</v>
      </c>
      <c r="P8" s="3">
        <f t="shared" si="1"/>
        <v>0.35651262478082502</v>
      </c>
      <c r="Q8" s="3"/>
      <c r="R8" s="3"/>
      <c r="S8" s="3"/>
      <c r="T8" s="3"/>
      <c r="U8" s="3"/>
    </row>
    <row r="9" spans="1:21" x14ac:dyDescent="0.25">
      <c r="A9" s="3">
        <v>1.0000000000000001E-9</v>
      </c>
      <c r="B9" s="3">
        <v>9.6539999999999994E-5</v>
      </c>
      <c r="C9" s="3">
        <v>1.786E-4</v>
      </c>
      <c r="D9" s="3">
        <v>-5.4040000000000002E-4</v>
      </c>
      <c r="E9" s="3">
        <v>0</v>
      </c>
      <c r="F9" s="3">
        <v>0</v>
      </c>
      <c r="G9" s="3">
        <v>0</v>
      </c>
      <c r="H9" s="3">
        <v>7.7634165999999996E-5</v>
      </c>
      <c r="I9" s="3">
        <v>1.8932165999999998E-5</v>
      </c>
      <c r="J9" s="3">
        <v>-2.177599E-4</v>
      </c>
      <c r="K9" s="3"/>
      <c r="L9" s="3">
        <f t="shared" si="0"/>
        <v>0.17864544781643227</v>
      </c>
      <c r="M9" s="3"/>
      <c r="N9" s="2">
        <f>IF('Modell einstellen'!$B$1="Voll",H9/0.35,H9/0.35*2)</f>
        <v>2.2181190285714287E-4</v>
      </c>
      <c r="O9" s="2">
        <f>IF('Modell einstellen'!$B$1="Voll",J9/0.35,J9/0.35*2)</f>
        <v>-6.2217114285714292E-4</v>
      </c>
      <c r="P9" s="3">
        <f t="shared" si="1"/>
        <v>0.35651268208701414</v>
      </c>
      <c r="Q9" s="3"/>
      <c r="R9" s="3"/>
      <c r="S9" s="3"/>
      <c r="T9" s="3"/>
      <c r="U9" s="3"/>
    </row>
    <row r="10" spans="1:21" x14ac:dyDescent="0.25">
      <c r="A10" s="3">
        <v>1E-8</v>
      </c>
      <c r="B10" s="3">
        <v>9.6539999999999994E-5</v>
      </c>
      <c r="C10" s="3">
        <v>1.786E-4</v>
      </c>
      <c r="D10" s="3">
        <v>-5.4040000000000002E-4</v>
      </c>
      <c r="E10" s="3">
        <v>0</v>
      </c>
      <c r="F10" s="3">
        <v>0</v>
      </c>
      <c r="G10" s="3">
        <v>0</v>
      </c>
      <c r="H10" s="3">
        <v>7.7634541999999998E-5</v>
      </c>
      <c r="I10" s="3">
        <v>1.8932237999999999E-5</v>
      </c>
      <c r="J10" s="3">
        <v>-2.1776057E-4</v>
      </c>
      <c r="K10" s="3"/>
      <c r="L10" s="3">
        <f t="shared" si="0"/>
        <v>0.17864544781643227</v>
      </c>
      <c r="M10" s="3"/>
      <c r="N10" s="2">
        <f>IF('Modell einstellen'!$B$1="Voll",H10/0.35,H10/0.35*2)</f>
        <v>2.2181297714285716E-4</v>
      </c>
      <c r="O10" s="2">
        <f>IF('Modell einstellen'!$B$1="Voll",J10/0.35,J10/0.35*2)</f>
        <v>-6.2217305714285724E-4</v>
      </c>
      <c r="P10" s="3">
        <f t="shared" si="1"/>
        <v>0.35651331184520685</v>
      </c>
      <c r="Q10" s="3"/>
      <c r="R10" s="3"/>
      <c r="S10" s="3"/>
      <c r="T10" s="3"/>
      <c r="U10" s="3"/>
    </row>
    <row r="11" spans="1:21" x14ac:dyDescent="0.25">
      <c r="A11" s="3">
        <v>9.9999999999999995E-8</v>
      </c>
      <c r="B11" s="3">
        <v>9.6539999999999994E-5</v>
      </c>
      <c r="C11" s="3">
        <v>1.786E-4</v>
      </c>
      <c r="D11" s="3">
        <v>-5.4040000000000002E-4</v>
      </c>
      <c r="E11" s="3">
        <v>0</v>
      </c>
      <c r="F11" s="3">
        <v>0</v>
      </c>
      <c r="G11" s="3">
        <v>0</v>
      </c>
      <c r="H11" s="3">
        <v>7.7638286E-5</v>
      </c>
      <c r="I11" s="3">
        <v>1.8932953000000001E-5</v>
      </c>
      <c r="J11" s="3">
        <v>-2.1776728E-4</v>
      </c>
      <c r="K11" s="3"/>
      <c r="L11" s="3">
        <f t="shared" si="0"/>
        <v>0.17864544781643227</v>
      </c>
      <c r="M11" s="3"/>
      <c r="N11" s="2">
        <f>IF('Modell einstellen'!$B$1="Voll",H11/0.35,H11/0.35*2)</f>
        <v>2.2182367428571429E-4</v>
      </c>
      <c r="O11" s="2">
        <f>IF('Modell einstellen'!$B$1="Voll",J11/0.35,J11/0.35*2)</f>
        <v>-6.2219222857142864E-4</v>
      </c>
      <c r="P11" s="3">
        <f t="shared" si="1"/>
        <v>0.35651951936948467</v>
      </c>
      <c r="Q11" s="3"/>
      <c r="R11" s="3"/>
      <c r="S11" s="3"/>
      <c r="T11" s="3"/>
      <c r="U11" s="3"/>
    </row>
    <row r="12" spans="1:21" x14ac:dyDescent="0.25">
      <c r="A12" s="3">
        <v>9.9999999999999995E-7</v>
      </c>
      <c r="B12" s="3">
        <v>9.6529999999999999E-5</v>
      </c>
      <c r="C12" s="3">
        <v>1.7870000000000001E-4</v>
      </c>
      <c r="D12" s="3">
        <v>-5.4040000000000002E-4</v>
      </c>
      <c r="E12" s="3">
        <v>0</v>
      </c>
      <c r="F12" s="3">
        <v>0</v>
      </c>
      <c r="G12" s="3">
        <v>0</v>
      </c>
      <c r="H12" s="3">
        <v>7.7675479999999997E-5</v>
      </c>
      <c r="I12" s="3">
        <v>1.8940048999999999E-5</v>
      </c>
      <c r="J12" s="3">
        <v>-2.1783397000000001E-4</v>
      </c>
      <c r="K12" s="3"/>
      <c r="L12" s="3">
        <f t="shared" si="0"/>
        <v>0.17862694300518134</v>
      </c>
      <c r="M12" s="3"/>
      <c r="N12" s="2">
        <f>IF('Modell einstellen'!$B$1="Voll",H12/0.35,H12/0.35*2)</f>
        <v>2.2192994285714286E-4</v>
      </c>
      <c r="O12" s="2">
        <f>IF('Modell einstellen'!$B$1="Voll",J12/0.35,J12/0.35*2)</f>
        <v>-6.2238277142857151E-4</v>
      </c>
      <c r="P12" s="3">
        <f t="shared" si="1"/>
        <v>0.35658111542474297</v>
      </c>
      <c r="Q12" s="3"/>
      <c r="R12" s="3"/>
      <c r="S12" s="3"/>
      <c r="T12" s="3"/>
      <c r="U12" s="3"/>
    </row>
    <row r="13" spans="1:21" x14ac:dyDescent="0.25">
      <c r="A13" s="3">
        <v>1.0000000000000001E-5</v>
      </c>
      <c r="B13" s="3">
        <v>9.645E-5</v>
      </c>
      <c r="C13" s="3">
        <v>1.7919999999999999E-4</v>
      </c>
      <c r="D13" s="3">
        <v>-5.4109999999999998E-4</v>
      </c>
      <c r="E13" s="3">
        <v>0</v>
      </c>
      <c r="F13" s="3">
        <v>0</v>
      </c>
      <c r="G13" s="3">
        <v>0</v>
      </c>
      <c r="H13" s="3">
        <v>7.8023918999999995E-5</v>
      </c>
      <c r="I13" s="3">
        <v>1.9006492999999999E-5</v>
      </c>
      <c r="J13" s="3">
        <v>-2.1845855000000001E-4</v>
      </c>
      <c r="K13" s="3"/>
      <c r="L13" s="3">
        <f t="shared" si="0"/>
        <v>0.17824801330622805</v>
      </c>
      <c r="M13" s="3"/>
      <c r="N13" s="2">
        <f>IF('Modell einstellen'!$B$1="Voll",H13/0.35,H13/0.35*2)</f>
        <v>2.2292548285714287E-4</v>
      </c>
      <c r="O13" s="2">
        <f>IF('Modell einstellen'!$B$1="Voll",J13/0.35,J13/0.35*2)</f>
        <v>-6.241672857142858E-4</v>
      </c>
      <c r="P13" s="3">
        <f t="shared" si="1"/>
        <v>0.35715662765316347</v>
      </c>
      <c r="Q13" s="3"/>
      <c r="R13" s="3"/>
      <c r="S13" s="3"/>
      <c r="T13" s="3"/>
      <c r="U13" s="3"/>
    </row>
    <row r="14" spans="1:21" x14ac:dyDescent="0.25">
      <c r="A14" s="3">
        <v>1E-4</v>
      </c>
      <c r="B14" s="3">
        <v>9.6650000000000005E-5</v>
      </c>
      <c r="C14" s="3">
        <v>1.827E-4</v>
      </c>
      <c r="D14" s="3">
        <v>-5.4600000000000004E-4</v>
      </c>
      <c r="E14" s="3">
        <v>0</v>
      </c>
      <c r="F14" s="3">
        <v>0</v>
      </c>
      <c r="G14" s="3">
        <v>0</v>
      </c>
      <c r="H14" s="3">
        <v>8.0095437999999996E-5</v>
      </c>
      <c r="I14" s="3">
        <v>1.9414576E-5</v>
      </c>
      <c r="J14" s="3">
        <v>-2.2221407999999999E-4</v>
      </c>
      <c r="K14" s="3"/>
      <c r="L14" s="3">
        <f t="shared" si="0"/>
        <v>0.177014652014652</v>
      </c>
      <c r="M14" s="3"/>
      <c r="N14" s="2">
        <f>IF('Modell einstellen'!$B$1="Voll",H14/0.35,H14/0.35*2)</f>
        <v>2.2884410857142859E-4</v>
      </c>
      <c r="O14" s="2">
        <f>IF('Modell einstellen'!$B$1="Voll",J14/0.35,J14/0.35*2)</f>
        <v>-6.3489737142857143E-4</v>
      </c>
      <c r="P14" s="3">
        <f t="shared" si="1"/>
        <v>0.360442677619708</v>
      </c>
      <c r="Q14" s="3"/>
      <c r="R14" s="3"/>
      <c r="S14" s="3"/>
      <c r="T14" s="3"/>
      <c r="U14" s="3"/>
    </row>
    <row r="15" spans="1:21" x14ac:dyDescent="0.25">
      <c r="A15" s="3">
        <v>1E-3</v>
      </c>
      <c r="B15" s="3">
        <v>9.658E-5</v>
      </c>
      <c r="C15" s="3">
        <v>1.8709999999999999E-4</v>
      </c>
      <c r="D15" s="3">
        <v>-5.5190000000000003E-4</v>
      </c>
      <c r="E15" s="3">
        <v>0</v>
      </c>
      <c r="F15" s="3">
        <v>0</v>
      </c>
      <c r="G15" s="3">
        <v>0</v>
      </c>
      <c r="H15" s="3">
        <v>8.2796534000000006E-5</v>
      </c>
      <c r="I15" s="3">
        <v>1.9935585000000002E-5</v>
      </c>
      <c r="J15" s="3">
        <v>-2.2706144999999999E-4</v>
      </c>
      <c r="K15" s="3"/>
      <c r="L15" s="3">
        <f t="shared" si="0"/>
        <v>0.17499547019387571</v>
      </c>
      <c r="M15" s="3"/>
      <c r="N15" s="2">
        <f>IF('Modell einstellen'!$B$1="Voll",H15/0.35,H15/0.35*2)</f>
        <v>2.3656152571428576E-4</v>
      </c>
      <c r="O15" s="2">
        <f>IF('Modell einstellen'!$B$1="Voll",J15/0.35,J15/0.35*2)</f>
        <v>-6.4874699999999997E-4</v>
      </c>
      <c r="P15" s="3">
        <f t="shared" si="1"/>
        <v>0.36464372970400755</v>
      </c>
      <c r="Q15" s="3"/>
      <c r="R15" s="3"/>
      <c r="S15" s="3"/>
      <c r="T15" s="3"/>
      <c r="U15" s="3"/>
    </row>
    <row r="16" spans="1:21" x14ac:dyDescent="0.25">
      <c r="A16" s="3">
        <v>0.01</v>
      </c>
      <c r="B16" s="3">
        <v>9.6269999999999998E-5</v>
      </c>
      <c r="C16" s="3">
        <v>1.9210000000000001E-4</v>
      </c>
      <c r="D16" s="3">
        <v>-5.5829999999999996E-4</v>
      </c>
      <c r="E16" s="3">
        <v>0</v>
      </c>
      <c r="F16" s="3">
        <v>0</v>
      </c>
      <c r="G16" s="3">
        <v>0</v>
      </c>
      <c r="H16" s="3">
        <v>8.5936029000000005E-5</v>
      </c>
      <c r="I16" s="3">
        <v>2.0530447000000001E-5</v>
      </c>
      <c r="J16" s="3">
        <v>-2.3264657999999999E-4</v>
      </c>
      <c r="K16" s="3"/>
      <c r="L16" s="3">
        <f t="shared" si="0"/>
        <v>0.1724341751746373</v>
      </c>
      <c r="M16" s="3"/>
      <c r="N16" s="2">
        <f>IF('Modell einstellen'!$B$1="Voll",H16/0.35,H16/0.35*2)</f>
        <v>2.4553151142857148E-4</v>
      </c>
      <c r="O16" s="2">
        <f>IF('Modell einstellen'!$B$1="Voll",J16/0.35,J16/0.35*2)</f>
        <v>-6.6470451428571429E-4</v>
      </c>
      <c r="P16" s="3">
        <f t="shared" si="1"/>
        <v>0.369384450009968</v>
      </c>
      <c r="Q16" s="3"/>
      <c r="R16" s="3"/>
      <c r="S16" s="3"/>
      <c r="T16" s="3"/>
      <c r="U16" s="3"/>
    </row>
    <row r="17" spans="1:21" x14ac:dyDescent="0.25">
      <c r="A17" s="3">
        <v>0.1</v>
      </c>
      <c r="B17" s="3">
        <v>9.5550000000000005E-5</v>
      </c>
      <c r="C17" s="3">
        <v>1.9819999999999999E-4</v>
      </c>
      <c r="D17" s="3">
        <v>-5.6579999999999998E-4</v>
      </c>
      <c r="E17" s="3">
        <v>0</v>
      </c>
      <c r="F17" s="3">
        <v>0</v>
      </c>
      <c r="G17" s="3">
        <v>0</v>
      </c>
      <c r="H17" s="3">
        <v>8.9909781000000006E-5</v>
      </c>
      <c r="I17" s="3">
        <v>2.1268023E-5</v>
      </c>
      <c r="J17" s="3">
        <v>-2.3964637E-4</v>
      </c>
      <c r="K17" s="3"/>
      <c r="L17" s="3">
        <f t="shared" si="0"/>
        <v>0.1688759278897137</v>
      </c>
      <c r="M17" s="3"/>
      <c r="N17" s="2">
        <f>IF('Modell einstellen'!$B$1="Voll",H17/0.35,H17/0.35*2)</f>
        <v>2.5688508857142861E-4</v>
      </c>
      <c r="O17" s="2">
        <f>IF('Modell einstellen'!$B$1="Voll",J17/0.35,J17/0.35*2)</f>
        <v>-6.8470391428571435E-4</v>
      </c>
      <c r="P17" s="3">
        <f t="shared" si="1"/>
        <v>0.37517689502244495</v>
      </c>
      <c r="Q17" s="3"/>
      <c r="R17" s="3"/>
      <c r="S17" s="3"/>
      <c r="T17" s="3"/>
      <c r="U17" s="3"/>
    </row>
    <row r="18" spans="1:21" x14ac:dyDescent="0.25">
      <c r="A18" s="3">
        <v>1</v>
      </c>
      <c r="B18" s="3">
        <v>9.4339999999999995E-5</v>
      </c>
      <c r="C18" s="3">
        <v>2.05E-4</v>
      </c>
      <c r="D18" s="3">
        <v>-5.7359999999999996E-4</v>
      </c>
      <c r="E18" s="3">
        <v>0</v>
      </c>
      <c r="F18" s="3">
        <v>0</v>
      </c>
      <c r="G18" s="3">
        <v>0</v>
      </c>
      <c r="H18" s="3">
        <v>9.4442092E-5</v>
      </c>
      <c r="I18" s="3">
        <v>2.2097461E-5</v>
      </c>
      <c r="J18" s="3">
        <v>-2.4756063E-4</v>
      </c>
      <c r="K18" s="3"/>
      <c r="L18" s="3">
        <f t="shared" si="0"/>
        <v>0.16447001394700139</v>
      </c>
      <c r="M18" s="3"/>
      <c r="N18" s="2">
        <f>IF('Modell einstellen'!$B$1="Voll",H18/0.35,H18/0.35*2)</f>
        <v>2.6983454857142856E-4</v>
      </c>
      <c r="O18" s="2">
        <f>IF('Modell einstellen'!$B$1="Voll",J18/0.35,J18/0.35*2)</f>
        <v>-7.0731608571428576E-4</v>
      </c>
      <c r="P18" s="3">
        <f t="shared" si="1"/>
        <v>0.38149075642601166</v>
      </c>
      <c r="Q18" s="3"/>
      <c r="R18" s="3"/>
      <c r="S18" s="3"/>
      <c r="T18" s="3"/>
      <c r="U18" s="3"/>
    </row>
    <row r="19" spans="1:21" x14ac:dyDescent="0.25">
      <c r="A19" s="3">
        <v>10</v>
      </c>
      <c r="B19" s="3">
        <v>9.2919999999999998E-5</v>
      </c>
      <c r="C19" s="3">
        <v>2.143E-4</v>
      </c>
      <c r="D19" s="3">
        <v>-5.8399999999999999E-4</v>
      </c>
      <c r="E19" s="3">
        <v>0</v>
      </c>
      <c r="F19" s="3">
        <v>0</v>
      </c>
      <c r="G19" s="3">
        <v>0</v>
      </c>
      <c r="H19" s="3">
        <v>1.0017242E-4</v>
      </c>
      <c r="I19" s="3">
        <v>2.3237120999999999E-5</v>
      </c>
      <c r="J19" s="3">
        <v>-2.5777345999999999E-4</v>
      </c>
      <c r="K19" s="3"/>
      <c r="L19" s="3">
        <f t="shared" si="0"/>
        <v>0.1591095890410959</v>
      </c>
      <c r="M19" s="3"/>
      <c r="N19" s="2">
        <f>IF('Modell einstellen'!$B$1="Voll",H19/0.35,H19/0.35*2)</f>
        <v>2.8620691428571431E-4</v>
      </c>
      <c r="O19" s="2">
        <f>IF('Modell einstellen'!$B$1="Voll",J19/0.35,J19/0.35*2)</f>
        <v>-7.3649559999999998E-4</v>
      </c>
      <c r="P19" s="3">
        <f t="shared" si="1"/>
        <v>0.38860641432985388</v>
      </c>
      <c r="Q19" s="3"/>
      <c r="R19" s="3"/>
      <c r="S19" s="3"/>
      <c r="T19" s="3"/>
      <c r="U19" s="3"/>
    </row>
    <row r="20" spans="1:21" x14ac:dyDescent="0.25">
      <c r="A20" s="3">
        <v>100</v>
      </c>
      <c r="B20" s="3">
        <v>9.4019999999999998E-5</v>
      </c>
      <c r="C20" s="3">
        <v>2.321E-4</v>
      </c>
      <c r="D20" s="3">
        <v>-6.0409999999999999E-4</v>
      </c>
      <c r="E20" s="3">
        <v>0</v>
      </c>
      <c r="F20" s="3">
        <v>0</v>
      </c>
      <c r="G20" s="3">
        <v>0</v>
      </c>
      <c r="H20" s="3">
        <v>1.0762859999999999E-4</v>
      </c>
      <c r="I20" s="3">
        <v>2.5386235E-5</v>
      </c>
      <c r="J20" s="3">
        <v>-2.7287724E-4</v>
      </c>
      <c r="K20" s="3"/>
      <c r="L20" s="3">
        <f t="shared" si="0"/>
        <v>0.15563648402582353</v>
      </c>
      <c r="M20" s="3"/>
      <c r="N20" s="2">
        <f>IF('Modell einstellen'!$B$1="Voll",H20/0.35,H20/0.35*2)</f>
        <v>3.0751028571428571E-4</v>
      </c>
      <c r="O20" s="2">
        <f>IF('Modell einstellen'!$B$1="Voll",J20/0.35,J20/0.35*2)</f>
        <v>-7.7964925714285723E-4</v>
      </c>
      <c r="P20" s="3">
        <f t="shared" si="1"/>
        <v>0.39442131560697397</v>
      </c>
      <c r="Q20" s="3"/>
      <c r="R20" s="3"/>
      <c r="S20" s="3"/>
      <c r="T20" s="3"/>
      <c r="U20" s="3"/>
    </row>
    <row r="21" spans="1:21" x14ac:dyDescent="0.25">
      <c r="A21" s="3">
        <v>1000</v>
      </c>
      <c r="B21" s="3">
        <v>1.0119999999999999E-4</v>
      </c>
      <c r="C21" s="3">
        <v>2.6209999999999997E-4</v>
      </c>
      <c r="D21" s="3">
        <v>-6.399E-4</v>
      </c>
      <c r="E21" s="3">
        <v>0</v>
      </c>
      <c r="F21" s="3">
        <v>0</v>
      </c>
      <c r="G21" s="3">
        <v>0</v>
      </c>
      <c r="H21" s="3">
        <v>1.1615105E-4</v>
      </c>
      <c r="I21" s="3">
        <v>2.9004699000000001E-5</v>
      </c>
      <c r="J21" s="3">
        <v>-2.9345549999999998E-4</v>
      </c>
      <c r="K21" s="3"/>
      <c r="L21" s="3">
        <f t="shared" si="0"/>
        <v>0.15814971089232691</v>
      </c>
      <c r="M21" s="3"/>
      <c r="N21" s="2">
        <f>IF('Modell einstellen'!$B$1="Voll",H21/0.35,H21/0.35*2)</f>
        <v>3.3186014285714285E-4</v>
      </c>
      <c r="O21" s="2">
        <f>IF('Modell einstellen'!$B$1="Voll",J21/0.35,J21/0.35*2)</f>
        <v>-8.3844428571428571E-4</v>
      </c>
      <c r="P21" s="3">
        <f t="shared" si="1"/>
        <v>0.39580464499728235</v>
      </c>
      <c r="Q21" s="3"/>
      <c r="R21" s="3"/>
      <c r="S21" s="3"/>
      <c r="T21" s="3"/>
      <c r="U21" s="3"/>
    </row>
    <row r="22" spans="1:21" x14ac:dyDescent="0.25">
      <c r="A22" s="3">
        <v>10000</v>
      </c>
      <c r="B22" s="3">
        <v>1.1069999999999999E-4</v>
      </c>
      <c r="C22" s="3">
        <v>2.9849999999999999E-4</v>
      </c>
      <c r="D22" s="3">
        <v>-6.8400000000000004E-4</v>
      </c>
      <c r="E22" s="3">
        <v>0</v>
      </c>
      <c r="F22" s="3">
        <v>0</v>
      </c>
      <c r="G22" s="3">
        <v>0</v>
      </c>
      <c r="H22" s="3">
        <v>1.2593217000000001E-4</v>
      </c>
      <c r="I22" s="3">
        <v>3.3466334000000001E-5</v>
      </c>
      <c r="J22" s="3">
        <v>-3.18101E-4</v>
      </c>
      <c r="K22" s="3"/>
      <c r="L22" s="3">
        <f t="shared" si="0"/>
        <v>0.16184210526315787</v>
      </c>
      <c r="M22" s="3"/>
      <c r="N22" s="2">
        <f>IF('Modell einstellen'!$B$1="Voll",H22/0.35,H22/0.35*2)</f>
        <v>3.5980620000000007E-4</v>
      </c>
      <c r="O22" s="2">
        <f>IF('Modell einstellen'!$B$1="Voll",J22/0.35,J22/0.35*2)</f>
        <v>-9.0886000000000005E-4</v>
      </c>
      <c r="P22" s="3">
        <f t="shared" si="1"/>
        <v>0.39588737539334995</v>
      </c>
      <c r="Q22" s="3"/>
      <c r="R22" s="3"/>
      <c r="S22" s="3"/>
      <c r="T22" s="3"/>
      <c r="U22" s="3"/>
    </row>
    <row r="23" spans="1:21" x14ac:dyDescent="0.25">
      <c r="A23" s="3">
        <v>100000</v>
      </c>
      <c r="B23" s="3">
        <v>1.182E-4</v>
      </c>
      <c r="C23" s="3">
        <v>3.3740000000000002E-4</v>
      </c>
      <c r="D23" s="3">
        <v>-7.2970000000000001E-4</v>
      </c>
      <c r="E23" s="3">
        <v>0</v>
      </c>
      <c r="F23" s="3">
        <v>0</v>
      </c>
      <c r="G23" s="3">
        <v>0</v>
      </c>
      <c r="H23" s="3">
        <v>1.3801944E-4</v>
      </c>
      <c r="I23" s="3">
        <v>3.8366693000000001E-5</v>
      </c>
      <c r="J23" s="3">
        <v>-3.4694727999999998E-4</v>
      </c>
      <c r="K23" s="3"/>
      <c r="L23" s="3">
        <f t="shared" si="0"/>
        <v>0.16198437714129094</v>
      </c>
      <c r="M23" s="3"/>
      <c r="N23" s="2">
        <f>IF('Modell einstellen'!$B$1="Voll",H23/0.35,H23/0.35*2)</f>
        <v>3.9434125714285718E-4</v>
      </c>
      <c r="O23" s="2">
        <f>IF('Modell einstellen'!$B$1="Voll",J23/0.35,J23/0.35*2)</f>
        <v>-9.9127794285714288E-4</v>
      </c>
      <c r="P23" s="3">
        <f t="shared" si="1"/>
        <v>0.39781098730619824</v>
      </c>
      <c r="Q23" s="3"/>
      <c r="R23" s="3"/>
      <c r="S23" s="3"/>
      <c r="T23" s="3"/>
      <c r="U23" s="3"/>
    </row>
    <row r="24" spans="1:21" x14ac:dyDescent="0.25">
      <c r="A24" s="3">
        <v>1000000</v>
      </c>
      <c r="B24" s="3">
        <v>1.17E-4</v>
      </c>
      <c r="C24" s="3">
        <v>3.7980000000000002E-4</v>
      </c>
      <c r="D24" s="3">
        <v>-7.7229999999999996E-4</v>
      </c>
      <c r="E24" s="3">
        <v>0</v>
      </c>
      <c r="F24" s="3">
        <v>0</v>
      </c>
      <c r="G24" s="3">
        <v>0</v>
      </c>
      <c r="H24" s="3">
        <v>1.5391170000000001E-4</v>
      </c>
      <c r="I24" s="3">
        <v>4.3943005999999999E-5</v>
      </c>
      <c r="J24" s="3">
        <v>-3.8247916999999999E-4</v>
      </c>
      <c r="K24" s="3"/>
      <c r="L24" s="3">
        <f t="shared" si="0"/>
        <v>0.15149553282403211</v>
      </c>
      <c r="M24" s="3"/>
      <c r="N24" s="2">
        <f>IF('Modell einstellen'!$B$1="Voll",H24/0.35,H24/0.35*2)</f>
        <v>4.3974771428571433E-4</v>
      </c>
      <c r="O24" s="2">
        <f>IF('Modell einstellen'!$B$1="Voll",J24/0.35,J24/0.35*2)</f>
        <v>-1.0927976285714286E-3</v>
      </c>
      <c r="P24" s="3">
        <f t="shared" si="1"/>
        <v>0.40240544341277462</v>
      </c>
      <c r="Q24" s="3"/>
      <c r="R24" s="3"/>
      <c r="S24" s="3"/>
      <c r="T24" s="3"/>
      <c r="U24" s="3"/>
    </row>
    <row r="25" spans="1:21" x14ac:dyDescent="0.25">
      <c r="A25" s="3">
        <v>10000000</v>
      </c>
      <c r="B25" s="3">
        <v>9.6550000000000002E-5</v>
      </c>
      <c r="C25" s="3">
        <v>4.3679999999999999E-4</v>
      </c>
      <c r="D25" s="3">
        <v>-8.1309999999999998E-4</v>
      </c>
      <c r="E25" s="3">
        <v>0</v>
      </c>
      <c r="F25" s="3">
        <v>0</v>
      </c>
      <c r="G25" s="3">
        <v>0</v>
      </c>
      <c r="H25" s="3">
        <v>1.7943125999999999E-4</v>
      </c>
      <c r="I25" s="3">
        <v>5.1829400999999998E-5</v>
      </c>
      <c r="J25" s="3">
        <v>-4.3648082999999999E-4</v>
      </c>
      <c r="K25" s="3"/>
      <c r="L25" s="3">
        <f t="shared" si="0"/>
        <v>0.11874308203173042</v>
      </c>
      <c r="M25" s="3"/>
      <c r="N25" s="2">
        <f>IF('Modell einstellen'!$B$1="Voll",H25/0.35,H25/0.35*2)</f>
        <v>5.1266074285714284E-4</v>
      </c>
      <c r="O25" s="2">
        <f>IF('Modell einstellen'!$B$1="Voll",J25/0.35,J25/0.35*2)</f>
        <v>-1.2470880857142859E-3</v>
      </c>
      <c r="P25" s="3">
        <f t="shared" si="1"/>
        <v>0.41108623258437255</v>
      </c>
      <c r="Q25" s="3"/>
      <c r="R25" s="3"/>
      <c r="S25" s="3"/>
      <c r="T25" s="3"/>
      <c r="U25" s="3"/>
    </row>
    <row r="26" spans="1:21" x14ac:dyDescent="0.25">
      <c r="A26" s="3">
        <v>100000000</v>
      </c>
      <c r="B26" s="3">
        <v>3.3760000000000002E-5</v>
      </c>
      <c r="C26" s="3">
        <v>5.2059999999999997E-4</v>
      </c>
      <c r="D26" s="3">
        <v>-8.409E-4</v>
      </c>
      <c r="E26" s="3">
        <v>0</v>
      </c>
      <c r="F26" s="3">
        <v>0</v>
      </c>
      <c r="G26" s="3">
        <v>0</v>
      </c>
      <c r="H26" s="3">
        <v>2.2138377999999999E-4</v>
      </c>
      <c r="I26" s="3">
        <v>6.4109951E-5</v>
      </c>
      <c r="J26" s="3">
        <v>-5.2317021000000002E-4</v>
      </c>
      <c r="K26" s="3"/>
      <c r="L26" s="3">
        <f t="shared" si="0"/>
        <v>4.0147461053633017E-2</v>
      </c>
      <c r="M26" s="3"/>
      <c r="N26" s="2">
        <f>IF('Modell einstellen'!$B$1="Voll",H26/0.35,H26/0.35*2)</f>
        <v>6.3252508571428571E-4</v>
      </c>
      <c r="O26" s="2">
        <f>IF('Modell einstellen'!$B$1="Voll",J26/0.35,J26/0.35*2)</f>
        <v>-1.4947720285714288E-3</v>
      </c>
      <c r="P26" s="3">
        <f t="shared" si="1"/>
        <v>0.42315822989997837</v>
      </c>
      <c r="Q26" s="3"/>
      <c r="R26" s="3"/>
      <c r="S26" s="3"/>
      <c r="T26" s="3"/>
      <c r="U26" s="3"/>
    </row>
    <row r="27" spans="1:21" x14ac:dyDescent="0.25">
      <c r="A27" s="3">
        <v>1000000000</v>
      </c>
      <c r="B27" s="3">
        <v>-1.3439999999999999E-4</v>
      </c>
      <c r="C27" s="3">
        <v>6.5649999999999997E-4</v>
      </c>
      <c r="D27" s="3">
        <v>-8.1859999999999995E-4</v>
      </c>
      <c r="E27" s="3">
        <v>0</v>
      </c>
      <c r="F27" s="3">
        <v>0</v>
      </c>
      <c r="G27" s="3">
        <v>0</v>
      </c>
      <c r="H27" s="3">
        <v>2.9774826000000001E-4</v>
      </c>
      <c r="I27" s="3">
        <v>8.5490698999999995E-5</v>
      </c>
      <c r="J27" s="3">
        <v>-6.7757343999999998E-4</v>
      </c>
      <c r="K27" s="3"/>
      <c r="L27" s="3">
        <f t="shared" si="0"/>
        <v>-0.16418275103835817</v>
      </c>
      <c r="M27" s="3"/>
      <c r="N27" s="2">
        <f>IF('Modell einstellen'!$B$1="Voll",H27/0.35,H27/0.35*2)</f>
        <v>8.5070931428571437E-4</v>
      </c>
      <c r="O27" s="2">
        <f>IF('Modell einstellen'!$B$1="Voll",J27/0.35,J27/0.35*2)</f>
        <v>-1.9359241142857142E-3</v>
      </c>
      <c r="P27" s="3">
        <f t="shared" si="1"/>
        <v>0.43943319265879138</v>
      </c>
      <c r="Q27" s="3"/>
      <c r="R27" s="3"/>
      <c r="S27" s="3"/>
      <c r="T27" s="3"/>
      <c r="U27" s="3"/>
    </row>
    <row r="28" spans="1:21" x14ac:dyDescent="0.25">
      <c r="A28" s="3">
        <v>10000000000</v>
      </c>
      <c r="B28" s="3">
        <v>-6.1180000000000002E-4</v>
      </c>
      <c r="C28" s="3">
        <v>9.1009999999999995E-4</v>
      </c>
      <c r="D28" s="3">
        <v>-6.0780000000000003E-4</v>
      </c>
      <c r="E28" s="3">
        <v>0</v>
      </c>
      <c r="F28" s="3">
        <v>0</v>
      </c>
      <c r="G28" s="3">
        <v>0</v>
      </c>
      <c r="H28" s="3">
        <v>4.6429122999999998E-4</v>
      </c>
      <c r="I28" s="3">
        <v>1.2902951000000001E-4</v>
      </c>
      <c r="J28" s="3">
        <v>-1.0029031999999999E-3</v>
      </c>
      <c r="K28" s="3"/>
      <c r="L28" s="3">
        <f t="shared" si="0"/>
        <v>-1.0065811122079631</v>
      </c>
      <c r="M28" s="3"/>
      <c r="N28" s="2">
        <f>IF('Modell einstellen'!$B$1="Voll",H28/0.35,H28/0.35*2)</f>
        <v>1.3265463714285716E-3</v>
      </c>
      <c r="O28" s="2">
        <f>IF('Modell einstellen'!$B$1="Voll",J28/0.35,J28/0.35*2)</f>
        <v>-2.8654377142857141E-3</v>
      </c>
      <c r="P28" s="3">
        <f t="shared" si="1"/>
        <v>0.46294720168407089</v>
      </c>
      <c r="Q28" s="3"/>
      <c r="R28" s="3"/>
      <c r="S28" s="3"/>
      <c r="T28" s="3"/>
      <c r="U28" s="3"/>
    </row>
    <row r="29" spans="1:21" x14ac:dyDescent="0.25">
      <c r="A29" s="3">
        <v>100000000000</v>
      </c>
      <c r="B29" s="3">
        <v>-1.7539999999999999E-3</v>
      </c>
      <c r="C29" s="3">
        <v>1.356E-3</v>
      </c>
      <c r="D29" s="3">
        <v>7.6229999999999994E-5</v>
      </c>
      <c r="E29" s="3">
        <v>0</v>
      </c>
      <c r="F29" s="3">
        <v>0</v>
      </c>
      <c r="G29" s="3">
        <v>0</v>
      </c>
      <c r="H29" s="3">
        <v>8.0787079000000002E-4</v>
      </c>
      <c r="I29" s="3">
        <v>2.1204323999999999E-4</v>
      </c>
      <c r="J29" s="3">
        <v>-1.6480556E-3</v>
      </c>
      <c r="K29" s="3"/>
      <c r="L29" s="3">
        <f t="shared" si="0"/>
        <v>23.009313918404828</v>
      </c>
      <c r="M29" s="3"/>
      <c r="N29" s="2">
        <f>IF('Modell einstellen'!$B$1="Voll",H29/0.35,H29/0.35*2)</f>
        <v>2.3082022571428574E-3</v>
      </c>
      <c r="O29" s="2">
        <f>IF('Modell einstellen'!$B$1="Voll",J29/0.35,J29/0.35*2)</f>
        <v>-4.7087302857142859E-3</v>
      </c>
      <c r="P29" s="3">
        <f t="shared" si="1"/>
        <v>0.49019631983289891</v>
      </c>
      <c r="Q29" s="3"/>
      <c r="R29" s="3"/>
      <c r="S29" s="3"/>
      <c r="T29" s="3"/>
      <c r="U29" s="3"/>
    </row>
    <row r="30" spans="1:21" x14ac:dyDescent="0.25">
      <c r="A30" s="3">
        <v>1000000000000</v>
      </c>
      <c r="B30" s="3">
        <v>-4.0790000000000002E-3</v>
      </c>
      <c r="C30" s="3">
        <v>2.127E-3</v>
      </c>
      <c r="D30" s="3">
        <v>1.6230000000000001E-3</v>
      </c>
      <c r="E30" s="3">
        <v>0</v>
      </c>
      <c r="F30" s="3">
        <v>0</v>
      </c>
      <c r="G30" s="3">
        <v>0</v>
      </c>
      <c r="H30" s="3">
        <v>1.4661330999999999E-3</v>
      </c>
      <c r="I30" s="3">
        <v>3.6197542000000001E-4</v>
      </c>
      <c r="J30" s="3">
        <v>-2.8464050999999998E-3</v>
      </c>
      <c r="K30" s="3"/>
      <c r="L30" s="3">
        <f t="shared" si="0"/>
        <v>2.5132470733210104</v>
      </c>
      <c r="M30" s="3"/>
      <c r="N30" s="2">
        <f>IF('Modell einstellen'!$B$1="Voll",H30/0.35,H30/0.35*2)</f>
        <v>4.1889517142857146E-3</v>
      </c>
      <c r="O30" s="2">
        <f>IF('Modell einstellen'!$B$1="Voll",J30/0.35,J30/0.35*2)</f>
        <v>-8.1325860000000007E-3</v>
      </c>
      <c r="P30" s="3">
        <f t="shared" si="1"/>
        <v>0.51508237530912238</v>
      </c>
      <c r="Q30" s="3"/>
      <c r="R30" s="3"/>
      <c r="S30" s="3"/>
      <c r="T30" s="3"/>
      <c r="U30" s="3"/>
    </row>
    <row r="31" spans="1:21" x14ac:dyDescent="0.25">
      <c r="A31" s="3">
        <v>10000000000000</v>
      </c>
      <c r="B31" s="3">
        <v>-8.4340000000000005E-3</v>
      </c>
      <c r="C31" s="3">
        <v>3.47E-3</v>
      </c>
      <c r="D31" s="3">
        <v>4.6299999999999996E-3</v>
      </c>
      <c r="E31" s="3">
        <v>0</v>
      </c>
      <c r="F31" s="3">
        <v>0</v>
      </c>
      <c r="G31" s="3">
        <v>0</v>
      </c>
      <c r="H31" s="3">
        <v>2.6779826E-3</v>
      </c>
      <c r="I31" s="3">
        <v>6.2933985999999995E-4</v>
      </c>
      <c r="J31" s="3">
        <v>-5.0056618000000001E-3</v>
      </c>
      <c r="K31" s="3"/>
      <c r="L31" s="3">
        <f t="shared" si="0"/>
        <v>1.8215982721382293</v>
      </c>
      <c r="M31" s="3"/>
      <c r="N31" s="2">
        <f>IF('Modell einstellen'!$B$1="Voll",H31/0.35,H31/0.35*2)</f>
        <v>7.6513788571428579E-3</v>
      </c>
      <c r="O31" s="2">
        <f>IF('Modell einstellen'!$B$1="Voll",J31/0.35,J31/0.35*2)</f>
        <v>-1.4301890857142858E-2</v>
      </c>
      <c r="P31" s="3">
        <f t="shared" si="1"/>
        <v>0.53499071791066666</v>
      </c>
      <c r="Q31" s="3"/>
      <c r="R31" s="3"/>
      <c r="S31" s="3"/>
      <c r="T31" s="3"/>
      <c r="U31" s="3"/>
    </row>
    <row r="32" spans="1:21" x14ac:dyDescent="0.25">
      <c r="A32" s="3">
        <v>100000000000000</v>
      </c>
      <c r="B32" s="3">
        <v>-1.291E-2</v>
      </c>
      <c r="C32" s="3">
        <v>4.8079999999999998E-3</v>
      </c>
      <c r="D32" s="3">
        <v>7.7720000000000003E-3</v>
      </c>
      <c r="E32" s="3">
        <v>0</v>
      </c>
      <c r="F32" s="3">
        <v>0</v>
      </c>
      <c r="G32" s="3">
        <v>0</v>
      </c>
      <c r="H32" s="3">
        <v>3.9266487000000003E-3</v>
      </c>
      <c r="I32" s="3">
        <v>9.0225028000000002E-4</v>
      </c>
      <c r="J32" s="3">
        <v>-7.2003694E-3</v>
      </c>
      <c r="K32" s="3"/>
      <c r="L32" s="3">
        <f t="shared" si="0"/>
        <v>1.6610910962429233</v>
      </c>
      <c r="M32" s="3"/>
      <c r="N32" s="2">
        <f>IF('Modell einstellen'!$B$1="Voll",H32/0.35,H32/0.35*2)</f>
        <v>1.1218996285714287E-2</v>
      </c>
      <c r="O32" s="2">
        <f>IF('Modell einstellen'!$B$1="Voll",J32/0.35,J32/0.35*2)</f>
        <v>-2.0572484000000002E-2</v>
      </c>
      <c r="P32" s="3">
        <f t="shared" si="1"/>
        <v>0.54533989603366739</v>
      </c>
      <c r="Q32" s="3"/>
      <c r="R32" s="3"/>
      <c r="S32" s="3"/>
      <c r="T32" s="3"/>
      <c r="U32" s="3"/>
    </row>
    <row r="33" spans="1:21" x14ac:dyDescent="0.25">
      <c r="A33" s="2">
        <v>1000000000000000</v>
      </c>
      <c r="B33" s="3">
        <v>-1.4999999999999999E-2</v>
      </c>
      <c r="C33" s="3">
        <v>5.4339999999999996E-3</v>
      </c>
      <c r="D33" s="3">
        <v>9.2309999999999996E-3</v>
      </c>
      <c r="E33" s="3">
        <v>0</v>
      </c>
      <c r="F33" s="3">
        <v>0</v>
      </c>
      <c r="G33" s="3">
        <v>0</v>
      </c>
      <c r="H33" s="3">
        <v>4.5118653999999996E-3</v>
      </c>
      <c r="I33" s="3">
        <v>1.0328608000000001E-3</v>
      </c>
      <c r="J33" s="3">
        <v>-8.2313199000000007E-3</v>
      </c>
      <c r="K33" s="3"/>
      <c r="L33" s="3">
        <f t="shared" si="0"/>
        <v>1.6249593760155996</v>
      </c>
      <c r="M33" s="3"/>
      <c r="N33" s="2">
        <f>IF('Modell einstellen'!$B$1="Voll",H33/0.35,H33/0.35*2)</f>
        <v>1.2891043999999999E-2</v>
      </c>
      <c r="O33" s="2">
        <f>IF('Modell einstellen'!$B$1="Voll",J33/0.35,J33/0.35*2)</f>
        <v>-2.3518056857142859E-2</v>
      </c>
      <c r="P33" s="3">
        <f t="shared" si="1"/>
        <v>0.54813389041045524</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9.7419999999999999E-5</v>
      </c>
      <c r="C3" s="3">
        <v>1.796E-4</v>
      </c>
      <c r="D3" s="3">
        <v>-5.4180000000000005E-4</v>
      </c>
      <c r="E3" s="3">
        <v>0</v>
      </c>
      <c r="F3" s="3">
        <v>0</v>
      </c>
      <c r="G3" s="3">
        <v>0</v>
      </c>
      <c r="H3" s="3">
        <v>7.7680573000000002E-5</v>
      </c>
      <c r="I3" s="3">
        <v>1.9031738E-5</v>
      </c>
      <c r="J3" s="3">
        <v>-2.1809282999999999E-4</v>
      </c>
      <c r="K3" s="2"/>
      <c r="L3" s="3"/>
      <c r="M3" s="3"/>
      <c r="N3" s="2">
        <f>IF('Modell einstellen'!$B$1="Voll",H3/0.35,H3/0.35*2)</f>
        <v>2.2194449428571432E-4</v>
      </c>
      <c r="O3" s="2">
        <f>IF('Modell einstellen'!$B$1="Voll",J3/0.35,J3/0.35*2)</f>
        <v>-6.2312237142857143E-4</v>
      </c>
      <c r="P3" s="3">
        <f>-N3/O3</f>
        <v>0.35618123255129486</v>
      </c>
      <c r="Q3" s="3"/>
      <c r="R3" s="3"/>
      <c r="S3" s="3"/>
      <c r="T3" s="3"/>
      <c r="U3" s="3"/>
    </row>
    <row r="4" spans="1:21" x14ac:dyDescent="0.25">
      <c r="A4" s="3">
        <v>1E-14</v>
      </c>
      <c r="B4" s="3">
        <v>9.7419999999999999E-5</v>
      </c>
      <c r="C4" s="3">
        <v>1.796E-4</v>
      </c>
      <c r="D4" s="3">
        <v>-5.4180000000000005E-4</v>
      </c>
      <c r="E4" s="3">
        <v>0</v>
      </c>
      <c r="F4" s="3">
        <v>0</v>
      </c>
      <c r="G4" s="3">
        <v>0</v>
      </c>
      <c r="H4" s="3">
        <v>7.7683005999999998E-5</v>
      </c>
      <c r="I4" s="3">
        <v>1.9032271000000001E-5</v>
      </c>
      <c r="J4" s="3">
        <v>-2.1808883999999999E-4</v>
      </c>
      <c r="K4" s="2"/>
      <c r="L4" s="3"/>
      <c r="M4" s="3"/>
      <c r="N4" s="2">
        <f>IF('Modell einstellen'!$B$1="Voll",H4/0.35,H4/0.35*2)</f>
        <v>2.2195144571428573E-4</v>
      </c>
      <c r="O4" s="2">
        <f>IF('Modell einstellen'!$B$1="Voll",J4/0.35,J4/0.35*2)</f>
        <v>-6.2311097142857144E-4</v>
      </c>
      <c r="P4" s="3">
        <f t="shared" ref="P4:P33" si="0">-N4/O4</f>
        <v>0.35619890499669771</v>
      </c>
      <c r="Q4" s="3"/>
      <c r="R4" s="3"/>
      <c r="S4" s="3"/>
      <c r="T4" s="3"/>
      <c r="U4" s="3"/>
    </row>
    <row r="5" spans="1:21" x14ac:dyDescent="0.25">
      <c r="A5" s="3">
        <v>1E-13</v>
      </c>
      <c r="B5" s="3">
        <v>9.7419999999999999E-5</v>
      </c>
      <c r="C5" s="3">
        <v>1.796E-4</v>
      </c>
      <c r="D5" s="3">
        <v>-5.4180000000000005E-4</v>
      </c>
      <c r="E5" s="3">
        <v>0</v>
      </c>
      <c r="F5" s="3">
        <v>0</v>
      </c>
      <c r="G5" s="3">
        <v>0</v>
      </c>
      <c r="H5" s="3">
        <v>7.7684308999999995E-5</v>
      </c>
      <c r="I5" s="3">
        <v>1.9032591999999999E-5</v>
      </c>
      <c r="J5" s="3">
        <v>-2.1809144000000001E-4</v>
      </c>
      <c r="K5" s="2"/>
      <c r="L5" s="3"/>
      <c r="M5" s="3"/>
      <c r="N5" s="2">
        <f>IF('Modell einstellen'!$B$1="Voll",H5/0.35,H5/0.35*2)</f>
        <v>2.2195516857142857E-4</v>
      </c>
      <c r="O5" s="2">
        <f>IF('Modell einstellen'!$B$1="Voll",J5/0.35,J5/0.35*2)</f>
        <v>-6.2311840000000012E-4</v>
      </c>
      <c r="P5" s="3">
        <f t="shared" si="0"/>
        <v>0.35620063309224786</v>
      </c>
      <c r="Q5" s="3"/>
      <c r="R5" s="3"/>
      <c r="S5" s="3"/>
      <c r="T5" s="3"/>
      <c r="U5" s="3"/>
    </row>
    <row r="6" spans="1:21" x14ac:dyDescent="0.25">
      <c r="A6" s="3">
        <v>9.9999999999999998E-13</v>
      </c>
      <c r="B6" s="3">
        <v>9.7419999999999999E-5</v>
      </c>
      <c r="C6" s="3">
        <v>1.796E-4</v>
      </c>
      <c r="D6" s="3">
        <v>-5.419E-4</v>
      </c>
      <c r="E6" s="3">
        <v>0</v>
      </c>
      <c r="F6" s="3">
        <v>0</v>
      </c>
      <c r="G6" s="3">
        <v>0</v>
      </c>
      <c r="H6" s="3">
        <v>7.7694327E-5</v>
      </c>
      <c r="I6" s="3">
        <v>1.9034543999999999E-5</v>
      </c>
      <c r="J6" s="3">
        <v>-2.1810954000000001E-4</v>
      </c>
      <c r="K6" s="2"/>
      <c r="L6" s="3"/>
      <c r="M6" s="3"/>
      <c r="N6" s="2">
        <f>IF('Modell einstellen'!$B$1="Voll",H6/0.35,H6/0.35*2)</f>
        <v>2.2198379142857145E-4</v>
      </c>
      <c r="O6" s="2">
        <f>IF('Modell einstellen'!$B$1="Voll",J6/0.35,J6/0.35*2)</f>
        <v>-6.2317011428571439E-4</v>
      </c>
      <c r="P6" s="3">
        <f t="shared" si="0"/>
        <v>0.35621700453817834</v>
      </c>
      <c r="Q6" s="3"/>
      <c r="R6" s="3"/>
      <c r="S6" s="3"/>
      <c r="T6" s="3"/>
      <c r="U6" s="3"/>
    </row>
    <row r="7" spans="1:21" x14ac:dyDescent="0.25">
      <c r="A7" s="3">
        <v>9.9999999999999994E-12</v>
      </c>
      <c r="B7" s="3">
        <v>9.7390000000000001E-5</v>
      </c>
      <c r="C7" s="3">
        <v>1.797E-4</v>
      </c>
      <c r="D7" s="3">
        <v>-5.421E-4</v>
      </c>
      <c r="E7" s="3">
        <v>0</v>
      </c>
      <c r="F7" s="3">
        <v>0</v>
      </c>
      <c r="G7" s="3">
        <v>0</v>
      </c>
      <c r="H7" s="3">
        <v>7.7791859999999993E-5</v>
      </c>
      <c r="I7" s="3">
        <v>1.9053403000000001E-5</v>
      </c>
      <c r="J7" s="3">
        <v>-2.1828512000000001E-4</v>
      </c>
      <c r="K7" s="2"/>
      <c r="L7" s="3"/>
      <c r="M7" s="3"/>
      <c r="N7" s="2">
        <f>IF('Modell einstellen'!$B$1="Voll",H7/0.35,H7/0.35*2)</f>
        <v>2.2226245714285713E-4</v>
      </c>
      <c r="O7" s="2">
        <f>IF('Modell einstellen'!$B$1="Voll",J7/0.35,J7/0.35*2)</f>
        <v>-6.2367177142857153E-4</v>
      </c>
      <c r="P7" s="3">
        <f t="shared" si="0"/>
        <v>0.35637729223137143</v>
      </c>
      <c r="Q7" s="3"/>
      <c r="R7" s="3"/>
      <c r="S7" s="3"/>
      <c r="T7" s="3"/>
      <c r="U7" s="3"/>
    </row>
    <row r="8" spans="1:21" x14ac:dyDescent="0.25">
      <c r="A8" s="3">
        <v>1E-10</v>
      </c>
      <c r="B8" s="3">
        <v>9.7219999999999994E-5</v>
      </c>
      <c r="C8" s="3">
        <v>1.8100000000000001E-4</v>
      </c>
      <c r="D8" s="3">
        <v>-5.4370000000000004E-4</v>
      </c>
      <c r="E8" s="3">
        <v>0</v>
      </c>
      <c r="F8" s="3">
        <v>0</v>
      </c>
      <c r="G8" s="3">
        <v>0</v>
      </c>
      <c r="H8" s="3">
        <v>7.8614047000000005E-5</v>
      </c>
      <c r="I8" s="3">
        <v>1.9212113000000001E-5</v>
      </c>
      <c r="J8" s="3">
        <v>-2.1976407E-4</v>
      </c>
      <c r="K8" s="2"/>
      <c r="L8" s="3"/>
      <c r="M8" s="3"/>
      <c r="N8" s="2">
        <f>IF('Modell einstellen'!$B$1="Voll",H8/0.35,H8/0.35*2)</f>
        <v>2.2461156285714289E-4</v>
      </c>
      <c r="O8" s="2">
        <f>IF('Modell einstellen'!$B$1="Voll",J8/0.35,J8/0.35*2)</f>
        <v>-6.2789734285714294E-4</v>
      </c>
      <c r="P8" s="3">
        <f t="shared" si="0"/>
        <v>0.35772019966685181</v>
      </c>
      <c r="Q8" s="3"/>
      <c r="R8" s="3"/>
      <c r="S8" s="3"/>
      <c r="T8" s="3"/>
      <c r="U8" s="3"/>
    </row>
    <row r="9" spans="1:21" x14ac:dyDescent="0.25">
      <c r="A9" s="3">
        <v>1.0000000000000001E-9</v>
      </c>
      <c r="B9" s="3">
        <v>9.7529999999999996E-5</v>
      </c>
      <c r="C9" s="3">
        <v>1.8550000000000001E-4</v>
      </c>
      <c r="D9" s="3">
        <v>-5.5000000000000003E-4</v>
      </c>
      <c r="E9" s="3">
        <v>0</v>
      </c>
      <c r="F9" s="3">
        <v>0</v>
      </c>
      <c r="G9" s="3">
        <v>0</v>
      </c>
      <c r="H9" s="3">
        <v>8.1252416000000005E-5</v>
      </c>
      <c r="I9" s="3">
        <v>1.9737429000000001E-5</v>
      </c>
      <c r="J9" s="3">
        <v>-2.2455931E-4</v>
      </c>
      <c r="K9" s="2"/>
      <c r="L9" s="3"/>
      <c r="M9" s="3"/>
      <c r="N9" s="2">
        <f>IF('Modell einstellen'!$B$1="Voll",H9/0.35,H9/0.35*2)</f>
        <v>2.3214976000000004E-4</v>
      </c>
      <c r="O9" s="2">
        <f>IF('Modell einstellen'!$B$1="Voll",J9/0.35,J9/0.35*2)</f>
        <v>-6.4159802857142859E-4</v>
      </c>
      <c r="P9" s="3">
        <f t="shared" si="0"/>
        <v>0.36183053822172867</v>
      </c>
      <c r="Q9" s="3"/>
      <c r="R9" s="3"/>
      <c r="S9" s="3"/>
      <c r="T9" s="3"/>
      <c r="U9" s="3"/>
    </row>
    <row r="10" spans="1:21" x14ac:dyDescent="0.25">
      <c r="A10" s="3">
        <v>1E-8</v>
      </c>
      <c r="B10" s="3">
        <v>9.7369999999999998E-5</v>
      </c>
      <c r="C10" s="3">
        <v>1.9019999999999999E-4</v>
      </c>
      <c r="D10" s="3">
        <v>-5.5610000000000002E-4</v>
      </c>
      <c r="E10" s="3">
        <v>0</v>
      </c>
      <c r="F10" s="3">
        <v>0</v>
      </c>
      <c r="G10" s="3">
        <v>0</v>
      </c>
      <c r="H10" s="3">
        <v>8.4107339E-5</v>
      </c>
      <c r="I10" s="3">
        <v>2.0290677999999999E-5</v>
      </c>
      <c r="J10" s="3">
        <v>-2.296834E-4</v>
      </c>
      <c r="K10" s="2"/>
      <c r="L10" s="3"/>
      <c r="M10" s="3"/>
      <c r="N10" s="2">
        <f>IF('Modell einstellen'!$B$1="Voll",H10/0.35,H10/0.35*2)</f>
        <v>2.4030668285714287E-4</v>
      </c>
      <c r="O10" s="2">
        <f>IF('Modell einstellen'!$B$1="Voll",J10/0.35,J10/0.35*2)</f>
        <v>-6.5623828571428574E-4</v>
      </c>
      <c r="P10" s="3">
        <f t="shared" si="0"/>
        <v>0.36618814855579462</v>
      </c>
      <c r="Q10" s="3"/>
      <c r="R10" s="3"/>
      <c r="S10" s="3"/>
      <c r="T10" s="3"/>
      <c r="U10" s="3"/>
    </row>
    <row r="11" spans="1:21" x14ac:dyDescent="0.25">
      <c r="A11" s="3">
        <v>9.9999999999999995E-8</v>
      </c>
      <c r="B11" s="3">
        <v>9.6910000000000006E-5</v>
      </c>
      <c r="C11" s="3">
        <v>1.9570000000000001E-4</v>
      </c>
      <c r="D11" s="3">
        <v>-5.6300000000000002E-4</v>
      </c>
      <c r="E11" s="3">
        <v>0</v>
      </c>
      <c r="F11" s="3">
        <v>0</v>
      </c>
      <c r="G11" s="3">
        <v>0</v>
      </c>
      <c r="H11" s="3">
        <v>8.7580439000000006E-5</v>
      </c>
      <c r="I11" s="3">
        <v>2.0950973999999999E-5</v>
      </c>
      <c r="J11" s="3">
        <v>-2.358603E-4</v>
      </c>
      <c r="K11" s="2"/>
      <c r="L11" s="3"/>
      <c r="M11" s="3"/>
      <c r="N11" s="2">
        <f>IF('Modell einstellen'!$B$1="Voll",H11/0.35,H11/0.35*2)</f>
        <v>2.5022982571428577E-4</v>
      </c>
      <c r="O11" s="2">
        <f>IF('Modell einstellen'!$B$1="Voll",J11/0.35,J11/0.35*2)</f>
        <v>-6.7388657142857151E-4</v>
      </c>
      <c r="P11" s="3">
        <f t="shared" si="0"/>
        <v>0.37132335963279961</v>
      </c>
      <c r="Q11" s="3"/>
      <c r="R11" s="3"/>
      <c r="S11" s="3"/>
      <c r="T11" s="3"/>
      <c r="U11" s="3"/>
    </row>
    <row r="12" spans="1:21" x14ac:dyDescent="0.25">
      <c r="A12" s="3">
        <v>9.9999999999999995E-7</v>
      </c>
      <c r="B12" s="3">
        <v>9.5929999999999998E-5</v>
      </c>
      <c r="C12" s="3">
        <v>2.0230000000000001E-4</v>
      </c>
      <c r="D12" s="3">
        <v>-5.71E-4</v>
      </c>
      <c r="E12" s="3">
        <v>0</v>
      </c>
      <c r="F12" s="3">
        <v>0</v>
      </c>
      <c r="G12" s="3">
        <v>0</v>
      </c>
      <c r="H12" s="3">
        <v>9.1951071000000002E-5</v>
      </c>
      <c r="I12" s="3">
        <v>2.1762066E-5</v>
      </c>
      <c r="J12" s="3">
        <v>-2.4354684999999999E-4</v>
      </c>
      <c r="K12" s="2"/>
      <c r="L12" s="3"/>
      <c r="M12" s="3"/>
      <c r="N12" s="2">
        <f>IF('Modell einstellen'!$B$1="Voll",H12/0.35,H12/0.35*2)</f>
        <v>2.6271734571428574E-4</v>
      </c>
      <c r="O12" s="2">
        <f>IF('Modell einstellen'!$B$1="Voll",J12/0.35,J12/0.35*2)</f>
        <v>-6.9584814285714289E-4</v>
      </c>
      <c r="P12" s="3">
        <f t="shared" si="0"/>
        <v>0.3775498266555285</v>
      </c>
      <c r="Q12" s="3"/>
      <c r="R12" s="3"/>
      <c r="S12" s="3"/>
      <c r="T12" s="3"/>
      <c r="U12" s="3"/>
    </row>
    <row r="13" spans="1:21" x14ac:dyDescent="0.25">
      <c r="A13" s="3">
        <v>1.0000000000000001E-5</v>
      </c>
      <c r="B13" s="3">
        <v>9.4339999999999995E-5</v>
      </c>
      <c r="C13" s="3">
        <v>2.0939999999999999E-4</v>
      </c>
      <c r="D13" s="3">
        <v>-5.7890000000000003E-4</v>
      </c>
      <c r="E13" s="3">
        <v>0</v>
      </c>
      <c r="F13" s="3">
        <v>0</v>
      </c>
      <c r="G13" s="3">
        <v>0</v>
      </c>
      <c r="H13" s="3">
        <v>9.6780605E-5</v>
      </c>
      <c r="I13" s="3">
        <v>2.2632850000000001E-5</v>
      </c>
      <c r="J13" s="3">
        <v>-2.5193089E-4</v>
      </c>
      <c r="K13" s="2"/>
      <c r="L13" s="3"/>
      <c r="M13" s="3"/>
      <c r="N13" s="2">
        <f>IF('Modell einstellen'!$B$1="Voll",H13/0.35,H13/0.35*2)</f>
        <v>2.765160142857143E-4</v>
      </c>
      <c r="O13" s="2">
        <f>IF('Modell einstellen'!$B$1="Voll",J13/0.35,J13/0.35*2)</f>
        <v>-7.1980254285714288E-4</v>
      </c>
      <c r="P13" s="3">
        <f t="shared" si="0"/>
        <v>0.38415537292786922</v>
      </c>
      <c r="Q13" s="3"/>
      <c r="R13" s="3"/>
      <c r="S13" s="3"/>
      <c r="T13" s="3"/>
      <c r="U13" s="3"/>
    </row>
    <row r="14" spans="1:21" x14ac:dyDescent="0.25">
      <c r="A14" s="3">
        <v>1E-4</v>
      </c>
      <c r="B14" s="3">
        <v>9.1390000000000004E-5</v>
      </c>
      <c r="C14" s="3">
        <v>2.187E-4</v>
      </c>
      <c r="D14" s="3">
        <v>-5.8839999999999999E-4</v>
      </c>
      <c r="E14" s="3">
        <v>0</v>
      </c>
      <c r="F14" s="3">
        <v>0</v>
      </c>
      <c r="G14" s="3">
        <v>0</v>
      </c>
      <c r="H14" s="3">
        <v>1.0344374E-4</v>
      </c>
      <c r="I14" s="3">
        <v>2.3795202000000001E-5</v>
      </c>
      <c r="J14" s="3">
        <v>-2.6333314999999998E-4</v>
      </c>
      <c r="K14" s="2"/>
      <c r="L14" s="3"/>
      <c r="M14" s="3"/>
      <c r="N14" s="2">
        <f>IF('Modell einstellen'!$B$1="Voll",H14/0.35,H14/0.35*2)</f>
        <v>2.9555354285714286E-4</v>
      </c>
      <c r="O14" s="2">
        <f>IF('Modell einstellen'!$B$1="Voll",J14/0.35,J14/0.35*2)</f>
        <v>-7.5238042857142854E-4</v>
      </c>
      <c r="P14" s="3">
        <f t="shared" si="0"/>
        <v>0.39282460259940688</v>
      </c>
      <c r="Q14" s="3"/>
      <c r="R14" s="3"/>
      <c r="S14" s="3"/>
      <c r="T14" s="3"/>
      <c r="U14" s="3"/>
    </row>
    <row r="15" spans="1:21" x14ac:dyDescent="0.25">
      <c r="A15" s="3">
        <v>1E-3</v>
      </c>
      <c r="B15" s="3">
        <v>8.6570000000000006E-5</v>
      </c>
      <c r="C15" s="3">
        <v>2.2939999999999999E-4</v>
      </c>
      <c r="D15" s="3">
        <v>-5.9800000000000001E-4</v>
      </c>
      <c r="E15" s="3">
        <v>0</v>
      </c>
      <c r="F15" s="3">
        <v>0</v>
      </c>
      <c r="G15" s="3">
        <v>0</v>
      </c>
      <c r="H15" s="3">
        <v>1.116257E-4</v>
      </c>
      <c r="I15" s="3">
        <v>2.515909E-5</v>
      </c>
      <c r="J15" s="3">
        <v>-2.7706794999999998E-4</v>
      </c>
      <c r="K15" s="2"/>
      <c r="L15" s="3"/>
      <c r="M15" s="3"/>
      <c r="N15" s="2">
        <f>IF('Modell einstellen'!$B$1="Voll",H15/0.35,H15/0.35*2)</f>
        <v>3.1893057142857144E-4</v>
      </c>
      <c r="O15" s="2">
        <f>IF('Modell einstellen'!$B$1="Voll",J15/0.35,J15/0.35*2)</f>
        <v>-7.9162271428571431E-4</v>
      </c>
      <c r="P15" s="3">
        <f t="shared" si="0"/>
        <v>0.40288203669893974</v>
      </c>
      <c r="Q15" s="3"/>
      <c r="R15" s="3"/>
      <c r="S15" s="3"/>
      <c r="T15" s="3"/>
      <c r="U15" s="3"/>
    </row>
    <row r="16" spans="1:21" x14ac:dyDescent="0.25">
      <c r="A16" s="3">
        <v>0.01</v>
      </c>
      <c r="B16" s="3">
        <v>7.9789999999999993E-5</v>
      </c>
      <c r="C16" s="3">
        <v>2.4049999999999999E-4</v>
      </c>
      <c r="D16" s="3">
        <v>-6.0599999999999998E-4</v>
      </c>
      <c r="E16" s="3">
        <v>0</v>
      </c>
      <c r="F16" s="3">
        <v>0</v>
      </c>
      <c r="G16" s="3">
        <v>0</v>
      </c>
      <c r="H16" s="3">
        <v>1.2072337E-4</v>
      </c>
      <c r="I16" s="3">
        <v>2.6599936000000001E-5</v>
      </c>
      <c r="J16" s="3">
        <v>-2.9202296999999999E-4</v>
      </c>
      <c r="K16" s="2"/>
      <c r="L16" s="3"/>
      <c r="M16" s="3"/>
      <c r="N16" s="2">
        <f>IF('Modell einstellen'!$B$1="Voll",H16/0.35,H16/0.35*2)</f>
        <v>3.4492391428571432E-4</v>
      </c>
      <c r="O16" s="2">
        <f>IF('Modell einstellen'!$B$1="Voll",J16/0.35,J16/0.35*2)</f>
        <v>-8.3435134285714284E-4</v>
      </c>
      <c r="P16" s="3">
        <f t="shared" si="0"/>
        <v>0.41340367848460691</v>
      </c>
      <c r="Q16" s="3"/>
      <c r="R16" s="3"/>
      <c r="S16" s="3"/>
      <c r="T16" s="3"/>
      <c r="U16" s="3"/>
    </row>
    <row r="17" spans="1:21" x14ac:dyDescent="0.25">
      <c r="A17" s="3">
        <v>0.1</v>
      </c>
      <c r="B17" s="3">
        <v>6.9770000000000005E-5</v>
      </c>
      <c r="C17" s="3">
        <v>2.5329999999999998E-4</v>
      </c>
      <c r="D17" s="3">
        <v>-6.1300000000000005E-4</v>
      </c>
      <c r="E17" s="3">
        <v>0</v>
      </c>
      <c r="F17" s="3">
        <v>0</v>
      </c>
      <c r="G17" s="3">
        <v>0</v>
      </c>
      <c r="H17" s="3">
        <v>1.3195036000000001E-4</v>
      </c>
      <c r="I17" s="3">
        <v>2.8301339E-5</v>
      </c>
      <c r="J17" s="3">
        <v>-3.1013763999999998E-4</v>
      </c>
      <c r="K17" s="2"/>
      <c r="L17" s="3"/>
      <c r="M17" s="3"/>
      <c r="N17" s="2">
        <f>IF('Modell einstellen'!$B$1="Voll",H17/0.35,H17/0.35*2)</f>
        <v>3.7700102857142861E-4</v>
      </c>
      <c r="O17" s="2">
        <f>IF('Modell einstellen'!$B$1="Voll",J17/0.35,J17/0.35*2)</f>
        <v>-8.8610754285714283E-4</v>
      </c>
      <c r="P17" s="3">
        <f t="shared" si="0"/>
        <v>0.42545741948639326</v>
      </c>
      <c r="Q17" s="3"/>
      <c r="R17" s="3"/>
      <c r="S17" s="3"/>
      <c r="T17" s="3"/>
      <c r="U17" s="3"/>
    </row>
    <row r="18" spans="1:21" x14ac:dyDescent="0.25">
      <c r="A18" s="3">
        <v>1</v>
      </c>
      <c r="B18" s="3">
        <v>5.5940000000000003E-5</v>
      </c>
      <c r="C18" s="3">
        <v>2.6959999999999999E-4</v>
      </c>
      <c r="D18" s="3">
        <v>-6.198E-4</v>
      </c>
      <c r="E18" s="3">
        <v>0</v>
      </c>
      <c r="F18" s="3">
        <v>0</v>
      </c>
      <c r="G18" s="3">
        <v>0</v>
      </c>
      <c r="H18" s="3">
        <v>1.4568046999999999E-4</v>
      </c>
      <c r="I18" s="3">
        <v>3.0498186000000001E-5</v>
      </c>
      <c r="J18" s="3">
        <v>-3.3249229999999998E-4</v>
      </c>
      <c r="K18" s="2"/>
      <c r="L18" s="3"/>
      <c r="M18" s="3"/>
      <c r="N18" s="2">
        <f>IF('Modell einstellen'!$B$1="Voll",H18/0.35,H18/0.35*2)</f>
        <v>4.1622991428571431E-4</v>
      </c>
      <c r="O18" s="2">
        <f>IF('Modell einstellen'!$B$1="Voll",J18/0.35,J18/0.35*2)</f>
        <v>-9.4997799999999998E-4</v>
      </c>
      <c r="P18" s="3">
        <f t="shared" si="0"/>
        <v>0.43814689843945259</v>
      </c>
      <c r="Q18" s="3"/>
      <c r="R18" s="3"/>
      <c r="S18" s="3"/>
      <c r="T18" s="3"/>
      <c r="U18" s="3"/>
    </row>
    <row r="19" spans="1:21" x14ac:dyDescent="0.25">
      <c r="A19" s="3">
        <v>10</v>
      </c>
      <c r="B19" s="3">
        <v>3.5179999999999999E-5</v>
      </c>
      <c r="C19" s="3">
        <v>3.0400000000000002E-4</v>
      </c>
      <c r="D19" s="3">
        <v>-6.3679999999999997E-4</v>
      </c>
      <c r="E19" s="3">
        <v>0</v>
      </c>
      <c r="F19" s="3">
        <v>0</v>
      </c>
      <c r="G19" s="3">
        <v>0</v>
      </c>
      <c r="H19" s="3">
        <v>1.6601609E-4</v>
      </c>
      <c r="I19" s="3">
        <v>3.5067829999999999E-5</v>
      </c>
      <c r="J19" s="3">
        <v>-3.6945895999999998E-4</v>
      </c>
      <c r="K19" s="2"/>
      <c r="L19" s="3"/>
      <c r="M19" s="3"/>
      <c r="N19" s="2">
        <f>IF('Modell einstellen'!$B$1="Voll",H19/0.35,H19/0.35*2)</f>
        <v>4.7433168571428574E-4</v>
      </c>
      <c r="O19" s="2">
        <f>IF('Modell einstellen'!$B$1="Voll",J19/0.35,J19/0.35*2)</f>
        <v>-1.0555970285714286E-3</v>
      </c>
      <c r="P19" s="3">
        <f t="shared" si="0"/>
        <v>0.44934920511874987</v>
      </c>
      <c r="Q19" s="3"/>
      <c r="R19" s="3"/>
      <c r="S19" s="3"/>
      <c r="T19" s="3"/>
      <c r="U19" s="3"/>
    </row>
    <row r="20" spans="1:21" x14ac:dyDescent="0.25">
      <c r="A20" s="3">
        <v>100</v>
      </c>
      <c r="B20" s="3">
        <v>-2.5629999999999999E-6</v>
      </c>
      <c r="C20" s="3">
        <v>3.7290000000000001E-4</v>
      </c>
      <c r="D20" s="3">
        <v>-6.6969999999999996E-4</v>
      </c>
      <c r="E20" s="3">
        <v>0</v>
      </c>
      <c r="F20" s="3">
        <v>0</v>
      </c>
      <c r="G20" s="3">
        <v>0</v>
      </c>
      <c r="H20" s="3">
        <v>1.9791078000000001E-4</v>
      </c>
      <c r="I20" s="3">
        <v>4.4350425999999999E-5</v>
      </c>
      <c r="J20" s="3">
        <v>-4.3409414999999999E-4</v>
      </c>
      <c r="K20" s="2"/>
      <c r="L20" s="3"/>
      <c r="M20" s="3"/>
      <c r="N20" s="2">
        <f>IF('Modell einstellen'!$B$1="Voll",H20/0.35,H20/0.35*2)</f>
        <v>5.6545937142857153E-4</v>
      </c>
      <c r="O20" s="2">
        <f>IF('Modell einstellen'!$B$1="Voll",J20/0.35,J20/0.35*2)</f>
        <v>-1.240269E-3</v>
      </c>
      <c r="P20" s="3">
        <f t="shared" si="0"/>
        <v>0.45591671760607699</v>
      </c>
      <c r="Q20" s="3"/>
      <c r="R20" s="3"/>
      <c r="S20" s="3"/>
      <c r="T20" s="3"/>
      <c r="U20" s="3"/>
    </row>
    <row r="21" spans="1:21" x14ac:dyDescent="0.25">
      <c r="A21" s="3">
        <v>1000</v>
      </c>
      <c r="B21" s="3">
        <v>-9.5210000000000005E-5</v>
      </c>
      <c r="C21" s="3">
        <v>4.797E-4</v>
      </c>
      <c r="D21" s="3">
        <v>-6.8729999999999996E-4</v>
      </c>
      <c r="E21" s="3">
        <v>0</v>
      </c>
      <c r="F21" s="3">
        <v>0</v>
      </c>
      <c r="G21" s="3">
        <v>0</v>
      </c>
      <c r="H21" s="3">
        <v>2.5151140999999999E-4</v>
      </c>
      <c r="I21" s="3">
        <v>5.9677701999999998E-5</v>
      </c>
      <c r="J21" s="3">
        <v>-5.4228429999999997E-4</v>
      </c>
      <c r="K21" s="2"/>
      <c r="L21" s="3"/>
      <c r="M21" s="3"/>
      <c r="N21" s="2">
        <f>IF('Modell einstellen'!$B$1="Voll",H21/0.35,H21/0.35*2)</f>
        <v>7.1860402857142861E-4</v>
      </c>
      <c r="O21" s="2">
        <f>IF('Modell einstellen'!$B$1="Voll",J21/0.35,J21/0.35*2)</f>
        <v>-1.5493837142857142E-3</v>
      </c>
      <c r="P21" s="3">
        <f t="shared" si="0"/>
        <v>0.46379991085856631</v>
      </c>
      <c r="Q21" s="3"/>
      <c r="R21" s="3"/>
      <c r="S21" s="3"/>
      <c r="T21" s="3"/>
      <c r="U21" s="3"/>
    </row>
    <row r="22" spans="1:21" x14ac:dyDescent="0.25">
      <c r="A22" s="3">
        <v>10000</v>
      </c>
      <c r="B22" s="3">
        <v>-3.4709999999999998E-4</v>
      </c>
      <c r="C22" s="3">
        <v>6.4919999999999995E-4</v>
      </c>
      <c r="D22" s="3">
        <v>-6.1269999999999999E-4</v>
      </c>
      <c r="E22" s="3">
        <v>0</v>
      </c>
      <c r="F22" s="3">
        <v>0</v>
      </c>
      <c r="G22" s="3">
        <v>0</v>
      </c>
      <c r="H22" s="3">
        <v>3.5782369000000001E-4</v>
      </c>
      <c r="I22" s="3">
        <v>8.6423284999999995E-5</v>
      </c>
      <c r="J22" s="3">
        <v>-7.4526522000000004E-4</v>
      </c>
      <c r="K22" s="2"/>
      <c r="L22" s="3"/>
      <c r="M22" s="3"/>
      <c r="N22" s="2">
        <f>IF('Modell einstellen'!$B$1="Voll",H22/0.35,H22/0.35*2)</f>
        <v>1.0223534000000001E-3</v>
      </c>
      <c r="O22" s="2">
        <f>IF('Modell einstellen'!$B$1="Voll",J22/0.35,J22/0.35*2)</f>
        <v>-2.1293292000000002E-3</v>
      </c>
      <c r="P22" s="3">
        <f t="shared" si="0"/>
        <v>0.48012932899243571</v>
      </c>
      <c r="Q22" s="3"/>
      <c r="R22" s="3"/>
      <c r="S22" s="3"/>
      <c r="T22" s="3"/>
      <c r="U22" s="3"/>
    </row>
    <row r="23" spans="1:21" x14ac:dyDescent="0.25">
      <c r="A23" s="3">
        <v>100000</v>
      </c>
      <c r="B23" s="3">
        <v>-1.0280000000000001E-3</v>
      </c>
      <c r="C23" s="3">
        <v>9.4510000000000004E-4</v>
      </c>
      <c r="D23" s="3">
        <v>-2.387E-4</v>
      </c>
      <c r="E23" s="3">
        <v>0</v>
      </c>
      <c r="F23" s="3">
        <v>0</v>
      </c>
      <c r="G23" s="3">
        <v>0</v>
      </c>
      <c r="H23" s="3">
        <v>5.8719743000000004E-4</v>
      </c>
      <c r="I23" s="3">
        <v>1.3826906999999999E-4</v>
      </c>
      <c r="J23" s="3">
        <v>-1.1627618000000001E-3</v>
      </c>
      <c r="K23" s="2"/>
      <c r="L23" s="3"/>
      <c r="M23" s="3"/>
      <c r="N23" s="2">
        <f>IF('Modell einstellen'!$B$1="Voll",H23/0.35,H23/0.35*2)</f>
        <v>1.677706942857143E-3</v>
      </c>
      <c r="O23" s="2">
        <f>IF('Modell einstellen'!$B$1="Voll",J23/0.35,J23/0.35*2)</f>
        <v>-3.3221765714285716E-3</v>
      </c>
      <c r="P23" s="3">
        <f t="shared" si="0"/>
        <v>0.50500234011815659</v>
      </c>
      <c r="Q23" s="3"/>
      <c r="R23" s="3"/>
      <c r="S23" s="3"/>
      <c r="T23" s="3"/>
      <c r="U23" s="3"/>
    </row>
    <row r="24" spans="1:21" x14ac:dyDescent="0.25">
      <c r="A24" s="3">
        <v>1000000</v>
      </c>
      <c r="B24" s="3">
        <v>-2.5929999999999998E-3</v>
      </c>
      <c r="C24" s="3">
        <v>1.469E-3</v>
      </c>
      <c r="D24" s="3">
        <v>7.9390000000000005E-4</v>
      </c>
      <c r="E24" s="3">
        <v>0</v>
      </c>
      <c r="F24" s="3">
        <v>0</v>
      </c>
      <c r="G24" s="3">
        <v>0</v>
      </c>
      <c r="H24" s="3">
        <v>1.0529059999999999E-3</v>
      </c>
      <c r="I24" s="3">
        <v>2.3698472E-4</v>
      </c>
      <c r="J24" s="3">
        <v>-1.9852536E-3</v>
      </c>
      <c r="K24" s="2"/>
      <c r="L24" s="3"/>
      <c r="M24" s="3"/>
      <c r="N24" s="2">
        <f>IF('Modell einstellen'!$B$1="Voll",H24/0.35,H24/0.35*2)</f>
        <v>3.0083028571428572E-3</v>
      </c>
      <c r="O24" s="2">
        <f>IF('Modell einstellen'!$B$1="Voll",J24/0.35,J24/0.35*2)</f>
        <v>-5.6721531428571429E-3</v>
      </c>
      <c r="P24" s="3">
        <f t="shared" si="0"/>
        <v>0.53036347598110389</v>
      </c>
      <c r="Q24" s="3"/>
      <c r="R24" s="3"/>
      <c r="S24" s="3"/>
      <c r="T24" s="3"/>
      <c r="U24" s="3"/>
    </row>
    <row r="25" spans="1:21" x14ac:dyDescent="0.25">
      <c r="A25" s="3">
        <v>10000000</v>
      </c>
      <c r="B25" s="3">
        <v>-5.6750000000000004E-3</v>
      </c>
      <c r="C25" s="3">
        <v>2.4030000000000002E-3</v>
      </c>
      <c r="D25" s="3">
        <v>2.9359999999999998E-3</v>
      </c>
      <c r="E25" s="3">
        <v>0</v>
      </c>
      <c r="F25" s="3">
        <v>0</v>
      </c>
      <c r="G25" s="3">
        <v>0</v>
      </c>
      <c r="H25" s="3">
        <v>1.9269425E-3</v>
      </c>
      <c r="I25" s="3">
        <v>4.1926585000000001E-4</v>
      </c>
      <c r="J25" s="3">
        <v>-3.5112160000000002E-3</v>
      </c>
      <c r="K25" s="2"/>
      <c r="L25" s="3"/>
      <c r="M25" s="3"/>
      <c r="N25" s="2">
        <f>IF('Modell einstellen'!$B$1="Voll",H25/0.35,H25/0.35*2)</f>
        <v>5.5055500000000005E-3</v>
      </c>
      <c r="O25" s="2">
        <f>IF('Modell einstellen'!$B$1="Voll",J25/0.35,J25/0.35*2)</f>
        <v>-1.0032045714285715E-2</v>
      </c>
      <c r="P25" s="3">
        <f t="shared" si="0"/>
        <v>0.54879634291937607</v>
      </c>
      <c r="Q25" s="3"/>
      <c r="R25" s="3"/>
      <c r="S25" s="3"/>
      <c r="T25" s="3"/>
      <c r="U25" s="3"/>
    </row>
    <row r="26" spans="1:21" x14ac:dyDescent="0.25">
      <c r="A26" s="3">
        <v>100000000</v>
      </c>
      <c r="B26" s="3">
        <v>-1.076E-2</v>
      </c>
      <c r="C26" s="3">
        <v>3.8899999999999998E-3</v>
      </c>
      <c r="D26" s="3">
        <v>6.5329999999999997E-3</v>
      </c>
      <c r="E26" s="3">
        <v>0</v>
      </c>
      <c r="F26" s="3">
        <v>0</v>
      </c>
      <c r="G26" s="3">
        <v>0</v>
      </c>
      <c r="H26" s="3">
        <v>3.3445340000000001E-3</v>
      </c>
      <c r="I26" s="3">
        <v>7.1582773000000005E-4</v>
      </c>
      <c r="J26" s="3">
        <v>-5.9690409999999996E-3</v>
      </c>
      <c r="K26" s="2"/>
      <c r="L26" s="3"/>
      <c r="M26" s="3"/>
      <c r="N26" s="2">
        <f>IF('Modell einstellen'!$B$1="Voll",H26/0.35,H26/0.35*2)</f>
        <v>9.5558114285714292E-3</v>
      </c>
      <c r="O26" s="2">
        <f>IF('Modell einstellen'!$B$1="Voll",J26/0.35,J26/0.35*2)</f>
        <v>-1.7054402857142856E-2</v>
      </c>
      <c r="P26" s="3">
        <f t="shared" si="0"/>
        <v>0.56031345738787863</v>
      </c>
      <c r="Q26" s="3"/>
      <c r="R26" s="3"/>
      <c r="S26" s="3"/>
      <c r="T26" s="3"/>
      <c r="U26" s="3"/>
    </row>
    <row r="27" spans="1:21" x14ac:dyDescent="0.25">
      <c r="A27" s="3">
        <v>1000000000</v>
      </c>
      <c r="B27" s="3">
        <v>-1.421E-2</v>
      </c>
      <c r="C27" s="3">
        <v>4.96E-3</v>
      </c>
      <c r="D27" s="3">
        <v>8.914E-3</v>
      </c>
      <c r="E27" s="3">
        <v>0</v>
      </c>
      <c r="F27" s="3">
        <v>0</v>
      </c>
      <c r="G27" s="3">
        <v>0</v>
      </c>
      <c r="H27" s="3">
        <v>4.2917488E-3</v>
      </c>
      <c r="I27" s="3">
        <v>9.3402712999999995E-4</v>
      </c>
      <c r="J27" s="3">
        <v>-7.6679744999999999E-3</v>
      </c>
      <c r="K27" s="2"/>
      <c r="L27" s="3"/>
      <c r="M27" s="3"/>
      <c r="N27" s="2">
        <f>IF('Modell einstellen'!$B$1="Voll",H27/0.35,H27/0.35*2)</f>
        <v>1.226213942857143E-2</v>
      </c>
      <c r="O27" s="2">
        <f>IF('Modell einstellen'!$B$1="Voll",J27/0.35,J27/0.35*2)</f>
        <v>-2.1908498571428573E-2</v>
      </c>
      <c r="P27" s="3">
        <f t="shared" si="0"/>
        <v>0.55969784458725058</v>
      </c>
      <c r="Q27" s="3"/>
      <c r="R27" s="3"/>
      <c r="S27" s="3"/>
      <c r="T27" s="3"/>
      <c r="U27" s="3"/>
    </row>
    <row r="28" spans="1:21" x14ac:dyDescent="0.25">
      <c r="A28" s="3">
        <v>10000000000</v>
      </c>
      <c r="B28" s="3">
        <v>-1.5769999999999999E-2</v>
      </c>
      <c r="C28" s="3">
        <v>5.4999999999999997E-3</v>
      </c>
      <c r="D28" s="3">
        <v>9.9389999999999999E-3</v>
      </c>
      <c r="E28" s="3">
        <v>0</v>
      </c>
      <c r="F28" s="3">
        <v>0</v>
      </c>
      <c r="G28" s="3">
        <v>0</v>
      </c>
      <c r="H28" s="3">
        <v>4.7147951000000004E-3</v>
      </c>
      <c r="I28" s="3">
        <v>1.0463344E-3</v>
      </c>
      <c r="J28" s="3">
        <v>-8.4752735999999995E-3</v>
      </c>
      <c r="K28" s="2"/>
      <c r="L28" s="3"/>
      <c r="M28" s="3"/>
      <c r="N28" s="2">
        <f>IF('Modell einstellen'!$B$1="Voll",H28/0.35,H28/0.35*2)</f>
        <v>1.3470843142857144E-2</v>
      </c>
      <c r="O28" s="2">
        <f>IF('Modell einstellen'!$B$1="Voll",J28/0.35,J28/0.35*2)</f>
        <v>-2.4215067428571428E-2</v>
      </c>
      <c r="P28" s="3">
        <f t="shared" si="0"/>
        <v>0.55630004676191225</v>
      </c>
      <c r="Q28" s="3"/>
      <c r="R28" s="3"/>
      <c r="S28" s="3"/>
      <c r="T28" s="3"/>
      <c r="U28" s="3"/>
    </row>
    <row r="29" spans="1:21" x14ac:dyDescent="0.25">
      <c r="A29" s="3">
        <v>100000000000</v>
      </c>
      <c r="B29" s="3">
        <v>-1.6910000000000001E-2</v>
      </c>
      <c r="C29" s="3">
        <v>5.8869999999999999E-3</v>
      </c>
      <c r="D29" s="3">
        <v>1.069E-2</v>
      </c>
      <c r="E29" s="3">
        <v>0</v>
      </c>
      <c r="F29" s="3">
        <v>0</v>
      </c>
      <c r="G29" s="3">
        <v>0</v>
      </c>
      <c r="H29" s="3">
        <v>5.0319281999999998E-3</v>
      </c>
      <c r="I29" s="3">
        <v>1.1281901999999999E-3</v>
      </c>
      <c r="J29" s="3">
        <v>-9.0704361000000008E-3</v>
      </c>
      <c r="K29" s="2"/>
      <c r="L29" s="3"/>
      <c r="M29" s="3"/>
      <c r="N29" s="2">
        <f>IF('Modell einstellen'!$B$1="Voll",H29/0.35,H29/0.35*2)</f>
        <v>1.4376937714285715E-2</v>
      </c>
      <c r="O29" s="2">
        <f>IF('Modell einstellen'!$B$1="Voll",J29/0.35,J29/0.35*2)</f>
        <v>-2.5915531714285719E-2</v>
      </c>
      <c r="P29" s="3">
        <f t="shared" si="0"/>
        <v>0.55476144085288237</v>
      </c>
      <c r="Q29" s="3"/>
      <c r="R29" s="3"/>
      <c r="S29" s="3"/>
      <c r="T29" s="3"/>
      <c r="U29" s="3"/>
    </row>
    <row r="30" spans="1:21" x14ac:dyDescent="0.25">
      <c r="A30" s="3">
        <v>1000000000000</v>
      </c>
      <c r="B30" s="3">
        <v>-1.6930000000000001E-2</v>
      </c>
      <c r="C30" s="3">
        <v>5.8929999999999998E-3</v>
      </c>
      <c r="D30" s="3">
        <v>1.0699999999999999E-2</v>
      </c>
      <c r="E30" s="3">
        <v>0</v>
      </c>
      <c r="F30" s="3">
        <v>0</v>
      </c>
      <c r="G30" s="3">
        <v>0</v>
      </c>
      <c r="H30" s="3">
        <v>5.0368977999999997E-3</v>
      </c>
      <c r="I30" s="3">
        <v>1.1293097E-3</v>
      </c>
      <c r="J30" s="3">
        <v>-9.0791696000000009E-3</v>
      </c>
      <c r="K30" s="2"/>
      <c r="L30" s="3"/>
      <c r="M30" s="3"/>
      <c r="N30" s="2">
        <f>IF('Modell einstellen'!$B$1="Voll",H30/0.35,H30/0.35*2)</f>
        <v>1.4391136571428572E-2</v>
      </c>
      <c r="O30" s="2">
        <f>IF('Modell einstellen'!$B$1="Voll",J30/0.35,J30/0.35*2)</f>
        <v>-2.5940484571428574E-2</v>
      </c>
      <c r="P30" s="3">
        <f t="shared" si="0"/>
        <v>0.55477516357883649</v>
      </c>
      <c r="Q30" s="3"/>
      <c r="R30" s="3"/>
      <c r="S30" s="3"/>
      <c r="T30" s="3"/>
      <c r="U30" s="3"/>
    </row>
    <row r="31" spans="1:21" x14ac:dyDescent="0.25">
      <c r="A31" s="3">
        <v>10000000000000</v>
      </c>
      <c r="B31" s="3">
        <v>-1.6930000000000001E-2</v>
      </c>
      <c r="C31" s="3">
        <v>5.8970000000000003E-3</v>
      </c>
      <c r="D31" s="3">
        <v>1.0699999999999999E-2</v>
      </c>
      <c r="E31" s="3">
        <v>0</v>
      </c>
      <c r="F31" s="3">
        <v>0</v>
      </c>
      <c r="G31" s="3">
        <v>0</v>
      </c>
      <c r="H31" s="3">
        <v>5.0354518000000001E-3</v>
      </c>
      <c r="I31" s="3">
        <v>1.1301810000000001E-3</v>
      </c>
      <c r="J31" s="3">
        <v>-9.0808455000000003E-3</v>
      </c>
      <c r="K31" s="2"/>
      <c r="L31" s="3"/>
      <c r="M31" s="3"/>
      <c r="N31" s="2">
        <f>IF('Modell einstellen'!$B$1="Voll",H31/0.35,H31/0.35*2)</f>
        <v>1.4387005142857144E-2</v>
      </c>
      <c r="O31" s="2">
        <f>IF('Modell einstellen'!$B$1="Voll",J31/0.35,J31/0.35*2)</f>
        <v>-2.5945272857142859E-2</v>
      </c>
      <c r="P31" s="3">
        <f t="shared" si="0"/>
        <v>0.55451354171811429</v>
      </c>
      <c r="Q31" s="3"/>
      <c r="R31" s="3"/>
      <c r="S31" s="3"/>
      <c r="T31" s="3"/>
      <c r="U31" s="3"/>
    </row>
    <row r="32" spans="1:21" x14ac:dyDescent="0.25">
      <c r="A32" s="3">
        <v>100000000000000</v>
      </c>
      <c r="B32" s="3">
        <v>-1.6930000000000001E-2</v>
      </c>
      <c r="C32" s="3">
        <v>5.8999999999999999E-3</v>
      </c>
      <c r="D32" s="3">
        <v>1.0699999999999999E-2</v>
      </c>
      <c r="E32" s="3">
        <v>0</v>
      </c>
      <c r="F32" s="3">
        <v>0</v>
      </c>
      <c r="G32" s="3">
        <v>0</v>
      </c>
      <c r="H32" s="3">
        <v>5.0342601000000001E-3</v>
      </c>
      <c r="I32" s="3">
        <v>1.1309001E-3</v>
      </c>
      <c r="J32" s="3">
        <v>-9.0822299000000006E-3</v>
      </c>
      <c r="K32" s="2"/>
      <c r="L32" s="3"/>
      <c r="M32" s="3"/>
      <c r="N32" s="2">
        <f>IF('Modell einstellen'!$B$1="Voll",H32/0.35,H32/0.35*2)</f>
        <v>1.4383600285714287E-2</v>
      </c>
      <c r="O32" s="2">
        <f>IF('Modell einstellen'!$B$1="Voll",J32/0.35,J32/0.35*2)</f>
        <v>-2.594922828571429E-2</v>
      </c>
      <c r="P32" s="3">
        <f t="shared" si="0"/>
        <v>0.55429780521191163</v>
      </c>
      <c r="Q32" s="3"/>
      <c r="R32" s="3"/>
      <c r="S32" s="3"/>
      <c r="T32" s="3"/>
      <c r="U32" s="3"/>
    </row>
    <row r="33" spans="1:21" x14ac:dyDescent="0.25">
      <c r="A33" s="2">
        <v>1000000000000000</v>
      </c>
      <c r="B33" s="3">
        <v>-1.6930000000000001E-2</v>
      </c>
      <c r="C33" s="3">
        <v>5.9030000000000003E-3</v>
      </c>
      <c r="D33" s="3">
        <v>1.069E-2</v>
      </c>
      <c r="E33" s="3">
        <v>0</v>
      </c>
      <c r="F33" s="3">
        <v>0</v>
      </c>
      <c r="G33" s="3">
        <v>0</v>
      </c>
      <c r="H33" s="3">
        <v>5.0331786000000003E-3</v>
      </c>
      <c r="I33" s="3">
        <v>1.1315526000000001E-3</v>
      </c>
      <c r="J33" s="3">
        <v>-9.0834868000000003E-3</v>
      </c>
      <c r="K33" s="2"/>
      <c r="L33" s="3"/>
      <c r="M33" s="3"/>
      <c r="N33" s="2">
        <f>IF('Modell einstellen'!$B$1="Voll",H33/0.35,H33/0.35*2)</f>
        <v>1.4380510285714288E-2</v>
      </c>
      <c r="O33" s="2">
        <f>IF('Modell einstellen'!$B$1="Voll",J33/0.35,J33/0.35*2)</f>
        <v>-2.595281942857143E-2</v>
      </c>
      <c r="P33" s="3">
        <f t="shared" si="0"/>
        <v>0.55410204372180083</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9.7990000000000002E-5</v>
      </c>
      <c r="C3" s="3">
        <v>1.9929999999999999E-4</v>
      </c>
      <c r="D3" s="3">
        <v>-5.6789999999999998E-4</v>
      </c>
      <c r="E3" s="3">
        <v>0</v>
      </c>
      <c r="F3" s="3">
        <v>0</v>
      </c>
      <c r="G3" s="3">
        <v>0</v>
      </c>
      <c r="H3" s="3">
        <v>8.8978270000000006E-5</v>
      </c>
      <c r="I3" s="3">
        <v>2.1384642999999999E-5</v>
      </c>
      <c r="J3" s="3">
        <v>-2.3877429000000001E-4</v>
      </c>
      <c r="L3" s="3">
        <f>-B3/D3</f>
        <v>0.1725479837999648</v>
      </c>
      <c r="M3" s="3"/>
      <c r="N3" s="2">
        <f>IF('Modell einstellen'!$B$1="Voll",H3/0.35,H3/0.35*2)</f>
        <v>2.5422362857142861E-4</v>
      </c>
      <c r="O3" s="2">
        <f>IF('Modell einstellen'!$B$1="Voll",J3/0.35,J3/0.35*2)</f>
        <v>-6.8221225714285721E-4</v>
      </c>
      <c r="P3" s="3">
        <f>-N3/O3</f>
        <v>0.3726459410684459</v>
      </c>
    </row>
    <row r="4" spans="1:16" x14ac:dyDescent="0.25">
      <c r="A4" s="3">
        <v>1E-14</v>
      </c>
      <c r="B4" s="3">
        <v>9.6509999999999996E-5</v>
      </c>
      <c r="C4" s="3">
        <v>2.0809999999999999E-4</v>
      </c>
      <c r="D4" s="3">
        <v>-5.7819999999999996E-4</v>
      </c>
      <c r="E4" s="3">
        <v>0</v>
      </c>
      <c r="F4" s="3">
        <v>0</v>
      </c>
      <c r="G4" s="3">
        <v>0</v>
      </c>
      <c r="H4" s="3">
        <v>9.4730627999999994E-5</v>
      </c>
      <c r="I4" s="3">
        <v>2.2461944E-5</v>
      </c>
      <c r="J4" s="3">
        <v>-2.4890904000000001E-4</v>
      </c>
      <c r="L4" s="3">
        <f t="shared" ref="L4:L33" si="0">-B4/D4</f>
        <v>0.16691456243514355</v>
      </c>
      <c r="M4" s="3"/>
      <c r="N4" s="2">
        <f>IF('Modell einstellen'!$B$1="Voll",H4/0.35,H4/0.35*2)</f>
        <v>2.7065893714285714E-4</v>
      </c>
      <c r="O4" s="2">
        <f>IF('Modell einstellen'!$B$1="Voll",J4/0.35,J4/0.35*2)</f>
        <v>-7.1116868571428579E-4</v>
      </c>
      <c r="P4" s="3">
        <f t="shared" ref="P4:P33" si="1">-N4/O4</f>
        <v>0.38058331670075135</v>
      </c>
    </row>
    <row r="5" spans="1:16" x14ac:dyDescent="0.25">
      <c r="A5" s="3">
        <v>1E-13</v>
      </c>
      <c r="B5" s="3">
        <v>9.4149999999999998E-5</v>
      </c>
      <c r="C5" s="3">
        <v>2.1680000000000001E-4</v>
      </c>
      <c r="D5" s="3">
        <v>-5.8739999999999997E-4</v>
      </c>
      <c r="E5" s="3">
        <v>0</v>
      </c>
      <c r="F5" s="3">
        <v>0</v>
      </c>
      <c r="G5" s="3">
        <v>0</v>
      </c>
      <c r="H5" s="3">
        <v>1.0068326E-4</v>
      </c>
      <c r="I5" s="3">
        <v>2.3538458E-5</v>
      </c>
      <c r="J5" s="3">
        <v>-2.5923557000000002E-4</v>
      </c>
      <c r="L5" s="3">
        <f t="shared" si="0"/>
        <v>0.16028260129383726</v>
      </c>
      <c r="M5" s="3"/>
      <c r="N5" s="2">
        <f>IF('Modell einstellen'!$B$1="Voll",H5/0.35,H5/0.35*2)</f>
        <v>2.8766645714285716E-4</v>
      </c>
      <c r="O5" s="2">
        <f>IF('Modell einstellen'!$B$1="Voll",J5/0.35,J5/0.35*2)</f>
        <v>-7.4067305714285725E-4</v>
      </c>
      <c r="P5" s="3">
        <f t="shared" si="1"/>
        <v>0.38838520500871077</v>
      </c>
    </row>
    <row r="6" spans="1:16" x14ac:dyDescent="0.25">
      <c r="A6" s="3">
        <v>9.9999999999999998E-13</v>
      </c>
      <c r="B6" s="3">
        <v>9.0099999999999995E-5</v>
      </c>
      <c r="C6" s="3">
        <v>2.273E-4</v>
      </c>
      <c r="D6" s="3">
        <v>-5.9730000000000004E-4</v>
      </c>
      <c r="E6" s="3">
        <v>0</v>
      </c>
      <c r="F6" s="3">
        <v>0</v>
      </c>
      <c r="G6" s="3">
        <v>0</v>
      </c>
      <c r="H6" s="3">
        <v>1.082682E-4</v>
      </c>
      <c r="I6" s="3">
        <v>2.4855804000000001E-5</v>
      </c>
      <c r="J6" s="3">
        <v>-2.7216288000000001E-4</v>
      </c>
      <c r="L6" s="3">
        <f t="shared" si="0"/>
        <v>0.15084547128746023</v>
      </c>
      <c r="M6" s="3"/>
      <c r="N6" s="2">
        <f>IF('Modell einstellen'!$B$1="Voll",H6/0.35,H6/0.35*2)</f>
        <v>3.0933771428571431E-4</v>
      </c>
      <c r="O6" s="2">
        <f>IF('Modell einstellen'!$B$1="Voll",J6/0.35,J6/0.35*2)</f>
        <v>-7.7760822857142866E-4</v>
      </c>
      <c r="P6" s="3">
        <f t="shared" si="1"/>
        <v>0.39780663696680457</v>
      </c>
    </row>
    <row r="7" spans="1:16" x14ac:dyDescent="0.25">
      <c r="A7" s="3">
        <v>9.9999999999999994E-12</v>
      </c>
      <c r="B7" s="3">
        <v>8.4090000000000003E-5</v>
      </c>
      <c r="C7" s="3">
        <v>2.385E-4</v>
      </c>
      <c r="D7" s="3">
        <v>-6.0610000000000004E-4</v>
      </c>
      <c r="E7" s="3">
        <v>0</v>
      </c>
      <c r="F7" s="3">
        <v>0</v>
      </c>
      <c r="G7" s="3">
        <v>0</v>
      </c>
      <c r="H7" s="3">
        <v>1.1696488999999999E-4</v>
      </c>
      <c r="I7" s="3">
        <v>2.6293913000000001E-5</v>
      </c>
      <c r="J7" s="3">
        <v>-2.8668235999999999E-4</v>
      </c>
      <c r="L7" s="3">
        <f t="shared" si="0"/>
        <v>0.1387394819336743</v>
      </c>
      <c r="M7" s="3"/>
      <c r="N7" s="2">
        <f>IF('Modell einstellen'!$B$1="Voll",H7/0.35,H7/0.35*2)</f>
        <v>3.341854E-4</v>
      </c>
      <c r="O7" s="2">
        <f>IF('Modell einstellen'!$B$1="Voll",J7/0.35,J7/0.35*2)</f>
        <v>-8.190924571428572E-4</v>
      </c>
      <c r="P7" s="3">
        <f t="shared" si="1"/>
        <v>0.40799472280052385</v>
      </c>
    </row>
    <row r="8" spans="1:16" x14ac:dyDescent="0.25">
      <c r="A8" s="3">
        <v>1E-10</v>
      </c>
      <c r="B8" s="3">
        <v>7.5450000000000004E-5</v>
      </c>
      <c r="C8" s="3">
        <v>2.5060000000000002E-4</v>
      </c>
      <c r="D8" s="3">
        <v>-6.1370000000000001E-4</v>
      </c>
      <c r="E8" s="3">
        <v>0</v>
      </c>
      <c r="F8" s="3">
        <v>0</v>
      </c>
      <c r="G8" s="3">
        <v>0</v>
      </c>
      <c r="H8" s="3">
        <v>1.2719055E-4</v>
      </c>
      <c r="I8" s="3">
        <v>2.7897587999999999E-5</v>
      </c>
      <c r="J8" s="3">
        <v>-3.0339377000000001E-4</v>
      </c>
      <c r="L8" s="3">
        <f t="shared" si="0"/>
        <v>0.12294280593123677</v>
      </c>
      <c r="M8" s="3"/>
      <c r="N8" s="2">
        <f>IF('Modell einstellen'!$B$1="Voll",H8/0.35,H8/0.35*2)</f>
        <v>3.6340157142857147E-4</v>
      </c>
      <c r="O8" s="2">
        <f>IF('Modell einstellen'!$B$1="Voll",J8/0.35,J8/0.35*2)</f>
        <v>-8.6683934285714296E-4</v>
      </c>
      <c r="P8" s="3">
        <f t="shared" si="1"/>
        <v>0.41922597817351359</v>
      </c>
    </row>
    <row r="9" spans="1:16" x14ac:dyDescent="0.25">
      <c r="A9" s="3">
        <v>1.0000000000000001E-9</v>
      </c>
      <c r="B9" s="3">
        <v>6.2580000000000001E-5</v>
      </c>
      <c r="C9" s="3">
        <v>2.6449999999999998E-4</v>
      </c>
      <c r="D9" s="3">
        <v>-6.1919999999999998E-4</v>
      </c>
      <c r="E9" s="3">
        <v>0</v>
      </c>
      <c r="F9" s="3">
        <v>0</v>
      </c>
      <c r="G9" s="3">
        <v>0</v>
      </c>
      <c r="H9" s="3">
        <v>1.3990635000000001E-4</v>
      </c>
      <c r="I9" s="3">
        <v>2.9768210000000001E-5</v>
      </c>
      <c r="J9" s="3">
        <v>-3.2366778E-4</v>
      </c>
      <c r="L9" s="3">
        <f t="shared" si="0"/>
        <v>0.10106589147286822</v>
      </c>
      <c r="M9" s="3"/>
      <c r="N9" s="2">
        <f>IF('Modell einstellen'!$B$1="Voll",H9/0.35,H9/0.35*2)</f>
        <v>3.9973242857142864E-4</v>
      </c>
      <c r="O9" s="2">
        <f>IF('Modell einstellen'!$B$1="Voll",J9/0.35,J9/0.35*2)</f>
        <v>-9.2476508571428574E-4</v>
      </c>
      <c r="P9" s="3">
        <f t="shared" si="1"/>
        <v>0.4322529415810249</v>
      </c>
    </row>
    <row r="10" spans="1:16" x14ac:dyDescent="0.25">
      <c r="A10" s="3">
        <v>1E-8</v>
      </c>
      <c r="B10" s="3">
        <v>4.1539999999999999E-5</v>
      </c>
      <c r="C10" s="3">
        <v>2.8170000000000002E-4</v>
      </c>
      <c r="D10" s="3">
        <v>-6.2100000000000002E-4</v>
      </c>
      <c r="E10" s="3">
        <v>0</v>
      </c>
      <c r="F10" s="3">
        <v>0</v>
      </c>
      <c r="G10" s="3">
        <v>0</v>
      </c>
      <c r="H10" s="3">
        <v>1.5756017999999999E-4</v>
      </c>
      <c r="I10" s="3">
        <v>3.2173070999999999E-5</v>
      </c>
      <c r="J10" s="3">
        <v>-3.5103074999999999E-4</v>
      </c>
      <c r="L10" s="3">
        <f t="shared" si="0"/>
        <v>6.6892109500805152E-2</v>
      </c>
      <c r="M10" s="3"/>
      <c r="N10" s="2">
        <f>IF('Modell einstellen'!$B$1="Voll",H10/0.35,H10/0.35*2)</f>
        <v>4.5017194285714286E-4</v>
      </c>
      <c r="O10" s="2">
        <f>IF('Modell einstellen'!$B$1="Voll",J10/0.35,J10/0.35*2)</f>
        <v>-1.0029450000000001E-3</v>
      </c>
      <c r="P10" s="3">
        <f t="shared" si="1"/>
        <v>0.44885007937338817</v>
      </c>
    </row>
    <row r="11" spans="1:16" x14ac:dyDescent="0.25">
      <c r="A11" s="3">
        <v>9.9999999999999995E-8</v>
      </c>
      <c r="B11" s="3">
        <v>-2.9540000000000001E-7</v>
      </c>
      <c r="C11" s="3">
        <v>3.0620000000000002E-4</v>
      </c>
      <c r="D11" s="3">
        <v>-6.1169999999999996E-4</v>
      </c>
      <c r="E11" s="3">
        <v>0</v>
      </c>
      <c r="F11" s="3">
        <v>0</v>
      </c>
      <c r="G11" s="3">
        <v>0</v>
      </c>
      <c r="H11" s="3">
        <v>1.8703211999999999E-4</v>
      </c>
      <c r="I11" s="3">
        <v>3.5751323000000001E-5</v>
      </c>
      <c r="J11" s="3">
        <v>-3.9493790999999999E-4</v>
      </c>
      <c r="L11" s="3">
        <f t="shared" si="0"/>
        <v>-4.8291646231812986E-4</v>
      </c>
      <c r="M11" s="3"/>
      <c r="N11" s="2">
        <f>IF('Modell einstellen'!$B$1="Voll",H11/0.35,H11/0.35*2)</f>
        <v>5.3437748571428568E-4</v>
      </c>
      <c r="O11" s="2">
        <f>IF('Modell einstellen'!$B$1="Voll",J11/0.35,J11/0.35*2)</f>
        <v>-1.1283940285714287E-3</v>
      </c>
      <c r="P11" s="3">
        <f t="shared" si="1"/>
        <v>0.47357347892989043</v>
      </c>
    </row>
    <row r="12" spans="1:16" x14ac:dyDescent="0.25">
      <c r="A12" s="3">
        <v>9.9999999999999995E-7</v>
      </c>
      <c r="B12" s="3">
        <v>-8.7029999999999999E-5</v>
      </c>
      <c r="C12" s="3">
        <v>3.39E-4</v>
      </c>
      <c r="D12" s="3">
        <v>-5.687E-4</v>
      </c>
      <c r="E12" s="3">
        <v>0</v>
      </c>
      <c r="F12" s="3">
        <v>0</v>
      </c>
      <c r="G12" s="3">
        <v>0</v>
      </c>
      <c r="H12" s="3">
        <v>2.3801333000000001E-4</v>
      </c>
      <c r="I12" s="3">
        <v>4.0913603000000002E-5</v>
      </c>
      <c r="J12" s="3">
        <v>-4.6672697000000002E-4</v>
      </c>
      <c r="L12" s="3">
        <f t="shared" si="0"/>
        <v>-0.15303323369087393</v>
      </c>
      <c r="M12" s="3"/>
      <c r="N12" s="2">
        <f>IF('Modell einstellen'!$B$1="Voll",H12/0.35,H12/0.35*2)</f>
        <v>6.8003808571428582E-4</v>
      </c>
      <c r="O12" s="2">
        <f>IF('Modell einstellen'!$B$1="Voll",J12/0.35,J12/0.35*2)</f>
        <v>-1.3335056285714287E-3</v>
      </c>
      <c r="P12" s="3">
        <f t="shared" si="1"/>
        <v>0.50996266618147224</v>
      </c>
    </row>
    <row r="13" spans="1:16" x14ac:dyDescent="0.25">
      <c r="A13" s="3">
        <v>1.0000000000000001E-5</v>
      </c>
      <c r="B13" s="3">
        <v>-2.8459999999999998E-4</v>
      </c>
      <c r="C13" s="3">
        <v>3.8170000000000001E-4</v>
      </c>
      <c r="D13" s="3">
        <v>-4.282E-4</v>
      </c>
      <c r="E13" s="3">
        <v>0</v>
      </c>
      <c r="F13" s="3">
        <v>0</v>
      </c>
      <c r="G13" s="3">
        <v>0</v>
      </c>
      <c r="H13" s="3">
        <v>3.3663247999999999E-4</v>
      </c>
      <c r="I13" s="3">
        <v>4.8421102000000002E-5</v>
      </c>
      <c r="J13" s="3">
        <v>-5.9555557E-4</v>
      </c>
      <c r="L13" s="3">
        <f t="shared" si="0"/>
        <v>-0.66464269033162071</v>
      </c>
      <c r="M13" s="3"/>
      <c r="N13" s="2">
        <f>IF('Modell einstellen'!$B$1="Voll",H13/0.35,H13/0.35*2)</f>
        <v>9.6180708571428578E-4</v>
      </c>
      <c r="O13" s="2">
        <f>IF('Modell einstellen'!$B$1="Voll",J13/0.35,J13/0.35*2)</f>
        <v>-1.7015873428571429E-3</v>
      </c>
      <c r="P13" s="3">
        <f t="shared" si="1"/>
        <v>0.56524109076840645</v>
      </c>
    </row>
    <row r="14" spans="1:16" x14ac:dyDescent="0.25">
      <c r="A14" s="3">
        <v>1E-4</v>
      </c>
      <c r="B14" s="3">
        <v>-8.0060000000000005E-4</v>
      </c>
      <c r="C14" s="3">
        <v>4.3239999999999999E-4</v>
      </c>
      <c r="D14" s="3">
        <v>1.959E-5</v>
      </c>
      <c r="E14" s="3">
        <v>0</v>
      </c>
      <c r="F14" s="3">
        <v>0</v>
      </c>
      <c r="G14" s="3">
        <v>0</v>
      </c>
      <c r="H14" s="3">
        <v>5.6307153999999996E-4</v>
      </c>
      <c r="I14" s="3">
        <v>5.9062421999999999E-5</v>
      </c>
      <c r="J14" s="3">
        <v>-8.6452413E-4</v>
      </c>
      <c r="L14" s="3">
        <f t="shared" si="0"/>
        <v>40.867789688616639</v>
      </c>
      <c r="M14" s="3"/>
      <c r="N14" s="2">
        <f>IF('Modell einstellen'!$B$1="Voll",H14/0.35,H14/0.35*2)</f>
        <v>1.6087758285714285E-3</v>
      </c>
      <c r="O14" s="2">
        <f>IF('Modell einstellen'!$B$1="Voll",J14/0.35,J14/0.35*2)</f>
        <v>-2.4700689428571432E-3</v>
      </c>
      <c r="P14" s="3">
        <f t="shared" si="1"/>
        <v>0.65130806701716915</v>
      </c>
    </row>
    <row r="15" spans="1:16" x14ac:dyDescent="0.25">
      <c r="A15" s="3">
        <v>1E-3</v>
      </c>
      <c r="B15" s="3">
        <v>-1.9810000000000001E-3</v>
      </c>
      <c r="C15" s="3">
        <v>4.7919999999999999E-4</v>
      </c>
      <c r="D15" s="3">
        <v>1.139E-3</v>
      </c>
      <c r="E15" s="3">
        <v>0</v>
      </c>
      <c r="F15" s="3">
        <v>0</v>
      </c>
      <c r="G15" s="3">
        <v>0</v>
      </c>
      <c r="H15" s="3">
        <v>1.0456093E-3</v>
      </c>
      <c r="I15" s="3">
        <v>7.0593486000000003E-5</v>
      </c>
      <c r="J15" s="3">
        <v>-1.3911080000000001E-3</v>
      </c>
      <c r="L15" s="3">
        <f t="shared" si="0"/>
        <v>1.7392449517120281</v>
      </c>
      <c r="M15" s="3"/>
      <c r="N15" s="2">
        <f>IF('Modell einstellen'!$B$1="Voll",H15/0.35,H15/0.35*2)</f>
        <v>2.9874551428571428E-3</v>
      </c>
      <c r="O15" s="2">
        <f>IF('Modell einstellen'!$B$1="Voll",J15/0.35,J15/0.35*2)</f>
        <v>-3.9745942857142861E-3</v>
      </c>
      <c r="P15" s="3">
        <f t="shared" si="1"/>
        <v>0.75163775925377463</v>
      </c>
    </row>
    <row r="16" spans="1:16" x14ac:dyDescent="0.25">
      <c r="A16" s="3">
        <v>0.01</v>
      </c>
      <c r="B16" s="3">
        <v>-4.333E-3</v>
      </c>
      <c r="C16" s="3">
        <v>5.7569999999999995E-4</v>
      </c>
      <c r="D16" s="3">
        <v>3.388E-3</v>
      </c>
      <c r="E16" s="3">
        <v>0</v>
      </c>
      <c r="F16" s="3">
        <v>0</v>
      </c>
      <c r="G16" s="3">
        <v>0</v>
      </c>
      <c r="H16" s="3">
        <v>1.9677128000000002E-3</v>
      </c>
      <c r="I16" s="3">
        <v>8.9697834000000007E-5</v>
      </c>
      <c r="J16" s="3">
        <v>-2.3766009999999999E-3</v>
      </c>
      <c r="L16" s="3">
        <f t="shared" si="0"/>
        <v>1.2789256198347108</v>
      </c>
      <c r="M16" s="3"/>
      <c r="N16" s="2">
        <f>IF('Modell einstellen'!$B$1="Voll",H16/0.35,H16/0.35*2)</f>
        <v>5.6220365714285724E-3</v>
      </c>
      <c r="O16" s="2">
        <f>IF('Modell einstellen'!$B$1="Voll",J16/0.35,J16/0.35*2)</f>
        <v>-6.7902885714285714E-3</v>
      </c>
      <c r="P16" s="3">
        <f t="shared" si="1"/>
        <v>0.82795252547651055</v>
      </c>
    </row>
    <row r="17" spans="1:16" x14ac:dyDescent="0.25">
      <c r="A17" s="3">
        <v>0.1</v>
      </c>
      <c r="B17" s="3">
        <v>-8.7250000000000001E-3</v>
      </c>
      <c r="C17" s="3">
        <v>9.1819999999999998E-4</v>
      </c>
      <c r="D17" s="3">
        <v>7.4380000000000002E-3</v>
      </c>
      <c r="E17" s="3">
        <v>0</v>
      </c>
      <c r="F17" s="3">
        <v>0</v>
      </c>
      <c r="G17" s="3">
        <v>0</v>
      </c>
      <c r="H17" s="3">
        <v>3.6055184E-3</v>
      </c>
      <c r="I17" s="3">
        <v>1.4885880000000001E-4</v>
      </c>
      <c r="J17" s="3">
        <v>-4.2007872999999998E-3</v>
      </c>
      <c r="L17" s="3">
        <f t="shared" si="0"/>
        <v>1.1730303845119656</v>
      </c>
      <c r="M17" s="3"/>
      <c r="N17" s="2">
        <f>IF('Modell einstellen'!$B$1="Voll",H17/0.35,H17/0.35*2)</f>
        <v>1.0301481142857144E-2</v>
      </c>
      <c r="O17" s="2">
        <f>IF('Modell einstellen'!$B$1="Voll",J17/0.35,J17/0.35*2)</f>
        <v>-1.2002249428571428E-2</v>
      </c>
      <c r="P17" s="3">
        <f t="shared" si="1"/>
        <v>0.85829587229993787</v>
      </c>
    </row>
    <row r="18" spans="1:16" x14ac:dyDescent="0.25">
      <c r="A18" s="3">
        <v>1</v>
      </c>
      <c r="B18" s="3">
        <v>-1.306E-2</v>
      </c>
      <c r="C18" s="3">
        <v>1.6119999999999999E-3</v>
      </c>
      <c r="D18" s="3">
        <v>1.1089999999999999E-2</v>
      </c>
      <c r="E18" s="3">
        <v>0</v>
      </c>
      <c r="F18" s="3">
        <v>0</v>
      </c>
      <c r="G18" s="3">
        <v>0</v>
      </c>
      <c r="H18" s="3">
        <v>5.0629152000000004E-3</v>
      </c>
      <c r="I18" s="3">
        <v>2.7177739000000002E-4</v>
      </c>
      <c r="J18" s="3">
        <v>-6.0605036000000003E-3</v>
      </c>
      <c r="L18" s="3">
        <f t="shared" si="0"/>
        <v>1.1776375112714159</v>
      </c>
      <c r="M18" s="3"/>
      <c r="N18" s="2">
        <f>IF('Modell einstellen'!$B$1="Voll",H18/0.35,H18/0.35*2)</f>
        <v>1.4465472000000002E-2</v>
      </c>
      <c r="O18" s="2">
        <f>IF('Modell einstellen'!$B$1="Voll",J18/0.35,J18/0.35*2)</f>
        <v>-1.7315724571428572E-2</v>
      </c>
      <c r="P18" s="3">
        <f t="shared" si="1"/>
        <v>0.83539513119008801</v>
      </c>
    </row>
    <row r="19" spans="1:16" x14ac:dyDescent="0.25">
      <c r="A19" s="3">
        <v>10</v>
      </c>
      <c r="B19" s="3">
        <v>-1.5219999999999999E-2</v>
      </c>
      <c r="C19" s="3">
        <v>2.5500000000000002E-3</v>
      </c>
      <c r="D19" s="3">
        <v>1.231E-2</v>
      </c>
      <c r="E19" s="3">
        <v>0</v>
      </c>
      <c r="F19" s="3">
        <v>0</v>
      </c>
      <c r="G19" s="3">
        <v>0</v>
      </c>
      <c r="H19" s="3">
        <v>5.5109555000000003E-3</v>
      </c>
      <c r="I19" s="3">
        <v>4.4917520000000002E-4</v>
      </c>
      <c r="J19" s="3">
        <v>-7.1267355000000001E-3</v>
      </c>
      <c r="L19" s="3">
        <f t="shared" si="0"/>
        <v>1.2363931762794476</v>
      </c>
      <c r="M19" s="3"/>
      <c r="N19" s="2">
        <f>IF('Modell einstellen'!$B$1="Voll",H19/0.35,H19/0.35*2)</f>
        <v>1.5745587142857145E-2</v>
      </c>
      <c r="O19" s="2">
        <f>IF('Modell einstellen'!$B$1="Voll",J19/0.35,J19/0.35*2)</f>
        <v>-2.0362101428571429E-2</v>
      </c>
      <c r="P19" s="3">
        <f t="shared" si="1"/>
        <v>0.77327908409116641</v>
      </c>
    </row>
    <row r="20" spans="1:16" x14ac:dyDescent="0.25">
      <c r="A20" s="3">
        <v>100</v>
      </c>
      <c r="B20" s="3">
        <v>-1.695E-2</v>
      </c>
      <c r="C20" s="3">
        <v>3.5869999999999999E-3</v>
      </c>
      <c r="D20" s="3">
        <v>1.3010000000000001E-2</v>
      </c>
      <c r="E20" s="3">
        <v>0</v>
      </c>
      <c r="F20" s="3">
        <v>0</v>
      </c>
      <c r="G20" s="3">
        <v>0</v>
      </c>
      <c r="H20" s="3">
        <v>5.7297861000000002E-3</v>
      </c>
      <c r="I20" s="3">
        <v>6.5186558999999998E-4</v>
      </c>
      <c r="J20" s="3">
        <v>-8.0582356999999993E-3</v>
      </c>
      <c r="L20" s="3">
        <f t="shared" si="0"/>
        <v>1.3028439661798616</v>
      </c>
      <c r="M20" s="3"/>
      <c r="N20" s="2">
        <f>IF('Modell einstellen'!$B$1="Voll",H20/0.35,H20/0.35*2)</f>
        <v>1.6370817428571431E-2</v>
      </c>
      <c r="O20" s="2">
        <f>IF('Modell einstellen'!$B$1="Voll",J20/0.35,J20/0.35*2)</f>
        <v>-2.3023530571428572E-2</v>
      </c>
      <c r="P20" s="3">
        <f t="shared" si="1"/>
        <v>0.71104722091958672</v>
      </c>
    </row>
    <row r="21" spans="1:16" x14ac:dyDescent="0.25">
      <c r="A21" s="3">
        <v>1000</v>
      </c>
      <c r="B21" s="3">
        <v>-1.7340000000000001E-2</v>
      </c>
      <c r="C21" s="3">
        <v>4.3870000000000003E-3</v>
      </c>
      <c r="D21" s="3">
        <v>1.261E-2</v>
      </c>
      <c r="E21" s="3">
        <v>0</v>
      </c>
      <c r="F21" s="3">
        <v>0</v>
      </c>
      <c r="G21" s="3">
        <v>0</v>
      </c>
      <c r="H21" s="3">
        <v>5.5257318999999997E-3</v>
      </c>
      <c r="I21" s="3">
        <v>8.1462837999999997E-4</v>
      </c>
      <c r="J21" s="3">
        <v>-8.4384712000000004E-3</v>
      </c>
      <c r="L21" s="3">
        <f t="shared" si="0"/>
        <v>1.3750991276764475</v>
      </c>
      <c r="M21" s="3"/>
      <c r="N21" s="2">
        <f>IF('Modell einstellen'!$B$1="Voll",H21/0.35,H21/0.35*2)</f>
        <v>1.578780542857143E-2</v>
      </c>
      <c r="O21" s="2">
        <f>IF('Modell einstellen'!$B$1="Voll",J21/0.35,J21/0.35*2)</f>
        <v>-2.4109917714285715E-2</v>
      </c>
      <c r="P21" s="3">
        <f t="shared" si="1"/>
        <v>0.65482618462927267</v>
      </c>
    </row>
    <row r="22" spans="1:16" x14ac:dyDescent="0.25">
      <c r="A22" s="3">
        <v>10000</v>
      </c>
      <c r="B22" s="3">
        <v>-1.7430000000000001E-2</v>
      </c>
      <c r="C22" s="3">
        <v>4.9430000000000003E-3</v>
      </c>
      <c r="D22" s="3">
        <v>1.214E-2</v>
      </c>
      <c r="E22" s="3">
        <v>0</v>
      </c>
      <c r="F22" s="3">
        <v>0</v>
      </c>
      <c r="G22" s="3">
        <v>0</v>
      </c>
      <c r="H22" s="3">
        <v>5.3267536999999998E-3</v>
      </c>
      <c r="I22" s="3">
        <v>9.2922448000000001E-4</v>
      </c>
      <c r="J22" s="3">
        <v>-8.6520259000000006E-3</v>
      </c>
      <c r="L22" s="3">
        <f t="shared" si="0"/>
        <v>1.4357495881383857</v>
      </c>
      <c r="M22" s="3"/>
      <c r="N22" s="2">
        <f>IF('Modell einstellen'!$B$1="Voll",H22/0.35,H22/0.35*2)</f>
        <v>1.5219296285714286E-2</v>
      </c>
      <c r="O22" s="2">
        <f>IF('Modell einstellen'!$B$1="Voll",J22/0.35,J22/0.35*2)</f>
        <v>-2.4720074000000002E-2</v>
      </c>
      <c r="P22" s="3">
        <f t="shared" si="1"/>
        <v>0.61566548246232133</v>
      </c>
    </row>
    <row r="23" spans="1:16" x14ac:dyDescent="0.25">
      <c r="A23" s="3">
        <v>100000</v>
      </c>
      <c r="B23" s="3">
        <v>-1.745E-2</v>
      </c>
      <c r="C23" s="3">
        <v>5.3099999999999996E-3</v>
      </c>
      <c r="D23" s="3">
        <v>1.18E-2</v>
      </c>
      <c r="E23" s="3">
        <v>0</v>
      </c>
      <c r="F23" s="3">
        <v>0</v>
      </c>
      <c r="G23" s="3">
        <v>0</v>
      </c>
      <c r="H23" s="3">
        <v>5.1966143000000001E-3</v>
      </c>
      <c r="I23" s="3">
        <v>1.0058087E-3</v>
      </c>
      <c r="J23" s="3">
        <v>-8.7971347000000005E-3</v>
      </c>
      <c r="L23" s="3">
        <f t="shared" si="0"/>
        <v>1.478813559322034</v>
      </c>
      <c r="M23" s="3"/>
      <c r="N23" s="2">
        <f>IF('Modell einstellen'!$B$1="Voll",H23/0.35,H23/0.35*2)</f>
        <v>1.484746942857143E-2</v>
      </c>
      <c r="O23" s="2">
        <f>IF('Modell einstellen'!$B$1="Voll",J23/0.35,J23/0.35*2)</f>
        <v>-2.5134670571428576E-2</v>
      </c>
      <c r="P23" s="3">
        <f t="shared" si="1"/>
        <v>0.59071669096984492</v>
      </c>
    </row>
    <row r="24" spans="1:16" x14ac:dyDescent="0.25">
      <c r="A24" s="3">
        <v>1000000</v>
      </c>
      <c r="B24" s="3">
        <v>-1.7430000000000001E-2</v>
      </c>
      <c r="C24" s="3">
        <v>5.574E-3</v>
      </c>
      <c r="D24" s="3">
        <v>1.1520000000000001E-2</v>
      </c>
      <c r="E24" s="3">
        <v>0</v>
      </c>
      <c r="F24" s="3">
        <v>0</v>
      </c>
      <c r="G24" s="3">
        <v>0</v>
      </c>
      <c r="H24" s="3">
        <v>5.1062785000000003E-3</v>
      </c>
      <c r="I24" s="3">
        <v>1.0612643E-3</v>
      </c>
      <c r="J24" s="3">
        <v>-8.9058081000000008E-3</v>
      </c>
      <c r="L24" s="3">
        <f t="shared" si="0"/>
        <v>1.5130208333333333</v>
      </c>
      <c r="M24" s="3"/>
      <c r="N24" s="2">
        <f>IF('Modell einstellen'!$B$1="Voll",H24/0.35,H24/0.35*2)</f>
        <v>1.4589367142857145E-2</v>
      </c>
      <c r="O24" s="2">
        <f>IF('Modell einstellen'!$B$1="Voll",J24/0.35,J24/0.35*2)</f>
        <v>-2.5445166000000005E-2</v>
      </c>
      <c r="P24" s="3">
        <f t="shared" si="1"/>
        <v>0.57336498189310858</v>
      </c>
    </row>
    <row r="25" spans="1:16" x14ac:dyDescent="0.25">
      <c r="A25" s="3">
        <v>10000000</v>
      </c>
      <c r="B25" s="3">
        <v>-1.737E-2</v>
      </c>
      <c r="C25" s="3">
        <v>5.7540000000000004E-3</v>
      </c>
      <c r="D25" s="3">
        <v>1.128E-2</v>
      </c>
      <c r="E25" s="3">
        <v>0</v>
      </c>
      <c r="F25" s="3">
        <v>0</v>
      </c>
      <c r="G25" s="3">
        <v>0</v>
      </c>
      <c r="H25" s="3">
        <v>5.0484047999999997E-3</v>
      </c>
      <c r="I25" s="3">
        <v>1.0993395999999999E-3</v>
      </c>
      <c r="J25" s="3">
        <v>-8.9843583999999997E-3</v>
      </c>
      <c r="L25" s="3">
        <f t="shared" si="0"/>
        <v>1.5398936170212767</v>
      </c>
      <c r="M25" s="3"/>
      <c r="N25" s="2">
        <f>IF('Modell einstellen'!$B$1="Voll",H25/0.35,H25/0.35*2)</f>
        <v>1.4424013714285715E-2</v>
      </c>
      <c r="O25" s="2">
        <f>IF('Modell einstellen'!$B$1="Voll",J25/0.35,J25/0.35*2)</f>
        <v>-2.5669595428571428E-2</v>
      </c>
      <c r="P25" s="3">
        <f t="shared" si="1"/>
        <v>0.56191044204113683</v>
      </c>
    </row>
    <row r="26" spans="1:16" x14ac:dyDescent="0.25">
      <c r="A26" s="3">
        <v>100000000</v>
      </c>
      <c r="B26" s="3">
        <v>-1.728E-2</v>
      </c>
      <c r="C26" s="3">
        <v>5.8690000000000001E-3</v>
      </c>
      <c r="D26" s="3">
        <v>1.108E-2</v>
      </c>
      <c r="E26" s="3">
        <v>0</v>
      </c>
      <c r="F26" s="3">
        <v>0</v>
      </c>
      <c r="G26" s="3">
        <v>0</v>
      </c>
      <c r="H26" s="3">
        <v>5.0156562999999999E-3</v>
      </c>
      <c r="I26" s="3">
        <v>1.1237183E-3</v>
      </c>
      <c r="J26" s="3">
        <v>-9.0387776000000006E-3</v>
      </c>
      <c r="L26" s="3">
        <f t="shared" si="0"/>
        <v>1.5595667870036103</v>
      </c>
      <c r="M26" s="3"/>
      <c r="N26" s="2">
        <f>IF('Modell einstellen'!$B$1="Voll",H26/0.35,H26/0.35*2)</f>
        <v>1.4330446571428573E-2</v>
      </c>
      <c r="O26" s="2">
        <f>IF('Modell einstellen'!$B$1="Voll",J26/0.35,J26/0.35*2)</f>
        <v>-2.5825078857142861E-2</v>
      </c>
      <c r="P26" s="3">
        <f t="shared" si="1"/>
        <v>0.55490427156875721</v>
      </c>
    </row>
    <row r="27" spans="1:16" x14ac:dyDescent="0.25">
      <c r="A27" s="3">
        <v>1000000000</v>
      </c>
      <c r="B27" s="3">
        <v>-1.7250000000000001E-2</v>
      </c>
      <c r="C27" s="3">
        <v>5.8950000000000001E-3</v>
      </c>
      <c r="D27" s="3">
        <v>1.102E-2</v>
      </c>
      <c r="E27" s="3">
        <v>0</v>
      </c>
      <c r="F27" s="3">
        <v>0</v>
      </c>
      <c r="G27" s="3">
        <v>0</v>
      </c>
      <c r="H27" s="3">
        <v>5.0090546E-3</v>
      </c>
      <c r="I27" s="3">
        <v>1.1293099000000001E-3</v>
      </c>
      <c r="J27" s="3">
        <v>-9.0521257000000001E-3</v>
      </c>
      <c r="L27" s="3">
        <f t="shared" si="0"/>
        <v>1.5653357531760437</v>
      </c>
      <c r="M27" s="3"/>
      <c r="N27" s="2">
        <f>IF('Modell einstellen'!$B$1="Voll",H27/0.35,H27/0.35*2)</f>
        <v>1.4311584571428572E-2</v>
      </c>
      <c r="O27" s="2">
        <f>IF('Modell einstellen'!$B$1="Voll",J27/0.35,J27/0.35*2)</f>
        <v>-2.5863216285714287E-2</v>
      </c>
      <c r="P27" s="3">
        <f t="shared" si="1"/>
        <v>0.55335672150465165</v>
      </c>
    </row>
    <row r="28" spans="1:16" x14ac:dyDescent="0.25">
      <c r="A28" s="3">
        <v>10000000000</v>
      </c>
      <c r="B28" s="3">
        <v>-1.72E-2</v>
      </c>
      <c r="C28" s="3">
        <v>5.927E-3</v>
      </c>
      <c r="D28" s="3">
        <v>1.094E-2</v>
      </c>
      <c r="E28" s="3">
        <v>0</v>
      </c>
      <c r="F28" s="3">
        <v>0</v>
      </c>
      <c r="G28" s="3">
        <v>0</v>
      </c>
      <c r="H28" s="3">
        <v>5.0023432999999999E-3</v>
      </c>
      <c r="I28" s="3">
        <v>1.1360000000000001E-3</v>
      </c>
      <c r="J28" s="3">
        <v>-9.0692376000000002E-3</v>
      </c>
      <c r="L28" s="3">
        <f t="shared" si="0"/>
        <v>1.5722120658135283</v>
      </c>
      <c r="M28" s="3"/>
      <c r="N28" s="2">
        <f>IF('Modell einstellen'!$B$1="Voll",H28/0.35,H28/0.35*2)</f>
        <v>1.4292409428571429E-2</v>
      </c>
      <c r="O28" s="2">
        <f>IF('Modell einstellen'!$B$1="Voll",J28/0.35,J28/0.35*2)</f>
        <v>-2.5912107428571432E-2</v>
      </c>
      <c r="P28" s="3">
        <f t="shared" si="1"/>
        <v>0.55157263715309424</v>
      </c>
    </row>
    <row r="29" spans="1:16" x14ac:dyDescent="0.25">
      <c r="A29" s="3">
        <v>100000000000</v>
      </c>
      <c r="B29" s="3">
        <v>-1.7129999999999999E-2</v>
      </c>
      <c r="C29" s="3">
        <v>5.9519999999999998E-3</v>
      </c>
      <c r="D29" s="3">
        <v>1.085E-2</v>
      </c>
      <c r="E29" s="3">
        <v>0</v>
      </c>
      <c r="F29" s="3">
        <v>0</v>
      </c>
      <c r="G29" s="3">
        <v>0</v>
      </c>
      <c r="H29" s="3">
        <v>4.9990720000000002E-3</v>
      </c>
      <c r="I29" s="3">
        <v>1.1414998999999999E-3</v>
      </c>
      <c r="J29" s="3">
        <v>-9.0854827999999992E-3</v>
      </c>
      <c r="L29" s="3">
        <f t="shared" si="0"/>
        <v>1.5788018433179722</v>
      </c>
      <c r="M29" s="3"/>
      <c r="N29" s="2">
        <f>IF('Modell einstellen'!$B$1="Voll",H29/0.35,H29/0.35*2)</f>
        <v>1.4283062857142859E-2</v>
      </c>
      <c r="O29" s="2">
        <f>IF('Modell einstellen'!$B$1="Voll",J29/0.35,J29/0.35*2)</f>
        <v>-2.5958522285714283E-2</v>
      </c>
      <c r="P29" s="3">
        <f t="shared" si="1"/>
        <v>0.55022634570394002</v>
      </c>
    </row>
    <row r="30" spans="1:16" x14ac:dyDescent="0.25">
      <c r="A30" s="3">
        <v>1000000000000</v>
      </c>
      <c r="B30" s="3">
        <v>-1.7059999999999999E-2</v>
      </c>
      <c r="C30" s="3">
        <v>5.9680000000000002E-3</v>
      </c>
      <c r="D30" s="3">
        <v>1.076E-2</v>
      </c>
      <c r="E30" s="3">
        <v>0</v>
      </c>
      <c r="F30" s="3">
        <v>0</v>
      </c>
      <c r="G30" s="3">
        <v>0</v>
      </c>
      <c r="H30" s="3">
        <v>5.0000408000000001E-3</v>
      </c>
      <c r="I30" s="3">
        <v>1.1449788999999999E-3</v>
      </c>
      <c r="J30" s="3">
        <v>-9.0986903999999997E-3</v>
      </c>
      <c r="L30" s="3">
        <f t="shared" si="0"/>
        <v>1.5855018587360592</v>
      </c>
      <c r="M30" s="3"/>
      <c r="N30" s="2">
        <f>IF('Modell einstellen'!$B$1="Voll",H30/0.35,H30/0.35*2)</f>
        <v>1.4285830857142858E-2</v>
      </c>
      <c r="O30" s="2">
        <f>IF('Modell einstellen'!$B$1="Voll",J30/0.35,J30/0.35*2)</f>
        <v>-2.5996258285714287E-2</v>
      </c>
      <c r="P30" s="3">
        <f t="shared" si="1"/>
        <v>0.54953411756927129</v>
      </c>
    </row>
    <row r="31" spans="1:16" x14ac:dyDescent="0.25">
      <c r="A31" s="3">
        <v>10000000000000</v>
      </c>
      <c r="B31" s="3">
        <v>-1.7049999999999999E-2</v>
      </c>
      <c r="C31" s="3">
        <v>5.9680000000000002E-3</v>
      </c>
      <c r="D31" s="3">
        <v>1.0749999999999999E-2</v>
      </c>
      <c r="E31" s="3">
        <v>0</v>
      </c>
      <c r="F31" s="3">
        <v>0</v>
      </c>
      <c r="G31" s="3">
        <v>0</v>
      </c>
      <c r="H31" s="3">
        <v>5.0002047000000001E-3</v>
      </c>
      <c r="I31" s="3">
        <v>1.1451344E-3</v>
      </c>
      <c r="J31" s="3">
        <v>-9.0993984E-3</v>
      </c>
      <c r="L31" s="3">
        <f t="shared" si="0"/>
        <v>1.586046511627907</v>
      </c>
      <c r="M31" s="3"/>
      <c r="N31" s="2">
        <f>IF('Modell einstellen'!$B$1="Voll",H31/0.35,H31/0.35*2)</f>
        <v>1.4286299142857143E-2</v>
      </c>
      <c r="O31" s="2">
        <f>IF('Modell einstellen'!$B$1="Voll",J31/0.35,J31/0.35*2)</f>
        <v>-2.5998281142857144E-2</v>
      </c>
      <c r="P31" s="3">
        <f t="shared" si="1"/>
        <v>0.54950937196023864</v>
      </c>
    </row>
    <row r="32" spans="1:16" x14ac:dyDescent="0.25">
      <c r="A32" s="3">
        <v>100000000000000</v>
      </c>
      <c r="B32" s="3">
        <v>-1.7049999999999999E-2</v>
      </c>
      <c r="C32" s="3">
        <v>5.9690000000000003E-3</v>
      </c>
      <c r="D32" s="3">
        <v>1.0749999999999999E-2</v>
      </c>
      <c r="E32" s="3">
        <v>0</v>
      </c>
      <c r="F32" s="3">
        <v>0</v>
      </c>
      <c r="G32" s="3">
        <v>0</v>
      </c>
      <c r="H32" s="3">
        <v>5.0003447000000001E-3</v>
      </c>
      <c r="I32" s="3">
        <v>1.1451930000000001E-3</v>
      </c>
      <c r="J32" s="3">
        <v>-9.0997392999999996E-3</v>
      </c>
      <c r="L32" s="3">
        <f t="shared" si="0"/>
        <v>1.586046511627907</v>
      </c>
      <c r="M32" s="3"/>
      <c r="N32" s="2">
        <f>IF('Modell einstellen'!$B$1="Voll",H32/0.35,H32/0.35*2)</f>
        <v>1.4286699142857144E-2</v>
      </c>
      <c r="O32" s="2">
        <f>IF('Modell einstellen'!$B$1="Voll",J32/0.35,J32/0.35*2)</f>
        <v>-2.5999255142857142E-2</v>
      </c>
      <c r="P32" s="3">
        <f t="shared" si="1"/>
        <v>0.54950417096015058</v>
      </c>
    </row>
    <row r="33" spans="1:16" x14ac:dyDescent="0.25">
      <c r="A33" s="3">
        <v>1000000000000000</v>
      </c>
      <c r="B33" s="3">
        <v>-1.7049999999999999E-2</v>
      </c>
      <c r="C33" s="3">
        <v>5.9690000000000003E-3</v>
      </c>
      <c r="D33" s="3">
        <v>1.0749999999999999E-2</v>
      </c>
      <c r="E33" s="3">
        <v>0</v>
      </c>
      <c r="F33" s="3">
        <v>0</v>
      </c>
      <c r="G33" s="3">
        <v>0</v>
      </c>
      <c r="H33" s="3">
        <v>5.0004956999999996E-3</v>
      </c>
      <c r="I33" s="3">
        <v>1.1452194E-3</v>
      </c>
      <c r="J33" s="3">
        <v>-9.0999780999999995E-3</v>
      </c>
      <c r="L33" s="3">
        <f t="shared" si="0"/>
        <v>1.586046511627907</v>
      </c>
      <c r="M33" s="3"/>
      <c r="N33" s="2">
        <f>IF('Modell einstellen'!$B$1="Voll",H33/0.35,H33/0.35*2)</f>
        <v>1.4287130571428571E-2</v>
      </c>
      <c r="O33" s="2">
        <f>IF('Modell einstellen'!$B$1="Voll",J33/0.35,J33/0.35*2)</f>
        <v>-2.5999937428571429E-2</v>
      </c>
      <c r="P33" s="3">
        <f t="shared" si="1"/>
        <v>0.54950634441636736</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9.6520000000000004E-5</v>
      </c>
      <c r="C3" s="3">
        <v>2.1369999999999999E-4</v>
      </c>
      <c r="D3" s="3">
        <v>-5.8469999999999996E-4</v>
      </c>
      <c r="E3" s="3">
        <v>0</v>
      </c>
      <c r="F3" s="3">
        <v>0</v>
      </c>
      <c r="G3" s="3">
        <v>0</v>
      </c>
      <c r="H3" s="3">
        <v>9.7581284999999999E-5</v>
      </c>
      <c r="I3" s="3">
        <v>2.3145066E-5</v>
      </c>
      <c r="J3" s="3">
        <v>-2.5430735999999997E-4</v>
      </c>
      <c r="L3" s="3">
        <f>-B3/D3</f>
        <v>0.16507610740550713</v>
      </c>
      <c r="M3" s="3"/>
      <c r="N3" s="2">
        <f>IF('Modell einstellen'!$B$1="Voll",H3/0.35,H3/0.35*2)</f>
        <v>2.7880367142857143E-4</v>
      </c>
      <c r="O3" s="2">
        <f>IF('Modell einstellen'!$B$1="Voll",J3/0.35,J3/0.35*2)</f>
        <v>-7.2659245714285707E-4</v>
      </c>
      <c r="P3" s="3">
        <f>-N3/O3</f>
        <v>0.38371396329229329</v>
      </c>
    </row>
    <row r="4" spans="1:16" x14ac:dyDescent="0.25">
      <c r="A4" s="3">
        <v>1E-14</v>
      </c>
      <c r="B4" s="3">
        <v>9.2440000000000003E-5</v>
      </c>
      <c r="C4" s="3">
        <v>2.262E-4</v>
      </c>
      <c r="D4" s="3">
        <v>-5.9719999999999999E-4</v>
      </c>
      <c r="E4" s="3">
        <v>0</v>
      </c>
      <c r="F4" s="3">
        <v>0</v>
      </c>
      <c r="G4" s="3">
        <v>0</v>
      </c>
      <c r="H4" s="3">
        <v>1.0626425E-4</v>
      </c>
      <c r="I4" s="3">
        <v>2.4706648999999999E-5</v>
      </c>
      <c r="J4" s="3">
        <v>-2.6930474999999998E-4</v>
      </c>
      <c r="L4" s="3">
        <f t="shared" ref="L4:L33" si="0">-B4/D4</f>
        <v>0.15478901540522438</v>
      </c>
      <c r="M4" s="3"/>
      <c r="N4" s="2">
        <f>IF('Modell einstellen'!$B$1="Voll",H4/0.35,H4/0.35*2)</f>
        <v>3.0361214285714287E-4</v>
      </c>
      <c r="O4" s="2">
        <f>IF('Modell einstellen'!$B$1="Voll",J4/0.35,J4/0.35*2)</f>
        <v>-7.6944214285714285E-4</v>
      </c>
      <c r="P4" s="3">
        <f t="shared" ref="P4:P33" si="1">-N4/O4</f>
        <v>0.39458735874506484</v>
      </c>
    </row>
    <row r="5" spans="1:16" x14ac:dyDescent="0.25">
      <c r="A5" s="3">
        <v>1E-13</v>
      </c>
      <c r="B5" s="3">
        <v>8.6719999999999996E-5</v>
      </c>
      <c r="C5" s="3">
        <v>2.3790000000000001E-4</v>
      </c>
      <c r="D5" s="3">
        <v>-6.0689999999999995E-4</v>
      </c>
      <c r="E5" s="3">
        <v>0</v>
      </c>
      <c r="F5" s="3">
        <v>0</v>
      </c>
      <c r="G5" s="3">
        <v>0</v>
      </c>
      <c r="H5" s="3">
        <v>1.1498033E-4</v>
      </c>
      <c r="I5" s="3">
        <v>2.6193175E-5</v>
      </c>
      <c r="J5" s="3">
        <v>-2.8402088000000002E-4</v>
      </c>
      <c r="L5" s="3">
        <f t="shared" si="0"/>
        <v>0.14289009721535673</v>
      </c>
      <c r="M5" s="3"/>
      <c r="N5" s="2">
        <f>IF('Modell einstellen'!$B$1="Voll",H5/0.35,H5/0.35*2)</f>
        <v>3.2851522857142858E-4</v>
      </c>
      <c r="O5" s="2">
        <f>IF('Modell einstellen'!$B$1="Voll",J5/0.35,J5/0.35*2)</f>
        <v>-8.1148822857142868E-4</v>
      </c>
      <c r="P5" s="3">
        <f t="shared" si="1"/>
        <v>0.40483055330298245</v>
      </c>
    </row>
    <row r="6" spans="1:16" x14ac:dyDescent="0.25">
      <c r="A6" s="3">
        <v>9.9999999999999998E-13</v>
      </c>
      <c r="B6" s="3">
        <v>7.8750000000000003E-5</v>
      </c>
      <c r="C6" s="3">
        <v>2.5000000000000001E-4</v>
      </c>
      <c r="D6" s="3">
        <v>-6.1490000000000004E-4</v>
      </c>
      <c r="E6" s="3">
        <v>0</v>
      </c>
      <c r="F6" s="3">
        <v>0</v>
      </c>
      <c r="G6" s="3">
        <v>0</v>
      </c>
      <c r="H6" s="3">
        <v>1.2475392999999999E-4</v>
      </c>
      <c r="I6" s="3">
        <v>2.7775871E-5</v>
      </c>
      <c r="J6" s="3">
        <v>-3.0017280999999999E-4</v>
      </c>
      <c r="L6" s="3">
        <f t="shared" si="0"/>
        <v>0.12806960481379084</v>
      </c>
      <c r="M6" s="3"/>
      <c r="N6" s="2">
        <f>IF('Modell einstellen'!$B$1="Voll",H6/0.35,H6/0.35*2)</f>
        <v>3.5643980000000001E-4</v>
      </c>
      <c r="O6" s="2">
        <f>IF('Modell einstellen'!$B$1="Voll",J6/0.35,J6/0.35*2)</f>
        <v>-8.5763660000000004E-4</v>
      </c>
      <c r="P6" s="3">
        <f t="shared" si="1"/>
        <v>0.41560702983058323</v>
      </c>
    </row>
    <row r="7" spans="1:16" x14ac:dyDescent="0.25">
      <c r="A7" s="3">
        <v>9.9999999999999994E-12</v>
      </c>
      <c r="B7" s="3">
        <v>6.6740000000000001E-5</v>
      </c>
      <c r="C7" s="3">
        <v>2.6390000000000002E-4</v>
      </c>
      <c r="D7" s="3">
        <v>-6.2129999999999998E-4</v>
      </c>
      <c r="E7" s="3">
        <v>0</v>
      </c>
      <c r="F7" s="3">
        <v>0</v>
      </c>
      <c r="G7" s="3">
        <v>0</v>
      </c>
      <c r="H7" s="3">
        <v>1.3700296000000001E-4</v>
      </c>
      <c r="I7" s="3">
        <v>2.9643422000000002E-5</v>
      </c>
      <c r="J7" s="3">
        <v>-3.1993968999999999E-4</v>
      </c>
      <c r="L7" s="3">
        <f t="shared" si="0"/>
        <v>0.10741992596169322</v>
      </c>
      <c r="M7" s="3"/>
      <c r="N7" s="2">
        <f>IF('Modell einstellen'!$B$1="Voll",H7/0.35,H7/0.35*2)</f>
        <v>3.9143702857142866E-4</v>
      </c>
      <c r="O7" s="2">
        <f>IF('Modell einstellen'!$B$1="Voll",J7/0.35,J7/0.35*2)</f>
        <v>-9.1411340000000006E-4</v>
      </c>
      <c r="P7" s="3">
        <f t="shared" si="1"/>
        <v>0.4282149551373261</v>
      </c>
    </row>
    <row r="8" spans="1:16" x14ac:dyDescent="0.25">
      <c r="A8" s="3">
        <v>1E-10</v>
      </c>
      <c r="B8" s="3">
        <v>4.8189999999999998E-5</v>
      </c>
      <c r="C8" s="3">
        <v>2.8029999999999998E-4</v>
      </c>
      <c r="D8" s="3">
        <v>-6.244E-4</v>
      </c>
      <c r="E8" s="3">
        <v>0</v>
      </c>
      <c r="F8" s="3">
        <v>0</v>
      </c>
      <c r="G8" s="3">
        <v>0</v>
      </c>
      <c r="H8" s="3">
        <v>1.5301135999999999E-4</v>
      </c>
      <c r="I8" s="3">
        <v>3.1912446999999998E-5</v>
      </c>
      <c r="J8" s="3">
        <v>-3.4507377000000001E-4</v>
      </c>
      <c r="L8" s="3">
        <f t="shared" si="0"/>
        <v>7.7178090967328639E-2</v>
      </c>
      <c r="M8" s="3"/>
      <c r="N8" s="2">
        <f>IF('Modell einstellen'!$B$1="Voll",H8/0.35,H8/0.35*2)</f>
        <v>4.371753142857143E-4</v>
      </c>
      <c r="O8" s="2">
        <f>IF('Modell einstellen'!$B$1="Voll",J8/0.35,J8/0.35*2)</f>
        <v>-9.859250571428572E-4</v>
      </c>
      <c r="P8" s="3">
        <f t="shared" si="1"/>
        <v>0.44341637441756293</v>
      </c>
    </row>
    <row r="9" spans="1:16" x14ac:dyDescent="0.25">
      <c r="A9" s="3">
        <v>1.0000000000000001E-9</v>
      </c>
      <c r="B9" s="3">
        <v>1.168E-5</v>
      </c>
      <c r="C9" s="3">
        <v>3.0390000000000001E-4</v>
      </c>
      <c r="D9" s="3">
        <v>-6.1899999999999998E-4</v>
      </c>
      <c r="E9" s="3">
        <v>0</v>
      </c>
      <c r="F9" s="3">
        <v>0</v>
      </c>
      <c r="G9" s="3">
        <v>0</v>
      </c>
      <c r="H9" s="3">
        <v>1.7958409000000001E-4</v>
      </c>
      <c r="I9" s="3">
        <v>3.5312848000000003E-5</v>
      </c>
      <c r="J9" s="3">
        <v>-3.8531199E-4</v>
      </c>
      <c r="L9" s="3">
        <f t="shared" si="0"/>
        <v>1.8869143780290792E-2</v>
      </c>
      <c r="M9" s="3"/>
      <c r="N9" s="2">
        <f>IF('Modell einstellen'!$B$1="Voll",H9/0.35,H9/0.35*2)</f>
        <v>5.1309740000000004E-4</v>
      </c>
      <c r="O9" s="2">
        <f>IF('Modell einstellen'!$B$1="Voll",J9/0.35,J9/0.35*2)</f>
        <v>-1.1008914E-3</v>
      </c>
      <c r="P9" s="3">
        <f t="shared" si="1"/>
        <v>0.46607449199802997</v>
      </c>
    </row>
    <row r="10" spans="1:16" x14ac:dyDescent="0.25">
      <c r="A10" s="3">
        <v>1E-8</v>
      </c>
      <c r="B10" s="3">
        <v>-6.3050000000000001E-5</v>
      </c>
      <c r="C10" s="3">
        <v>3.3589999999999998E-4</v>
      </c>
      <c r="D10" s="3">
        <v>-5.8659999999999995E-4</v>
      </c>
      <c r="E10" s="3">
        <v>0</v>
      </c>
      <c r="F10" s="3">
        <v>0</v>
      </c>
      <c r="G10" s="3">
        <v>0</v>
      </c>
      <c r="H10" s="3">
        <v>2.2491987000000001E-4</v>
      </c>
      <c r="I10" s="3">
        <v>4.0241321000000001E-5</v>
      </c>
      <c r="J10" s="3">
        <v>-4.5043809999999998E-4</v>
      </c>
      <c r="L10" s="3">
        <f t="shared" si="0"/>
        <v>-0.1074838049778384</v>
      </c>
      <c r="M10" s="3"/>
      <c r="N10" s="2">
        <f>IF('Modell einstellen'!$B$1="Voll",H10/0.35,H10/0.35*2)</f>
        <v>6.4262820000000008E-4</v>
      </c>
      <c r="O10" s="2">
        <f>IF('Modell einstellen'!$B$1="Voll",J10/0.35,J10/0.35*2)</f>
        <v>-1.2869660000000001E-3</v>
      </c>
      <c r="P10" s="3">
        <f t="shared" si="1"/>
        <v>0.49933580218902446</v>
      </c>
    </row>
    <row r="11" spans="1:16" x14ac:dyDescent="0.25">
      <c r="A11" s="3">
        <v>9.9999999999999995E-8</v>
      </c>
      <c r="B11" s="3">
        <v>-2.276E-4</v>
      </c>
      <c r="C11" s="3">
        <v>3.7770000000000002E-4</v>
      </c>
      <c r="D11" s="3">
        <v>-4.774E-4</v>
      </c>
      <c r="E11" s="3">
        <v>0</v>
      </c>
      <c r="F11" s="3">
        <v>0</v>
      </c>
      <c r="G11" s="3">
        <v>0</v>
      </c>
      <c r="H11" s="3">
        <v>3.0930828999999998E-4</v>
      </c>
      <c r="I11" s="3">
        <v>4.7355911999999998E-5</v>
      </c>
      <c r="J11" s="3">
        <v>-5.6335621000000002E-4</v>
      </c>
      <c r="L11" s="3">
        <f t="shared" si="0"/>
        <v>-0.47674905739421869</v>
      </c>
      <c r="M11" s="3"/>
      <c r="N11" s="2">
        <f>IF('Modell einstellen'!$B$1="Voll",H11/0.35,H11/0.35*2)</f>
        <v>8.8373797142857148E-4</v>
      </c>
      <c r="O11" s="2">
        <f>IF('Modell einstellen'!$B$1="Voll",J11/0.35,J11/0.35*2)</f>
        <v>-1.6095891714285717E-3</v>
      </c>
      <c r="P11" s="3">
        <f t="shared" si="1"/>
        <v>0.54904567396177273</v>
      </c>
    </row>
    <row r="12" spans="1:16" x14ac:dyDescent="0.25">
      <c r="A12" s="3">
        <v>9.9999999999999995E-7</v>
      </c>
      <c r="B12" s="3">
        <v>-6.4820000000000003E-4</v>
      </c>
      <c r="C12" s="3">
        <v>4.2989999999999999E-4</v>
      </c>
      <c r="D12" s="3">
        <v>-1.2630000000000001E-4</v>
      </c>
      <c r="E12" s="3">
        <v>0</v>
      </c>
      <c r="F12" s="3">
        <v>0</v>
      </c>
      <c r="G12" s="3">
        <v>0</v>
      </c>
      <c r="H12" s="3">
        <v>4.9761670999999997E-4</v>
      </c>
      <c r="I12" s="3">
        <v>5.7771454000000002E-5</v>
      </c>
      <c r="J12" s="3">
        <v>-7.9325827999999999E-4</v>
      </c>
      <c r="L12" s="3">
        <f t="shared" si="0"/>
        <v>-5.1322248614410135</v>
      </c>
      <c r="M12" s="3"/>
      <c r="N12" s="2">
        <f>IF('Modell einstellen'!$B$1="Voll",H12/0.35,H12/0.35*2)</f>
        <v>1.4217620285714287E-3</v>
      </c>
      <c r="O12" s="2">
        <f>IF('Modell einstellen'!$B$1="Voll",J12/0.35,J12/0.35*2)</f>
        <v>-2.2664522285714287E-3</v>
      </c>
      <c r="P12" s="3">
        <f t="shared" si="1"/>
        <v>0.62730730021500691</v>
      </c>
    </row>
    <row r="13" spans="1:16" x14ac:dyDescent="0.25">
      <c r="A13" s="3">
        <v>1.0000000000000001E-5</v>
      </c>
      <c r="B13" s="3">
        <v>-1.6260000000000001E-3</v>
      </c>
      <c r="C13" s="3">
        <v>4.7629999999999998E-4</v>
      </c>
      <c r="D13" s="3">
        <v>7.8980000000000001E-4</v>
      </c>
      <c r="E13" s="3">
        <v>0</v>
      </c>
      <c r="F13" s="3">
        <v>0</v>
      </c>
      <c r="G13" s="3">
        <v>0</v>
      </c>
      <c r="H13" s="3">
        <v>9.0110012999999997E-4</v>
      </c>
      <c r="I13" s="3">
        <v>6.9146140000000001E-5</v>
      </c>
      <c r="J13" s="3">
        <v>-1.2410085E-3</v>
      </c>
      <c r="L13" s="3">
        <f t="shared" si="0"/>
        <v>2.0587490503925046</v>
      </c>
      <c r="M13" s="3"/>
      <c r="N13" s="2">
        <f>IF('Modell einstellen'!$B$1="Voll",H13/0.35,H13/0.35*2)</f>
        <v>2.5745718000000002E-3</v>
      </c>
      <c r="O13" s="2">
        <f>IF('Modell einstellen'!$B$1="Voll",J13/0.35,J13/0.35*2)</f>
        <v>-3.5457385714285717E-3</v>
      </c>
      <c r="P13" s="3">
        <f t="shared" si="1"/>
        <v>0.72610310888281582</v>
      </c>
    </row>
    <row r="14" spans="1:16" x14ac:dyDescent="0.25">
      <c r="A14" s="3">
        <v>1E-4</v>
      </c>
      <c r="B14" s="3">
        <v>-3.6250000000000002E-3</v>
      </c>
      <c r="C14" s="3">
        <v>5.1559999999999996E-4</v>
      </c>
      <c r="D14" s="3">
        <v>2.7399999999999998E-3</v>
      </c>
      <c r="E14" s="3">
        <v>0</v>
      </c>
      <c r="F14" s="3">
        <v>0</v>
      </c>
      <c r="G14" s="3">
        <v>0</v>
      </c>
      <c r="H14" s="3">
        <v>1.7017776E-3</v>
      </c>
      <c r="I14" s="3">
        <v>7.9029865000000005E-5</v>
      </c>
      <c r="J14" s="3">
        <v>-2.0748886000000002E-3</v>
      </c>
      <c r="L14" s="3">
        <f t="shared" si="0"/>
        <v>1.3229927007299271</v>
      </c>
      <c r="M14" s="3"/>
      <c r="N14" s="2">
        <f>IF('Modell einstellen'!$B$1="Voll",H14/0.35,H14/0.35*2)</f>
        <v>4.8622217142857147E-3</v>
      </c>
      <c r="O14" s="2">
        <f>IF('Modell einstellen'!$B$1="Voll",J14/0.35,J14/0.35*2)</f>
        <v>-5.9282531428571442E-3</v>
      </c>
      <c r="P14" s="3">
        <f t="shared" si="1"/>
        <v>0.82017781581141258</v>
      </c>
    </row>
    <row r="15" spans="1:16" x14ac:dyDescent="0.25">
      <c r="A15" s="3">
        <v>1E-3</v>
      </c>
      <c r="B15" s="3">
        <v>-7.4330000000000004E-3</v>
      </c>
      <c r="C15" s="3">
        <v>6.0559999999999998E-4</v>
      </c>
      <c r="D15" s="3">
        <v>6.4549999999999998E-3</v>
      </c>
      <c r="E15" s="3">
        <v>0</v>
      </c>
      <c r="F15" s="3">
        <v>0</v>
      </c>
      <c r="G15" s="3">
        <v>0</v>
      </c>
      <c r="H15" s="3">
        <v>3.2021558999999998E-3</v>
      </c>
      <c r="I15" s="3">
        <v>9.3644373E-5</v>
      </c>
      <c r="J15" s="3">
        <v>-3.6079428000000001E-3</v>
      </c>
      <c r="L15" s="3">
        <f t="shared" si="0"/>
        <v>1.1515104570100698</v>
      </c>
      <c r="M15" s="3"/>
      <c r="N15" s="2">
        <f>IF('Modell einstellen'!$B$1="Voll",H15/0.35,H15/0.35*2)</f>
        <v>9.1490168571428578E-3</v>
      </c>
      <c r="O15" s="2">
        <f>IF('Modell einstellen'!$B$1="Voll",J15/0.35,J15/0.35*2)</f>
        <v>-1.0308408000000002E-2</v>
      </c>
      <c r="P15" s="3">
        <f t="shared" si="1"/>
        <v>0.88752956393876303</v>
      </c>
    </row>
    <row r="16" spans="1:16" x14ac:dyDescent="0.25">
      <c r="A16" s="3">
        <v>0.01</v>
      </c>
      <c r="B16" s="3">
        <v>-1.2070000000000001E-2</v>
      </c>
      <c r="C16" s="3">
        <v>8.9840000000000004E-4</v>
      </c>
      <c r="D16" s="3">
        <v>1.0800000000000001E-2</v>
      </c>
      <c r="E16" s="3">
        <v>0</v>
      </c>
      <c r="F16" s="3">
        <v>0</v>
      </c>
      <c r="G16" s="3">
        <v>0</v>
      </c>
      <c r="H16" s="3">
        <v>4.9615466999999996E-3</v>
      </c>
      <c r="I16" s="3">
        <v>1.3862793E-4</v>
      </c>
      <c r="J16" s="3">
        <v>-5.4865321000000002E-3</v>
      </c>
      <c r="L16" s="3">
        <f t="shared" si="0"/>
        <v>1.1175925925925927</v>
      </c>
      <c r="M16" s="3"/>
      <c r="N16" s="2">
        <f>IF('Modell einstellen'!$B$1="Voll",H16/0.35,H16/0.35*2)</f>
        <v>1.4175847714285714E-2</v>
      </c>
      <c r="O16" s="2">
        <f>IF('Modell einstellen'!$B$1="Voll",J16/0.35,J16/0.35*2)</f>
        <v>-1.5675806E-2</v>
      </c>
      <c r="P16" s="3">
        <f t="shared" si="1"/>
        <v>0.90431380142658779</v>
      </c>
    </row>
    <row r="17" spans="1:16" x14ac:dyDescent="0.25">
      <c r="A17" s="3">
        <v>0.1</v>
      </c>
      <c r="B17" s="3">
        <v>-1.457E-2</v>
      </c>
      <c r="C17" s="3">
        <v>1.459E-3</v>
      </c>
      <c r="D17" s="3">
        <v>1.2749999999999999E-2</v>
      </c>
      <c r="E17" s="3">
        <v>0</v>
      </c>
      <c r="F17" s="3">
        <v>0</v>
      </c>
      <c r="G17" s="3">
        <v>0</v>
      </c>
      <c r="H17" s="3">
        <v>5.7426331999999997E-3</v>
      </c>
      <c r="I17" s="3">
        <v>2.3814826E-4</v>
      </c>
      <c r="J17" s="3">
        <v>-6.5983804000000002E-3</v>
      </c>
      <c r="L17" s="3">
        <f t="shared" si="0"/>
        <v>1.1427450980392158</v>
      </c>
      <c r="M17" s="3"/>
      <c r="N17" s="2">
        <f>IF('Modell einstellen'!$B$1="Voll",H17/0.35,H17/0.35*2)</f>
        <v>1.6407523428571429E-2</v>
      </c>
      <c r="O17" s="2">
        <f>IF('Modell einstellen'!$B$1="Voll",J17/0.35,J17/0.35*2)</f>
        <v>-1.8852515428571429E-2</v>
      </c>
      <c r="P17" s="3">
        <f t="shared" si="1"/>
        <v>0.87030950807261731</v>
      </c>
    </row>
    <row r="18" spans="1:16" x14ac:dyDescent="0.25">
      <c r="A18" s="3">
        <v>1</v>
      </c>
      <c r="B18" s="3">
        <v>-1.6320000000000001E-2</v>
      </c>
      <c r="C18" s="3">
        <v>2.3259999999999999E-3</v>
      </c>
      <c r="D18" s="3">
        <v>1.363E-2</v>
      </c>
      <c r="E18" s="3">
        <v>0</v>
      </c>
      <c r="F18" s="3">
        <v>0</v>
      </c>
      <c r="G18" s="3">
        <v>0</v>
      </c>
      <c r="H18" s="3">
        <v>6.0596314000000004E-3</v>
      </c>
      <c r="I18" s="3">
        <v>4.0149339999999997E-4</v>
      </c>
      <c r="J18" s="3">
        <v>-7.4861698000000003E-3</v>
      </c>
      <c r="L18" s="3">
        <f t="shared" si="0"/>
        <v>1.1973587674247983</v>
      </c>
      <c r="M18" s="3"/>
      <c r="N18" s="2">
        <f>IF('Modell einstellen'!$B$1="Voll",H18/0.35,H18/0.35*2)</f>
        <v>1.7313232571428572E-2</v>
      </c>
      <c r="O18" s="2">
        <f>IF('Modell einstellen'!$B$1="Voll",J18/0.35,J18/0.35*2)</f>
        <v>-2.1389056571428575E-2</v>
      </c>
      <c r="P18" s="3">
        <f t="shared" si="1"/>
        <v>0.80944348871167726</v>
      </c>
    </row>
    <row r="19" spans="1:16" x14ac:dyDescent="0.25">
      <c r="A19" s="3">
        <v>10</v>
      </c>
      <c r="B19" s="3">
        <v>-1.7090000000000001E-2</v>
      </c>
      <c r="C19" s="3">
        <v>3.3059999999999999E-3</v>
      </c>
      <c r="D19" s="3">
        <v>1.3429999999999999E-2</v>
      </c>
      <c r="E19" s="3">
        <v>0</v>
      </c>
      <c r="F19" s="3">
        <v>0</v>
      </c>
      <c r="G19" s="3">
        <v>0</v>
      </c>
      <c r="H19" s="3">
        <v>5.9149700000000003E-3</v>
      </c>
      <c r="I19" s="3">
        <v>5.9484648000000004E-4</v>
      </c>
      <c r="J19" s="3">
        <v>-8.0341635999999998E-3</v>
      </c>
      <c r="L19" s="3">
        <f t="shared" si="0"/>
        <v>1.2725241995532393</v>
      </c>
      <c r="M19" s="3"/>
      <c r="N19" s="2">
        <f>IF('Modell einstellen'!$B$1="Voll",H19/0.35,H19/0.35*2)</f>
        <v>1.6899914285714288E-2</v>
      </c>
      <c r="O19" s="2">
        <f>IF('Modell einstellen'!$B$1="Voll",J19/0.35,J19/0.35*2)</f>
        <v>-2.2954753142857144E-2</v>
      </c>
      <c r="P19" s="3">
        <f t="shared" si="1"/>
        <v>0.73622722843234112</v>
      </c>
    </row>
    <row r="20" spans="1:16" x14ac:dyDescent="0.25">
      <c r="A20" s="3">
        <v>100</v>
      </c>
      <c r="B20" s="3">
        <v>-1.7299999999999999E-2</v>
      </c>
      <c r="C20" s="3">
        <v>4.1229999999999999E-3</v>
      </c>
      <c r="D20" s="3">
        <v>1.2829999999999999E-2</v>
      </c>
      <c r="E20" s="3">
        <v>0</v>
      </c>
      <c r="F20" s="3">
        <v>0</v>
      </c>
      <c r="G20" s="3">
        <v>0</v>
      </c>
      <c r="H20" s="3">
        <v>5.6204480000000001E-3</v>
      </c>
      <c r="I20" s="3">
        <v>7.6037288E-4</v>
      </c>
      <c r="J20" s="3">
        <v>-8.3373975999999992E-3</v>
      </c>
      <c r="L20" s="3">
        <f t="shared" si="0"/>
        <v>1.3484021823850352</v>
      </c>
      <c r="M20" s="3"/>
      <c r="N20" s="2">
        <f>IF('Modell einstellen'!$B$1="Voll",H20/0.35,H20/0.35*2)</f>
        <v>1.6058422857142859E-2</v>
      </c>
      <c r="O20" s="2">
        <f>IF('Modell einstellen'!$B$1="Voll",J20/0.35,J20/0.35*2)</f>
        <v>-2.3821136E-2</v>
      </c>
      <c r="P20" s="3">
        <f t="shared" si="1"/>
        <v>0.67412498115719</v>
      </c>
    </row>
    <row r="21" spans="1:16" x14ac:dyDescent="0.25">
      <c r="A21" s="3">
        <v>1000</v>
      </c>
      <c r="B21" s="3">
        <v>-1.7409999999999998E-2</v>
      </c>
      <c r="C21" s="3">
        <v>4.7419999999999997E-3</v>
      </c>
      <c r="D21" s="3">
        <v>1.2330000000000001E-2</v>
      </c>
      <c r="E21" s="3">
        <v>0</v>
      </c>
      <c r="F21" s="3">
        <v>0</v>
      </c>
      <c r="G21" s="3">
        <v>0</v>
      </c>
      <c r="H21" s="3">
        <v>5.3977252E-3</v>
      </c>
      <c r="I21" s="3">
        <v>8.8756356E-4</v>
      </c>
      <c r="J21" s="3">
        <v>-8.5729460999999993E-3</v>
      </c>
      <c r="L21" s="3">
        <f t="shared" si="0"/>
        <v>1.4120032441200323</v>
      </c>
      <c r="M21" s="3"/>
      <c r="N21" s="2">
        <f>IF('Modell einstellen'!$B$1="Voll",H21/0.35,H21/0.35*2)</f>
        <v>1.5422072E-2</v>
      </c>
      <c r="O21" s="2">
        <f>IF('Modell einstellen'!$B$1="Voll",J21/0.35,J21/0.35*2)</f>
        <v>-2.4494131714285713E-2</v>
      </c>
      <c r="P21" s="3">
        <f t="shared" si="1"/>
        <v>0.6296231350387238</v>
      </c>
    </row>
    <row r="22" spans="1:16" x14ac:dyDescent="0.25">
      <c r="A22" s="3">
        <v>10000</v>
      </c>
      <c r="B22" s="3">
        <v>-1.746E-2</v>
      </c>
      <c r="C22" s="3">
        <v>5.1669999999999997E-3</v>
      </c>
      <c r="D22" s="3">
        <v>1.196E-2</v>
      </c>
      <c r="E22" s="3">
        <v>0</v>
      </c>
      <c r="F22" s="3">
        <v>0</v>
      </c>
      <c r="G22" s="3">
        <v>0</v>
      </c>
      <c r="H22" s="3">
        <v>5.2459843999999997E-3</v>
      </c>
      <c r="I22" s="3">
        <v>9.7583505999999996E-4</v>
      </c>
      <c r="J22" s="3">
        <v>-8.7386956000000005E-3</v>
      </c>
      <c r="L22" s="3">
        <f t="shared" si="0"/>
        <v>1.459866220735786</v>
      </c>
      <c r="M22" s="3"/>
      <c r="N22" s="2">
        <f>IF('Modell einstellen'!$B$1="Voll",H22/0.35,H22/0.35*2)</f>
        <v>1.4988526857142857E-2</v>
      </c>
      <c r="O22" s="2">
        <f>IF('Modell einstellen'!$B$1="Voll",J22/0.35,J22/0.35*2)</f>
        <v>-2.4967701714285716E-2</v>
      </c>
      <c r="P22" s="3">
        <f t="shared" si="1"/>
        <v>0.60031664222289649</v>
      </c>
    </row>
    <row r="23" spans="1:16" x14ac:dyDescent="0.25">
      <c r="A23" s="3">
        <v>100000</v>
      </c>
      <c r="B23" s="3">
        <v>-1.746E-2</v>
      </c>
      <c r="C23" s="3">
        <v>5.476E-3</v>
      </c>
      <c r="D23" s="3">
        <v>1.1639999999999999E-2</v>
      </c>
      <c r="E23" s="3">
        <v>0</v>
      </c>
      <c r="F23" s="3">
        <v>0</v>
      </c>
      <c r="G23" s="3">
        <v>0</v>
      </c>
      <c r="H23" s="3">
        <v>5.1386332999999998E-3</v>
      </c>
      <c r="I23" s="3">
        <v>1.0405575000000001E-3</v>
      </c>
      <c r="J23" s="3">
        <v>-8.8637649999999991E-3</v>
      </c>
      <c r="L23" s="3">
        <f t="shared" si="0"/>
        <v>1.5</v>
      </c>
      <c r="M23" s="3"/>
      <c r="N23" s="2">
        <f>IF('Modell einstellen'!$B$1="Voll",H23/0.35,H23/0.35*2)</f>
        <v>1.4681809428571429E-2</v>
      </c>
      <c r="O23" s="2">
        <f>IF('Modell einstellen'!$B$1="Voll",J23/0.35,J23/0.35*2)</f>
        <v>-2.5325042857142856E-2</v>
      </c>
      <c r="P23" s="3">
        <f t="shared" si="1"/>
        <v>0.57973483051502384</v>
      </c>
    </row>
    <row r="24" spans="1:16" x14ac:dyDescent="0.25">
      <c r="A24" s="3">
        <v>1000000</v>
      </c>
      <c r="B24" s="3">
        <v>-1.7399999999999999E-2</v>
      </c>
      <c r="C24" s="3">
        <v>5.6899999999999997E-3</v>
      </c>
      <c r="D24" s="3">
        <v>1.1379999999999999E-2</v>
      </c>
      <c r="E24" s="3">
        <v>0</v>
      </c>
      <c r="F24" s="3">
        <v>0</v>
      </c>
      <c r="G24" s="3">
        <v>0</v>
      </c>
      <c r="H24" s="3">
        <v>5.0680270000000001E-3</v>
      </c>
      <c r="I24" s="3">
        <v>1.0856793999999999E-3</v>
      </c>
      <c r="J24" s="3">
        <v>-8.9549469E-3</v>
      </c>
      <c r="L24" s="3">
        <f t="shared" si="0"/>
        <v>1.5289982425307558</v>
      </c>
      <c r="M24" s="3"/>
      <c r="N24" s="2">
        <f>IF('Modell einstellen'!$B$1="Voll",H24/0.35,H24/0.35*2)</f>
        <v>1.4480077142857144E-2</v>
      </c>
      <c r="O24" s="2">
        <f>IF('Modell einstellen'!$B$1="Voll",J24/0.35,J24/0.35*2)</f>
        <v>-2.5585562571428574E-2</v>
      </c>
      <c r="P24" s="3">
        <f t="shared" si="1"/>
        <v>0.56594718613016004</v>
      </c>
    </row>
    <row r="25" spans="1:16" x14ac:dyDescent="0.25">
      <c r="A25" s="3">
        <v>10000000</v>
      </c>
      <c r="B25" s="3">
        <v>-1.7319999999999999E-2</v>
      </c>
      <c r="C25" s="3">
        <v>5.8300000000000001E-3</v>
      </c>
      <c r="D25" s="3">
        <v>1.116E-2</v>
      </c>
      <c r="E25" s="3">
        <v>0</v>
      </c>
      <c r="F25" s="3">
        <v>0</v>
      </c>
      <c r="G25" s="3">
        <v>0</v>
      </c>
      <c r="H25" s="3">
        <v>5.0259364999999997E-3</v>
      </c>
      <c r="I25" s="3">
        <v>1.1153176E-3</v>
      </c>
      <c r="J25" s="3">
        <v>-9.0189325999999997E-3</v>
      </c>
      <c r="L25" s="3">
        <f t="shared" si="0"/>
        <v>1.5519713261648744</v>
      </c>
      <c r="M25" s="3"/>
      <c r="N25" s="2">
        <f>IF('Modell einstellen'!$B$1="Voll",H25/0.35,H25/0.35*2)</f>
        <v>1.4359818571428571E-2</v>
      </c>
      <c r="O25" s="2">
        <f>IF('Modell einstellen'!$B$1="Voll",J25/0.35,J25/0.35*2)</f>
        <v>-2.5768378857142858E-2</v>
      </c>
      <c r="P25" s="3">
        <f t="shared" si="1"/>
        <v>0.55726511361222497</v>
      </c>
    </row>
    <row r="26" spans="1:16" x14ac:dyDescent="0.25">
      <c r="A26" s="3">
        <v>100000000</v>
      </c>
      <c r="B26" s="3">
        <v>-1.7219999999999999E-2</v>
      </c>
      <c r="C26" s="3">
        <v>5.9129999999999999E-3</v>
      </c>
      <c r="D26" s="3">
        <v>1.0970000000000001E-2</v>
      </c>
      <c r="E26" s="3">
        <v>0</v>
      </c>
      <c r="F26" s="3">
        <v>0</v>
      </c>
      <c r="G26" s="3">
        <v>0</v>
      </c>
      <c r="H26" s="3">
        <v>5.0053407999999999E-3</v>
      </c>
      <c r="I26" s="3">
        <v>1.133104E-3</v>
      </c>
      <c r="J26" s="3">
        <v>-9.0618146000000007E-3</v>
      </c>
      <c r="L26" s="3">
        <f t="shared" si="0"/>
        <v>1.5697356426618048</v>
      </c>
      <c r="M26" s="3"/>
      <c r="N26" s="2">
        <f>IF('Modell einstellen'!$B$1="Voll",H26/0.35,H26/0.35*2)</f>
        <v>1.4300973714285715E-2</v>
      </c>
      <c r="O26" s="2">
        <f>IF('Modell einstellen'!$B$1="Voll",J26/0.35,J26/0.35*2)</f>
        <v>-2.5890898857142859E-2</v>
      </c>
      <c r="P26" s="3">
        <f t="shared" si="1"/>
        <v>0.55235524240365719</v>
      </c>
    </row>
    <row r="27" spans="1:16" x14ac:dyDescent="0.25">
      <c r="A27" s="3">
        <v>1000000000</v>
      </c>
      <c r="B27" s="3">
        <v>-1.7219999999999999E-2</v>
      </c>
      <c r="C27" s="3">
        <v>5.914E-3</v>
      </c>
      <c r="D27" s="3">
        <v>1.0970000000000001E-2</v>
      </c>
      <c r="E27" s="3">
        <v>0</v>
      </c>
      <c r="F27" s="3">
        <v>0</v>
      </c>
      <c r="G27" s="3">
        <v>0</v>
      </c>
      <c r="H27" s="3">
        <v>5.0052578000000002E-3</v>
      </c>
      <c r="I27" s="3">
        <v>1.1332868999999999E-3</v>
      </c>
      <c r="J27" s="3">
        <v>-9.0623826000000001E-3</v>
      </c>
      <c r="L27" s="3">
        <f t="shared" si="0"/>
        <v>1.5697356426618048</v>
      </c>
      <c r="M27" s="3"/>
      <c r="N27" s="2">
        <f>IF('Modell einstellen'!$B$1="Voll",H27/0.35,H27/0.35*2)</f>
        <v>1.4300736571428573E-2</v>
      </c>
      <c r="O27" s="2">
        <f>IF('Modell einstellen'!$B$1="Voll",J27/0.35,J27/0.35*2)</f>
        <v>-2.5892521714285716E-2</v>
      </c>
      <c r="P27" s="3">
        <f t="shared" si="1"/>
        <v>0.55231146387485341</v>
      </c>
    </row>
    <row r="28" spans="1:16" x14ac:dyDescent="0.25">
      <c r="A28" s="3">
        <v>10000000000</v>
      </c>
      <c r="B28" s="3">
        <v>-1.7170000000000001E-2</v>
      </c>
      <c r="C28" s="3">
        <v>5.9389999999999998E-3</v>
      </c>
      <c r="D28" s="3">
        <v>1.089E-2</v>
      </c>
      <c r="E28" s="3">
        <v>0</v>
      </c>
      <c r="F28" s="3">
        <v>0</v>
      </c>
      <c r="G28" s="3">
        <v>0</v>
      </c>
      <c r="H28" s="3">
        <v>5.0010107999999996E-3</v>
      </c>
      <c r="I28" s="3">
        <v>1.1386241E-3</v>
      </c>
      <c r="J28" s="3">
        <v>-9.0770976999999999E-3</v>
      </c>
      <c r="L28" s="3">
        <f t="shared" si="0"/>
        <v>1.5766758494031221</v>
      </c>
      <c r="M28" s="3"/>
      <c r="N28" s="2">
        <f>IF('Modell einstellen'!$B$1="Voll",H28/0.35,H28/0.35*2)</f>
        <v>1.4288602285714285E-2</v>
      </c>
      <c r="O28" s="2">
        <f>IF('Modell einstellen'!$B$1="Voll",J28/0.35,J28/0.35*2)</f>
        <v>-2.5934564857142857E-2</v>
      </c>
      <c r="P28" s="3">
        <f t="shared" si="1"/>
        <v>0.55094821773263492</v>
      </c>
    </row>
    <row r="29" spans="1:16" x14ac:dyDescent="0.25">
      <c r="A29" s="3">
        <v>100000000000</v>
      </c>
      <c r="B29" s="3">
        <v>-1.7090000000000001E-2</v>
      </c>
      <c r="C29" s="3">
        <v>5.9610000000000002E-3</v>
      </c>
      <c r="D29" s="3">
        <v>1.0800000000000001E-2</v>
      </c>
      <c r="E29" s="3">
        <v>0</v>
      </c>
      <c r="F29" s="3">
        <v>0</v>
      </c>
      <c r="G29" s="3">
        <v>0</v>
      </c>
      <c r="H29" s="3">
        <v>4.9995142000000001E-3</v>
      </c>
      <c r="I29" s="3">
        <v>1.1434696E-3</v>
      </c>
      <c r="J29" s="3">
        <v>-9.0927452000000002E-3</v>
      </c>
      <c r="L29" s="3">
        <f t="shared" si="0"/>
        <v>1.5824074074074075</v>
      </c>
      <c r="M29" s="3"/>
      <c r="N29" s="2">
        <f>IF('Modell einstellen'!$B$1="Voll",H29/0.35,H29/0.35*2)</f>
        <v>1.4284326285714287E-2</v>
      </c>
      <c r="O29" s="2">
        <f>IF('Modell einstellen'!$B$1="Voll",J29/0.35,J29/0.35*2)</f>
        <v>-2.5979272000000001E-2</v>
      </c>
      <c r="P29" s="3">
        <f t="shared" si="1"/>
        <v>0.54983551062224867</v>
      </c>
    </row>
    <row r="30" spans="1:16" x14ac:dyDescent="0.25">
      <c r="A30" s="3">
        <v>1000000000000</v>
      </c>
      <c r="B30" s="3">
        <v>-1.7010000000000001E-2</v>
      </c>
      <c r="C30" s="3">
        <v>5.9740000000000001E-3</v>
      </c>
      <c r="D30" s="3">
        <v>1.0710000000000001E-2</v>
      </c>
      <c r="E30" s="3">
        <v>0</v>
      </c>
      <c r="F30" s="3">
        <v>0</v>
      </c>
      <c r="G30" s="3">
        <v>0</v>
      </c>
      <c r="H30" s="3">
        <v>5.0018231000000003E-3</v>
      </c>
      <c r="I30" s="3">
        <v>1.146317E-3</v>
      </c>
      <c r="J30" s="3">
        <v>-9.1050173000000005E-3</v>
      </c>
      <c r="L30" s="3">
        <f t="shared" si="0"/>
        <v>1.588235294117647</v>
      </c>
      <c r="M30" s="3"/>
      <c r="N30" s="2">
        <f>IF('Modell einstellen'!$B$1="Voll",H30/0.35,H30/0.35*2)</f>
        <v>1.4290923142857145E-2</v>
      </c>
      <c r="O30" s="2">
        <f>IF('Modell einstellen'!$B$1="Voll",J30/0.35,J30/0.35*2)</f>
        <v>-2.6014335142857146E-2</v>
      </c>
      <c r="P30" s="3">
        <f t="shared" si="1"/>
        <v>0.54934800618116342</v>
      </c>
    </row>
    <row r="31" spans="1:16" x14ac:dyDescent="0.25">
      <c r="A31" s="3">
        <v>10000000000000</v>
      </c>
      <c r="B31" s="3">
        <v>-1.7010000000000001E-2</v>
      </c>
      <c r="C31" s="3">
        <v>5.9740000000000001E-3</v>
      </c>
      <c r="D31" s="3">
        <v>1.0699999999999999E-2</v>
      </c>
      <c r="E31" s="3">
        <v>0</v>
      </c>
      <c r="F31" s="3">
        <v>0</v>
      </c>
      <c r="G31" s="3">
        <v>0</v>
      </c>
      <c r="H31" s="3">
        <v>5.0019898000000004E-3</v>
      </c>
      <c r="I31" s="3">
        <v>1.1464639E-3</v>
      </c>
      <c r="J31" s="3">
        <v>-9.1056959000000003E-3</v>
      </c>
      <c r="L31" s="3">
        <f t="shared" si="0"/>
        <v>1.5897196261682245</v>
      </c>
      <c r="M31" s="3"/>
      <c r="N31" s="2">
        <f>IF('Modell einstellen'!$B$1="Voll",H31/0.35,H31/0.35*2)</f>
        <v>1.429139942857143E-2</v>
      </c>
      <c r="O31" s="2">
        <f>IF('Modell einstellen'!$B$1="Voll",J31/0.35,J31/0.35*2)</f>
        <v>-2.6016274000000002E-2</v>
      </c>
      <c r="P31" s="3">
        <f t="shared" si="1"/>
        <v>0.54932537336328136</v>
      </c>
    </row>
    <row r="32" spans="1:16" x14ac:dyDescent="0.25">
      <c r="A32" s="3">
        <v>100000000000000</v>
      </c>
      <c r="B32" s="3">
        <v>-1.7010000000000001E-2</v>
      </c>
      <c r="C32" s="3">
        <v>5.9750000000000003E-3</v>
      </c>
      <c r="D32" s="3">
        <v>1.0699999999999999E-2</v>
      </c>
      <c r="E32" s="3">
        <v>0</v>
      </c>
      <c r="F32" s="3">
        <v>0</v>
      </c>
      <c r="G32" s="3">
        <v>0</v>
      </c>
      <c r="H32" s="3">
        <v>5.0021249999999996E-3</v>
      </c>
      <c r="I32" s="3">
        <v>1.1465049000000001E-3</v>
      </c>
      <c r="J32" s="3">
        <v>-9.1059703999999998E-3</v>
      </c>
      <c r="L32" s="3">
        <f t="shared" si="0"/>
        <v>1.5897196261682245</v>
      </c>
      <c r="M32" s="3"/>
      <c r="N32" s="2">
        <f>IF('Modell einstellen'!$B$1="Voll",H32/0.35,H32/0.35*2)</f>
        <v>1.4291785714285713E-2</v>
      </c>
      <c r="O32" s="2">
        <f>IF('Modell einstellen'!$B$1="Voll",J32/0.35,J32/0.35*2)</f>
        <v>-2.6017058285714288E-2</v>
      </c>
      <c r="P32" s="3">
        <f t="shared" si="1"/>
        <v>0.54932366132004984</v>
      </c>
    </row>
    <row r="33" spans="1:16" x14ac:dyDescent="0.25">
      <c r="A33" s="3">
        <v>1000000000000000</v>
      </c>
      <c r="B33" s="3">
        <v>-1.7000000000000001E-2</v>
      </c>
      <c r="C33" s="3">
        <v>5.9750000000000003E-3</v>
      </c>
      <c r="D33" s="3">
        <v>1.0699999999999999E-2</v>
      </c>
      <c r="E33" s="3">
        <v>0</v>
      </c>
      <c r="F33" s="3">
        <v>0</v>
      </c>
      <c r="G33" s="3">
        <v>0</v>
      </c>
      <c r="H33" s="3">
        <v>5.0022697E-3</v>
      </c>
      <c r="I33" s="3">
        <v>1.1465066E-3</v>
      </c>
      <c r="J33" s="3">
        <v>-9.1061163999999993E-3</v>
      </c>
      <c r="L33" s="3">
        <f t="shared" si="0"/>
        <v>1.5887850467289721</v>
      </c>
      <c r="M33" s="3"/>
      <c r="N33" s="2">
        <f>IF('Modell einstellen'!$B$1="Voll",H33/0.35,H33/0.35*2)</f>
        <v>1.4292199142857143E-2</v>
      </c>
      <c r="O33" s="2">
        <f>IF('Modell einstellen'!$B$1="Voll",J33/0.35,J33/0.35*2)</f>
        <v>-2.6017475428571427E-2</v>
      </c>
      <c r="P33" s="3">
        <f t="shared" si="1"/>
        <v>0.54933074433355589</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2022-01-07T09:51:40Z</dcterms:modified>
</cp:coreProperties>
</file>