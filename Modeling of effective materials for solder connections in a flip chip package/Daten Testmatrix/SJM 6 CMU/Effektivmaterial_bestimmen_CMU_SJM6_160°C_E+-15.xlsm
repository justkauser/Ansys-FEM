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O29" i="11"/>
  <c r="N29" i="11"/>
  <c r="P29" i="11" s="1"/>
  <c r="O28" i="11"/>
  <c r="N28" i="11"/>
  <c r="P28" i="11" s="1"/>
  <c r="P27" i="11"/>
  <c r="O27" i="11"/>
  <c r="N27" i="11"/>
  <c r="O26" i="11"/>
  <c r="N26" i="11"/>
  <c r="P26" i="11" s="1"/>
  <c r="P25" i="11"/>
  <c r="O25" i="11"/>
  <c r="N25" i="11"/>
  <c r="O24" i="11"/>
  <c r="N24" i="11"/>
  <c r="P24" i="11" s="1"/>
  <c r="O23" i="11"/>
  <c r="N23" i="11"/>
  <c r="P23" i="11" s="1"/>
  <c r="O22" i="11"/>
  <c r="N22" i="11"/>
  <c r="P22" i="11" s="1"/>
  <c r="O21" i="11"/>
  <c r="N21" i="11"/>
  <c r="P21" i="11" s="1"/>
  <c r="O20" i="11"/>
  <c r="N20" i="11"/>
  <c r="O19" i="11"/>
  <c r="N19" i="11"/>
  <c r="P19" i="11" s="1"/>
  <c r="O18" i="11"/>
  <c r="N18" i="11"/>
  <c r="O17" i="11"/>
  <c r="N17" i="11"/>
  <c r="P17" i="11" s="1"/>
  <c r="O16" i="11"/>
  <c r="N16" i="11"/>
  <c r="P16" i="11" s="1"/>
  <c r="P15" i="11"/>
  <c r="O15" i="11"/>
  <c r="N15" i="11"/>
  <c r="O14" i="11"/>
  <c r="N14" i="11"/>
  <c r="P14" i="11" s="1"/>
  <c r="P13" i="11"/>
  <c r="O13" i="11"/>
  <c r="N13" i="11"/>
  <c r="O12" i="11"/>
  <c r="N12" i="11"/>
  <c r="O11" i="11"/>
  <c r="N11" i="11"/>
  <c r="P11" i="11" s="1"/>
  <c r="O10" i="11"/>
  <c r="N10" i="11"/>
  <c r="P10" i="11" s="1"/>
  <c r="O9" i="11"/>
  <c r="N9" i="11"/>
  <c r="P9" i="11" s="1"/>
  <c r="O8" i="11"/>
  <c r="N8" i="11"/>
  <c r="O7" i="11"/>
  <c r="N7" i="11"/>
  <c r="P7" i="11" s="1"/>
  <c r="O6" i="11"/>
  <c r="N6" i="11"/>
  <c r="O5" i="11"/>
  <c r="N5" i="11"/>
  <c r="P5" i="11" s="1"/>
  <c r="O4" i="11"/>
  <c r="N4" i="11"/>
  <c r="P4" i="11" s="1"/>
  <c r="P3" i="11"/>
  <c r="O3" i="11"/>
  <c r="N3" i="11"/>
  <c r="P6" i="11" l="1"/>
  <c r="P18" i="11"/>
  <c r="P30" i="11"/>
  <c r="P1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E403" i="43"/>
  <c r="C403" i="43"/>
  <c r="B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29" i="43"/>
  <c r="B412" i="43"/>
  <c r="B415" i="43"/>
  <c r="B417" i="43"/>
  <c r="B409" i="43"/>
  <c r="B406" i="43"/>
  <c r="B423" i="43"/>
  <c r="B419" i="43"/>
  <c r="B433" i="43"/>
  <c r="B411" i="43"/>
  <c r="B416" i="43"/>
  <c r="B432" i="43"/>
  <c r="B404" i="43"/>
  <c r="B428" i="43"/>
  <c r="B421" i="43"/>
  <c r="B410" i="43"/>
  <c r="B407" i="43"/>
  <c r="B431" i="43"/>
  <c r="B427" i="43"/>
  <c r="B420" i="43"/>
  <c r="B434" i="43"/>
  <c r="B430" i="43"/>
  <c r="B418" i="43"/>
  <c r="B426" i="43"/>
  <c r="B422" i="43"/>
  <c r="E405" i="43"/>
  <c r="E408" i="43"/>
  <c r="E413" i="43"/>
  <c r="E415" i="43"/>
  <c r="E424" i="43"/>
  <c r="E433" i="43"/>
  <c r="E404" i="43"/>
  <c r="E422" i="43"/>
  <c r="E431" i="43"/>
  <c r="E406" i="43"/>
  <c r="E417" i="43"/>
  <c r="E419" i="43"/>
  <c r="E426" i="43"/>
  <c r="E430" i="43"/>
  <c r="E425" i="43"/>
  <c r="E411" i="43"/>
  <c r="E416" i="43"/>
  <c r="E423" i="43"/>
  <c r="E410" i="43"/>
  <c r="E434" i="43"/>
  <c r="E418" i="43"/>
  <c r="E429" i="43"/>
  <c r="E427" i="43"/>
  <c r="E420" i="43"/>
  <c r="E414" i="43"/>
  <c r="E407" i="43"/>
  <c r="E421" i="43"/>
  <c r="E409" i="43"/>
  <c r="E428" i="43"/>
  <c r="E432" i="43"/>
  <c r="E412" i="43"/>
  <c r="C406" i="43"/>
  <c r="C423" i="43"/>
  <c r="C428" i="43"/>
  <c r="C404" i="43"/>
  <c r="C434" i="43"/>
  <c r="C409" i="43"/>
  <c r="C421" i="43"/>
  <c r="C433" i="43"/>
  <c r="C417" i="43"/>
  <c r="C430" i="43"/>
  <c r="C407" i="43"/>
  <c r="C414" i="43"/>
  <c r="C418" i="43"/>
  <c r="C425" i="43"/>
  <c r="C427" i="43"/>
  <c r="C429" i="43"/>
  <c r="C432" i="43"/>
  <c r="C424" i="43"/>
  <c r="C419" i="43"/>
  <c r="C426" i="43"/>
  <c r="C410" i="43"/>
  <c r="C412" i="43"/>
  <c r="C420" i="43"/>
  <c r="C422" i="43"/>
  <c r="C431" i="43"/>
  <c r="C408" i="43"/>
  <c r="C405" i="43"/>
  <c r="C415" i="43"/>
  <c r="C413" i="43"/>
  <c r="C411" i="43"/>
  <c r="C416" i="43"/>
  <c r="H434" i="43"/>
  <c r="H418" i="43"/>
  <c r="H415" i="43"/>
  <c r="H410" i="43"/>
  <c r="H424" i="43"/>
  <c r="H405" i="43"/>
  <c r="H430" i="43"/>
  <c r="H423" i="43"/>
  <c r="H417" i="43"/>
  <c r="H414" i="43"/>
  <c r="H425" i="43"/>
  <c r="H419" i="43"/>
  <c r="H429" i="43"/>
  <c r="H416" i="43"/>
  <c r="H404" i="43"/>
  <c r="H413" i="43"/>
  <c r="H427" i="43"/>
  <c r="H409" i="43"/>
  <c r="H422" i="43"/>
  <c r="H421" i="43"/>
  <c r="H432" i="43"/>
  <c r="H407" i="43"/>
  <c r="H431" i="43"/>
  <c r="H433" i="43"/>
  <c r="H428" i="43"/>
  <c r="H426" i="43"/>
  <c r="H408" i="43"/>
  <c r="H420" i="43"/>
  <c r="H412" i="43"/>
  <c r="H411" i="43"/>
  <c r="H406" i="43"/>
  <c r="G410" i="43"/>
  <c r="G431" i="43"/>
  <c r="G413" i="43"/>
  <c r="G416" i="43"/>
  <c r="G434" i="43"/>
  <c r="G428" i="43"/>
  <c r="G429" i="43"/>
  <c r="G411" i="43"/>
  <c r="G427" i="43"/>
  <c r="G409" i="43"/>
  <c r="G408" i="43"/>
  <c r="G424" i="43"/>
  <c r="G414" i="43"/>
  <c r="G422" i="43"/>
  <c r="G426" i="43"/>
  <c r="G417" i="43"/>
  <c r="G412" i="43"/>
  <c r="G406" i="43"/>
  <c r="G419" i="43"/>
  <c r="G423" i="43"/>
  <c r="G405" i="43"/>
  <c r="G421" i="43"/>
  <c r="G433" i="43"/>
  <c r="G432" i="43"/>
  <c r="G407" i="43"/>
  <c r="G420" i="43"/>
  <c r="G404" i="43"/>
  <c r="G418" i="43"/>
  <c r="G415" i="43"/>
  <c r="G425" i="43"/>
  <c r="G430" i="43"/>
  <c r="D406" i="43"/>
  <c r="D417" i="43"/>
  <c r="D419" i="43"/>
  <c r="D426" i="43"/>
  <c r="D430" i="43"/>
  <c r="D428" i="43"/>
  <c r="D422" i="43"/>
  <c r="D413" i="43"/>
  <c r="D411" i="43"/>
  <c r="D416" i="43"/>
  <c r="D423" i="43"/>
  <c r="D404" i="43"/>
  <c r="D408" i="43"/>
  <c r="D409" i="43"/>
  <c r="D421" i="43"/>
  <c r="D434" i="43"/>
  <c r="D431" i="43"/>
  <c r="D407" i="43"/>
  <c r="D414" i="43"/>
  <c r="D418" i="43"/>
  <c r="D425" i="43"/>
  <c r="D427" i="43"/>
  <c r="D429" i="43"/>
  <c r="D432" i="43"/>
  <c r="D410" i="43"/>
  <c r="D412" i="43"/>
  <c r="D420" i="43"/>
  <c r="D405" i="43"/>
  <c r="D415" i="43"/>
  <c r="D424" i="43"/>
  <c r="D433" i="43"/>
  <c r="F415" i="43"/>
  <c r="F410" i="43"/>
  <c r="F420" i="43"/>
  <c r="F431" i="43"/>
  <c r="F434" i="43"/>
  <c r="F424" i="43"/>
  <c r="F419" i="43"/>
  <c r="F430" i="43"/>
  <c r="F416" i="43"/>
  <c r="F423" i="43"/>
  <c r="F404" i="43"/>
  <c r="F427" i="43"/>
  <c r="F421" i="43"/>
  <c r="F425" i="43"/>
  <c r="F426" i="43"/>
  <c r="F412" i="43"/>
  <c r="F405" i="43"/>
  <c r="F413" i="43"/>
  <c r="F417" i="43"/>
  <c r="F414" i="43"/>
  <c r="F422" i="43"/>
  <c r="F411" i="43"/>
  <c r="F429" i="43"/>
  <c r="F432" i="43"/>
  <c r="F418" i="43"/>
  <c r="F409" i="43"/>
  <c r="F428"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AD169" i="43"/>
  <c r="K432" i="43"/>
  <c r="F169" i="43"/>
  <c r="K408" i="43"/>
  <c r="D169" i="43"/>
  <c r="K406" i="43"/>
  <c r="K208" i="43"/>
  <c r="K413" i="43"/>
  <c r="R169" i="43"/>
  <c r="K420"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D247" i="43"/>
  <c r="L406" i="43"/>
  <c r="M247" i="43"/>
  <c r="L415" i="43"/>
  <c r="AE247" i="43"/>
  <c r="L433" i="43"/>
  <c r="G130" i="43"/>
  <c r="J409" i="43"/>
  <c r="T130" i="43"/>
  <c r="J422" i="43"/>
  <c r="I130" i="43"/>
  <c r="J411" i="43"/>
  <c r="X130" i="43"/>
  <c r="J426" i="43"/>
  <c r="J130" i="43"/>
  <c r="J412" i="43"/>
  <c r="AD130" i="43"/>
  <c r="J432" i="43"/>
  <c r="M130" i="43"/>
  <c r="J415" i="43"/>
  <c r="AE130" i="43"/>
  <c r="J433" i="43"/>
  <c r="AC130" i="43"/>
  <c r="J431"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V130" i="43"/>
  <c r="J424" i="43"/>
  <c r="K130" i="43"/>
  <c r="J413" i="43"/>
  <c r="Q130" i="43"/>
  <c r="J419" i="43"/>
  <c r="L130" i="43"/>
  <c r="J414" i="43"/>
  <c r="Y130" i="43"/>
  <c r="J427" i="43"/>
  <c r="C130" i="43"/>
  <c r="J405"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<sst xmlns="http://schemas.openxmlformats.org/spreadsheetml/2006/main" count="311" uniqueCount="164">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</sst>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79601280"/>
        <c:axId val="4795977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96012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7752"/>
        <c:crossesAt val="-8.0000000000000019E-3"/>
        <c:crossBetween val="midCat"/>
      </c:valAx>
      <c:valAx>
        <c:axId val="479597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601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79598928"/>
        <c:axId val="4795993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95989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9320"/>
        <c:crosses val="autoZero"/>
        <c:crossBetween val="midCat"/>
      </c:valAx>
      <c:valAx>
        <c:axId val="4795993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892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84779768"/>
        <c:axId val="484780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84779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0160"/>
        <c:crosses val="autoZero"/>
        <c:crossBetween val="midCat"/>
        <c:majorUnit val="10000"/>
      </c:valAx>
      <c:valAx>
        <c:axId val="48478016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97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84776240"/>
        <c:axId val="4847785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47762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4778592"/>
        <c:crosses val="autoZero"/>
        <c:crossBetween val="midCat"/>
        <c:majorUnit val="10000"/>
      </c:valAx>
      <c:valAx>
        <c:axId val="48477859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477624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84780944"/>
        <c:axId val="4847825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478094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2512"/>
        <c:crosses val="autoZero"/>
        <c:crossBetween val="midCat"/>
        <c:majorUnit val="10000"/>
      </c:valAx>
      <c:valAx>
        <c:axId val="4847825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094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1.7608901402286426E-2</c:v>
                </c:pt>
                <c:pt idx="1">
                  <c:v>2.4308089531265113E-2</c:v>
                </c:pt>
                <c:pt idx="2">
                  <c:v>6.8368771486465533E-3</c:v>
                </c:pt>
                <c:pt idx="3">
                  <c:v>1.1888761125565372E-3</c:v>
                </c:pt>
                <c:pt idx="4">
                  <c:v>1.7638625543586089E-4</c:v>
                </c:pt>
                <c:pt idx="5">
                  <c:v>2.2713361112321592E-5</c:v>
                </c:pt>
                <c:pt idx="6">
                  <c:v>4.8888368242617648E-6</c:v>
                </c:pt>
                <c:pt idx="7">
                  <c:v>1.5210061341049746E-5</c:v>
                </c:pt>
                <c:pt idx="8">
                  <c:v>4.0295938784902476E-5</c:v>
                </c:pt>
                <c:pt idx="9">
                  <c:v>7.8649627343029262E-5</c:v>
                </c:pt>
                <c:pt idx="10">
                  <c:v>1.3174875028454169E-4</c:v>
                </c:pt>
                <c:pt idx="11">
                  <c:v>2.0175001278844234E-4</c:v>
                </c:pt>
                <c:pt idx="12">
                  <c:v>8.3259070935924002E-5</c:v>
                </c:pt>
                <c:pt idx="13">
                  <c:v>1.7178183580498479E-4</c:v>
                </c:pt>
                <c:pt idx="14">
                  <c:v>6.5721524649871169E-4</c:v>
                </c:pt>
                <c:pt idx="15">
                  <c:v>7.2623451696388465E-4</c:v>
                </c:pt>
                <c:pt idx="16">
                  <c:v>3.4580116824336219E-4</c:v>
                </c:pt>
                <c:pt idx="17">
                  <c:v>2.7970823704934832E-5</c:v>
                </c:pt>
                <c:pt idx="18">
                  <c:v>1.5961759109867134E-4</c:v>
                </c:pt>
                <c:pt idx="19">
                  <c:v>2.1438209244754228E-5</c:v>
                </c:pt>
                <c:pt idx="20">
                  <c:v>1.5059004847149451E-6</c:v>
                </c:pt>
                <c:pt idx="21">
                  <c:v>3.6654656719657332E-5</c:v>
                </c:pt>
                <c:pt idx="22">
                  <c:v>2.1887999679470434E-4</c:v>
                </c:pt>
                <c:pt idx="23">
                  <c:v>1.3589745239004261E-5</c:v>
                </c:pt>
                <c:pt idx="24">
                  <c:v>1.4722742201845869E-4</c:v>
                </c:pt>
                <c:pt idx="25">
                  <c:v>5.9057592592391022E-4</c:v>
                </c:pt>
                <c:pt idx="26">
                  <c:v>1.5952050635773575E-3</c:v>
                </c:pt>
                <c:pt idx="27">
                  <c:v>2.62018305070446E-3</c:v>
                </c:pt>
                <c:pt idx="28">
                  <c:v>2.5667703714809193E-3</c:v>
                </c:pt>
                <c:pt idx="29">
                  <c:v>1.4665434862699534E-3</c:v>
                </c:pt>
                <c:pt idx="30">
                  <c:v>9.2646434261294854E-3</c:v>
                </c:pt>
              </c:numCache>
            </c:numRef>
          </c:yVal>
          <c:smooth val="1"/>
        </c:ser>
        <c:dLbls>
          <c:showLegendKey val="0"/>
          <c:showVal val="0"/>
          <c:showCatName val="0"/>
          <c:showSerName val="0"/>
          <c:showPercent val="0"/>
          <c:showBubbleSize val="0"/>
        </c:dLbls>
        <c:axId val="484781728"/>
        <c:axId val="484780552"/>
      </c:scatterChart>
      <c:valAx>
        <c:axId val="484781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0552"/>
        <c:crossesAt val="-1.5000000000000005E-3"/>
        <c:crossBetween val="midCat"/>
      </c:valAx>
      <c:valAx>
        <c:axId val="4847805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172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4885.5922092797246</c:v>
                </c:pt>
                <c:pt idx="1">
                  <c:v>4772.8623946058215</c:v>
                </c:pt>
                <c:pt idx="2">
                  <c:v>4355.9653991772811</c:v>
                </c:pt>
                <c:pt idx="3">
                  <c:v>4123.2531828827105</c:v>
                </c:pt>
                <c:pt idx="4">
                  <c:v>3829.1267493918258</c:v>
                </c:pt>
                <c:pt idx="5">
                  <c:v>3513.5354239182893</c:v>
                </c:pt>
                <c:pt idx="6">
                  <c:v>3097.9300749696163</c:v>
                </c:pt>
                <c:pt idx="7">
                  <c:v>2591.1789897032727</c:v>
                </c:pt>
                <c:pt idx="8">
                  <c:v>2005.4333800594313</c:v>
                </c:pt>
                <c:pt idx="9">
                  <c:v>1355.5629915427751</c:v>
                </c:pt>
                <c:pt idx="10">
                  <c:v>817.05966532285424</c:v>
                </c:pt>
                <c:pt idx="11">
                  <c:v>463.27815189958272</c:v>
                </c:pt>
                <c:pt idx="12">
                  <c:v>256.99270751746047</c:v>
                </c:pt>
                <c:pt idx="13">
                  <c:v>167.5236808333278</c:v>
                </c:pt>
                <c:pt idx="14">
                  <c:v>141.71039186915954</c:v>
                </c:pt>
                <c:pt idx="15">
                  <c:v>129.28514781426784</c:v>
                </c:pt>
                <c:pt idx="16">
                  <c:v>125.41243765530886</c:v>
                </c:pt>
                <c:pt idx="17">
                  <c:v>125.3740083683485</c:v>
                </c:pt>
                <c:pt idx="18">
                  <c:v>125.28240720862303</c:v>
                </c:pt>
                <c:pt idx="19">
                  <c:v>125.1396182727226</c:v>
                </c:pt>
                <c:pt idx="20">
                  <c:v>124.97840206946204</c:v>
                </c:pt>
                <c:pt idx="21">
                  <c:v>124.79063762293249</c:v>
                </c:pt>
                <c:pt idx="22">
                  <c:v>124.57339029280159</c:v>
                </c:pt>
                <c:pt idx="23">
                  <c:v>124.40157005344746</c:v>
                </c:pt>
                <c:pt idx="24">
                  <c:v>124.38065675971271</c:v>
                </c:pt>
                <c:pt idx="25">
                  <c:v>124.37988440495162</c:v>
                </c:pt>
                <c:pt idx="26">
                  <c:v>124.37974345414476</c:v>
                </c:pt>
                <c:pt idx="27">
                  <c:v>124.37833494867728</c:v>
                </c:pt>
                <c:pt idx="28">
                  <c:v>124.36425686390869</c:v>
                </c:pt>
                <c:pt idx="29">
                  <c:v>124.22417069145793</c:v>
                </c:pt>
                <c:pt idx="30">
                  <c:v>122.89051786045701</c:v>
                </c:pt>
              </c:numCache>
            </c:numRef>
          </c:yVal>
          <c:smooth val="1"/>
        </c:ser>
        <c:dLbls>
          <c:showLegendKey val="0"/>
          <c:showVal val="0"/>
          <c:showCatName val="0"/>
          <c:showSerName val="0"/>
          <c:showPercent val="0"/>
          <c:showBubbleSize val="0"/>
        </c:dLbls>
        <c:axId val="484775456"/>
        <c:axId val="484779376"/>
      </c:scatterChart>
      <c:valAx>
        <c:axId val="4847754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9376"/>
        <c:crosses val="autoZero"/>
        <c:crossBetween val="midCat"/>
      </c:valAx>
      <c:valAx>
        <c:axId val="48477937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545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2.536097177703658E-3</c:v>
                </c:pt>
                <c:pt idx="1">
                  <c:v>2.542332578010197E-3</c:v>
                </c:pt>
                <c:pt idx="2">
                  <c:v>2.5385201729318254E-3</c:v>
                </c:pt>
                <c:pt idx="3">
                  <c:v>2.5374086450521529E-3</c:v>
                </c:pt>
                <c:pt idx="4">
                  <c:v>2.5370629870042046E-3</c:v>
                </c:pt>
                <c:pt idx="5">
                  <c:v>2.5369240461443521E-3</c:v>
                </c:pt>
                <c:pt idx="6">
                  <c:v>2.5368799929373288E-3</c:v>
                </c:pt>
                <c:pt idx="7">
                  <c:v>2.5368732278454745E-3</c:v>
                </c:pt>
                <c:pt idx="8">
                  <c:v>2.536873353015267E-3</c:v>
                </c:pt>
                <c:pt idx="9">
                  <c:v>2.5368746047148782E-3</c:v>
                </c:pt>
                <c:pt idx="10">
                  <c:v>2.5368871217097632E-3</c:v>
                </c:pt>
                <c:pt idx="11">
                  <c:v>2.5370055139992643E-3</c:v>
                </c:pt>
                <c:pt idx="12">
                  <c:v>2.538148766419552E-3</c:v>
                </c:pt>
                <c:pt idx="13">
                  <c:v>2.549502867105014E-3</c:v>
                </c:pt>
                <c:pt idx="14">
                  <c:v>2.6630703273949753E-3</c:v>
                </c:pt>
                <c:pt idx="15">
                  <c:v>3.7941810303740195E-3</c:v>
                </c:pt>
                <c:pt idx="16">
                  <c:v>1.4662074970744255E-2</c:v>
                </c:pt>
                <c:pt idx="17">
                  <c:v>8.8755299714694341E-2</c:v>
                </c:pt>
                <c:pt idx="18">
                  <c:v>0.14611523816471808</c:v>
                </c:pt>
                <c:pt idx="19">
                  <c:v>0.12321354530199091</c:v>
                </c:pt>
                <c:pt idx="20">
                  <c:v>9.2577764371385901E-2</c:v>
                </c:pt>
                <c:pt idx="21">
                  <c:v>4.7309510840526238E-2</c:v>
                </c:pt>
                <c:pt idx="22">
                  <c:v>6.7990240963880025E-3</c:v>
                </c:pt>
                <c:pt idx="23">
                  <c:v>5.8478296853689757E-2</c:v>
                </c:pt>
                <c:pt idx="24">
                  <c:v>4.1910363586815359E-2</c:v>
                </c:pt>
                <c:pt idx="25">
                  <c:v>5.5308181649733133E-2</c:v>
                </c:pt>
                <c:pt idx="26">
                  <c:v>6.0282960330300193E-2</c:v>
                </c:pt>
                <c:pt idx="27">
                  <c:v>5.8598940178983164E-2</c:v>
                </c:pt>
                <c:pt idx="28">
                  <c:v>4.9954658779362761E-2</c:v>
                </c:pt>
                <c:pt idx="29">
                  <c:v>3.3649654314603615E-2</c:v>
                </c:pt>
                <c:pt idx="30">
                  <c:v>6.1337874002932542E-3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1.0331035653548587E-3</c:v>
                </c:pt>
                <c:pt idx="1">
                  <c:v>1.0269020356702388E-3</c:v>
                </c:pt>
                <c:pt idx="2">
                  <c:v>1.0306905448811974E-3</c:v>
                </c:pt>
                <c:pt idx="3">
                  <c:v>1.0318342184465314E-3</c:v>
                </c:pt>
                <c:pt idx="4">
                  <c:v>1.0321658417005428E-3</c:v>
                </c:pt>
                <c:pt idx="5">
                  <c:v>1.0321407130645891E-3</c:v>
                </c:pt>
                <c:pt idx="6">
                  <c:v>1.0308084068995208E-3</c:v>
                </c:pt>
                <c:pt idx="7">
                  <c:v>1.0169304732567791E-3</c:v>
                </c:pt>
                <c:pt idx="8">
                  <c:v>8.7821996015614574E-4</c:v>
                </c:pt>
                <c:pt idx="9">
                  <c:v>5.0222003906647092E-4</c:v>
                </c:pt>
                <c:pt idx="10">
                  <c:v>1.3667670369601074E-2</c:v>
                </c:pt>
                <c:pt idx="11">
                  <c:v>9.5065339018314682E-2</c:v>
                </c:pt>
                <c:pt idx="12">
                  <c:v>0.13244208115262754</c:v>
                </c:pt>
                <c:pt idx="13">
                  <c:v>0.10801975063406204</c:v>
                </c:pt>
                <c:pt idx="14">
                  <c:v>7.7322593674591628E-2</c:v>
                </c:pt>
                <c:pt idx="15">
                  <c:v>4.2755045635931035E-2</c:v>
                </c:pt>
                <c:pt idx="16">
                  <c:v>1.0203147126870726E-3</c:v>
                </c:pt>
                <c:pt idx="17">
                  <c:v>3.506642054285964E-2</c:v>
                </c:pt>
                <c:pt idx="18">
                  <c:v>1.6023290976675084E-2</c:v>
                </c:pt>
                <c:pt idx="19">
                  <c:v>4.3388935383696807E-2</c:v>
                </c:pt>
                <c:pt idx="20">
                  <c:v>5.7091807496377649E-2</c:v>
                </c:pt>
                <c:pt idx="21">
                  <c:v>7.1728494749576252E-2</c:v>
                </c:pt>
                <c:pt idx="22">
                  <c:v>8.2186322932775904E-2</c:v>
                </c:pt>
                <c:pt idx="23">
                  <c:v>9.0556707638866529E-2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2.3177818502704717E-3</c:v>
                </c:pt>
                <c:pt idx="1">
                  <c:v>2.3083525849397239E-3</c:v>
                </c:pt>
                <c:pt idx="2">
                  <c:v>2.2800549337894309E-3</c:v>
                </c:pt>
                <c:pt idx="3">
                  <c:v>1.9606006116948075E-3</c:v>
                </c:pt>
                <c:pt idx="4">
                  <c:v>1.2115104231156448E-3</c:v>
                </c:pt>
                <c:pt idx="5">
                  <c:v>2.9750142934791297E-2</c:v>
                </c:pt>
                <c:pt idx="6">
                  <c:v>0.13103528268282952</c:v>
                </c:pt>
                <c:pt idx="7">
                  <c:v>0.12143404173026902</c:v>
                </c:pt>
                <c:pt idx="8">
                  <c:v>9.4421830511316793E-2</c:v>
                </c:pt>
                <c:pt idx="9">
                  <c:v>6.0729227684527563E-2</c:v>
                </c:pt>
                <c:pt idx="10">
                  <c:v>2.4413872986972032E-2</c:v>
                </c:pt>
                <c:pt idx="11">
                  <c:v>1.922511085473956E-2</c:v>
                </c:pt>
                <c:pt idx="12">
                  <c:v>2.6371537140621678E-2</c:v>
                </c:pt>
                <c:pt idx="13">
                  <c:v>3.7251120820392968E-3</c:v>
                </c:pt>
                <c:pt idx="14">
                  <c:v>1.5128928572176079E-2</c:v>
                </c:pt>
                <c:pt idx="15">
                  <c:v>1.3626248494828531E-2</c:v>
                </c:pt>
                <c:pt idx="16">
                  <c:v>2.9110389795945223E-2</c:v>
                </c:pt>
                <c:pt idx="17">
                  <c:v>4.8535260486569046E-2</c:v>
                </c:pt>
                <c:pt idx="18">
                  <c:v>6.9441538696283361E-2</c:v>
                </c:pt>
                <c:pt idx="19">
                  <c:v>9.2622436212445924E-2</c:v>
                </c:pt>
                <c:pt idx="20">
                  <c:v>8.5470912426579976E-2</c:v>
                </c:pt>
                <c:pt idx="21">
                  <c:v>8.9444329962054273E-2</c:v>
                </c:pt>
                <c:pt idx="22">
                  <c:v>8.0635840157719837E-2</c:v>
                </c:pt>
                <c:pt idx="23">
                  <c:v>5.3028649713391607E-2</c:v>
                </c:pt>
                <c:pt idx="24">
                  <c:v>4.57806166849105E-2</c:v>
                </c:pt>
                <c:pt idx="25">
                  <c:v>1.332853724636042E-2</c:v>
                </c:pt>
                <c:pt idx="26">
                  <c:v>2.0891088482185897E-2</c:v>
                </c:pt>
                <c:pt idx="27">
                  <c:v>1.1492778268530752E-2</c:v>
                </c:pt>
                <c:pt idx="28">
                  <c:v>1.1058275915215002E-2</c:v>
                </c:pt>
                <c:pt idx="29">
                  <c:v>1.0100416722541949E-2</c:v>
                </c:pt>
                <c:pt idx="30">
                  <c:v>8.9518312308860953E-3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1.7654598423112247E-2</c:v>
                </c:pt>
                <c:pt idx="1">
                  <c:v>2.3918142409218163E-2</c:v>
                </c:pt>
                <c:pt idx="2">
                  <c:v>7.3793959782852293E-3</c:v>
                </c:pt>
                <c:pt idx="3">
                  <c:v>7.8039655825223528E-4</c:v>
                </c:pt>
                <c:pt idx="4">
                  <c:v>7.6150493209295597E-4</c:v>
                </c:pt>
                <c:pt idx="5">
                  <c:v>7.1048384421379732E-4</c:v>
                </c:pt>
                <c:pt idx="6">
                  <c:v>1.1286881461381347E-3</c:v>
                </c:pt>
                <c:pt idx="7">
                  <c:v>1.6510684365904831E-3</c:v>
                </c:pt>
                <c:pt idx="8">
                  <c:v>2.405903115768692E-3</c:v>
                </c:pt>
                <c:pt idx="9">
                  <c:v>3.8998295665932693E-3</c:v>
                </c:pt>
                <c:pt idx="10">
                  <c:v>4.2384858289214022E-3</c:v>
                </c:pt>
                <c:pt idx="11">
                  <c:v>4.7562736498597061E-3</c:v>
                </c:pt>
                <c:pt idx="12">
                  <c:v>4.1335692887083299E-3</c:v>
                </c:pt>
                <c:pt idx="13">
                  <c:v>1.2975889222592743E-3</c:v>
                </c:pt>
                <c:pt idx="14">
                  <c:v>1.5026443242697289E-3</c:v>
                </c:pt>
                <c:pt idx="15">
                  <c:v>3.9108650525655991E-4</c:v>
                </c:pt>
                <c:pt idx="16">
                  <c:v>3.5391074810638032E-4</c:v>
                </c:pt>
                <c:pt idx="17">
                  <c:v>3.1430066087977581E-5</c:v>
                </c:pt>
                <c:pt idx="18">
                  <c:v>1.5276297121790289E-4</c:v>
                </c:pt>
                <c:pt idx="19">
                  <c:v>1.4362124152318408E-5</c:v>
                </c:pt>
                <c:pt idx="20">
                  <c:v>1.1092383564238974E-5</c:v>
                </c:pt>
                <c:pt idx="21">
                  <c:v>4.3451524703429388E-5</c:v>
                </c:pt>
                <c:pt idx="22">
                  <c:v>2.3801233963764915E-4</c:v>
                </c:pt>
                <c:pt idx="23">
                  <c:v>1.6203395594821119E-5</c:v>
                </c:pt>
                <c:pt idx="24">
                  <c:v>1.4732865456731415E-4</c:v>
                </c:pt>
                <c:pt idx="25">
                  <c:v>5.905737644609552E-4</c:v>
                </c:pt>
                <c:pt idx="26">
                  <c:v>1.5951845555346878E-3</c:v>
                </c:pt>
                <c:pt idx="27">
                  <c:v>2.6199777767086439E-3</c:v>
                </c:pt>
                <c:pt idx="28">
                  <c:v>2.5647193702842373E-3</c:v>
                </c:pt>
                <c:pt idx="29">
                  <c:v>1.4462181343027878E-3</c:v>
                </c:pt>
                <c:pt idx="30">
                  <c:v>9.4502710288265936E-3</c:v>
                </c:pt>
              </c:numCache>
            </c:numRef>
          </c:yVal>
          <c:smooth val="1"/>
        </c:ser>
        <c:dLbls>
          <c:showLegendKey val="0"/>
          <c:showVal val="0"/>
          <c:showCatName val="0"/>
          <c:showSerName val="0"/>
          <c:showPercent val="0"/>
          <c:showBubbleSize val="0"/>
        </c:dLbls>
        <c:axId val="484777416"/>
        <c:axId val="484777808"/>
      </c:scatterChart>
      <c:valAx>
        <c:axId val="4847774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7808"/>
        <c:crossesAt val="1.0000000000000005E-9"/>
        <c:crossBetween val="midCat"/>
      </c:valAx>
      <c:valAx>
        <c:axId val="484777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741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-50.877172842752479</c:v>
                </c:pt>
                <c:pt idx="1">
                  <c:v>-47.535040976579083</c:v>
                </c:pt>
                <c:pt idx="2">
                  <c:v>-43.172232324752386</c:v>
                </c:pt>
                <c:pt idx="3">
                  <c:v>-36.734495124334281</c:v>
                </c:pt>
                <c:pt idx="4">
                  <c:v>-24.354268217538582</c:v>
                </c:pt>
                <c:pt idx="5">
                  <c:v>-4.1297750224271264</c:v>
                </c:pt>
                <c:pt idx="6">
                  <c:v>0</c:v>
                </c:pt>
              </c:numCache>
            </c:numRef>
          </c:yVal>
          <c:smooth val="0"/>
        </c:ser>
        <c:dLbls>
          <c:showLegendKey val="0"/>
          <c:showVal val="0"/>
          <c:showCatName val="0"/>
          <c:showSerName val="0"/>
          <c:showPercent val="0"/>
          <c:showBubbleSize val="0"/>
        </c:dLbls>
        <c:axId val="484778984"/>
        <c:axId val="479596968"/>
      </c:scatterChart>
      <c:valAx>
        <c:axId val="484778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6968"/>
        <c:crossesAt val="-100"/>
        <c:crossBetween val="midCat"/>
      </c:valAx>
      <c:valAx>
        <c:axId val="4795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89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486288280"/>
        <c:axId val="486288672"/>
      </c:scatterChart>
      <c:valAx>
        <c:axId val="4862882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8672"/>
        <c:crosses val="autoZero"/>
        <c:crossBetween val="midCat"/>
      </c:valAx>
      <c:valAx>
        <c:axId val="4862886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828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8.0227743911093694E-38</c:v>
                </c:pt>
                <c:pt idx="1">
                  <c:v>8.0227743911093692E-37</c:v>
                </c:pt>
                <c:pt idx="2">
                  <c:v>8.0227743911093695E-36</c:v>
                </c:pt>
                <c:pt idx="3">
                  <c:v>8.0227743911093684E-35</c:v>
                </c:pt>
                <c:pt idx="4">
                  <c:v>8.0227743911093687E-34</c:v>
                </c:pt>
                <c:pt idx="5">
                  <c:v>8.0227743911093687E-33</c:v>
                </c:pt>
                <c:pt idx="6">
                  <c:v>8.0227743911093692E-32</c:v>
                </c:pt>
                <c:pt idx="7">
                  <c:v>8.0227743911093696E-31</c:v>
                </c:pt>
                <c:pt idx="8">
                  <c:v>8.0227743911093682E-30</c:v>
                </c:pt>
                <c:pt idx="9">
                  <c:v>8.0227743911093688E-29</c:v>
                </c:pt>
                <c:pt idx="10">
                  <c:v>8.0227743911093697E-28</c:v>
                </c:pt>
                <c:pt idx="11">
                  <c:v>8.0227743911093697E-27</c:v>
                </c:pt>
                <c:pt idx="12">
                  <c:v>8.0227743911093694E-26</c:v>
                </c:pt>
                <c:pt idx="13">
                  <c:v>8.0227743911093687E-25</c:v>
                </c:pt>
                <c:pt idx="14">
                  <c:v>8.0227743911093691E-24</c:v>
                </c:pt>
                <c:pt idx="15">
                  <c:v>8.0227743911093685E-23</c:v>
                </c:pt>
                <c:pt idx="16">
                  <c:v>8.0227743911093687E-22</c:v>
                </c:pt>
                <c:pt idx="17">
                  <c:v>8.022774391109368E-21</c:v>
                </c:pt>
                <c:pt idx="18">
                  <c:v>8.0227743911093683E-20</c:v>
                </c:pt>
                <c:pt idx="19">
                  <c:v>8.0227743911093688E-19</c:v>
                </c:pt>
                <c:pt idx="20">
                  <c:v>8.0227743911093688E-18</c:v>
                </c:pt>
                <c:pt idx="21">
                  <c:v>8.0227743911093691E-17</c:v>
                </c:pt>
                <c:pt idx="22">
                  <c:v>8.0227743911093686E-16</c:v>
                </c:pt>
                <c:pt idx="23">
                  <c:v>8.022774391109368E-15</c:v>
                </c:pt>
                <c:pt idx="24">
                  <c:v>8.0227743911093689E-14</c:v>
                </c:pt>
                <c:pt idx="25">
                  <c:v>8.0227743911093689E-13</c:v>
                </c:pt>
                <c:pt idx="26">
                  <c:v>8.0227743911093681E-12</c:v>
                </c:pt>
                <c:pt idx="27">
                  <c:v>8.0227743911093691E-11</c:v>
                </c:pt>
                <c:pt idx="28">
                  <c:v>8.0227743911093688E-10</c:v>
                </c:pt>
                <c:pt idx="29">
                  <c:v>8.0227743911093695E-9</c:v>
                </c:pt>
                <c:pt idx="30">
                  <c:v>8.0227743911093681E-8</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2.2687884721208244E-36</c:v>
                </c:pt>
                <c:pt idx="1">
                  <c:v>2.2687884721208244E-35</c:v>
                </c:pt>
                <c:pt idx="2">
                  <c:v>2.2687884721208244E-34</c:v>
                </c:pt>
                <c:pt idx="3">
                  <c:v>2.2687884721208244E-33</c:v>
                </c:pt>
                <c:pt idx="4">
                  <c:v>2.2687884721208241E-32</c:v>
                </c:pt>
                <c:pt idx="5">
                  <c:v>2.2687884721208246E-31</c:v>
                </c:pt>
                <c:pt idx="6">
                  <c:v>2.2687884721208243E-30</c:v>
                </c:pt>
                <c:pt idx="7">
                  <c:v>2.2687884721208243E-29</c:v>
                </c:pt>
                <c:pt idx="8">
                  <c:v>2.2687884721208243E-28</c:v>
                </c:pt>
                <c:pt idx="9">
                  <c:v>2.2687884721208241E-27</c:v>
                </c:pt>
                <c:pt idx="10">
                  <c:v>2.2687884721208245E-26</c:v>
                </c:pt>
                <c:pt idx="11">
                  <c:v>2.2687884721208244E-25</c:v>
                </c:pt>
                <c:pt idx="12">
                  <c:v>2.2687884721208244E-24</c:v>
                </c:pt>
                <c:pt idx="13">
                  <c:v>2.2687884721208243E-23</c:v>
                </c:pt>
                <c:pt idx="14">
                  <c:v>2.2687884721208245E-22</c:v>
                </c:pt>
                <c:pt idx="15">
                  <c:v>2.2687884721208245E-21</c:v>
                </c:pt>
                <c:pt idx="16">
                  <c:v>2.2687884721208243E-20</c:v>
                </c:pt>
                <c:pt idx="17">
                  <c:v>2.2687884721208243E-19</c:v>
                </c:pt>
                <c:pt idx="18">
                  <c:v>2.2687884721208244E-18</c:v>
                </c:pt>
                <c:pt idx="19">
                  <c:v>2.2687884721208243E-17</c:v>
                </c:pt>
                <c:pt idx="20">
                  <c:v>2.2687884721208245E-16</c:v>
                </c:pt>
                <c:pt idx="21">
                  <c:v>2.2687884721208244E-15</c:v>
                </c:pt>
                <c:pt idx="22">
                  <c:v>2.2687884721208243E-14</c:v>
                </c:pt>
                <c:pt idx="23">
                  <c:v>2.2687884721208244E-13</c:v>
                </c:pt>
                <c:pt idx="24">
                  <c:v>2.2687884721208242E-12</c:v>
                </c:pt>
                <c:pt idx="25">
                  <c:v>2.2687884721208244E-11</c:v>
                </c:pt>
                <c:pt idx="26">
                  <c:v>2.2687884721208242E-10</c:v>
                </c:pt>
                <c:pt idx="27">
                  <c:v>2.2687884721208245E-9</c:v>
                </c:pt>
                <c:pt idx="28">
                  <c:v>2.2687884721208245E-8</c:v>
                </c:pt>
                <c:pt idx="29">
                  <c:v>2.2687884721208244E-7</c:v>
                </c:pt>
                <c:pt idx="30">
                  <c:v>2.2687884721208245E-6</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1.7804825839442181E-34</c:v>
                </c:pt>
                <c:pt idx="1">
                  <c:v>1.7804825839442181E-33</c:v>
                </c:pt>
                <c:pt idx="2">
                  <c:v>1.7804825839442181E-32</c:v>
                </c:pt>
                <c:pt idx="3">
                  <c:v>1.780482583944218E-31</c:v>
                </c:pt>
                <c:pt idx="4">
                  <c:v>1.7804825839442179E-30</c:v>
                </c:pt>
                <c:pt idx="5">
                  <c:v>1.7804825839442181E-29</c:v>
                </c:pt>
                <c:pt idx="6">
                  <c:v>1.7804825839442181E-28</c:v>
                </c:pt>
                <c:pt idx="7">
                  <c:v>1.780482583944218E-27</c:v>
                </c:pt>
                <c:pt idx="8">
                  <c:v>1.7804825839442179E-26</c:v>
                </c:pt>
                <c:pt idx="9">
                  <c:v>1.7804825839442181E-25</c:v>
                </c:pt>
                <c:pt idx="10">
                  <c:v>1.7804825839442183E-24</c:v>
                </c:pt>
                <c:pt idx="11">
                  <c:v>1.780482583944218E-23</c:v>
                </c:pt>
                <c:pt idx="12">
                  <c:v>1.7804825839442181E-22</c:v>
                </c:pt>
                <c:pt idx="13">
                  <c:v>1.7804825839442179E-21</c:v>
                </c:pt>
                <c:pt idx="14">
                  <c:v>1.7804825839442181E-20</c:v>
                </c:pt>
                <c:pt idx="15">
                  <c:v>1.7804825839442181E-19</c:v>
                </c:pt>
                <c:pt idx="16">
                  <c:v>1.7804825839442181E-18</c:v>
                </c:pt>
                <c:pt idx="17">
                  <c:v>1.7804825839442181E-17</c:v>
                </c:pt>
                <c:pt idx="18">
                  <c:v>1.7804825839442181E-16</c:v>
                </c:pt>
                <c:pt idx="19">
                  <c:v>1.7804825839442182E-15</c:v>
                </c:pt>
                <c:pt idx="20">
                  <c:v>1.780482583944218E-14</c:v>
                </c:pt>
                <c:pt idx="21">
                  <c:v>1.780482583944218E-13</c:v>
                </c:pt>
                <c:pt idx="22">
                  <c:v>1.7804825839442181E-12</c:v>
                </c:pt>
                <c:pt idx="23">
                  <c:v>1.7804825839442182E-11</c:v>
                </c:pt>
                <c:pt idx="24">
                  <c:v>1.780482583944218E-10</c:v>
                </c:pt>
                <c:pt idx="25">
                  <c:v>1.780482583944218E-9</c:v>
                </c:pt>
                <c:pt idx="26">
                  <c:v>1.7804825839442179E-8</c:v>
                </c:pt>
                <c:pt idx="27">
                  <c:v>1.7804825839442181E-7</c:v>
                </c:pt>
                <c:pt idx="28">
                  <c:v>1.7804825839442181E-6</c:v>
                </c:pt>
                <c:pt idx="29">
                  <c:v>1.7804825839442181E-5</c:v>
                </c:pt>
                <c:pt idx="30">
                  <c:v>1.7804825839442181E-4</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1.1127855358565678E-31</c:v>
                </c:pt>
                <c:pt idx="1">
                  <c:v>1.1127855358565677E-30</c:v>
                </c:pt>
                <c:pt idx="2">
                  <c:v>1.1127855358565678E-29</c:v>
                </c:pt>
                <c:pt idx="3">
                  <c:v>1.1127855358565678E-28</c:v>
                </c:pt>
                <c:pt idx="4">
                  <c:v>1.1127855358565678E-27</c:v>
                </c:pt>
                <c:pt idx="5">
                  <c:v>1.1127855358565678E-26</c:v>
                </c:pt>
                <c:pt idx="6">
                  <c:v>1.1127855358565678E-25</c:v>
                </c:pt>
                <c:pt idx="7">
                  <c:v>1.1127855358565679E-24</c:v>
                </c:pt>
                <c:pt idx="8">
                  <c:v>1.1127855358565677E-23</c:v>
                </c:pt>
                <c:pt idx="9">
                  <c:v>1.1127855358565677E-22</c:v>
                </c:pt>
                <c:pt idx="10">
                  <c:v>1.1127855358565678E-21</c:v>
                </c:pt>
                <c:pt idx="11">
                  <c:v>1.1127855358565678E-20</c:v>
                </c:pt>
                <c:pt idx="12">
                  <c:v>1.1127855358565677E-19</c:v>
                </c:pt>
                <c:pt idx="13">
                  <c:v>1.1127855358565678E-18</c:v>
                </c:pt>
                <c:pt idx="14">
                  <c:v>1.1127855358565678E-17</c:v>
                </c:pt>
                <c:pt idx="15">
                  <c:v>1.1127855358565678E-16</c:v>
                </c:pt>
                <c:pt idx="16">
                  <c:v>1.1127855358565678E-15</c:v>
                </c:pt>
                <c:pt idx="17">
                  <c:v>1.1127855358565678E-14</c:v>
                </c:pt>
                <c:pt idx="18">
                  <c:v>1.1127855358565678E-13</c:v>
                </c:pt>
                <c:pt idx="19">
                  <c:v>1.1127855358565678E-12</c:v>
                </c:pt>
                <c:pt idx="20">
                  <c:v>1.1127855358565677E-11</c:v>
                </c:pt>
                <c:pt idx="21">
                  <c:v>1.1127855358565677E-10</c:v>
                </c:pt>
                <c:pt idx="22">
                  <c:v>1.1127855358565678E-9</c:v>
                </c:pt>
                <c:pt idx="23">
                  <c:v>1.1127855358565678E-8</c:v>
                </c:pt>
                <c:pt idx="24">
                  <c:v>1.1127855358565678E-7</c:v>
                </c:pt>
                <c:pt idx="25">
                  <c:v>1.1127855358565677E-6</c:v>
                </c:pt>
                <c:pt idx="26">
                  <c:v>1.1127855358565678E-5</c:v>
                </c:pt>
                <c:pt idx="27">
                  <c:v>1.1127855358565678E-4</c:v>
                </c:pt>
                <c:pt idx="28">
                  <c:v>1.1127855358565677E-3</c:v>
                </c:pt>
                <c:pt idx="29">
                  <c:v>1.1127855358565678E-2</c:v>
                </c:pt>
                <c:pt idx="30">
                  <c:v>0.11127855358565678</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2.6489618417105958E-26</c:v>
                </c:pt>
                <c:pt idx="1">
                  <c:v>2.6489618417105957E-25</c:v>
                </c:pt>
                <c:pt idx="2">
                  <c:v>2.6489618417105958E-24</c:v>
                </c:pt>
                <c:pt idx="3">
                  <c:v>2.6489618417105956E-23</c:v>
                </c:pt>
                <c:pt idx="4">
                  <c:v>2.6489618417105955E-22</c:v>
                </c:pt>
                <c:pt idx="5">
                  <c:v>2.6489618417105956E-21</c:v>
                </c:pt>
                <c:pt idx="6">
                  <c:v>2.6489618417105958E-20</c:v>
                </c:pt>
                <c:pt idx="7">
                  <c:v>2.6489618417105957E-19</c:v>
                </c:pt>
                <c:pt idx="8">
                  <c:v>2.6489618417105954E-18</c:v>
                </c:pt>
                <c:pt idx="9">
                  <c:v>2.6489618417105956E-17</c:v>
                </c:pt>
                <c:pt idx="10">
                  <c:v>2.6489618417105956E-16</c:v>
                </c:pt>
                <c:pt idx="11">
                  <c:v>2.6489618417105956E-15</c:v>
                </c:pt>
                <c:pt idx="12">
                  <c:v>2.6489618417105955E-14</c:v>
                </c:pt>
                <c:pt idx="13">
                  <c:v>2.6489618417105957E-13</c:v>
                </c:pt>
                <c:pt idx="14">
                  <c:v>2.6489618417105956E-12</c:v>
                </c:pt>
                <c:pt idx="15">
                  <c:v>2.6489618417105956E-11</c:v>
                </c:pt>
                <c:pt idx="16">
                  <c:v>2.6489618417105956E-10</c:v>
                </c:pt>
                <c:pt idx="17">
                  <c:v>2.6489618417105957E-9</c:v>
                </c:pt>
                <c:pt idx="18">
                  <c:v>2.6489618417105955E-8</c:v>
                </c:pt>
                <c:pt idx="19">
                  <c:v>2.6489618417105955E-7</c:v>
                </c:pt>
                <c:pt idx="20">
                  <c:v>2.6489618417105953E-6</c:v>
                </c:pt>
                <c:pt idx="21">
                  <c:v>2.6489618417105956E-5</c:v>
                </c:pt>
                <c:pt idx="22">
                  <c:v>2.6489618417105957E-4</c:v>
                </c:pt>
                <c:pt idx="23">
                  <c:v>2.6489618417105953E-3</c:v>
                </c:pt>
                <c:pt idx="24">
                  <c:v>2.6489618417105957E-2</c:v>
                </c:pt>
                <c:pt idx="25">
                  <c:v>0.26489618417105953</c:v>
                </c:pt>
                <c:pt idx="26">
                  <c:v>2.6489618417105953</c:v>
                </c:pt>
                <c:pt idx="27">
                  <c:v>26.489618417105955</c:v>
                </c:pt>
                <c:pt idx="28">
                  <c:v>264.89618417105953</c:v>
                </c:pt>
                <c:pt idx="29">
                  <c:v>2648.9618417105958</c:v>
                </c:pt>
                <c:pt idx="30">
                  <c:v>26489.618417105954</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1.6086497516678004E-17</c:v>
                </c:pt>
                <c:pt idx="1">
                  <c:v>1.6086497516678002E-16</c:v>
                </c:pt>
                <c:pt idx="2">
                  <c:v>1.6086497516678001E-15</c:v>
                </c:pt>
                <c:pt idx="3">
                  <c:v>1.6086497516678E-14</c:v>
                </c:pt>
                <c:pt idx="4">
                  <c:v>1.6086497516677999E-13</c:v>
                </c:pt>
                <c:pt idx="5">
                  <c:v>1.6086497516678002E-12</c:v>
                </c:pt>
                <c:pt idx="6">
                  <c:v>1.6086497516678E-11</c:v>
                </c:pt>
                <c:pt idx="7">
                  <c:v>1.6086497516678002E-10</c:v>
                </c:pt>
                <c:pt idx="8">
                  <c:v>1.6086497516678E-9</c:v>
                </c:pt>
                <c:pt idx="9">
                  <c:v>1.6086497516678E-8</c:v>
                </c:pt>
                <c:pt idx="10">
                  <c:v>1.6086497516678001E-7</c:v>
                </c:pt>
                <c:pt idx="11">
                  <c:v>1.6086497516678002E-6</c:v>
                </c:pt>
                <c:pt idx="12">
                  <c:v>1.6086497516678E-5</c:v>
                </c:pt>
                <c:pt idx="13">
                  <c:v>1.6086497516678002E-4</c:v>
                </c:pt>
                <c:pt idx="14">
                  <c:v>1.6086497516678002E-3</c:v>
                </c:pt>
                <c:pt idx="15">
                  <c:v>1.6086497516678001E-2</c:v>
                </c:pt>
                <c:pt idx="16">
                  <c:v>0.16086497516678</c:v>
                </c:pt>
                <c:pt idx="17">
                  <c:v>1.6086497516678</c:v>
                </c:pt>
                <c:pt idx="18">
                  <c:v>16.086497516678001</c:v>
                </c:pt>
                <c:pt idx="19">
                  <c:v>160.86497516678</c:v>
                </c:pt>
                <c:pt idx="20">
                  <c:v>1608.6497516678</c:v>
                </c:pt>
                <c:pt idx="21">
                  <c:v>16086.497516678</c:v>
                </c:pt>
                <c:pt idx="22">
                  <c:v>160864.97516678</c:v>
                </c:pt>
                <c:pt idx="23">
                  <c:v>1608649.7516678001</c:v>
                </c:pt>
                <c:pt idx="24">
                  <c:v>16086497.516678002</c:v>
                </c:pt>
                <c:pt idx="25">
                  <c:v>160864975.16677999</c:v>
                </c:pt>
                <c:pt idx="26">
                  <c:v>1608649751.6678002</c:v>
                </c:pt>
                <c:pt idx="27">
                  <c:v>16086497516.678001</c:v>
                </c:pt>
                <c:pt idx="28">
                  <c:v>160864975166.78</c:v>
                </c:pt>
                <c:pt idx="29">
                  <c:v>1608649751667.8</c:v>
                </c:pt>
                <c:pt idx="30">
                  <c:v>16086497516678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486292592"/>
        <c:axId val="486289064"/>
      </c:scatterChart>
      <c:valAx>
        <c:axId val="486292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9064"/>
        <c:crosses val="autoZero"/>
        <c:crossBetween val="midCat"/>
      </c:valAx>
      <c:valAx>
        <c:axId val="486289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259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8.0227743911093694E-38</c:v>
                </c:pt>
                <c:pt idx="1">
                  <c:v>8.0227743911093692E-37</c:v>
                </c:pt>
                <c:pt idx="2">
                  <c:v>8.0227743911093695E-36</c:v>
                </c:pt>
                <c:pt idx="3">
                  <c:v>8.0227743911093684E-35</c:v>
                </c:pt>
                <c:pt idx="4">
                  <c:v>8.0227743911093687E-34</c:v>
                </c:pt>
                <c:pt idx="5">
                  <c:v>8.0227743911093687E-33</c:v>
                </c:pt>
                <c:pt idx="6">
                  <c:v>8.0227743911093692E-32</c:v>
                </c:pt>
                <c:pt idx="7">
                  <c:v>8.0227743911093696E-31</c:v>
                </c:pt>
                <c:pt idx="8">
                  <c:v>8.0227743911093682E-30</c:v>
                </c:pt>
                <c:pt idx="9">
                  <c:v>8.0227743911093688E-29</c:v>
                </c:pt>
                <c:pt idx="10">
                  <c:v>8.0227743911093697E-28</c:v>
                </c:pt>
                <c:pt idx="11">
                  <c:v>8.0227743911093697E-27</c:v>
                </c:pt>
                <c:pt idx="12">
                  <c:v>8.0227743911093694E-26</c:v>
                </c:pt>
                <c:pt idx="13">
                  <c:v>8.0227743911093687E-25</c:v>
                </c:pt>
                <c:pt idx="14">
                  <c:v>8.0227743911093691E-24</c:v>
                </c:pt>
                <c:pt idx="15">
                  <c:v>8.0227743911093685E-23</c:v>
                </c:pt>
                <c:pt idx="16">
                  <c:v>8.0227743911093687E-22</c:v>
                </c:pt>
                <c:pt idx="17">
                  <c:v>8.022774391109368E-21</c:v>
                </c:pt>
                <c:pt idx="18">
                  <c:v>8.0227743911093683E-20</c:v>
                </c:pt>
                <c:pt idx="19">
                  <c:v>8.0227743911093688E-19</c:v>
                </c:pt>
                <c:pt idx="20">
                  <c:v>8.0227743911093688E-18</c:v>
                </c:pt>
                <c:pt idx="21">
                  <c:v>8.0227743911093691E-17</c:v>
                </c:pt>
                <c:pt idx="22">
                  <c:v>8.0227743911093686E-16</c:v>
                </c:pt>
                <c:pt idx="23">
                  <c:v>8.022774391109368E-15</c:v>
                </c:pt>
                <c:pt idx="24">
                  <c:v>8.0227743911093689E-14</c:v>
                </c:pt>
                <c:pt idx="25">
                  <c:v>8.0227743911093689E-13</c:v>
                </c:pt>
                <c:pt idx="26">
                  <c:v>8.0227743911093681E-12</c:v>
                </c:pt>
                <c:pt idx="27">
                  <c:v>8.0227743911093691E-11</c:v>
                </c:pt>
                <c:pt idx="28">
                  <c:v>8.0227743911093688E-10</c:v>
                </c:pt>
                <c:pt idx="29">
                  <c:v>8.0227743911093695E-9</c:v>
                </c:pt>
                <c:pt idx="30">
                  <c:v>8.0227743911093681E-8</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2.2687884721208244E-36</c:v>
                </c:pt>
                <c:pt idx="1">
                  <c:v>2.2687884721208244E-35</c:v>
                </c:pt>
                <c:pt idx="2">
                  <c:v>2.2687884721208244E-34</c:v>
                </c:pt>
                <c:pt idx="3">
                  <c:v>2.2687884721208244E-33</c:v>
                </c:pt>
                <c:pt idx="4">
                  <c:v>2.2687884721208241E-32</c:v>
                </c:pt>
                <c:pt idx="5">
                  <c:v>2.2687884721208246E-31</c:v>
                </c:pt>
                <c:pt idx="6">
                  <c:v>2.2687884721208243E-30</c:v>
                </c:pt>
                <c:pt idx="7">
                  <c:v>2.2687884721208243E-29</c:v>
                </c:pt>
                <c:pt idx="8">
                  <c:v>2.2687884721208243E-28</c:v>
                </c:pt>
                <c:pt idx="9">
                  <c:v>2.2687884721208241E-27</c:v>
                </c:pt>
                <c:pt idx="10">
                  <c:v>2.2687884721208245E-26</c:v>
                </c:pt>
                <c:pt idx="11">
                  <c:v>2.2687884721208244E-25</c:v>
                </c:pt>
                <c:pt idx="12">
                  <c:v>2.2687884721208244E-24</c:v>
                </c:pt>
                <c:pt idx="13">
                  <c:v>2.2687884721208243E-23</c:v>
                </c:pt>
                <c:pt idx="14">
                  <c:v>2.2687884721208245E-22</c:v>
                </c:pt>
                <c:pt idx="15">
                  <c:v>2.2687884721208245E-21</c:v>
                </c:pt>
                <c:pt idx="16">
                  <c:v>2.2687884721208243E-20</c:v>
                </c:pt>
                <c:pt idx="17">
                  <c:v>2.2687884721208243E-19</c:v>
                </c:pt>
                <c:pt idx="18">
                  <c:v>2.2687884721208244E-18</c:v>
                </c:pt>
                <c:pt idx="19">
                  <c:v>2.2687884721208243E-17</c:v>
                </c:pt>
                <c:pt idx="20">
                  <c:v>2.2687884721208245E-16</c:v>
                </c:pt>
                <c:pt idx="21">
                  <c:v>2.2687884721208244E-15</c:v>
                </c:pt>
                <c:pt idx="22">
                  <c:v>2.2687884721208243E-14</c:v>
                </c:pt>
                <c:pt idx="23">
                  <c:v>2.2687884721208244E-13</c:v>
                </c:pt>
                <c:pt idx="24">
                  <c:v>2.2687884721208242E-12</c:v>
                </c:pt>
                <c:pt idx="25">
                  <c:v>2.2687884721208244E-11</c:v>
                </c:pt>
                <c:pt idx="26">
                  <c:v>2.2687884721208242E-10</c:v>
                </c:pt>
                <c:pt idx="27">
                  <c:v>2.2687884721208245E-9</c:v>
                </c:pt>
                <c:pt idx="28">
                  <c:v>2.2687884721208245E-8</c:v>
                </c:pt>
                <c:pt idx="29">
                  <c:v>2.2687884721208244E-7</c:v>
                </c:pt>
                <c:pt idx="30">
                  <c:v>2.2687884721208245E-6</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1.7804825839442181E-34</c:v>
                </c:pt>
                <c:pt idx="1">
                  <c:v>1.7804825839442181E-33</c:v>
                </c:pt>
                <c:pt idx="2">
                  <c:v>1.7804825839442181E-32</c:v>
                </c:pt>
                <c:pt idx="3">
                  <c:v>1.780482583944218E-31</c:v>
                </c:pt>
                <c:pt idx="4">
                  <c:v>1.7804825839442179E-30</c:v>
                </c:pt>
                <c:pt idx="5">
                  <c:v>1.7804825839442181E-29</c:v>
                </c:pt>
                <c:pt idx="6">
                  <c:v>1.7804825839442181E-28</c:v>
                </c:pt>
                <c:pt idx="7">
                  <c:v>1.780482583944218E-27</c:v>
                </c:pt>
                <c:pt idx="8">
                  <c:v>1.7804825839442179E-26</c:v>
                </c:pt>
                <c:pt idx="9">
                  <c:v>1.7804825839442181E-25</c:v>
                </c:pt>
                <c:pt idx="10">
                  <c:v>1.7804825839442183E-24</c:v>
                </c:pt>
                <c:pt idx="11">
                  <c:v>1.780482583944218E-23</c:v>
                </c:pt>
                <c:pt idx="12">
                  <c:v>1.7804825839442181E-22</c:v>
                </c:pt>
                <c:pt idx="13">
                  <c:v>1.7804825839442179E-21</c:v>
                </c:pt>
                <c:pt idx="14">
                  <c:v>1.7804825839442181E-20</c:v>
                </c:pt>
                <c:pt idx="15">
                  <c:v>1.7804825839442181E-19</c:v>
                </c:pt>
                <c:pt idx="16">
                  <c:v>1.7804825839442181E-18</c:v>
                </c:pt>
                <c:pt idx="17">
                  <c:v>1.7804825839442181E-17</c:v>
                </c:pt>
                <c:pt idx="18">
                  <c:v>1.7804825839442181E-16</c:v>
                </c:pt>
                <c:pt idx="19">
                  <c:v>1.7804825839442182E-15</c:v>
                </c:pt>
                <c:pt idx="20">
                  <c:v>1.780482583944218E-14</c:v>
                </c:pt>
                <c:pt idx="21">
                  <c:v>1.780482583944218E-13</c:v>
                </c:pt>
                <c:pt idx="22">
                  <c:v>1.7804825839442181E-12</c:v>
                </c:pt>
                <c:pt idx="23">
                  <c:v>1.7804825839442182E-11</c:v>
                </c:pt>
                <c:pt idx="24">
                  <c:v>1.780482583944218E-10</c:v>
                </c:pt>
                <c:pt idx="25">
                  <c:v>1.780482583944218E-9</c:v>
                </c:pt>
                <c:pt idx="26">
                  <c:v>1.7804825839442179E-8</c:v>
                </c:pt>
                <c:pt idx="27">
                  <c:v>1.7804825839442181E-7</c:v>
                </c:pt>
                <c:pt idx="28">
                  <c:v>1.7804825839442181E-6</c:v>
                </c:pt>
                <c:pt idx="29">
                  <c:v>1.7804825839442181E-5</c:v>
                </c:pt>
                <c:pt idx="30">
                  <c:v>1.7804825839442181E-4</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1.1127855358565678E-31</c:v>
                </c:pt>
                <c:pt idx="1">
                  <c:v>1.1127855358565677E-30</c:v>
                </c:pt>
                <c:pt idx="2">
                  <c:v>1.1127855358565678E-29</c:v>
                </c:pt>
                <c:pt idx="3">
                  <c:v>1.1127855358565678E-28</c:v>
                </c:pt>
                <c:pt idx="4">
                  <c:v>1.1127855358565678E-27</c:v>
                </c:pt>
                <c:pt idx="5">
                  <c:v>1.1127855358565678E-26</c:v>
                </c:pt>
                <c:pt idx="6">
                  <c:v>1.1127855358565678E-25</c:v>
                </c:pt>
                <c:pt idx="7">
                  <c:v>1.1127855358565679E-24</c:v>
                </c:pt>
                <c:pt idx="8">
                  <c:v>1.1127855358565677E-23</c:v>
                </c:pt>
                <c:pt idx="9">
                  <c:v>1.1127855358565677E-22</c:v>
                </c:pt>
                <c:pt idx="10">
                  <c:v>1.1127855358565678E-21</c:v>
                </c:pt>
                <c:pt idx="11">
                  <c:v>1.1127855358565678E-20</c:v>
                </c:pt>
                <c:pt idx="12">
                  <c:v>1.1127855358565677E-19</c:v>
                </c:pt>
                <c:pt idx="13">
                  <c:v>1.1127855358565678E-18</c:v>
                </c:pt>
                <c:pt idx="14">
                  <c:v>1.1127855358565678E-17</c:v>
                </c:pt>
                <c:pt idx="15">
                  <c:v>1.1127855358565678E-16</c:v>
                </c:pt>
                <c:pt idx="16">
                  <c:v>1.1127855358565678E-15</c:v>
                </c:pt>
                <c:pt idx="17">
                  <c:v>1.1127855358565678E-14</c:v>
                </c:pt>
                <c:pt idx="18">
                  <c:v>1.1127855358565678E-13</c:v>
                </c:pt>
                <c:pt idx="19">
                  <c:v>1.1127855358565678E-12</c:v>
                </c:pt>
                <c:pt idx="20">
                  <c:v>1.1127855358565677E-11</c:v>
                </c:pt>
                <c:pt idx="21">
                  <c:v>1.1127855358565677E-10</c:v>
                </c:pt>
                <c:pt idx="22">
                  <c:v>1.1127855358565678E-9</c:v>
                </c:pt>
                <c:pt idx="23">
                  <c:v>1.1127855358565678E-8</c:v>
                </c:pt>
                <c:pt idx="24">
                  <c:v>1.1127855358565678E-7</c:v>
                </c:pt>
                <c:pt idx="25">
                  <c:v>1.1127855358565677E-6</c:v>
                </c:pt>
                <c:pt idx="26">
                  <c:v>1.1127855358565678E-5</c:v>
                </c:pt>
                <c:pt idx="27">
                  <c:v>1.1127855358565678E-4</c:v>
                </c:pt>
                <c:pt idx="28">
                  <c:v>1.1127855358565677E-3</c:v>
                </c:pt>
                <c:pt idx="29">
                  <c:v>1.1127855358565678E-2</c:v>
                </c:pt>
                <c:pt idx="30">
                  <c:v>0.11127855358565678</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2.6489618417105958E-26</c:v>
                </c:pt>
                <c:pt idx="1">
                  <c:v>2.6489618417105957E-25</c:v>
                </c:pt>
                <c:pt idx="2">
                  <c:v>2.6489618417105958E-24</c:v>
                </c:pt>
                <c:pt idx="3">
                  <c:v>2.6489618417105956E-23</c:v>
                </c:pt>
                <c:pt idx="4">
                  <c:v>2.6489618417105955E-22</c:v>
                </c:pt>
                <c:pt idx="5">
                  <c:v>2.6489618417105956E-21</c:v>
                </c:pt>
                <c:pt idx="6">
                  <c:v>2.6489618417105958E-20</c:v>
                </c:pt>
                <c:pt idx="7">
                  <c:v>2.6489618417105957E-19</c:v>
                </c:pt>
                <c:pt idx="8">
                  <c:v>2.6489618417105954E-18</c:v>
                </c:pt>
                <c:pt idx="9">
                  <c:v>2.6489618417105956E-17</c:v>
                </c:pt>
                <c:pt idx="10">
                  <c:v>2.6489618417105956E-16</c:v>
                </c:pt>
                <c:pt idx="11">
                  <c:v>2.6489618417105956E-15</c:v>
                </c:pt>
                <c:pt idx="12">
                  <c:v>2.6489618417105955E-14</c:v>
                </c:pt>
                <c:pt idx="13">
                  <c:v>2.6489618417105957E-13</c:v>
                </c:pt>
                <c:pt idx="14">
                  <c:v>2.6489618417105956E-12</c:v>
                </c:pt>
                <c:pt idx="15">
                  <c:v>2.6489618417105956E-11</c:v>
                </c:pt>
                <c:pt idx="16">
                  <c:v>2.6489618417105956E-10</c:v>
                </c:pt>
                <c:pt idx="17">
                  <c:v>2.6489618417105957E-9</c:v>
                </c:pt>
                <c:pt idx="18">
                  <c:v>2.6489618417105955E-8</c:v>
                </c:pt>
                <c:pt idx="19">
                  <c:v>2.6489618417105955E-7</c:v>
                </c:pt>
                <c:pt idx="20">
                  <c:v>2.6489618417105953E-6</c:v>
                </c:pt>
                <c:pt idx="21">
                  <c:v>2.6489618417105956E-5</c:v>
                </c:pt>
                <c:pt idx="22">
                  <c:v>2.6489618417105957E-4</c:v>
                </c:pt>
                <c:pt idx="23">
                  <c:v>2.6489618417105953E-3</c:v>
                </c:pt>
                <c:pt idx="24">
                  <c:v>2.6489618417105957E-2</c:v>
                </c:pt>
                <c:pt idx="25">
                  <c:v>0.26489618417105953</c:v>
                </c:pt>
                <c:pt idx="26">
                  <c:v>2.6489618417105953</c:v>
                </c:pt>
                <c:pt idx="27">
                  <c:v>26.489618417105955</c:v>
                </c:pt>
                <c:pt idx="28">
                  <c:v>264.89618417105953</c:v>
                </c:pt>
                <c:pt idx="29">
                  <c:v>2648.9618417105958</c:v>
                </c:pt>
                <c:pt idx="30">
                  <c:v>26489.618417105954</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1.6086497516678004E-17</c:v>
                </c:pt>
                <c:pt idx="1">
                  <c:v>1.6086497516678002E-16</c:v>
                </c:pt>
                <c:pt idx="2">
                  <c:v>1.6086497516678001E-15</c:v>
                </c:pt>
                <c:pt idx="3">
                  <c:v>1.6086497516678E-14</c:v>
                </c:pt>
                <c:pt idx="4">
                  <c:v>1.6086497516677999E-13</c:v>
                </c:pt>
                <c:pt idx="5">
                  <c:v>1.6086497516678002E-12</c:v>
                </c:pt>
                <c:pt idx="6">
                  <c:v>1.6086497516678E-11</c:v>
                </c:pt>
                <c:pt idx="7">
                  <c:v>1.6086497516678002E-10</c:v>
                </c:pt>
                <c:pt idx="8">
                  <c:v>1.6086497516678E-9</c:v>
                </c:pt>
                <c:pt idx="9">
                  <c:v>1.6086497516678E-8</c:v>
                </c:pt>
                <c:pt idx="10">
                  <c:v>1.6086497516678001E-7</c:v>
                </c:pt>
                <c:pt idx="11">
                  <c:v>1.6086497516678002E-6</c:v>
                </c:pt>
                <c:pt idx="12">
                  <c:v>1.6086497516678E-5</c:v>
                </c:pt>
                <c:pt idx="13">
                  <c:v>1.6086497516678002E-4</c:v>
                </c:pt>
                <c:pt idx="14">
                  <c:v>1.6086497516678002E-3</c:v>
                </c:pt>
                <c:pt idx="15">
                  <c:v>1.6086497516678001E-2</c:v>
                </c:pt>
                <c:pt idx="16">
                  <c:v>0.16086497516678</c:v>
                </c:pt>
                <c:pt idx="17">
                  <c:v>1.6086497516678</c:v>
                </c:pt>
                <c:pt idx="18">
                  <c:v>16.086497516678001</c:v>
                </c:pt>
                <c:pt idx="19">
                  <c:v>160.86497516678</c:v>
                </c:pt>
                <c:pt idx="20">
                  <c:v>1608.6497516678</c:v>
                </c:pt>
                <c:pt idx="21">
                  <c:v>16086.497516678</c:v>
                </c:pt>
                <c:pt idx="22">
                  <c:v>160864.97516678</c:v>
                </c:pt>
                <c:pt idx="23">
                  <c:v>1608649.7516678001</c:v>
                </c:pt>
                <c:pt idx="24">
                  <c:v>16086497.516678002</c:v>
                </c:pt>
                <c:pt idx="25">
                  <c:v>160864975.16677999</c:v>
                </c:pt>
                <c:pt idx="26">
                  <c:v>1608649751.6678002</c:v>
                </c:pt>
                <c:pt idx="27">
                  <c:v>16086497516.678001</c:v>
                </c:pt>
                <c:pt idx="28">
                  <c:v>160864975166.78</c:v>
                </c:pt>
                <c:pt idx="29">
                  <c:v>1608649751667.8</c:v>
                </c:pt>
                <c:pt idx="30">
                  <c:v>16086497516678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486290632"/>
        <c:axId val="486291808"/>
      </c:scatterChart>
      <c:valAx>
        <c:axId val="48629063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1808"/>
        <c:crosses val="autoZero"/>
        <c:crossBetween val="midCat"/>
      </c:valAx>
      <c:valAx>
        <c:axId val="486291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063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-50.877172842752486</c:v>
                </c:pt>
                <c:pt idx="1">
                  <c:v>-50.819457740658962</c:v>
                </c:pt>
                <c:pt idx="2">
                  <c:v>-50.76164568473969</c:v>
                </c:pt>
                <c:pt idx="3">
                  <c:v>-50.70363972116894</c:v>
                </c:pt>
                <c:pt idx="4">
                  <c:v>-50.645342896120965</c:v>
                </c:pt>
                <c:pt idx="5">
                  <c:v>-50.586658255770004</c:v>
                </c:pt>
                <c:pt idx="6">
                  <c:v>-50.527488846290311</c:v>
                </c:pt>
                <c:pt idx="7">
                  <c:v>-50.467737713856167</c:v>
                </c:pt>
                <c:pt idx="8">
                  <c:v>-50.407307904641812</c:v>
                </c:pt>
                <c:pt idx="9">
                  <c:v>-50.346102464821499</c:v>
                </c:pt>
                <c:pt idx="10">
                  <c:v>-50.284024440569496</c:v>
                </c:pt>
                <c:pt idx="11">
                  <c:v>-50.220976878060043</c:v>
                </c:pt>
                <c:pt idx="12">
                  <c:v>-50.156862823467407</c:v>
                </c:pt>
                <c:pt idx="13">
                  <c:v>-50.091585322965841</c:v>
                </c:pt>
                <c:pt idx="14">
                  <c:v>-50.025047422729607</c:v>
                </c:pt>
                <c:pt idx="15">
                  <c:v>-49.95715216893295</c:v>
                </c:pt>
                <c:pt idx="16">
                  <c:v>-49.887802607750132</c:v>
                </c:pt>
                <c:pt idx="17">
                  <c:v>-49.816901785355412</c:v>
                </c:pt>
                <c:pt idx="18">
                  <c:v>-49.744352747923031</c:v>
                </c:pt>
                <c:pt idx="19">
                  <c:v>-49.67005854162727</c:v>
                </c:pt>
                <c:pt idx="20">
                  <c:v>-49.593922212642362</c:v>
                </c:pt>
                <c:pt idx="21">
                  <c:v>-49.515846807142566</c:v>
                </c:pt>
                <c:pt idx="22">
                  <c:v>-49.435735371302151</c:v>
                </c:pt>
                <c:pt idx="23">
                  <c:v>-49.353490951295356</c:v>
                </c:pt>
                <c:pt idx="24">
                  <c:v>-49.269016593296456</c:v>
                </c:pt>
                <c:pt idx="25">
                  <c:v>-49.182215343479697</c:v>
                </c:pt>
                <c:pt idx="26">
                  <c:v>-49.092990248019319</c:v>
                </c:pt>
                <c:pt idx="27">
                  <c:v>-49.001244353089604</c:v>
                </c:pt>
                <c:pt idx="28">
                  <c:v>-48.906880704864804</c:v>
                </c:pt>
                <c:pt idx="29">
                  <c:v>-48.80980234951916</c:v>
                </c:pt>
                <c:pt idx="30">
                  <c:v>-48.709912333226939</c:v>
                </c:pt>
                <c:pt idx="31">
                  <c:v>-48.607113702162387</c:v>
                </c:pt>
                <c:pt idx="32">
                  <c:v>-48.501309502499772</c:v>
                </c:pt>
                <c:pt idx="33">
                  <c:v>-48.392402780413342</c:v>
                </c:pt>
                <c:pt idx="34">
                  <c:v>-48.280296582077355</c:v>
                </c:pt>
                <c:pt idx="35">
                  <c:v>-48.164893953666066</c:v>
                </c:pt>
                <c:pt idx="36">
                  <c:v>-48.046097941353736</c:v>
                </c:pt>
                <c:pt idx="37">
                  <c:v>-47.923811591314617</c:v>
                </c:pt>
                <c:pt idx="38">
                  <c:v>-47.797937949722957</c:v>
                </c:pt>
                <c:pt idx="39">
                  <c:v>-47.66838006275303</c:v>
                </c:pt>
                <c:pt idx="40">
                  <c:v>-47.535040976579076</c:v>
                </c:pt>
                <c:pt idx="41">
                  <c:v>-47.400550080109269</c:v>
                </c:pt>
                <c:pt idx="42">
                  <c:v>-47.262243688174621</c:v>
                </c:pt>
                <c:pt idx="43">
                  <c:v>-47.120184458340098</c:v>
                </c:pt>
                <c:pt idx="44">
                  <c:v>-46.974435048170633</c:v>
                </c:pt>
                <c:pt idx="45">
                  <c:v>-46.825058115231158</c:v>
                </c:pt>
                <c:pt idx="46">
                  <c:v>-46.672116317086648</c:v>
                </c:pt>
                <c:pt idx="47">
                  <c:v>-46.515672311302005</c:v>
                </c:pt>
                <c:pt idx="48">
                  <c:v>-46.355788755442198</c:v>
                </c:pt>
                <c:pt idx="49">
                  <c:v>-46.192528307072152</c:v>
                </c:pt>
                <c:pt idx="50">
                  <c:v>-46.02595362375682</c:v>
                </c:pt>
                <c:pt idx="51">
                  <c:v>-45.856127363061134</c:v>
                </c:pt>
                <c:pt idx="52">
                  <c:v>-45.683112182550047</c:v>
                </c:pt>
                <c:pt idx="53">
                  <c:v>-45.5069707397885</c:v>
                </c:pt>
                <c:pt idx="54">
                  <c:v>-45.327765692341416</c:v>
                </c:pt>
                <c:pt idx="55">
                  <c:v>-45.145559697773763</c:v>
                </c:pt>
                <c:pt idx="56">
                  <c:v>-44.960415413650466</c:v>
                </c:pt>
                <c:pt idx="57">
                  <c:v>-44.772395497536465</c:v>
                </c:pt>
                <c:pt idx="58">
                  <c:v>-44.581562606996719</c:v>
                </c:pt>
                <c:pt idx="59">
                  <c:v>-44.387979399596155</c:v>
                </c:pt>
                <c:pt idx="60">
                  <c:v>-44.19170853289971</c:v>
                </c:pt>
                <c:pt idx="61">
                  <c:v>-43.992812664472339</c:v>
                </c:pt>
                <c:pt idx="62">
                  <c:v>-43.791354451878981</c:v>
                </c:pt>
                <c:pt idx="63">
                  <c:v>-43.587396552684581</c:v>
                </c:pt>
                <c:pt idx="64">
                  <c:v>-43.381001624454058</c:v>
                </c:pt>
                <c:pt idx="65">
                  <c:v>-43.172232324752386</c:v>
                </c:pt>
                <c:pt idx="66">
                  <c:v>-42.961110984273624</c:v>
                </c:pt>
                <c:pt idx="67">
                  <c:v>-42.747498626228428</c:v>
                </c:pt>
                <c:pt idx="68">
                  <c:v>-42.531215946956543</c:v>
                </c:pt>
                <c:pt idx="69">
                  <c:v>-42.312083642797774</c:v>
                </c:pt>
                <c:pt idx="70">
                  <c:v>-42.08992241009188</c:v>
                </c:pt>
                <c:pt idx="71">
                  <c:v>-41.864552945178652</c:v>
                </c:pt>
                <c:pt idx="72">
                  <c:v>-41.635795944397856</c:v>
                </c:pt>
                <c:pt idx="73">
                  <c:v>-41.403472104089261</c:v>
                </c:pt>
                <c:pt idx="74">
                  <c:v>-41.167402120592662</c:v>
                </c:pt>
                <c:pt idx="75">
                  <c:v>-40.927406690247821</c:v>
                </c:pt>
                <c:pt idx="76">
                  <c:v>-40.683306509394512</c:v>
                </c:pt>
                <c:pt idx="77">
                  <c:v>-40.434922274372525</c:v>
                </c:pt>
                <c:pt idx="78">
                  <c:v>-40.182074681521627</c:v>
                </c:pt>
                <c:pt idx="79">
                  <c:v>-39.924584427181593</c:v>
                </c:pt>
                <c:pt idx="80">
                  <c:v>-39.662272207692197</c:v>
                </c:pt>
                <c:pt idx="81">
                  <c:v>-39.39495871939323</c:v>
                </c:pt>
                <c:pt idx="82">
                  <c:v>-39.122464658624445</c:v>
                </c:pt>
                <c:pt idx="83">
                  <c:v>-38.84461072172563</c:v>
                </c:pt>
                <c:pt idx="84">
                  <c:v>-38.56121760503656</c:v>
                </c:pt>
                <c:pt idx="85">
                  <c:v>-38.272106004897019</c:v>
                </c:pt>
                <c:pt idx="86">
                  <c:v>-37.977096617646772</c:v>
                </c:pt>
                <c:pt idx="87">
                  <c:v>-37.676010139625596</c:v>
                </c:pt>
                <c:pt idx="88">
                  <c:v>-37.368667267173279</c:v>
                </c:pt>
                <c:pt idx="89">
                  <c:v>-37.054888696629575</c:v>
                </c:pt>
                <c:pt idx="90">
                  <c:v>-36.734495124334281</c:v>
                </c:pt>
                <c:pt idx="91">
                  <c:v>-36.407351576339437</c:v>
                </c:pt>
                <c:pt idx="92">
                  <c:v>-36.073500397546148</c:v>
                </c:pt>
                <c:pt idx="93">
                  <c:v>-35.733028262567828</c:v>
                </c:pt>
                <c:pt idx="94">
                  <c:v>-35.386021846017861</c:v>
                </c:pt>
                <c:pt idx="95">
                  <c:v>-35.032567822509634</c:v>
                </c:pt>
                <c:pt idx="96">
                  <c:v>-34.672752866656531</c:v>
                </c:pt>
                <c:pt idx="97">
                  <c:v>-34.306663653071958</c:v>
                </c:pt>
                <c:pt idx="98">
                  <c:v>-33.934386856369301</c:v>
                </c:pt>
                <c:pt idx="99">
                  <c:v>-33.556009151161945</c:v>
                </c:pt>
                <c:pt idx="100">
                  <c:v>-33.171617212063289</c:v>
                </c:pt>
                <c:pt idx="101">
                  <c:v>-32.781297713686719</c:v>
                </c:pt>
                <c:pt idx="102">
                  <c:v>-32.385137330645627</c:v>
                </c:pt>
                <c:pt idx="103">
                  <c:v>-31.983222737553412</c:v>
                </c:pt>
                <c:pt idx="104">
                  <c:v>-31.575640609023445</c:v>
                </c:pt>
                <c:pt idx="105">
                  <c:v>-31.16247761966914</c:v>
                </c:pt>
                <c:pt idx="106">
                  <c:v>-30.743820444103871</c:v>
                </c:pt>
                <c:pt idx="107">
                  <c:v>-30.319755756941042</c:v>
                </c:pt>
                <c:pt idx="108">
                  <c:v>-29.890370232794034</c:v>
                </c:pt>
                <c:pt idx="109">
                  <c:v>-29.455750546276242</c:v>
                </c:pt>
                <c:pt idx="110">
                  <c:v>-29.015983372001052</c:v>
                </c:pt>
                <c:pt idx="111">
                  <c:v>-28.571155384581864</c:v>
                </c:pt>
                <c:pt idx="112">
                  <c:v>-28.12135325863207</c:v>
                </c:pt>
                <c:pt idx="113">
                  <c:v>-27.666663668765047</c:v>
                </c:pt>
                <c:pt idx="114">
                  <c:v>-27.207173289594195</c:v>
                </c:pt>
                <c:pt idx="115">
                  <c:v>-26.74296879573291</c:v>
                </c:pt>
                <c:pt idx="116">
                  <c:v>-26.274136861794574</c:v>
                </c:pt>
                <c:pt idx="117">
                  <c:v>-25.800764162392582</c:v>
                </c:pt>
                <c:pt idx="118">
                  <c:v>-25.322937372140323</c:v>
                </c:pt>
                <c:pt idx="119">
                  <c:v>-24.840743165651197</c:v>
                </c:pt>
                <c:pt idx="120">
                  <c:v>-24.354268217538579</c:v>
                </c:pt>
                <c:pt idx="121">
                  <c:v>-23.863650692327475</c:v>
                </c:pt>
                <c:pt idx="122">
                  <c:v>-23.369234714189229</c:v>
                </c:pt>
                <c:pt idx="123">
                  <c:v>-22.871415897206823</c:v>
                </c:pt>
                <c:pt idx="124">
                  <c:v>-22.370589855463212</c:v>
                </c:pt>
                <c:pt idx="125">
                  <c:v>-21.867152203041364</c:v>
                </c:pt>
                <c:pt idx="126">
                  <c:v>-21.361498554024237</c:v>
                </c:pt>
                <c:pt idx="127">
                  <c:v>-20.854024522494797</c:v>
                </c:pt>
                <c:pt idx="128">
                  <c:v>-20.345125722536011</c:v>
                </c:pt>
                <c:pt idx="129">
                  <c:v>-19.835197768230827</c:v>
                </c:pt>
                <c:pt idx="130">
                  <c:v>-19.324636273662225</c:v>
                </c:pt>
                <c:pt idx="131">
                  <c:v>-18.813836852913159</c:v>
                </c:pt>
                <c:pt idx="132">
                  <c:v>-18.303195120066601</c:v>
                </c:pt>
                <c:pt idx="133">
                  <c:v>-17.793106689205501</c:v>
                </c:pt>
                <c:pt idx="134">
                  <c:v>-17.283967174412833</c:v>
                </c:pt>
                <c:pt idx="135">
                  <c:v>-16.776172189771557</c:v>
                </c:pt>
                <c:pt idx="136">
                  <c:v>-16.270117349364632</c:v>
                </c:pt>
                <c:pt idx="137">
                  <c:v>-15.766198267275028</c:v>
                </c:pt>
                <c:pt idx="138">
                  <c:v>-15.264810557585701</c:v>
                </c:pt>
                <c:pt idx="139">
                  <c:v>-14.766349834379618</c:v>
                </c:pt>
                <c:pt idx="140">
                  <c:v>-14.271211711739742</c:v>
                </c:pt>
                <c:pt idx="141">
                  <c:v>-13.779791803749037</c:v>
                </c:pt>
                <c:pt idx="142">
                  <c:v>-13.292485724490463</c:v>
                </c:pt>
                <c:pt idx="143">
                  <c:v>-12.809689088046987</c:v>
                </c:pt>
                <c:pt idx="144">
                  <c:v>-12.33179750850157</c:v>
                </c:pt>
                <c:pt idx="145">
                  <c:v>-11.859206599937174</c:v>
                </c:pt>
                <c:pt idx="146">
                  <c:v>-11.392311976436766</c:v>
                </c:pt>
                <c:pt idx="147">
                  <c:v>-10.931509252083302</c:v>
                </c:pt>
                <c:pt idx="148">
                  <c:v>-10.477194040959752</c:v>
                </c:pt>
                <c:pt idx="149">
                  <c:v>-10.029761957149077</c:v>
                </c:pt>
                <c:pt idx="150">
                  <c:v>-9.5896086147342388</c:v>
                </c:pt>
                <c:pt idx="151">
                  <c:v>-9.1571296277982057</c:v>
                </c:pt>
                <c:pt idx="152">
                  <c:v>-8.7327206104239306</c:v>
                </c:pt>
                <c:pt idx="153">
                  <c:v>-8.3167771766943854</c:v>
                </c:pt>
                <c:pt idx="154">
                  <c:v>-7.9096949406925301</c:v>
                </c:pt>
                <c:pt idx="155">
                  <c:v>-7.5118695165013278</c:v>
                </c:pt>
                <c:pt idx="156">
                  <c:v>-7.1236965182037428</c:v>
                </c:pt>
                <c:pt idx="157">
                  <c:v>-6.7455715598827366</c:v>
                </c:pt>
                <c:pt idx="158">
                  <c:v>-6.3778902556212733</c:v>
                </c:pt>
                <c:pt idx="159">
                  <c:v>-6.0210482195023154</c:v>
                </c:pt>
                <c:pt idx="160">
                  <c:v>-5.6754410656088279</c:v>
                </c:pt>
                <c:pt idx="161">
                  <c:v>-5.3414644080237705</c:v>
                </c:pt>
                <c:pt idx="162">
                  <c:v>-5.0195138608301093</c:v>
                </c:pt>
                <c:pt idx="163">
                  <c:v>-4.7099850381108057</c:v>
                </c:pt>
                <c:pt idx="164">
                  <c:v>-4.4132735539488239</c:v>
                </c:pt>
                <c:pt idx="165">
                  <c:v>-4.1297750224271255</c:v>
                </c:pt>
                <c:pt idx="166">
                  <c:v>-3.8597543192495003</c:v>
                </c:pt>
                <c:pt idx="167">
                  <c:v>-3.6029533666030291</c:v>
                </c:pt>
                <c:pt idx="168">
                  <c:v>-3.3589833482956197</c:v>
                </c:pt>
                <c:pt idx="169">
                  <c:v>-3.1274554481351795</c:v>
                </c:pt>
                <c:pt idx="170">
                  <c:v>-2.9079808499296158</c:v>
                </c:pt>
                <c:pt idx="171">
                  <c:v>-2.7001707374868356</c:v>
                </c:pt>
                <c:pt idx="172">
                  <c:v>-2.5036362946147461</c:v>
                </c:pt>
                <c:pt idx="173">
                  <c:v>-2.3179887051212549</c:v>
                </c:pt>
                <c:pt idx="174">
                  <c:v>-2.1428391528142692</c:v>
                </c:pt>
                <c:pt idx="175">
                  <c:v>-1.9777988215016953</c:v>
                </c:pt>
                <c:pt idx="176">
                  <c:v>-1.8224788949914412</c:v>
                </c:pt>
                <c:pt idx="177">
                  <c:v>-1.6764905570914141</c:v>
                </c:pt>
                <c:pt idx="178">
                  <c:v>-1.5394449916095212</c:v>
                </c:pt>
                <c:pt idx="179">
                  <c:v>-1.4109533823536695</c:v>
                </c:pt>
                <c:pt idx="180">
                  <c:v>-1.2906269131317663</c:v>
                </c:pt>
                <c:pt idx="181">
                  <c:v>-1.1780767677517188</c:v>
                </c:pt>
                <c:pt idx="182">
                  <c:v>-1.0729141300214344</c:v>
                </c:pt>
                <c:pt idx="183">
                  <c:v>-0.97475018374881994</c:v>
                </c:pt>
                <c:pt idx="184">
                  <c:v>-0.883196112741783</c:v>
                </c:pt>
                <c:pt idx="185">
                  <c:v>-0.79786310080823064</c:v>
                </c:pt>
                <c:pt idx="186">
                  <c:v>-0.71836233175607001</c:v>
                </c:pt>
                <c:pt idx="187">
                  <c:v>-0.64430498939320846</c:v>
                </c:pt>
                <c:pt idx="188">
                  <c:v>-0.57530225752755304</c:v>
                </c:pt>
                <c:pt idx="189">
                  <c:v>-0.51096531996701111</c:v>
                </c:pt>
                <c:pt idx="190">
                  <c:v>-0.45090536051948982</c:v>
                </c:pt>
                <c:pt idx="191">
                  <c:v>-0.39473356299289647</c:v>
                </c:pt>
                <c:pt idx="192">
                  <c:v>-0.34206111119513816</c:v>
                </c:pt>
                <c:pt idx="193">
                  <c:v>-0.29249918893412213</c:v>
                </c:pt>
                <c:pt idx="194">
                  <c:v>-0.24565898001775557</c:v>
                </c:pt>
                <c:pt idx="195">
                  <c:v>-0.20115166825394576</c:v>
                </c:pt>
                <c:pt idx="196">
                  <c:v>-0.15858843745059989</c:v>
                </c:pt>
                <c:pt idx="197">
                  <c:v>-0.11758047141562518</c:v>
                </c:pt>
                <c:pt idx="198">
                  <c:v>-7.77389539569288E-2</c:v>
                </c:pt>
                <c:pt idx="199">
                  <c:v>-3.8675068882418007E-2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-50.877172842752479</c:v>
                </c:pt>
                <c:pt idx="1">
                  <c:v>-47.535040976579083</c:v>
                </c:pt>
                <c:pt idx="2">
                  <c:v>-43.172232324752386</c:v>
                </c:pt>
                <c:pt idx="3">
                  <c:v>-36.734495124334281</c:v>
                </c:pt>
                <c:pt idx="4">
                  <c:v>-24.354268217538582</c:v>
                </c:pt>
                <c:pt idx="5">
                  <c:v>-4.1297750224271264</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-50.984955769269391</c:v>
                </c:pt>
                <c:pt idx="1">
                  <c:v>-50.878493592500263</c:v>
                </c:pt>
                <c:pt idx="2">
                  <c:v>-50.78240126208425</c:v>
                </c:pt>
                <c:pt idx="3">
                  <c:v>-50.695227885055829</c:v>
                </c:pt>
                <c:pt idx="4">
                  <c:v>-50.615634136278231</c:v>
                </c:pt>
                <c:pt idx="5">
                  <c:v>-50.542386415091414</c:v>
                </c:pt>
                <c:pt idx="6">
                  <c:v>-50.474351196958196</c:v>
                </c:pt>
                <c:pt idx="7">
                  <c:v>-50.410489576369855</c:v>
                </c:pt>
                <c:pt idx="8">
                  <c:v>-50.349851997327733</c:v>
                </c:pt>
                <c:pt idx="9">
                  <c:v>-50.291573167728529</c:v>
                </c:pt>
                <c:pt idx="10">
                  <c:v>-50.234867154018957</c:v>
                </c:pt>
                <c:pt idx="11">
                  <c:v>-50.17902265252269</c:v>
                </c:pt>
                <c:pt idx="12">
                  <c:v>-50.123398433868715</c:v>
                </c:pt>
                <c:pt idx="13">
                  <c:v>-50.06741895698201</c:v>
                </c:pt>
                <c:pt idx="14">
                  <c:v>-50.010570149119303</c:v>
                </c:pt>
                <c:pt idx="15">
                  <c:v>-49.952395348482014</c:v>
                </c:pt>
                <c:pt idx="16">
                  <c:v>-49.892491405958481</c:v>
                </c:pt>
                <c:pt idx="17">
                  <c:v>-49.830504942572134</c:v>
                </c:pt>
                <c:pt idx="18">
                  <c:v>-49.766128759262415</c:v>
                </c:pt>
                <c:pt idx="19">
                  <c:v>-49.699098395635133</c:v>
                </c:pt>
                <c:pt idx="20">
                  <c:v>-49.629188834362935</c:v>
                </c:pt>
                <c:pt idx="21">
                  <c:v>-49.556211347947624</c:v>
                </c:pt>
                <c:pt idx="22">
                  <c:v>-49.480010484582522</c:v>
                </c:pt>
                <c:pt idx="23">
                  <c:v>-49.400461189878342</c:v>
                </c:pt>
                <c:pt idx="24">
                  <c:v>-49.317466061266941</c:v>
                </c:pt>
                <c:pt idx="25">
                  <c:v>-49.230952731905063</c:v>
                </c:pt>
                <c:pt idx="26">
                  <c:v>-49.140871380947146</c:v>
                </c:pt>
                <c:pt idx="27">
                  <c:v>-49.047192367081834</c:v>
                </c:pt>
                <c:pt idx="28">
                  <c:v>-48.949903982252977</c:v>
                </c:pt>
                <c:pt idx="29">
                  <c:v>-48.849010322530376</c:v>
                </c:pt>
                <c:pt idx="30">
                  <c:v>-48.744529273110857</c:v>
                </c:pt>
                <c:pt idx="31">
                  <c:v>-48.636490604474147</c:v>
                </c:pt>
                <c:pt idx="32">
                  <c:v>-48.524934176737133</c:v>
                </c:pt>
                <c:pt idx="33">
                  <c:v>-48.4099082492977</c:v>
                </c:pt>
                <c:pt idx="34">
                  <c:v>-48.291467892865228</c:v>
                </c:pt>
                <c:pt idx="35">
                  <c:v>-48.169673501038233</c:v>
                </c:pt>
                <c:pt idx="36">
                  <c:v>-48.044589398591199</c:v>
                </c:pt>
                <c:pt idx="37">
                  <c:v>-47.916282543678108</c:v>
                </c:pt>
                <c:pt idx="38">
                  <c:v>-47.78482132119359</c:v>
                </c:pt>
                <c:pt idx="39">
                  <c:v>-47.650274424553459</c:v>
                </c:pt>
                <c:pt idx="40">
                  <c:v>-47.512709823196985</c:v>
                </c:pt>
                <c:pt idx="41">
                  <c:v>-47.372193813137812</c:v>
                </c:pt>
                <c:pt idx="42">
                  <c:v>-47.228790147925508</c:v>
                </c:pt>
                <c:pt idx="43">
                  <c:v>-47.08255924740763</c:v>
                </c:pt>
                <c:pt idx="44">
                  <c:v>-46.933557481718935</c:v>
                </c:pt>
                <c:pt idx="45">
                  <c:v>-46.781836527945075</c:v>
                </c:pt>
                <c:pt idx="46">
                  <c:v>-46.627442796949737</c:v>
                </c:pt>
                <c:pt idx="47">
                  <c:v>-46.470416927881445</c:v>
                </c:pt>
                <c:pt idx="48">
                  <c:v>-46.310793347903854</c:v>
                </c:pt>
                <c:pt idx="49">
                  <c:v>-46.148599894729358</c:v>
                </c:pt>
                <c:pt idx="50">
                  <c:v>-45.983857499563584</c:v>
                </c:pt>
                <c:pt idx="51">
                  <c:v>-45.816579928102442</c:v>
                </c:pt>
                <c:pt idx="52">
                  <c:v>-45.646773577250855</c:v>
                </c:pt>
                <c:pt idx="53">
                  <c:v>-45.474437325266109</c:v>
                </c:pt>
                <c:pt idx="54">
                  <c:v>-45.299562433057986</c:v>
                </c:pt>
                <c:pt idx="55">
                  <c:v>-45.122132494411375</c:v>
                </c:pt>
                <c:pt idx="56">
                  <c:v>-44.942123432925143</c:v>
                </c:pt>
                <c:pt idx="57">
                  <c:v>-44.759503543491832</c:v>
                </c:pt>
                <c:pt idx="58">
                  <c:v>-44.574233576181641</c:v>
                </c:pt>
                <c:pt idx="59">
                  <c:v>-44.386266860409151</c:v>
                </c:pt>
                <c:pt idx="60">
                  <c:v>-44.195549467311821</c:v>
                </c:pt>
                <c:pt idx="61">
                  <c:v>-44.00202040828286</c:v>
                </c:pt>
                <c:pt idx="62">
                  <c:v>-43.805611867647315</c:v>
                </c:pt>
                <c:pt idx="63">
                  <c:v>-43.606249467484233</c:v>
                </c:pt>
                <c:pt idx="64">
                  <c:v>-43.403852562649533</c:v>
                </c:pt>
                <c:pt idx="65">
                  <c:v>-43.198334564063828</c:v>
                </c:pt>
                <c:pt idx="66">
                  <c:v>-42.989603288378063</c:v>
                </c:pt>
                <c:pt idx="67">
                  <c:v>-42.777561332149318</c:v>
                </c:pt>
                <c:pt idx="68">
                  <c:v>-42.562106468697351</c:v>
                </c:pt>
                <c:pt idx="69">
                  <c:v>-42.34313206583694</c:v>
                </c:pt>
                <c:pt idx="70">
                  <c:v>-42.120527522720295</c:v>
                </c:pt>
                <c:pt idx="71">
                  <c:v>-41.894178724046391</c:v>
                </c:pt>
                <c:pt idx="72">
                  <c:v>-41.663968509930974</c:v>
                </c:pt>
                <c:pt idx="73">
                  <c:v>-41.429777159759801</c:v>
                </c:pt>
                <c:pt idx="74">
                  <c:v>-41.191482888379355</c:v>
                </c:pt>
                <c:pt idx="75">
                  <c:v>-40.94896235300854</c:v>
                </c:pt>
                <c:pt idx="76">
                  <c:v>-40.70209116928919</c:v>
                </c:pt>
                <c:pt idx="77">
                  <c:v>-40.450744434921646</c:v>
                </c:pt>
                <c:pt idx="78">
                  <c:v>-40.194797259363042</c:v>
                </c:pt>
                <c:pt idx="79">
                  <c:v>-39.934125298097563</c:v>
                </c:pt>
                <c:pt idx="80">
                  <c:v>-39.668605290020665</c:v>
                </c:pt>
                <c:pt idx="81">
                  <c:v>-39.398115596504582</c:v>
                </c:pt>
                <c:pt idx="82">
                  <c:v>-39.122536740751933</c:v>
                </c:pt>
                <c:pt idx="83">
                  <c:v>-38.84175194606744</c:v>
                </c:pt>
                <c:pt idx="84">
                  <c:v>-38.555647671713011</c:v>
                </c:pt>
                <c:pt idx="85">
                  <c:v>-38.264114145042399</c:v>
                </c:pt>
                <c:pt idx="86">
                  <c:v>-37.967045888641209</c:v>
                </c:pt>
                <c:pt idx="87">
                  <c:v>-37.664342241229463</c:v>
                </c:pt>
                <c:pt idx="88">
                  <c:v>-37.355907871115335</c:v>
                </c:pt>
                <c:pt idx="89">
                  <c:v>-37.04165328102097</c:v>
                </c:pt>
                <c:pt idx="90">
                  <c:v>-36.721495303128549</c:v>
                </c:pt>
                <c:pt idx="91">
                  <c:v>-36.39535758323062</c:v>
                </c:pt>
                <c:pt idx="92">
                  <c:v>-36.063171052895612</c:v>
                </c:pt>
                <c:pt idx="93">
                  <c:v>-35.724874388593904</c:v>
                </c:pt>
                <c:pt idx="94">
                  <c:v>-35.380414456757983</c:v>
                </c:pt>
                <c:pt idx="95">
                  <c:v>-35.029746743782482</c:v>
                </c:pt>
                <c:pt idx="96">
                  <c:v>-34.672835770002436</c:v>
                </c:pt>
                <c:pt idx="97">
                  <c:v>-34.309655486716032</c:v>
                </c:pt>
                <c:pt idx="98">
                  <c:v>-33.940189655351531</c:v>
                </c:pt>
                <c:pt idx="99">
                  <c:v>-33.564432207908659</c:v>
                </c:pt>
                <c:pt idx="100">
                  <c:v>-33.182387587834974</c:v>
                </c:pt>
                <c:pt idx="101">
                  <c:v>-32.794071070529853</c:v>
                </c:pt>
                <c:pt idx="102">
                  <c:v>-32.399509062698165</c:v>
                </c:pt>
                <c:pt idx="103">
                  <c:v>-31.998739379809926</c:v>
                </c:pt>
                <c:pt idx="104">
                  <c:v>-31.591811500948694</c:v>
                </c:pt>
                <c:pt idx="105">
                  <c:v>-31.178786800366566</c:v>
                </c:pt>
                <c:pt idx="106">
                  <c:v>-30.759738755093061</c:v>
                </c:pt>
                <c:pt idx="107">
                  <c:v>-30.334753127975354</c:v>
                </c:pt>
                <c:pt idx="108">
                  <c:v>-29.903928125559936</c:v>
                </c:pt>
                <c:pt idx="109">
                  <c:v>-29.467374530256606</c:v>
                </c:pt>
                <c:pt idx="110">
                  <c:v>-29.025215806254923</c:v>
                </c:pt>
                <c:pt idx="111">
                  <c:v>-28.577588178697056</c:v>
                </c:pt>
                <c:pt idx="112">
                  <c:v>-28.12464068563991</c:v>
                </c:pt>
                <c:pt idx="113">
                  <c:v>-27.666535202371257</c:v>
                </c:pt>
                <c:pt idx="114">
                  <c:v>-27.203446437675922</c:v>
                </c:pt>
                <c:pt idx="115">
                  <c:v>-26.735561901677876</c:v>
                </c:pt>
                <c:pt idx="116">
                  <c:v>-26.263081844917238</c:v>
                </c:pt>
                <c:pt idx="117">
                  <c:v>-25.78621916834998</c:v>
                </c:pt>
                <c:pt idx="118">
                  <c:v>-25.305199303990577</c:v>
                </c:pt>
                <c:pt idx="119">
                  <c:v>-24.820260065948752</c:v>
                </c:pt>
                <c:pt idx="120">
                  <c:v>-24.33165147164172</c:v>
                </c:pt>
                <c:pt idx="121">
                  <c:v>-23.839635532995459</c:v>
                </c:pt>
                <c:pt idx="122">
                  <c:v>-23.344486017478676</c:v>
                </c:pt>
                <c:pt idx="123">
                  <c:v>-22.846488178844837</c:v>
                </c:pt>
                <c:pt idx="124">
                  <c:v>-22.345938457488007</c:v>
                </c:pt>
                <c:pt idx="125">
                  <c:v>-21.843144150350227</c:v>
                </c:pt>
                <c:pt idx="126">
                  <c:v>-21.338423050348084</c:v>
                </c:pt>
                <c:pt idx="127">
                  <c:v>-20.832103055318118</c:v>
                </c:pt>
                <c:pt idx="128">
                  <c:v>-20.324521746511191</c:v>
                </c:pt>
                <c:pt idx="129">
                  <c:v>-19.816025936697173</c:v>
                </c:pt>
                <c:pt idx="130">
                  <c:v>-19.306971187972604</c:v>
                </c:pt>
                <c:pt idx="131">
                  <c:v>-18.797721299394208</c:v>
                </c:pt>
                <c:pt idx="132">
                  <c:v>-18.288647764593456</c:v>
                </c:pt>
                <c:pt idx="133">
                  <c:v>-17.780129199557017</c:v>
                </c:pt>
                <c:pt idx="134">
                  <c:v>-17.272550740790329</c:v>
                </c:pt>
                <c:pt idx="135">
                  <c:v>-16.766303414111221</c:v>
                </c:pt>
                <c:pt idx="136">
                  <c:v>-16.261783474352946</c:v>
                </c:pt>
                <c:pt idx="137">
                  <c:v>-15.759391716285718</c:v>
                </c:pt>
                <c:pt idx="138">
                  <c:v>-15.259532757097967</c:v>
                </c:pt>
                <c:pt idx="139">
                  <c:v>-14.762614290808809</c:v>
                </c:pt>
                <c:pt idx="140">
                  <c:v>-14.269046315014734</c:v>
                </c:pt>
                <c:pt idx="141">
                  <c:v>-13.779240330404319</c:v>
                </c:pt>
                <c:pt idx="142">
                  <c:v>-13.293608513505982</c:v>
                </c:pt>
                <c:pt idx="143">
                  <c:v>-12.812562863164551</c:v>
                </c:pt>
                <c:pt idx="144">
                  <c:v>-12.33651432127399</c:v>
                </c:pt>
                <c:pt idx="145">
                  <c:v>-11.865871868324021</c:v>
                </c:pt>
                <c:pt idx="146">
                  <c:v>-11.401041594349959</c:v>
                </c:pt>
                <c:pt idx="147">
                  <c:v>-10.942425745905787</c:v>
                </c:pt>
                <c:pt idx="148">
                  <c:v>-10.490421749711814</c:v>
                </c:pt>
                <c:pt idx="149">
                  <c:v>-10.045421213658983</c:v>
                </c:pt>
                <c:pt idx="150">
                  <c:v>-9.6078089058832052</c:v>
                </c:pt>
                <c:pt idx="151">
                  <c:v>-9.177961712654092</c:v>
                </c:pt>
                <c:pt idx="152">
                  <c:v>-8.7562475758533651</c:v>
                </c:pt>
                <c:pt idx="153">
                  <c:v>-8.3430244108494325</c:v>
                </c:pt>
                <c:pt idx="154">
                  <c:v>-7.93863900560555</c:v>
                </c:pt>
                <c:pt idx="155">
                  <c:v>-7.5434259018900844</c:v>
                </c:pt>
                <c:pt idx="156">
                  <c:v>-7.1577062594884993</c:v>
                </c:pt>
                <c:pt idx="157">
                  <c:v>-6.7817867043475157</c:v>
                </c:pt>
                <c:pt idx="158">
                  <c:v>-6.4159581616132568</c:v>
                </c:pt>
                <c:pt idx="159">
                  <c:v>-6.0604946745559056</c:v>
                </c:pt>
                <c:pt idx="160">
                  <c:v>-5.7156522104047385</c:v>
                </c:pt>
                <c:pt idx="161">
                  <c:v>-5.3816674541482126</c:v>
                </c:pt>
                <c:pt idx="162">
                  <c:v>-5.0587565913849852</c:v>
                </c:pt>
                <c:pt idx="163">
                  <c:v>-4.7471140813426826</c:v>
                </c:pt>
                <c:pt idx="164">
                  <c:v>-4.4469114212123815</c:v>
                </c:pt>
                <c:pt idx="165">
                  <c:v>-4.1582959029776898</c:v>
                </c:pt>
                <c:pt idx="166">
                  <c:v>-3.8813893639484807</c:v>
                </c:pt>
                <c:pt idx="167">
                  <c:v>-3.6162869322402922</c:v>
                </c:pt>
                <c:pt idx="168">
                  <c:v>-3.3630557684714804</c:v>
                </c:pt>
                <c:pt idx="169">
                  <c:v>-3.121733804981254</c:v>
                </c:pt>
                <c:pt idx="170">
                  <c:v>-2.8923284839027819</c:v>
                </c:pt>
                <c:pt idx="171">
                  <c:v>-2.6748154954565773</c:v>
                </c:pt>
                <c:pt idx="172">
                  <c:v>-2.4691375178604185</c:v>
                </c:pt>
                <c:pt idx="173">
                  <c:v>-2.2752029602831292</c:v>
                </c:pt>
                <c:pt idx="174">
                  <c:v>-2.092884710300559</c:v>
                </c:pt>
                <c:pt idx="175">
                  <c:v>-1.9220188873431674</c:v>
                </c:pt>
                <c:pt idx="176">
                  <c:v>-1.7624036036556483</c:v>
                </c:pt>
                <c:pt idx="177">
                  <c:v>-1.6137977343200804</c:v>
                </c:pt>
                <c:pt idx="178">
                  <c:v>-1.4759196979251386</c:v>
                </c:pt>
                <c:pt idx="179">
                  <c:v>-1.3484462494949414</c:v>
                </c:pt>
                <c:pt idx="180">
                  <c:v>-1.2310112873221433</c:v>
                </c:pt>
                <c:pt idx="181">
                  <c:v>-1.1232046753809468</c:v>
                </c:pt>
                <c:pt idx="182">
                  <c:v>-1.0245710830267398</c:v>
                </c:pt>
                <c:pt idx="183">
                  <c:v>-0.93460884372010722</c:v>
                </c:pt>
                <c:pt idx="184">
                  <c:v>-0.85276883454401431</c:v>
                </c:pt>
                <c:pt idx="185">
                  <c:v>-0.77845337831401062</c:v>
                </c:pt>
                <c:pt idx="186">
                  <c:v>-0.71101517011232951</c:v>
                </c:pt>
                <c:pt idx="187">
                  <c:v>-0.64975623010782113</c:v>
                </c:pt>
                <c:pt idx="188">
                  <c:v>-0.59392688455469211</c:v>
                </c:pt>
                <c:pt idx="189">
                  <c:v>-0.54272477689406906</c:v>
                </c:pt>
                <c:pt idx="190">
                  <c:v>-0.49529391091345376</c:v>
                </c:pt>
                <c:pt idx="191">
                  <c:v>-0.45072372795017418</c:v>
                </c:pt>
                <c:pt idx="192">
                  <c:v>-0.40804822015598652</c:v>
                </c:pt>
                <c:pt idx="193">
                  <c:v>-0.36624508187102467</c:v>
                </c:pt>
                <c:pt idx="194">
                  <c:v>-0.32423490118633946</c:v>
                </c:pt>
                <c:pt idx="195">
                  <c:v>-0.28088039380531227</c:v>
                </c:pt>
                <c:pt idx="196">
                  <c:v>-0.23498568134527578</c:v>
                </c:pt>
                <c:pt idx="197">
                  <c:v>-0.18529561625171431</c:v>
                </c:pt>
                <c:pt idx="198">
                  <c:v>-0.13049515552846619</c:v>
                </c:pt>
                <c:pt idx="199">
                  <c:v>-6.9208785518389188E-2</c:v>
                </c:pt>
                <c:pt idx="200">
                  <c:v>0</c:v>
                </c:pt>
              </c:numCache>
            </c:numRef>
          </c:yVal>
          <c:smooth val="1"/>
        </c:ser>
        <c:dLbls>
          <c:showLegendKey val="0"/>
          <c:showVal val="0"/>
          <c:showCatName val="0"/>
          <c:showSerName val="0"/>
          <c:showPercent val="0"/>
          <c:showBubbleSize val="0"/>
        </c:dLbls>
        <c:axId val="486287104"/>
        <c:axId val="486292984"/>
      </c:scatterChart>
      <c:valAx>
        <c:axId val="48628710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2984"/>
        <c:crossesAt val="-1000"/>
        <c:crossBetween val="midCat"/>
      </c:valAx>
      <c:valAx>
        <c:axId val="486292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710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7.3664171987943866E-2</v>
      </c>
      <c r="D59" s="55">
        <v>1</v>
      </c>
    </row>
    <row r="60" spans="1:4" s="11" customFormat="1" x14ac:dyDescent="0.25">
      <c r="A60" s="54">
        <v>2</v>
      </c>
      <c r="B60" s="56">
        <f>'Shiftfunktion bestimmen'!N2</f>
        <v>4.7076121572752778E-3</v>
      </c>
      <c r="D60" s="55">
        <v>2</v>
      </c>
    </row>
    <row r="61" spans="1:4" s="11" customFormat="1" x14ac:dyDescent="0.25">
      <c r="A61" s="54">
        <v>3</v>
      </c>
      <c r="B61" s="56">
        <f>'Shiftfunktion bestimmen'!N3</f>
        <v>2.5480066512980785E-4</v>
      </c>
      <c r="D61" s="55">
        <v>3</v>
      </c>
    </row>
    <row r="62" spans="1:4" s="11" customFormat="1" x14ac:dyDescent="0.25">
      <c r="A62" s="54">
        <v>4</v>
      </c>
      <c r="B62" s="56">
        <f>'Shiftfunktion bestimmen'!N4</f>
        <v>2.5782189490502593E-6</v>
      </c>
      <c r="D62" s="55">
        <v>4</v>
      </c>
    </row>
    <row r="63" spans="1:4" s="11" customFormat="1" x14ac:dyDescent="0.25">
      <c r="A63" s="54">
        <v>5</v>
      </c>
      <c r="B63" s="56">
        <f>'Shiftfunktion bestimmen'!N5</f>
        <v>3.1582726461424028E-9</v>
      </c>
      <c r="D63" s="55">
        <v>5</v>
      </c>
    </row>
    <row r="64" spans="1:4" s="11" customFormat="1" x14ac:dyDescent="0.25">
      <c r="A64" s="54">
        <v>6</v>
      </c>
      <c r="B64" s="56">
        <f>'Shiftfunktion bestimmen'!N6</f>
        <v>-8.3737505399686344E-11</v>
      </c>
      <c r="D64" s="55">
        <v>6</v>
      </c>
    </row>
    <row r="65" spans="1:5" s="11" customFormat="1" x14ac:dyDescent="0.25">
      <c r="A65" s="54">
        <v>7</v>
      </c>
      <c r="B65" s="56">
        <f>'Shiftfunktion bestimmen'!N7</f>
        <v>-4.7106429722878629E-13</v>
      </c>
      <c r="D65" s="55">
        <v>7</v>
      </c>
    </row>
    <row r="66" spans="1:5" x14ac:dyDescent="0.25">
      <c r="A66" s="54">
        <v>8</v>
      </c>
      <c r="B66" s="56">
        <f>'Shiftfunktion bestimmen'!N8</f>
        <v>-7.6995195987797403E-16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0.17379452430407935</v>
      </c>
      <c r="D74" s="51">
        <v>1</v>
      </c>
      <c r="E74" s="56">
        <f>'Mastercurve bestimmen'!A18</f>
        <v>1.0000000000000001E-20</v>
      </c>
    </row>
    <row r="75" spans="1:5" x14ac:dyDescent="0.25">
      <c r="A75" s="50">
        <f>A74+1</f>
        <v>2</v>
      </c>
      <c r="B75" s="56">
        <f>'Mastercurve bestimmen'!C19</f>
        <v>9.0899647473980161E-2</v>
      </c>
      <c r="D75" s="51">
        <v>2</v>
      </c>
      <c r="E75" s="56">
        <f>'Mastercurve bestimmen'!A19</f>
        <v>3.9038946506297401E-14</v>
      </c>
    </row>
    <row r="76" spans="1:5" x14ac:dyDescent="0.25">
      <c r="A76" s="50">
        <f t="shared" ref="A76:A104" si="0">A75+1</f>
        <v>3</v>
      </c>
      <c r="B76" s="56">
        <f>'Mastercurve bestimmen'!C20</f>
        <v>3.1881256705136286E-2</v>
      </c>
      <c r="D76" s="51">
        <v>3</v>
      </c>
      <c r="E76" s="56">
        <f>'Mastercurve bestimmen'!A20</f>
        <v>4.3276437088188502E-13</v>
      </c>
    </row>
    <row r="77" spans="1:5" x14ac:dyDescent="0.25">
      <c r="A77" s="50">
        <f t="shared" si="0"/>
        <v>4</v>
      </c>
      <c r="B77" s="56">
        <f>'Mastercurve bestimmen'!C21</f>
        <v>5.4295186308030693E-2</v>
      </c>
      <c r="D77" s="51">
        <v>4</v>
      </c>
      <c r="E77" s="56">
        <f>'Mastercurve bestimmen'!A21</f>
        <v>4.7973886968128502E-12</v>
      </c>
    </row>
    <row r="78" spans="1:5" x14ac:dyDescent="0.25">
      <c r="A78" s="50">
        <f t="shared" si="0"/>
        <v>5</v>
      </c>
      <c r="B78" s="56">
        <f>'Mastercurve bestimmen'!C22</f>
        <v>5.1307510130975835E-2</v>
      </c>
      <c r="D78" s="51">
        <v>5</v>
      </c>
      <c r="E78" s="56">
        <f>'Mastercurve bestimmen'!A22</f>
        <v>5.31812225239524E-11</v>
      </c>
    </row>
    <row r="79" spans="1:5" x14ac:dyDescent="0.25">
      <c r="A79" s="50">
        <f t="shared" si="0"/>
        <v>6</v>
      </c>
      <c r="B79" s="56">
        <f>'Mastercurve bestimmen'!C23</f>
        <v>7.4663981933644916E-2</v>
      </c>
      <c r="D79" s="51">
        <v>6</v>
      </c>
      <c r="E79" s="56">
        <f>'Mastercurve bestimmen'!A23</f>
        <v>5.8953789402578301E-10</v>
      </c>
    </row>
    <row r="80" spans="1:5" x14ac:dyDescent="0.25">
      <c r="A80" s="50">
        <f t="shared" si="0"/>
        <v>7</v>
      </c>
      <c r="B80" s="56">
        <f>'Mastercurve bestimmen'!C24</f>
        <v>9.0647969973627479E-2</v>
      </c>
      <c r="D80" s="51">
        <v>7</v>
      </c>
      <c r="E80" s="56">
        <f>'Mastercurve bestimmen'!A24</f>
        <v>6.5352940755699598E-9</v>
      </c>
    </row>
    <row r="81" spans="1:5" x14ac:dyDescent="0.25">
      <c r="A81" s="50">
        <f t="shared" si="0"/>
        <v>8</v>
      </c>
      <c r="B81" s="56">
        <f>'Mastercurve bestimmen'!C25</f>
        <v>0.10513898706376987</v>
      </c>
      <c r="D81" s="51">
        <v>8</v>
      </c>
      <c r="E81" s="56">
        <f>'Mastercurve bestimmen'!A25</f>
        <v>7.2446689325643296E-8</v>
      </c>
    </row>
    <row r="82" spans="1:5" x14ac:dyDescent="0.25">
      <c r="A82" s="50">
        <f t="shared" si="0"/>
        <v>9</v>
      </c>
      <c r="B82" s="56">
        <f>'Mastercurve bestimmen'!C26</f>
        <v>0.12480864845095105</v>
      </c>
      <c r="D82" s="51">
        <f>A82</f>
        <v>9</v>
      </c>
      <c r="E82" s="56">
        <f>'Mastercurve bestimmen'!A26</f>
        <v>8.03104303120212E-7</v>
      </c>
    </row>
    <row r="83" spans="1:5" x14ac:dyDescent="0.25">
      <c r="A83" s="50">
        <f t="shared" si="0"/>
        <v>10</v>
      </c>
      <c r="B83" s="56">
        <f>'Mastercurve bestimmen'!C27</f>
        <v>8.8034867704118849E-2</v>
      </c>
      <c r="C83" s="11"/>
      <c r="D83" s="51">
        <f t="shared" ref="D83:D104" si="1">A83</f>
        <v>10</v>
      </c>
      <c r="E83" s="56">
        <f>'Mastercurve bestimmen'!A27</f>
        <v>8.9027742702096099E-6</v>
      </c>
    </row>
    <row r="84" spans="1:5" x14ac:dyDescent="0.25">
      <c r="A84" s="50">
        <f t="shared" si="0"/>
        <v>11</v>
      </c>
      <c r="B84" s="56">
        <f>'Mastercurve bestimmen'!C28</f>
        <v>5.3040160566801761E-2</v>
      </c>
      <c r="C84" s="11"/>
      <c r="D84" s="51">
        <f t="shared" si="1"/>
        <v>11</v>
      </c>
      <c r="E84" s="56">
        <f>'Mastercurve bestimmen'!A28</f>
        <v>9.86912775817142E-5</v>
      </c>
    </row>
    <row r="85" spans="1:5" x14ac:dyDescent="0.25">
      <c r="A85" s="50">
        <f t="shared" si="0"/>
        <v>12</v>
      </c>
      <c r="B85" s="56">
        <f>'Mastercurve bestimmen'!C29</f>
        <v>2.9418988584786216E-2</v>
      </c>
      <c r="C85" s="11"/>
      <c r="D85" s="51">
        <f t="shared" si="1"/>
        <v>12</v>
      </c>
      <c r="E85" s="56">
        <f>'Mastercurve bestimmen'!A29</f>
        <v>1.0940374286813801E-3</v>
      </c>
    </row>
    <row r="86" spans="1:5" x14ac:dyDescent="0.25">
      <c r="A86" s="50">
        <f t="shared" si="0"/>
        <v>13</v>
      </c>
      <c r="B86" s="56">
        <f>'Mastercurve bestimmen'!C30</f>
        <v>6.3753391533418529E-3</v>
      </c>
      <c r="C86" s="11"/>
      <c r="D86" s="51">
        <f t="shared" si="1"/>
        <v>13</v>
      </c>
      <c r="E86" s="56">
        <f>'Mastercurve bestimmen'!A30</f>
        <v>1.2127899493091E-2</v>
      </c>
    </row>
    <row r="87" spans="1:5" x14ac:dyDescent="0.25">
      <c r="A87" s="50">
        <f t="shared" si="0"/>
        <v>14</v>
      </c>
      <c r="B87" s="56">
        <f>'Mastercurve bestimmen'!C31</f>
        <v>3.2709514210797811E-3</v>
      </c>
      <c r="C87" s="11"/>
      <c r="D87" s="51">
        <f t="shared" si="1"/>
        <v>14</v>
      </c>
      <c r="E87" s="56">
        <f>'Mastercurve bestimmen'!A31</f>
        <v>0.13444324870292301</v>
      </c>
    </row>
    <row r="88" spans="1:5" x14ac:dyDescent="0.25">
      <c r="A88" s="50">
        <f t="shared" si="0"/>
        <v>15</v>
      </c>
      <c r="B88" s="56">
        <f>'Mastercurve bestimmen'!C32</f>
        <v>1.2755053961347703E-3</v>
      </c>
      <c r="C88" s="11"/>
      <c r="D88" s="51">
        <f t="shared" si="1"/>
        <v>15</v>
      </c>
      <c r="E88" s="56">
        <f>'Mastercurve bestimmen'!A32</f>
        <v>1.49036419143257</v>
      </c>
    </row>
    <row r="89" spans="1:5" x14ac:dyDescent="0.25">
      <c r="A89" s="50">
        <f t="shared" si="0"/>
        <v>16</v>
      </c>
      <c r="B89" s="56">
        <f>'Mastercurve bestimmen'!C33</f>
        <v>0</v>
      </c>
      <c r="C89" s="11"/>
      <c r="D89" s="51">
        <f t="shared" si="1"/>
        <v>16</v>
      </c>
      <c r="E89" s="56">
        <f>'Mastercurve bestimmen'!A33</f>
        <v>16.521360830937301</v>
      </c>
    </row>
    <row r="90" spans="1:5" x14ac:dyDescent="0.25">
      <c r="A90" s="50">
        <f t="shared" si="0"/>
        <v>17</v>
      </c>
      <c r="B90" s="56">
        <f>'Mastercurve bestimmen'!C34</f>
        <v>1.0163894385292978E-5</v>
      </c>
      <c r="C90" s="11"/>
      <c r="D90" s="51">
        <f t="shared" si="1"/>
        <v>17</v>
      </c>
      <c r="E90" s="56">
        <f>'Mastercurve bestimmen'!A34</f>
        <v>183.146753843879</v>
      </c>
    </row>
    <row r="91" spans="1:5" x14ac:dyDescent="0.25">
      <c r="A91" s="50">
        <f t="shared" si="0"/>
        <v>18</v>
      </c>
      <c r="B91" s="56">
        <f>'Mastercurve bestimmen'!C35</f>
        <v>2.5019775067814324E-5</v>
      </c>
      <c r="C91" s="11"/>
      <c r="D91" s="51">
        <f t="shared" si="1"/>
        <v>18</v>
      </c>
      <c r="E91" s="56">
        <f>'Mastercurve bestimmen'!A35</f>
        <v>2030.26456396616</v>
      </c>
    </row>
    <row r="92" spans="1:5" x14ac:dyDescent="0.25">
      <c r="A92" s="50">
        <f t="shared" si="0"/>
        <v>19</v>
      </c>
      <c r="B92" s="56">
        <f>'Mastercurve bestimmen'!C36</f>
        <v>2.3706614690246962E-5</v>
      </c>
      <c r="C92" s="11"/>
      <c r="D92" s="51">
        <f t="shared" si="1"/>
        <v>19</v>
      </c>
      <c r="E92" s="56">
        <f>'Mastercurve bestimmen'!A36</f>
        <v>22506.400540467101</v>
      </c>
    </row>
    <row r="93" spans="1:5" x14ac:dyDescent="0.25">
      <c r="A93" s="50">
        <f t="shared" si="0"/>
        <v>20</v>
      </c>
      <c r="B93" s="56">
        <f>'Mastercurve bestimmen'!C37</f>
        <v>3.9478614411466939E-5</v>
      </c>
      <c r="C93" s="11"/>
      <c r="D93" s="51">
        <f t="shared" si="1"/>
        <v>20</v>
      </c>
      <c r="E93" s="56">
        <f>'Mastercurve bestimmen'!A37</f>
        <v>249493.62476110301</v>
      </c>
    </row>
    <row r="94" spans="1:5" x14ac:dyDescent="0.25">
      <c r="A94" s="50">
        <f t="shared" si="0"/>
        <v>21</v>
      </c>
      <c r="B94" s="56">
        <f>'Mastercurve bestimmen'!C38</f>
        <v>0</v>
      </c>
      <c r="C94" s="11"/>
      <c r="D94" s="51">
        <f t="shared" si="1"/>
        <v>21</v>
      </c>
      <c r="E94" s="56">
        <f>'Mastercurve bestimmen'!A38</f>
        <v>2765749.6224023802</v>
      </c>
    </row>
    <row r="95" spans="1:5" x14ac:dyDescent="0.25">
      <c r="A95" s="50">
        <f t="shared" si="0"/>
        <v>22</v>
      </c>
      <c r="B95" s="56">
        <f>'Mastercurve bestimmen'!C39</f>
        <v>6.5441532530599776E-5</v>
      </c>
      <c r="C95" s="11"/>
      <c r="D95" s="51">
        <f t="shared" si="1"/>
        <v>22</v>
      </c>
      <c r="E95" s="56">
        <f>'Mastercurve bestimmen'!A39</f>
        <v>10000000</v>
      </c>
    </row>
    <row r="96" spans="1:5" x14ac:dyDescent="0.25">
      <c r="A96" s="50">
        <f t="shared" si="0"/>
        <v>23</v>
      </c>
      <c r="B96" s="56">
        <f>'Mastercurve bestimmen'!C40</f>
        <v>9.072554140189839E-6</v>
      </c>
      <c r="C96" s="11"/>
      <c r="D96" s="51">
        <f t="shared" si="1"/>
        <v>23</v>
      </c>
      <c r="E96" s="56">
        <f>'Mastercurve bestimmen'!A40</f>
        <v>100000000</v>
      </c>
    </row>
    <row r="97" spans="1:5" x14ac:dyDescent="0.25">
      <c r="A97" s="50">
        <f t="shared" si="0"/>
        <v>24</v>
      </c>
      <c r="B97" s="56">
        <f>'Mastercurve bestimmen'!C41</f>
        <v>3.4648583404177175E-7</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2.6390969703261771E-3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12">
        <f>STUTT!D8</f>
        <v>5930.4079000000002</v>
      </c>
      <c r="D113" s="112"/>
    </row>
    <row r="114" spans="1:4" s="11" customFormat="1" x14ac:dyDescent="0.25">
      <c r="A114" s="61" t="str">
        <f>STUTT!B9</f>
        <v>MP,GXY,</v>
      </c>
      <c r="B114" s="52" t="str">
        <f>STUTT!C9</f>
        <v>MatID,</v>
      </c>
      <c r="C114" s="112">
        <f>STUTT!D9</f>
        <v>6613.9741000000004</v>
      </c>
      <c r="D114" s="112"/>
    </row>
    <row r="115" spans="1:4" x14ac:dyDescent="0.25">
      <c r="A115" s="61" t="str">
        <f>STUTT!B10</f>
        <v>MP,GYZ,</v>
      </c>
      <c r="B115" s="52" t="str">
        <f>STUTT!C10</f>
        <v>MatID,</v>
      </c>
      <c r="C115" s="112">
        <f>STUTT!D10</f>
        <v>6613.9741000000004</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B4" sqref="B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4973.1641667493986</v>
      </c>
      <c r="G16" s="26">
        <f>INDEX(Comparison!$AM$3:$AS$33,G14,$B$3)</f>
        <v>4659.596505568883</v>
      </c>
      <c r="H16" s="26">
        <f>INDEX(Comparison!$AM$3:$AS$33,H14,$B$3)</f>
        <v>4385.9516115251872</v>
      </c>
      <c r="I16" s="26">
        <f>INDEX(Comparison!$AM$3:$AS$33,I14,$B$3)</f>
        <v>4118.3569666620651</v>
      </c>
      <c r="J16" s="26">
        <f>INDEX(Comparison!$AM$3:$AS$33,J14,$B$3)</f>
        <v>3829.8022738739742</v>
      </c>
      <c r="K16" s="26">
        <f>INDEX(Comparison!$AM$3:$AS$33,K14,$B$3)</f>
        <v>3513.4556215320054</v>
      </c>
      <c r="L16" s="26">
        <f>INDEX(Comparison!$AM$3:$AS$33,L14,$B$3)</f>
        <v>3097.9149297690292</v>
      </c>
      <c r="M16" s="26">
        <f>INDEX(Comparison!$AM$3:$AS$33,M14,$B$3)</f>
        <v>2591.2184022941196</v>
      </c>
      <c r="N16" s="26">
        <f>INDEX(Comparison!$AM$3:$AS$33,N14,$B$3)</f>
        <v>2005.3525724949279</v>
      </c>
      <c r="O16" s="26">
        <f>INDEX(Comparison!$AM$3:$AS$33,O14,$B$3)</f>
        <v>1355.6696144527521</v>
      </c>
      <c r="P16" s="26">
        <f>INDEX(Comparison!$AM$3:$AS$33,P14,$B$3)</f>
        <v>816.95203291347548</v>
      </c>
      <c r="Q16" s="26">
        <f>INDEX(Comparison!$AM$3:$AS$33,Q14,$B$3)</f>
        <v>463.37163713330017</v>
      </c>
      <c r="R16" s="26">
        <f>INDEX(Comparison!$AM$3:$AS$33,R14,$B$3)</f>
        <v>256.97131232473913</v>
      </c>
      <c r="S16" s="26">
        <f>INDEX(Comparison!$AM$3:$AS$33,S14,$B$3)</f>
        <v>167.49490825050054</v>
      </c>
      <c r="T16" s="26">
        <f>INDEX(Comparison!$AM$3:$AS$33,T14,$B$3)</f>
        <v>141.80358734877336</v>
      </c>
      <c r="U16" s="26">
        <f>INDEX(Comparison!$AM$3:$AS$33,U14,$B$3)</f>
        <v>129.19132461504012</v>
      </c>
      <c r="V16" s="26">
        <f>INDEX(Comparison!$AM$3:$AS$33,V14,$B$3)</f>
        <v>125.45582042457461</v>
      </c>
      <c r="W16" s="26">
        <f>INDEX(Comparison!$AM$3:$AS$33,W14,$B$3)</f>
        <v>125.37751528072498</v>
      </c>
      <c r="X16" s="26">
        <f>INDEX(Comparison!$AM$3:$AS$33,X14,$B$3)</f>
        <v>125.26241312398497</v>
      </c>
      <c r="Y16" s="26">
        <f>INDEX(Comparison!$AM$3:$AS$33,Y14,$B$3)</f>
        <v>125.1369355609138</v>
      </c>
      <c r="Z16" s="26">
        <f>INDEX(Comparison!$AM$3:$AS$33,Z14,$B$3)</f>
        <v>124.97859027478171</v>
      </c>
      <c r="AA16" s="26">
        <f>INDEX(Comparison!$AM$3:$AS$33,AA14,$B$3)</f>
        <v>124.79521194858673</v>
      </c>
      <c r="AB16" s="26">
        <f>INDEX(Comparison!$AM$3:$AS$33,AB14,$B$3)</f>
        <v>124.60066288549459</v>
      </c>
      <c r="AC16" s="26">
        <f>INDEX(Comparison!$AM$3:$AS$33,AC14,$B$3)</f>
        <v>124.40326066206676</v>
      </c>
      <c r="AD16" s="26">
        <f>INDEX(Comparison!$AM$3:$AS$33,AD14,$B$3)</f>
        <v>124.39897169961779</v>
      </c>
      <c r="AE16" s="26">
        <f>INDEX(Comparison!$AM$3:$AS$33,AE14,$B$3)</f>
        <v>124.30647199515475</v>
      </c>
      <c r="AF16" s="26">
        <f>INDEX(Comparison!$AM$3:$AS$33,AF14,$B$3)</f>
        <v>124.18164826003697</v>
      </c>
      <c r="AG16" s="26">
        <f>INDEX(Comparison!$AM$3:$AS$33,AG14,$B$3)</f>
        <v>124.05329261398603</v>
      </c>
      <c r="AH16" s="26">
        <f>INDEX(Comparison!$AM$3:$AS$33,AH14,$B$3)</f>
        <v>124.04585962671396</v>
      </c>
      <c r="AI16" s="26">
        <f>INDEX(Comparison!$AM$3:$AS$33,AI14,$B$3)</f>
        <v>124.04225732695286</v>
      </c>
      <c r="AJ16" s="26">
        <f>INDEX(Comparison!$AM$3:$AS$33,AJ14,$B$3)</f>
        <v>124.03970146521578</v>
      </c>
    </row>
    <row r="17" spans="1:36" x14ac:dyDescent="0.25">
      <c r="A17" s="14" t="s">
        <v>20</v>
      </c>
      <c r="B17" s="105">
        <v>1.313894837428466E-2</v>
      </c>
      <c r="C17" s="18">
        <f t="shared" ref="C17:C48" si="3">ABS(B17/$B$49)</f>
        <v>1.8334148388155395E-2</v>
      </c>
      <c r="D17" s="66"/>
      <c r="E17" s="65" t="s">
        <v>22</v>
      </c>
      <c r="F17" s="27">
        <f>($C$17+SUM(F18:F48))*$B$51</f>
        <v>4885.5922092797246</v>
      </c>
      <c r="G17" s="27">
        <f t="shared" ref="G17:M17" si="4">($C$17+SUM(G18:G48))*$B$51</f>
        <v>4772.8623946058215</v>
      </c>
      <c r="H17" s="27">
        <f t="shared" si="4"/>
        <v>4355.9653991772811</v>
      </c>
      <c r="I17" s="27">
        <f t="shared" si="4"/>
        <v>4123.2531828827105</v>
      </c>
      <c r="J17" s="27">
        <f t="shared" si="4"/>
        <v>3829.1267493918258</v>
      </c>
      <c r="K17" s="27">
        <f t="shared" si="4"/>
        <v>3513.5354239182893</v>
      </c>
      <c r="L17" s="27">
        <f t="shared" si="4"/>
        <v>3097.9300749696163</v>
      </c>
      <c r="M17" s="27">
        <f t="shared" si="4"/>
        <v>2591.1789897032727</v>
      </c>
      <c r="N17" s="27">
        <f t="shared" ref="N17" si="5">($C$17+SUM(N18:N48))*$B$51</f>
        <v>2005.4333800594313</v>
      </c>
      <c r="O17" s="27">
        <f t="shared" ref="O17" si="6">($C$17+SUM(O18:O48))*$B$51</f>
        <v>1355.5629915427751</v>
      </c>
      <c r="P17" s="27">
        <f t="shared" ref="P17" si="7">($C$17+SUM(P18:P48))*$B$51</f>
        <v>817.05966532285424</v>
      </c>
      <c r="Q17" s="27">
        <f t="shared" ref="Q17" si="8">($C$17+SUM(Q18:Q48))*$B$51</f>
        <v>463.27815189958272</v>
      </c>
      <c r="R17" s="27">
        <f t="shared" ref="R17" si="9">($C$17+SUM(R18:R48))*$B$51</f>
        <v>256.99270751746047</v>
      </c>
      <c r="S17" s="27">
        <f t="shared" ref="S17:T17" si="10">($C$17+SUM(S18:S48))*$B$51</f>
        <v>167.5236808333278</v>
      </c>
      <c r="T17" s="27">
        <f t="shared" si="10"/>
        <v>141.71039186915954</v>
      </c>
      <c r="U17" s="27">
        <f t="shared" ref="U17" si="11">($C$17+SUM(U18:U48))*$B$51</f>
        <v>129.28514781426784</v>
      </c>
      <c r="V17" s="27">
        <f t="shared" ref="V17" si="12">($C$17+SUM(V18:V48))*$B$51</f>
        <v>125.41243765530886</v>
      </c>
      <c r="W17" s="27">
        <f t="shared" ref="W17" si="13">($C$17+SUM(W18:W48))*$B$51</f>
        <v>125.3740083683485</v>
      </c>
      <c r="X17" s="27">
        <f t="shared" ref="X17" si="14">($C$17+SUM(X18:X48))*$B$51</f>
        <v>125.28240720862303</v>
      </c>
      <c r="Y17" s="27">
        <f t="shared" ref="Y17" si="15">($C$17+SUM(Y18:Y48))*$B$51</f>
        <v>125.1396182727226</v>
      </c>
      <c r="Z17" s="27">
        <f t="shared" ref="Z17:AA17" si="16">($C$17+SUM(Z18:Z48))*$B$51</f>
        <v>124.97840206946204</v>
      </c>
      <c r="AA17" s="27">
        <f t="shared" si="16"/>
        <v>124.79063762293249</v>
      </c>
      <c r="AB17" s="27">
        <f t="shared" ref="AB17" si="17">($C$17+SUM(AB18:AB48))*$B$51</f>
        <v>124.57339029280159</v>
      </c>
      <c r="AC17" s="27">
        <f t="shared" ref="AC17" si="18">($C$17+SUM(AC18:AC48))*$B$51</f>
        <v>124.40157005344746</v>
      </c>
      <c r="AD17" s="27">
        <f t="shared" ref="AD17" si="19">($C$17+SUM(AD18:AD48))*$B$51</f>
        <v>124.38065675971271</v>
      </c>
      <c r="AE17" s="27">
        <f t="shared" ref="AE17" si="20">($C$17+SUM(AE18:AE48))*$B$51</f>
        <v>124.37988440495162</v>
      </c>
      <c r="AF17" s="27">
        <f t="shared" ref="AF17" si="21">($C$17+SUM(AF18:AF48))*$B$51</f>
        <v>124.37974345414476</v>
      </c>
      <c r="AG17" s="27">
        <f t="shared" ref="AG17:AH17" si="22">($C$17+SUM(AG18:AG48))*$B$51</f>
        <v>124.37833494867728</v>
      </c>
      <c r="AH17" s="27">
        <f t="shared" si="22"/>
        <v>124.36425686390869</v>
      </c>
      <c r="AI17" s="27">
        <f t="shared" ref="AI17" si="23">($C$17+SUM(AI18:AI48))*$B$51</f>
        <v>124.22417069145793</v>
      </c>
      <c r="AJ17" s="27">
        <f t="shared" ref="AJ17" si="24">($C$17+SUM(AJ18:AJ48))*$B$51</f>
        <v>122.89051786045701</v>
      </c>
    </row>
    <row r="18" spans="1:36" x14ac:dyDescent="0.25">
      <c r="A18" s="3">
        <f>0.000000000000001/10^5</f>
        <v>1.0000000000000001E-20</v>
      </c>
      <c r="B18" s="106">
        <v>0.1245477692348055</v>
      </c>
      <c r="C18" s="18">
        <f t="shared" si="3"/>
        <v>0.17379452430407935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6.5142146235321371E-2</v>
      </c>
      <c r="C19" s="18">
        <f t="shared" si="3"/>
        <v>9.0899647473980161E-2</v>
      </c>
      <c r="D19" s="17"/>
      <c r="F19" s="3">
        <f t="shared" si="25"/>
        <v>8.8600781460775269E-2</v>
      </c>
      <c r="G19" s="3">
        <f t="shared" si="25"/>
        <v>7.0358364136743998E-2</v>
      </c>
      <c r="H19" s="3">
        <f t="shared" si="25"/>
        <v>7.0161286385743279E-3</v>
      </c>
      <c r="I19" s="3">
        <f t="shared" si="25"/>
        <v>6.8220616592239959E-13</v>
      </c>
      <c r="J19" s="3">
        <f t="shared" si="25"/>
        <v>5.1534327467435774E-113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2.2847321680167038E-2</v>
      </c>
      <c r="C20" s="18">
        <f t="shared" si="3"/>
        <v>3.1881256705136286E-2</v>
      </c>
      <c r="D20" s="17"/>
      <c r="F20" s="3">
        <f t="shared" si="25"/>
        <v>3.1807672896546374E-2</v>
      </c>
      <c r="G20" s="3">
        <f t="shared" si="25"/>
        <v>3.1153014378193056E-2</v>
      </c>
      <c r="H20" s="3">
        <f t="shared" si="25"/>
        <v>2.5303573887292808E-2</v>
      </c>
      <c r="I20" s="3">
        <f t="shared" si="25"/>
        <v>3.1622759452726405E-3</v>
      </c>
      <c r="J20" s="3">
        <f t="shared" si="25"/>
        <v>2.9388590326481811E-12</v>
      </c>
      <c r="K20" s="3">
        <f t="shared" si="25"/>
        <v>1.4124356123644452E-102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3.8909996514168946E-2</v>
      </c>
      <c r="C21" s="18">
        <f t="shared" si="3"/>
        <v>5.4295186308030693E-2</v>
      </c>
      <c r="D21" s="17"/>
      <c r="F21" s="3">
        <f t="shared" si="25"/>
        <v>5.4283869833318073E-2</v>
      </c>
      <c r="G21" s="3">
        <f t="shared" si="25"/>
        <v>5.4182127640569767E-2</v>
      </c>
      <c r="H21" s="3">
        <f t="shared" si="25"/>
        <v>5.3175134995334335E-2</v>
      </c>
      <c r="I21" s="3">
        <f t="shared" si="25"/>
        <v>4.4079236337557802E-2</v>
      </c>
      <c r="J21" s="3">
        <f t="shared" si="25"/>
        <v>6.7528743555459276E-3</v>
      </c>
      <c r="K21" s="3">
        <f t="shared" si="25"/>
        <v>4.8087781708446846E-11</v>
      </c>
      <c r="L21" s="3">
        <f t="shared" si="25"/>
        <v>1.6124842665997023E-92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3.6768914080541205E-2</v>
      </c>
      <c r="C22" s="18">
        <f t="shared" si="3"/>
        <v>5.1307510130975835E-2</v>
      </c>
      <c r="D22" s="17"/>
      <c r="F22" s="3">
        <f t="shared" si="25"/>
        <v>5.1306545372639803E-2</v>
      </c>
      <c r="G22" s="3">
        <f t="shared" si="25"/>
        <v>5.129786336391004E-2</v>
      </c>
      <c r="H22" s="3">
        <f t="shared" si="25"/>
        <v>5.1211124039139438E-2</v>
      </c>
      <c r="I22" s="3">
        <f t="shared" si="25"/>
        <v>5.0351756701910368E-2</v>
      </c>
      <c r="J22" s="3">
        <f t="shared" si="25"/>
        <v>4.2512614500223631E-2</v>
      </c>
      <c r="K22" s="3">
        <f t="shared" si="25"/>
        <v>7.8261774395153045E-3</v>
      </c>
      <c r="L22" s="3">
        <f t="shared" si="25"/>
        <v>3.4983917995784783E-10</v>
      </c>
      <c r="M22" s="3">
        <f t="shared" si="25"/>
        <v>1.1144382436430365E-83</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5.3507050519916867E-2</v>
      </c>
      <c r="C23" s="18">
        <f t="shared" si="3"/>
        <v>7.4663981933644916E-2</v>
      </c>
      <c r="D23" s="17"/>
      <c r="F23" s="3">
        <f t="shared" si="25"/>
        <v>7.4663855285435593E-2</v>
      </c>
      <c r="G23" s="3">
        <f t="shared" si="25"/>
        <v>7.4662715461218762E-2</v>
      </c>
      <c r="H23" s="3">
        <f t="shared" si="25"/>
        <v>7.4651318176042161E-2</v>
      </c>
      <c r="I23" s="3">
        <f t="shared" si="25"/>
        <v>7.4537440969407537E-2</v>
      </c>
      <c r="J23" s="3">
        <f t="shared" si="25"/>
        <v>7.3408179611034755E-2</v>
      </c>
      <c r="K23" s="3">
        <f t="shared" si="25"/>
        <v>6.3015039863249647E-2</v>
      </c>
      <c r="L23" s="3">
        <f t="shared" si="25"/>
        <v>1.3691209742013726E-2</v>
      </c>
      <c r="M23" s="3">
        <f t="shared" si="25"/>
        <v>3.2093560952996956E-9</v>
      </c>
      <c r="N23" s="3">
        <f t="shared" si="25"/>
        <v>1.6076027526021476E-75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6.496178456189676E-2</v>
      </c>
      <c r="C24" s="18">
        <f t="shared" si="3"/>
        <v>9.0647969973627479E-2</v>
      </c>
      <c r="D24" s="17"/>
      <c r="F24" s="3">
        <f t="shared" si="25"/>
        <v>9.0647956103102001E-2</v>
      </c>
      <c r="G24" s="3">
        <f t="shared" si="25"/>
        <v>9.0647831268468121E-2</v>
      </c>
      <c r="H24" s="3">
        <f t="shared" si="25"/>
        <v>9.0646582931584646E-2</v>
      </c>
      <c r="I24" s="3">
        <f t="shared" si="25"/>
        <v>9.0634100508226845E-2</v>
      </c>
      <c r="J24" s="3">
        <f t="shared" si="25"/>
        <v>9.0509370774183126E-2</v>
      </c>
      <c r="K24" s="3">
        <f t="shared" si="25"/>
        <v>8.9271475412653234E-2</v>
      </c>
      <c r="L24" s="3">
        <f t="shared" si="25"/>
        <v>7.7786526917608123E-2</v>
      </c>
      <c r="M24" s="3">
        <f t="shared" si="25"/>
        <v>1.9625515241807667E-2</v>
      </c>
      <c r="N24" s="3">
        <f t="shared" si="25"/>
        <v>2.0511051721997776E-8</v>
      </c>
      <c r="O24" s="3">
        <f t="shared" si="25"/>
        <v>3.1890149375947663E-68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7.5346598811641879E-2</v>
      </c>
      <c r="C25" s="18">
        <f t="shared" si="3"/>
        <v>0.10513898706376987</v>
      </c>
      <c r="D25" s="17"/>
      <c r="F25" s="3">
        <f t="shared" si="25"/>
        <v>0.10513898561250981</v>
      </c>
      <c r="G25" s="3">
        <f t="shared" si="25"/>
        <v>0.10513897255117022</v>
      </c>
      <c r="H25" s="3">
        <f t="shared" si="25"/>
        <v>0.10513884193786353</v>
      </c>
      <c r="I25" s="3">
        <f t="shared" si="25"/>
        <v>0.10513753581372082</v>
      </c>
      <c r="J25" s="3">
        <f t="shared" si="25"/>
        <v>0.10512447546467875</v>
      </c>
      <c r="K25" s="3">
        <f t="shared" si="25"/>
        <v>0.10499396117174659</v>
      </c>
      <c r="L25" s="3">
        <f t="shared" si="25"/>
        <v>0.10369769712769722</v>
      </c>
      <c r="M25" s="3">
        <f t="shared" si="25"/>
        <v>9.1583454594084832E-2</v>
      </c>
      <c r="N25" s="3">
        <f t="shared" si="25"/>
        <v>2.644211055247124E-2</v>
      </c>
      <c r="O25" s="3">
        <f t="shared" si="25"/>
        <v>1.0643563833345625E-7</v>
      </c>
      <c r="P25" s="3">
        <f t="shared" si="25"/>
        <v>1.1884929061848017E-61</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8.9442626619118101E-2</v>
      </c>
      <c r="C26" s="18">
        <f t="shared" si="3"/>
        <v>0.12480864845095105</v>
      </c>
      <c r="D26" s="17"/>
      <c r="F26" s="3">
        <f t="shared" si="25"/>
        <v>0.12480864829554328</v>
      </c>
      <c r="G26" s="3">
        <f t="shared" si="25"/>
        <v>0.12480864689687336</v>
      </c>
      <c r="H26" s="3">
        <f t="shared" si="25"/>
        <v>0.12480863291017506</v>
      </c>
      <c r="I26" s="3">
        <f t="shared" si="25"/>
        <v>0.12480849304327826</v>
      </c>
      <c r="J26" s="3">
        <f t="shared" si="25"/>
        <v>0.12480709438293111</v>
      </c>
      <c r="K26" s="3">
        <f t="shared" si="25"/>
        <v>0.12479310864150163</v>
      </c>
      <c r="L26" s="3">
        <f t="shared" si="25"/>
        <v>0.12465333739568336</v>
      </c>
      <c r="M26" s="3">
        <f t="shared" si="25"/>
        <v>0.12326420616302183</v>
      </c>
      <c r="N26" s="3">
        <f t="shared" si="25"/>
        <v>0.11019647671668184</v>
      </c>
      <c r="O26" s="3">
        <f t="shared" si="25"/>
        <v>3.5931468690209557E-2</v>
      </c>
      <c r="P26" s="3">
        <f t="shared" si="25"/>
        <v>4.8814356687926858E-7</v>
      </c>
      <c r="Q26" s="3">
        <f t="shared" si="25"/>
        <v>1.0453785388769595E-55</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6.3089136043464306E-2</v>
      </c>
      <c r="C27" s="18">
        <f t="shared" si="3"/>
        <v>8.8034867704118849E-2</v>
      </c>
      <c r="D27" s="17"/>
      <c r="F27" s="3">
        <f t="shared" si="25"/>
        <v>8.8034867694230384E-2</v>
      </c>
      <c r="G27" s="3">
        <f t="shared" si="25"/>
        <v>8.8034867605234088E-2</v>
      </c>
      <c r="H27" s="3">
        <f t="shared" si="25"/>
        <v>8.8034866715271276E-2</v>
      </c>
      <c r="I27" s="3">
        <f t="shared" si="25"/>
        <v>8.803485781564363E-2</v>
      </c>
      <c r="J27" s="3">
        <f t="shared" si="25"/>
        <v>8.8034768819416631E-2</v>
      </c>
      <c r="K27" s="3">
        <f t="shared" si="25"/>
        <v>8.8033878862094891E-2</v>
      </c>
      <c r="L27" s="3">
        <f t="shared" si="25"/>
        <v>8.802497978368197E-2</v>
      </c>
      <c r="M27" s="3">
        <f t="shared" si="25"/>
        <v>8.7936038461501248E-2</v>
      </c>
      <c r="N27" s="3">
        <f t="shared" si="25"/>
        <v>8.705155298368375E-2</v>
      </c>
      <c r="O27" s="3">
        <f t="shared" si="25"/>
        <v>7.8681528700988781E-2</v>
      </c>
      <c r="P27" s="3">
        <f t="shared" si="25"/>
        <v>2.8630929587178802E-2</v>
      </c>
      <c r="Q27" s="3">
        <f t="shared" si="25"/>
        <v>1.1653652014058954E-6</v>
      </c>
      <c r="R27" s="3">
        <f t="shared" si="25"/>
        <v>1.4545478504714529E-50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3.8010597312564454E-2</v>
      </c>
      <c r="C28" s="18">
        <f t="shared" si="3"/>
        <v>5.3040160566801761E-2</v>
      </c>
      <c r="D28" s="17"/>
      <c r="F28" s="3">
        <f t="shared" si="25"/>
        <v>5.304016056626433E-2</v>
      </c>
      <c r="G28" s="3">
        <f t="shared" si="25"/>
        <v>5.3040160561427407E-2</v>
      </c>
      <c r="H28" s="3">
        <f t="shared" si="25"/>
        <v>5.3040160513058245E-2</v>
      </c>
      <c r="I28" s="3">
        <f t="shared" si="25"/>
        <v>5.3040160029366623E-2</v>
      </c>
      <c r="J28" s="3">
        <f t="shared" si="25"/>
        <v>5.3040155192450637E-2</v>
      </c>
      <c r="K28" s="3">
        <f t="shared" si="25"/>
        <v>5.304010682331501E-2</v>
      </c>
      <c r="L28" s="3">
        <f t="shared" si="25"/>
        <v>5.3039623134384734E-2</v>
      </c>
      <c r="M28" s="3">
        <f t="shared" si="25"/>
        <v>5.3034786487675269E-2</v>
      </c>
      <c r="N28" s="3">
        <f t="shared" si="25"/>
        <v>5.2986444271722243E-2</v>
      </c>
      <c r="O28" s="3">
        <f t="shared" si="25"/>
        <v>5.2505439063556571E-2</v>
      </c>
      <c r="P28" s="3">
        <f t="shared" si="25"/>
        <v>4.7929122069085089E-2</v>
      </c>
      <c r="Q28" s="3">
        <f t="shared" si="25"/>
        <v>1.9255343416367109E-2</v>
      </c>
      <c r="R28" s="3">
        <f t="shared" si="25"/>
        <v>2.1089642358731428E-6</v>
      </c>
      <c r="S28" s="3">
        <f t="shared" si="25"/>
        <v>5.239003379518629E-46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2.1082766652466545E-2</v>
      </c>
      <c r="C29" s="18">
        <f t="shared" si="3"/>
        <v>2.9418988584786216E-2</v>
      </c>
      <c r="D29" s="17"/>
      <c r="F29" s="3">
        <f t="shared" si="25"/>
        <v>2.9418988584759324E-2</v>
      </c>
      <c r="G29" s="3">
        <f t="shared" si="25"/>
        <v>2.9418988584517313E-2</v>
      </c>
      <c r="H29" s="3">
        <f t="shared" si="25"/>
        <v>2.9418988582097187E-2</v>
      </c>
      <c r="I29" s="3">
        <f t="shared" si="25"/>
        <v>2.9418988557895921E-2</v>
      </c>
      <c r="J29" s="3">
        <f t="shared" si="25"/>
        <v>2.9418988315883274E-2</v>
      </c>
      <c r="K29" s="3">
        <f t="shared" si="25"/>
        <v>2.9418985895756897E-2</v>
      </c>
      <c r="L29" s="3">
        <f t="shared" si="25"/>
        <v>2.9418961694504066E-2</v>
      </c>
      <c r="M29" s="3">
        <f t="shared" si="25"/>
        <v>2.941871968307077E-2</v>
      </c>
      <c r="N29" s="3">
        <f t="shared" si="25"/>
        <v>2.9416299678233313E-2</v>
      </c>
      <c r="O29" s="3">
        <f t="shared" si="25"/>
        <v>2.9392110576079912E-2</v>
      </c>
      <c r="P29" s="3">
        <f t="shared" si="25"/>
        <v>2.9151310852199724E-2</v>
      </c>
      <c r="Q29" s="3">
        <f t="shared" si="25"/>
        <v>2.6849193547837772E-2</v>
      </c>
      <c r="R29" s="3">
        <f t="shared" si="25"/>
        <v>1.1794045973307623E-2</v>
      </c>
      <c r="S29" s="3">
        <f t="shared" si="25"/>
        <v>3.1548486082041506E-6</v>
      </c>
      <c r="T29" s="3">
        <f t="shared" si="25"/>
        <v>5.9174636129678849E-42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4.5688106276280628E-3</v>
      </c>
      <c r="C30" s="18">
        <f t="shared" si="3"/>
        <v>6.3753391533418529E-3</v>
      </c>
      <c r="D30" s="17"/>
      <c r="F30" s="3">
        <f t="shared" si="25"/>
        <v>6.3753391533413273E-3</v>
      </c>
      <c r="G30" s="3">
        <f t="shared" si="25"/>
        <v>6.3753391533365959E-3</v>
      </c>
      <c r="H30" s="3">
        <f t="shared" si="25"/>
        <v>6.3753391532892856E-3</v>
      </c>
      <c r="I30" s="3">
        <f t="shared" si="25"/>
        <v>6.3753391528161779E-3</v>
      </c>
      <c r="J30" s="3">
        <f t="shared" si="25"/>
        <v>6.3753391480850987E-3</v>
      </c>
      <c r="K30" s="3">
        <f t="shared" si="25"/>
        <v>6.3753391007743071E-3</v>
      </c>
      <c r="L30" s="3">
        <f t="shared" si="25"/>
        <v>6.375338627666414E-3</v>
      </c>
      <c r="M30" s="3">
        <f t="shared" si="25"/>
        <v>6.3753338965894133E-3</v>
      </c>
      <c r="N30" s="3">
        <f t="shared" si="25"/>
        <v>6.3752865860125041E-3</v>
      </c>
      <c r="O30" s="3">
        <f t="shared" si="25"/>
        <v>6.3748134995527143E-3</v>
      </c>
      <c r="P30" s="3">
        <f t="shared" si="25"/>
        <v>6.3700845653549346E-3</v>
      </c>
      <c r="Q30" s="3">
        <f t="shared" si="25"/>
        <v>6.3229877344026094E-3</v>
      </c>
      <c r="R30" s="3">
        <f t="shared" si="25"/>
        <v>5.8707522719161466E-3</v>
      </c>
      <c r="S30" s="3">
        <f t="shared" si="25"/>
        <v>2.7951679616790319E-3</v>
      </c>
      <c r="T30" s="3">
        <f t="shared" si="25"/>
        <v>1.6732061762422689E-6</v>
      </c>
      <c r="U30" s="3">
        <f t="shared" si="25"/>
        <v>9.8847331926807106E-39</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2.3440882525050952E-3</v>
      </c>
      <c r="C31" s="18">
        <f t="shared" si="3"/>
        <v>3.2709514210797811E-3</v>
      </c>
      <c r="D31" s="17"/>
      <c r="F31" s="3">
        <f t="shared" si="25"/>
        <v>3.2709514210797568E-3</v>
      </c>
      <c r="G31" s="3">
        <f t="shared" si="25"/>
        <v>3.2709514210795378E-3</v>
      </c>
      <c r="H31" s="3">
        <f t="shared" si="25"/>
        <v>3.2709514210773481E-3</v>
      </c>
      <c r="I31" s="3">
        <f t="shared" si="25"/>
        <v>3.2709514210554516E-3</v>
      </c>
      <c r="J31" s="3">
        <f t="shared" si="25"/>
        <v>3.2709514208364848E-3</v>
      </c>
      <c r="K31" s="3">
        <f t="shared" si="25"/>
        <v>3.2709514186468206E-3</v>
      </c>
      <c r="L31" s="3">
        <f t="shared" si="25"/>
        <v>3.2709513967501738E-3</v>
      </c>
      <c r="M31" s="3">
        <f t="shared" si="25"/>
        <v>3.270951177783719E-3</v>
      </c>
      <c r="N31" s="3">
        <f t="shared" si="25"/>
        <v>3.2709489881199739E-3</v>
      </c>
      <c r="O31" s="3">
        <f t="shared" si="25"/>
        <v>3.2709270915631423E-3</v>
      </c>
      <c r="P31" s="3">
        <f t="shared" si="25"/>
        <v>3.2707081340566232E-3</v>
      </c>
      <c r="Q31" s="3">
        <f t="shared" si="25"/>
        <v>3.2685193649714807E-3</v>
      </c>
      <c r="R31" s="3">
        <f t="shared" si="25"/>
        <v>3.2467120728499818E-3</v>
      </c>
      <c r="S31" s="3">
        <f t="shared" si="25"/>
        <v>3.0364834021265074E-3</v>
      </c>
      <c r="T31" s="3">
        <f t="shared" si="25"/>
        <v>1.5546844962865713E-3</v>
      </c>
      <c r="U31" s="3">
        <f t="shared" si="25"/>
        <v>1.9246680151518782E-6</v>
      </c>
      <c r="V31" s="3">
        <f t="shared" si="26"/>
        <v>1.6273892515854886E-35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9.1407570158879691E-4</v>
      </c>
      <c r="C32" s="18">
        <f t="shared" si="3"/>
        <v>1.2755053961347703E-3</v>
      </c>
      <c r="D32" s="17"/>
      <c r="F32" s="3">
        <f t="shared" si="25"/>
        <v>1.2755053961347694E-3</v>
      </c>
      <c r="G32" s="3">
        <f t="shared" si="25"/>
        <v>1.2755053961347618E-3</v>
      </c>
      <c r="H32" s="3">
        <f t="shared" si="25"/>
        <v>1.2755053961346849E-3</v>
      </c>
      <c r="I32" s="3">
        <f t="shared" si="25"/>
        <v>1.2755053961339144E-3</v>
      </c>
      <c r="J32" s="3">
        <f t="shared" si="25"/>
        <v>1.275505396126212E-3</v>
      </c>
      <c r="K32" s="3">
        <f t="shared" si="25"/>
        <v>1.2755053960491868E-3</v>
      </c>
      <c r="L32" s="3">
        <f t="shared" si="25"/>
        <v>1.2755053952789356E-3</v>
      </c>
      <c r="M32" s="3">
        <f t="shared" si="25"/>
        <v>1.2755053875764233E-3</v>
      </c>
      <c r="N32" s="3">
        <f t="shared" si="25"/>
        <v>1.2755053105513029E-3</v>
      </c>
      <c r="O32" s="3">
        <f t="shared" si="25"/>
        <v>1.2755045403003537E-3</v>
      </c>
      <c r="P32" s="3">
        <f t="shared" si="25"/>
        <v>1.2754968378164459E-3</v>
      </c>
      <c r="Q32" s="3">
        <f t="shared" si="25"/>
        <v>1.2754198155355658E-3</v>
      </c>
      <c r="R32" s="3">
        <f t="shared" si="25"/>
        <v>1.2746498484895678E-3</v>
      </c>
      <c r="S32" s="3">
        <f t="shared" si="25"/>
        <v>1.2669756972554823E-3</v>
      </c>
      <c r="T32" s="3">
        <f t="shared" si="25"/>
        <v>1.1927299978604408E-3</v>
      </c>
      <c r="U32" s="3">
        <f t="shared" si="25"/>
        <v>6.5204972952682548E-4</v>
      </c>
      <c r="V32" s="3">
        <f t="shared" si="26"/>
        <v>1.5547712044394052E-6</v>
      </c>
      <c r="W32" s="3">
        <f t="shared" si="26"/>
        <v>9.2368562143816096E-33</v>
      </c>
      <c r="X32" s="3">
        <f t="shared" si="26"/>
        <v>5.0594246207088215E-295</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v>
      </c>
      <c r="C33" s="18">
        <f t="shared" si="3"/>
        <v>0</v>
      </c>
      <c r="D33" s="17"/>
      <c r="F33" s="3">
        <f t="shared" si="25"/>
        <v>0</v>
      </c>
      <c r="G33" s="3">
        <f t="shared" si="25"/>
        <v>0</v>
      </c>
      <c r="H33" s="3">
        <f t="shared" si="25"/>
        <v>0</v>
      </c>
      <c r="I33" s="3">
        <f t="shared" si="25"/>
        <v>0</v>
      </c>
      <c r="J33" s="3">
        <f t="shared" si="25"/>
        <v>0</v>
      </c>
      <c r="K33" s="3">
        <f t="shared" si="25"/>
        <v>0</v>
      </c>
      <c r="L33" s="3">
        <f t="shared" si="25"/>
        <v>0</v>
      </c>
      <c r="M33" s="3">
        <f t="shared" si="25"/>
        <v>0</v>
      </c>
      <c r="N33" s="3">
        <f t="shared" si="25"/>
        <v>0</v>
      </c>
      <c r="O33" s="3">
        <f t="shared" si="25"/>
        <v>0</v>
      </c>
      <c r="P33" s="3">
        <f t="shared" si="25"/>
        <v>0</v>
      </c>
      <c r="Q33" s="3">
        <f t="shared" si="25"/>
        <v>0</v>
      </c>
      <c r="R33" s="3">
        <f t="shared" si="25"/>
        <v>0</v>
      </c>
      <c r="S33" s="3">
        <f t="shared" si="25"/>
        <v>0</v>
      </c>
      <c r="T33" s="3">
        <f t="shared" si="25"/>
        <v>0</v>
      </c>
      <c r="U33" s="3">
        <f t="shared" ref="P33:AE48" si="27">$C33*EXP(-U$15/$A33)</f>
        <v>0</v>
      </c>
      <c r="V33" s="3">
        <f t="shared" si="27"/>
        <v>0</v>
      </c>
      <c r="W33" s="3">
        <f t="shared" si="27"/>
        <v>0</v>
      </c>
      <c r="X33" s="3">
        <f t="shared" si="27"/>
        <v>0</v>
      </c>
      <c r="Y33" s="3">
        <f t="shared" si="27"/>
        <v>0</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7.2838334665339735E-6</v>
      </c>
      <c r="C34" s="18">
        <f t="shared" si="3"/>
        <v>1.0163894385292978E-5</v>
      </c>
      <c r="D34" s="17"/>
      <c r="F34" s="3">
        <f t="shared" ref="F34:O48" si="28">$C34*EXP(-F$15/$A34)</f>
        <v>1.0163894385292978E-5</v>
      </c>
      <c r="G34" s="3">
        <f t="shared" si="28"/>
        <v>1.0163894385292978E-5</v>
      </c>
      <c r="H34" s="3">
        <f t="shared" si="28"/>
        <v>1.0163894385292973E-5</v>
      </c>
      <c r="I34" s="3">
        <f t="shared" si="28"/>
        <v>1.0163894385292922E-5</v>
      </c>
      <c r="J34" s="3">
        <f t="shared" si="28"/>
        <v>1.0163894385292423E-5</v>
      </c>
      <c r="K34" s="3">
        <f t="shared" si="28"/>
        <v>1.0163894385287428E-5</v>
      </c>
      <c r="L34" s="3">
        <f t="shared" si="28"/>
        <v>1.0163894385237482E-5</v>
      </c>
      <c r="M34" s="3">
        <f t="shared" si="28"/>
        <v>1.0163894384738019E-5</v>
      </c>
      <c r="N34" s="3">
        <f t="shared" si="28"/>
        <v>1.0163894379743388E-5</v>
      </c>
      <c r="O34" s="3">
        <f t="shared" si="28"/>
        <v>1.0163894329797075E-5</v>
      </c>
      <c r="P34" s="3">
        <f t="shared" si="27"/>
        <v>1.0163893830333969E-5</v>
      </c>
      <c r="Q34" s="3">
        <f t="shared" si="27"/>
        <v>1.0163888835704247E-5</v>
      </c>
      <c r="R34" s="3">
        <f t="shared" si="27"/>
        <v>1.0163838889542034E-5</v>
      </c>
      <c r="S34" s="3">
        <f t="shared" si="27"/>
        <v>1.016333944141887E-5</v>
      </c>
      <c r="T34" s="3">
        <f t="shared" si="27"/>
        <v>1.0158346309838807E-5</v>
      </c>
      <c r="U34" s="3">
        <f t="shared" si="27"/>
        <v>1.0108549714122536E-5</v>
      </c>
      <c r="V34" s="3">
        <f t="shared" si="27"/>
        <v>9.6238140018672596E-6</v>
      </c>
      <c r="W34" s="3">
        <f t="shared" si="27"/>
        <v>5.8874999499670013E-6</v>
      </c>
      <c r="X34" s="3">
        <f t="shared" si="27"/>
        <v>4.3228271683029083E-8</v>
      </c>
      <c r="Y34" s="3">
        <f t="shared" si="27"/>
        <v>1.9685091173007085E-29</v>
      </c>
      <c r="Z34" s="3">
        <f t="shared" si="27"/>
        <v>7.548019505735717E-243</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1.7930122850134785E-5</v>
      </c>
      <c r="C35" s="18">
        <f t="shared" si="3"/>
        <v>2.5019775067814324E-5</v>
      </c>
      <c r="D35" s="17"/>
      <c r="F35" s="3">
        <f t="shared" si="28"/>
        <v>2.5019775067814324E-5</v>
      </c>
      <c r="G35" s="3">
        <f t="shared" si="28"/>
        <v>2.5019775067814324E-5</v>
      </c>
      <c r="H35" s="3">
        <f t="shared" si="28"/>
        <v>2.5019775067814324E-5</v>
      </c>
      <c r="I35" s="3">
        <f t="shared" si="28"/>
        <v>2.5019775067814314E-5</v>
      </c>
      <c r="J35" s="3">
        <f t="shared" si="28"/>
        <v>2.5019775067814202E-5</v>
      </c>
      <c r="K35" s="3">
        <f t="shared" si="28"/>
        <v>2.5019775067813091E-5</v>
      </c>
      <c r="L35" s="3">
        <f t="shared" si="28"/>
        <v>2.5019775067802001E-5</v>
      </c>
      <c r="M35" s="3">
        <f t="shared" si="28"/>
        <v>2.5019775067691087E-5</v>
      </c>
      <c r="N35" s="3">
        <f t="shared" si="28"/>
        <v>2.5019775066581982E-5</v>
      </c>
      <c r="O35" s="3">
        <f t="shared" si="28"/>
        <v>2.5019775055490916E-5</v>
      </c>
      <c r="P35" s="3">
        <f t="shared" si="27"/>
        <v>2.5019774944580259E-5</v>
      </c>
      <c r="Q35" s="3">
        <f t="shared" si="27"/>
        <v>2.5019773835473726E-5</v>
      </c>
      <c r="R35" s="3">
        <f t="shared" si="27"/>
        <v>2.5019762744411084E-5</v>
      </c>
      <c r="S35" s="3">
        <f t="shared" si="27"/>
        <v>2.5019651834055064E-5</v>
      </c>
      <c r="T35" s="3">
        <f t="shared" si="27"/>
        <v>2.5018542757535574E-5</v>
      </c>
      <c r="U35" s="3">
        <f t="shared" si="27"/>
        <v>2.5007454695967157E-5</v>
      </c>
      <c r="V35" s="3">
        <f t="shared" si="27"/>
        <v>2.4896844000015744E-5</v>
      </c>
      <c r="W35" s="3">
        <f t="shared" si="27"/>
        <v>2.3817291497201962E-5</v>
      </c>
      <c r="X35" s="3">
        <f t="shared" si="27"/>
        <v>1.5288789839624531E-5</v>
      </c>
      <c r="Y35" s="3">
        <f t="shared" si="27"/>
        <v>1.8162703770875457E-7</v>
      </c>
      <c r="Z35" s="3">
        <f t="shared" si="27"/>
        <v>1.0168441366884044E-26</v>
      </c>
      <c r="AA35" s="3">
        <f t="shared" si="27"/>
        <v>3.0760492074609702E-219</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1.6989062156028032E-5</v>
      </c>
      <c r="C36" s="18">
        <f t="shared" si="3"/>
        <v>2.3706614690246962E-5</v>
      </c>
      <c r="D36" s="17"/>
      <c r="F36" s="3">
        <f t="shared" si="28"/>
        <v>2.3706614690246962E-5</v>
      </c>
      <c r="G36" s="3">
        <f t="shared" si="28"/>
        <v>2.3706614690246962E-5</v>
      </c>
      <c r="H36" s="3">
        <f t="shared" si="28"/>
        <v>2.3706614690246962E-5</v>
      </c>
      <c r="I36" s="3">
        <f t="shared" si="28"/>
        <v>2.3706614690246962E-5</v>
      </c>
      <c r="J36" s="3">
        <f t="shared" si="28"/>
        <v>2.3706614690246951E-5</v>
      </c>
      <c r="K36" s="3">
        <f t="shared" si="28"/>
        <v>2.3706614690246857E-5</v>
      </c>
      <c r="L36" s="3">
        <f t="shared" si="28"/>
        <v>2.3706614690245908E-5</v>
      </c>
      <c r="M36" s="3">
        <f t="shared" si="28"/>
        <v>2.3706614690236428E-5</v>
      </c>
      <c r="N36" s="3">
        <f t="shared" si="28"/>
        <v>2.3706614690141628E-5</v>
      </c>
      <c r="O36" s="3">
        <f t="shared" si="28"/>
        <v>2.3706614689193636E-5</v>
      </c>
      <c r="P36" s="3">
        <f t="shared" si="27"/>
        <v>2.3706614679713687E-5</v>
      </c>
      <c r="Q36" s="3">
        <f t="shared" si="27"/>
        <v>2.3706614584914193E-5</v>
      </c>
      <c r="R36" s="3">
        <f t="shared" si="27"/>
        <v>2.3706613636919303E-5</v>
      </c>
      <c r="S36" s="3">
        <f t="shared" si="27"/>
        <v>2.3706604156972493E-5</v>
      </c>
      <c r="T36" s="3">
        <f t="shared" si="27"/>
        <v>2.3706509357712861E-5</v>
      </c>
      <c r="U36" s="3">
        <f t="shared" si="27"/>
        <v>2.3705561385966184E-5</v>
      </c>
      <c r="V36" s="3">
        <f t="shared" si="27"/>
        <v>2.3696083753152351E-5</v>
      </c>
      <c r="W36" s="3">
        <f t="shared" si="27"/>
        <v>2.3601515582199099E-5</v>
      </c>
      <c r="X36" s="3">
        <f t="shared" si="27"/>
        <v>2.2676344872719596E-5</v>
      </c>
      <c r="Y36" s="3">
        <f t="shared" si="27"/>
        <v>1.5202137760227468E-5</v>
      </c>
      <c r="Z36" s="3">
        <f t="shared" si="27"/>
        <v>2.7875378170278375E-7</v>
      </c>
      <c r="AA36" s="3">
        <f t="shared" si="27"/>
        <v>1.1977931079120748E-24</v>
      </c>
      <c r="AB36" s="3">
        <f t="shared" si="27"/>
        <v>2.5703497887150704E-198</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2.8291877302338222E-5</v>
      </c>
      <c r="C37" s="18">
        <f t="shared" si="3"/>
        <v>3.9478614411466939E-5</v>
      </c>
      <c r="D37" s="17"/>
      <c r="F37" s="3">
        <f t="shared" si="28"/>
        <v>3.9478614411466939E-5</v>
      </c>
      <c r="G37" s="3">
        <f t="shared" si="28"/>
        <v>3.9478614411466939E-5</v>
      </c>
      <c r="H37" s="3">
        <f t="shared" si="28"/>
        <v>3.9478614411466939E-5</v>
      </c>
      <c r="I37" s="3">
        <f t="shared" si="28"/>
        <v>3.9478614411466939E-5</v>
      </c>
      <c r="J37" s="3">
        <f t="shared" si="28"/>
        <v>3.9478614411466939E-5</v>
      </c>
      <c r="K37" s="3">
        <f t="shared" si="28"/>
        <v>3.9478614411466918E-5</v>
      </c>
      <c r="L37" s="3">
        <f t="shared" si="28"/>
        <v>3.9478614411466783E-5</v>
      </c>
      <c r="M37" s="3">
        <f t="shared" si="28"/>
        <v>3.9478614411465353E-5</v>
      </c>
      <c r="N37" s="3">
        <f t="shared" si="28"/>
        <v>3.9478614411451116E-5</v>
      </c>
      <c r="O37" s="3">
        <f t="shared" si="28"/>
        <v>3.9478614411308706E-5</v>
      </c>
      <c r="P37" s="3">
        <f t="shared" si="27"/>
        <v>3.9478614409884593E-5</v>
      </c>
      <c r="Q37" s="3">
        <f t="shared" si="27"/>
        <v>3.9478614395643442E-5</v>
      </c>
      <c r="R37" s="3">
        <f t="shared" si="27"/>
        <v>3.9478614253231975E-5</v>
      </c>
      <c r="S37" s="3">
        <f t="shared" si="27"/>
        <v>3.9478612829117344E-5</v>
      </c>
      <c r="T37" s="3">
        <f t="shared" si="27"/>
        <v>3.9478598587973836E-5</v>
      </c>
      <c r="U37" s="3">
        <f t="shared" si="27"/>
        <v>3.9478456176821338E-5</v>
      </c>
      <c r="V37" s="3">
        <f t="shared" si="27"/>
        <v>3.9477032093550597E-5</v>
      </c>
      <c r="W37" s="3">
        <f t="shared" si="27"/>
        <v>3.9462794085894265E-5</v>
      </c>
      <c r="X37" s="3">
        <f t="shared" si="27"/>
        <v>3.9320696137739179E-5</v>
      </c>
      <c r="Y37" s="3">
        <f t="shared" si="27"/>
        <v>3.7927556545052575E-5</v>
      </c>
      <c r="Z37" s="3">
        <f t="shared" si="27"/>
        <v>2.6441831251028253E-5</v>
      </c>
      <c r="AA37" s="3">
        <f t="shared" si="27"/>
        <v>7.1722955462343197E-7</v>
      </c>
      <c r="AB37" s="3">
        <f t="shared" si="27"/>
        <v>1.5464100199639562E-22</v>
      </c>
      <c r="AC37" s="3">
        <f t="shared" si="27"/>
        <v>3.3572944666591916E-179</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0</v>
      </c>
      <c r="C38" s="18">
        <f t="shared" si="3"/>
        <v>0</v>
      </c>
      <c r="D38" s="17"/>
      <c r="F38" s="3">
        <f t="shared" si="28"/>
        <v>0</v>
      </c>
      <c r="G38" s="3">
        <f t="shared" si="28"/>
        <v>0</v>
      </c>
      <c r="H38" s="3">
        <f t="shared" si="28"/>
        <v>0</v>
      </c>
      <c r="I38" s="3">
        <f t="shared" si="28"/>
        <v>0</v>
      </c>
      <c r="J38" s="3">
        <f t="shared" si="28"/>
        <v>0</v>
      </c>
      <c r="K38" s="3">
        <f t="shared" si="28"/>
        <v>0</v>
      </c>
      <c r="L38" s="3">
        <f t="shared" si="28"/>
        <v>0</v>
      </c>
      <c r="M38" s="3">
        <f t="shared" si="28"/>
        <v>0</v>
      </c>
      <c r="N38" s="3">
        <f t="shared" si="28"/>
        <v>0</v>
      </c>
      <c r="O38" s="3">
        <f t="shared" si="28"/>
        <v>0</v>
      </c>
      <c r="P38" s="3">
        <f t="shared" si="27"/>
        <v>0</v>
      </c>
      <c r="Q38" s="3">
        <f t="shared" si="27"/>
        <v>0</v>
      </c>
      <c r="R38" s="3">
        <f t="shared" si="27"/>
        <v>0</v>
      </c>
      <c r="S38" s="3">
        <f t="shared" si="27"/>
        <v>0</v>
      </c>
      <c r="T38" s="3">
        <f t="shared" si="27"/>
        <v>0</v>
      </c>
      <c r="U38" s="3">
        <f t="shared" si="27"/>
        <v>0</v>
      </c>
      <c r="V38" s="3">
        <f t="shared" si="27"/>
        <v>0</v>
      </c>
      <c r="W38" s="3">
        <f t="shared" si="27"/>
        <v>0</v>
      </c>
      <c r="X38" s="3">
        <f t="shared" si="27"/>
        <v>0</v>
      </c>
      <c r="Y38" s="3">
        <f t="shared" si="27"/>
        <v>0</v>
      </c>
      <c r="Z38" s="3">
        <f t="shared" si="27"/>
        <v>0</v>
      </c>
      <c r="AA38" s="3">
        <f t="shared" si="27"/>
        <v>0</v>
      </c>
      <c r="AB38" s="3">
        <f t="shared" si="27"/>
        <v>0</v>
      </c>
      <c r="AC38" s="3">
        <f t="shared" si="27"/>
        <v>0</v>
      </c>
      <c r="AD38" s="3">
        <f t="shared" si="27"/>
        <v>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4.6897892350926301E-5</v>
      </c>
      <c r="C39" s="18">
        <f t="shared" si="3"/>
        <v>6.5441532530599776E-5</v>
      </c>
      <c r="D39" s="17"/>
      <c r="F39" s="3">
        <f t="shared" si="28"/>
        <v>6.5441532530599776E-5</v>
      </c>
      <c r="G39" s="3">
        <f t="shared" si="28"/>
        <v>6.5441532530599776E-5</v>
      </c>
      <c r="H39" s="3">
        <f t="shared" si="28"/>
        <v>6.5441532530599776E-5</v>
      </c>
      <c r="I39" s="3">
        <f t="shared" si="28"/>
        <v>6.5441532530599776E-5</v>
      </c>
      <c r="J39" s="3">
        <f t="shared" si="28"/>
        <v>6.5441532530599776E-5</v>
      </c>
      <c r="K39" s="3">
        <f t="shared" si="28"/>
        <v>6.5441532530599776E-5</v>
      </c>
      <c r="L39" s="3">
        <f t="shared" si="28"/>
        <v>6.5441532530599762E-5</v>
      </c>
      <c r="M39" s="3">
        <f t="shared" si="28"/>
        <v>6.5441532530599708E-5</v>
      </c>
      <c r="N39" s="3">
        <f t="shared" si="28"/>
        <v>6.5441532530599125E-5</v>
      </c>
      <c r="O39" s="3">
        <f t="shared" si="28"/>
        <v>6.544153253059323E-5</v>
      </c>
      <c r="P39" s="3">
        <f t="shared" si="27"/>
        <v>6.5441532530534331E-5</v>
      </c>
      <c r="Q39" s="3">
        <f t="shared" si="27"/>
        <v>6.5441532529945365E-5</v>
      </c>
      <c r="R39" s="3">
        <f t="shared" si="27"/>
        <v>6.5441532524055626E-5</v>
      </c>
      <c r="S39" s="3">
        <f t="shared" si="27"/>
        <v>6.5441532465158241E-5</v>
      </c>
      <c r="T39" s="3">
        <f t="shared" si="27"/>
        <v>6.5441531876184452E-5</v>
      </c>
      <c r="U39" s="3">
        <f t="shared" si="27"/>
        <v>6.5441525986446847E-5</v>
      </c>
      <c r="V39" s="3">
        <f t="shared" si="27"/>
        <v>6.5441467089099968E-5</v>
      </c>
      <c r="W39" s="3">
        <f t="shared" si="27"/>
        <v>6.5440878118546529E-5</v>
      </c>
      <c r="X39" s="3">
        <f t="shared" si="27"/>
        <v>6.5434988704543472E-5</v>
      </c>
      <c r="Y39" s="3">
        <f t="shared" si="27"/>
        <v>6.5376123707931247E-5</v>
      </c>
      <c r="Z39" s="3">
        <f t="shared" si="27"/>
        <v>6.479037840221109E-5</v>
      </c>
      <c r="AA39" s="3">
        <f t="shared" si="27"/>
        <v>5.921394732730415E-5</v>
      </c>
      <c r="AB39" s="3">
        <f t="shared" si="27"/>
        <v>2.4074594416759809E-5</v>
      </c>
      <c r="AC39" s="3">
        <f t="shared" si="27"/>
        <v>2.9710409804385976E-9</v>
      </c>
      <c r="AD39" s="3">
        <f t="shared" si="27"/>
        <v>2.4344747300107027E-48</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6.5017375199094256E-6</v>
      </c>
      <c r="C40" s="18">
        <f t="shared" si="3"/>
        <v>9.072554140189839E-6</v>
      </c>
      <c r="D40" s="17"/>
      <c r="F40" s="3">
        <f t="shared" si="28"/>
        <v>9.072554140189839E-6</v>
      </c>
      <c r="G40" s="3">
        <f t="shared" si="28"/>
        <v>9.072554140189839E-6</v>
      </c>
      <c r="H40" s="3">
        <f t="shared" si="28"/>
        <v>9.072554140189839E-6</v>
      </c>
      <c r="I40" s="3">
        <f t="shared" si="28"/>
        <v>9.072554140189839E-6</v>
      </c>
      <c r="J40" s="3">
        <f t="shared" si="28"/>
        <v>9.072554140189839E-6</v>
      </c>
      <c r="K40" s="3">
        <f t="shared" si="28"/>
        <v>9.072554140189839E-6</v>
      </c>
      <c r="L40" s="3">
        <f t="shared" si="28"/>
        <v>9.072554140189839E-6</v>
      </c>
      <c r="M40" s="3">
        <f t="shared" si="28"/>
        <v>9.0725541401898373E-6</v>
      </c>
      <c r="N40" s="3">
        <f t="shared" si="28"/>
        <v>9.0725541401898305E-6</v>
      </c>
      <c r="O40" s="3">
        <f t="shared" si="28"/>
        <v>9.0725541401897475E-6</v>
      </c>
      <c r="P40" s="3">
        <f t="shared" si="27"/>
        <v>9.072554140188931E-6</v>
      </c>
      <c r="Q40" s="3">
        <f t="shared" si="27"/>
        <v>9.0725541401807673E-6</v>
      </c>
      <c r="R40" s="3">
        <f t="shared" si="27"/>
        <v>9.0725541400991133E-6</v>
      </c>
      <c r="S40" s="3">
        <f t="shared" si="27"/>
        <v>9.0725541392825837E-6</v>
      </c>
      <c r="T40" s="3">
        <f t="shared" si="27"/>
        <v>9.0725541311172843E-6</v>
      </c>
      <c r="U40" s="3">
        <f t="shared" si="27"/>
        <v>9.0725540494642975E-6</v>
      </c>
      <c r="V40" s="3">
        <f t="shared" si="27"/>
        <v>9.0725532329344704E-6</v>
      </c>
      <c r="W40" s="3">
        <f t="shared" si="27"/>
        <v>9.0725450676402358E-6</v>
      </c>
      <c r="X40" s="3">
        <f t="shared" si="27"/>
        <v>9.072463415102064E-6</v>
      </c>
      <c r="Y40" s="3">
        <f t="shared" si="27"/>
        <v>9.0716469301370782E-6</v>
      </c>
      <c r="Z40" s="3">
        <f t="shared" si="27"/>
        <v>9.0634861208150051E-6</v>
      </c>
      <c r="AA40" s="3">
        <f t="shared" si="27"/>
        <v>8.9822807181752775E-6</v>
      </c>
      <c r="AB40" s="3">
        <f t="shared" si="27"/>
        <v>8.2091864632008288E-6</v>
      </c>
      <c r="AC40" s="3">
        <f t="shared" si="27"/>
        <v>3.3376061470906935E-6</v>
      </c>
      <c r="AD40" s="3">
        <f t="shared" si="27"/>
        <v>4.1189332073095988E-10</v>
      </c>
      <c r="AE40" s="3">
        <f t="shared" si="27"/>
        <v>3.3750590698068593E-49</v>
      </c>
      <c r="AF40" s="3">
        <f t="shared" si="29"/>
        <v>0</v>
      </c>
      <c r="AG40" s="3">
        <f t="shared" si="29"/>
        <v>0</v>
      </c>
      <c r="AH40" s="3">
        <f t="shared" si="29"/>
        <v>0</v>
      </c>
      <c r="AI40" s="3">
        <f t="shared" si="29"/>
        <v>0</v>
      </c>
      <c r="AJ40" s="3">
        <f t="shared" si="29"/>
        <v>0</v>
      </c>
    </row>
    <row r="41" spans="1:36" x14ac:dyDescent="0.25">
      <c r="A41" s="3">
        <f t="shared" si="30"/>
        <v>1000000000</v>
      </c>
      <c r="B41" s="106">
        <v>2.4830493293252035E-7</v>
      </c>
      <c r="C41" s="18">
        <f t="shared" si="3"/>
        <v>3.4648583404177175E-7</v>
      </c>
      <c r="D41" s="17"/>
      <c r="F41" s="3">
        <f t="shared" si="28"/>
        <v>3.4648583404177175E-7</v>
      </c>
      <c r="G41" s="3">
        <f t="shared" si="28"/>
        <v>3.4648583404177175E-7</v>
      </c>
      <c r="H41" s="3">
        <f t="shared" si="28"/>
        <v>3.4648583404177175E-7</v>
      </c>
      <c r="I41" s="3">
        <f t="shared" si="28"/>
        <v>3.4648583404177175E-7</v>
      </c>
      <c r="J41" s="3">
        <f t="shared" si="28"/>
        <v>3.4648583404177175E-7</v>
      </c>
      <c r="K41" s="3">
        <f t="shared" si="28"/>
        <v>3.4648583404177175E-7</v>
      </c>
      <c r="L41" s="3">
        <f t="shared" si="28"/>
        <v>3.4648583404177175E-7</v>
      </c>
      <c r="M41" s="3">
        <f t="shared" si="28"/>
        <v>3.4648583404177175E-7</v>
      </c>
      <c r="N41" s="3">
        <f t="shared" si="28"/>
        <v>3.464858340417717E-7</v>
      </c>
      <c r="O41" s="3">
        <f t="shared" si="28"/>
        <v>3.4648583404177138E-7</v>
      </c>
      <c r="P41" s="3">
        <f t="shared" si="27"/>
        <v>3.4648583404176831E-7</v>
      </c>
      <c r="Q41" s="3">
        <f t="shared" si="27"/>
        <v>3.4648583404173708E-7</v>
      </c>
      <c r="R41" s="3">
        <f t="shared" si="27"/>
        <v>3.4648583404142526E-7</v>
      </c>
      <c r="S41" s="3">
        <f t="shared" si="27"/>
        <v>3.4648583403830691E-7</v>
      </c>
      <c r="T41" s="3">
        <f t="shared" si="27"/>
        <v>3.4648583400712318E-7</v>
      </c>
      <c r="U41" s="3">
        <f t="shared" si="27"/>
        <v>3.4648583369528594E-7</v>
      </c>
      <c r="V41" s="3">
        <f t="shared" si="27"/>
        <v>3.4648583057691344E-7</v>
      </c>
      <c r="W41" s="3">
        <f t="shared" si="27"/>
        <v>3.4648579939319008E-7</v>
      </c>
      <c r="X41" s="3">
        <f t="shared" si="27"/>
        <v>3.4648548755611097E-7</v>
      </c>
      <c r="Y41" s="3">
        <f t="shared" si="27"/>
        <v>3.4648236920075558E-7</v>
      </c>
      <c r="Z41" s="3">
        <f t="shared" si="27"/>
        <v>3.4645118719073901E-7</v>
      </c>
      <c r="AA41" s="3">
        <f t="shared" si="27"/>
        <v>3.4613952139291382E-7</v>
      </c>
      <c r="AB41" s="3">
        <f t="shared" si="27"/>
        <v>3.43038242389498E-7</v>
      </c>
      <c r="AC41" s="3">
        <f t="shared" si="27"/>
        <v>3.1351334746039271E-7</v>
      </c>
      <c r="AD41" s="3">
        <f t="shared" si="27"/>
        <v>1.2746501500110809E-7</v>
      </c>
      <c r="AE41" s="3">
        <f t="shared" si="27"/>
        <v>1.573043252919242E-11</v>
      </c>
      <c r="AF41" s="3">
        <f t="shared" si="29"/>
        <v>1.2889536272503374E-50</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1.8912773101721011E-3</v>
      </c>
      <c r="C48" s="18">
        <f t="shared" si="3"/>
        <v>2.6390969703261771E-3</v>
      </c>
      <c r="D48" s="17"/>
      <c r="F48" s="3">
        <f t="shared" si="28"/>
        <v>2.6390969703261771E-3</v>
      </c>
      <c r="G48" s="3">
        <f t="shared" si="28"/>
        <v>2.6390969703261771E-3</v>
      </c>
      <c r="H48" s="3">
        <f t="shared" si="28"/>
        <v>2.6390969703261771E-3</v>
      </c>
      <c r="I48" s="3">
        <f t="shared" si="28"/>
        <v>2.6390969703261771E-3</v>
      </c>
      <c r="J48" s="3">
        <f t="shared" si="28"/>
        <v>2.6390969703261771E-3</v>
      </c>
      <c r="K48" s="3">
        <f t="shared" si="28"/>
        <v>2.6390969703261771E-3</v>
      </c>
      <c r="L48" s="3">
        <f t="shared" si="28"/>
        <v>2.6390969703261771E-3</v>
      </c>
      <c r="M48" s="3">
        <f t="shared" si="28"/>
        <v>2.6390969703261771E-3</v>
      </c>
      <c r="N48" s="3">
        <f t="shared" si="28"/>
        <v>2.6390969703261771E-3</v>
      </c>
      <c r="O48" s="3">
        <f t="shared" si="28"/>
        <v>2.6390969703261771E-3</v>
      </c>
      <c r="P48" s="3">
        <f t="shared" si="27"/>
        <v>2.6390969703261771E-3</v>
      </c>
      <c r="Q48" s="3">
        <f t="shared" si="27"/>
        <v>2.6390969703261771E-3</v>
      </c>
      <c r="R48" s="3">
        <f t="shared" si="27"/>
        <v>2.6390969703261771E-3</v>
      </c>
      <c r="S48" s="3">
        <f t="shared" si="27"/>
        <v>2.6390969703261771E-3</v>
      </c>
      <c r="T48" s="3">
        <f t="shared" si="27"/>
        <v>2.6390969703261771E-3</v>
      </c>
      <c r="U48" s="3">
        <f t="shared" si="27"/>
        <v>2.6390969703261767E-3</v>
      </c>
      <c r="V48" s="3">
        <f t="shared" si="27"/>
        <v>2.6390969703261745E-3</v>
      </c>
      <c r="W48" s="3">
        <f t="shared" si="27"/>
        <v>2.6390969703261507E-3</v>
      </c>
      <c r="X48" s="3">
        <f t="shared" si="27"/>
        <v>2.639096970325913E-3</v>
      </c>
      <c r="Y48" s="3">
        <f t="shared" si="27"/>
        <v>2.6390969703235382E-3</v>
      </c>
      <c r="Z48" s="3">
        <f t="shared" si="27"/>
        <v>2.6390969702997863E-3</v>
      </c>
      <c r="AA48" s="3">
        <f t="shared" si="27"/>
        <v>2.6390969700622676E-3</v>
      </c>
      <c r="AB48" s="3">
        <f t="shared" si="27"/>
        <v>2.6390969676870803E-3</v>
      </c>
      <c r="AC48" s="3">
        <f t="shared" si="27"/>
        <v>2.6390969439352074E-3</v>
      </c>
      <c r="AD48" s="3">
        <f t="shared" si="27"/>
        <v>2.6390967064164935E-3</v>
      </c>
      <c r="AE48" s="3">
        <f t="shared" si="27"/>
        <v>2.6390943312305263E-3</v>
      </c>
      <c r="AF48" s="3">
        <f t="shared" si="29"/>
        <v>2.639070579488428E-3</v>
      </c>
      <c r="AG48" s="3">
        <f t="shared" si="29"/>
        <v>2.6388330738241895E-3</v>
      </c>
      <c r="AH48" s="3">
        <f t="shared" si="29"/>
        <v>2.6364591924645966E-3</v>
      </c>
      <c r="AI48" s="3">
        <f t="shared" si="29"/>
        <v>2.612837516719365E-3</v>
      </c>
      <c r="AJ48" s="3">
        <f t="shared" si="29"/>
        <v>2.3879536885764614E-3</v>
      </c>
    </row>
    <row r="49" spans="1:36" x14ac:dyDescent="0.25">
      <c r="B49" s="16">
        <f>SUM(B17:B48)</f>
        <v>0.71663805136283043</v>
      </c>
      <c r="C49" s="18">
        <f>SUM(C17:C48)</f>
        <v>1.0000000000000002</v>
      </c>
      <c r="F49" s="3">
        <f t="shared" ref="F49:AJ49" si="31">F16-F17</f>
        <v>87.571957469674089</v>
      </c>
      <c r="G49" s="3">
        <f t="shared" si="31"/>
        <v>-113.26588903693846</v>
      </c>
      <c r="H49" s="3">
        <f t="shared" si="31"/>
        <v>29.986212347906076</v>
      </c>
      <c r="I49" s="3">
        <f t="shared" si="31"/>
        <v>-4.8962162206453286</v>
      </c>
      <c r="J49" s="3">
        <f t="shared" si="31"/>
        <v>0.67552448214837568</v>
      </c>
      <c r="K49" s="3">
        <f t="shared" si="31"/>
        <v>-7.9802386283972737E-2</v>
      </c>
      <c r="L49" s="3">
        <f t="shared" si="31"/>
        <v>-1.5145200587085128E-2</v>
      </c>
      <c r="M49" s="3">
        <f t="shared" si="31"/>
        <v>3.9412590846950479E-2</v>
      </c>
      <c r="N49" s="3">
        <f t="shared" si="31"/>
        <v>-8.0807564503402318E-2</v>
      </c>
      <c r="O49" s="3">
        <f t="shared" si="31"/>
        <v>0.1066229099769771</v>
      </c>
      <c r="P49" s="3">
        <f t="shared" si="31"/>
        <v>-0.10763240937876617</v>
      </c>
      <c r="Q49" s="3">
        <f t="shared" si="31"/>
        <v>9.3485233717444771E-2</v>
      </c>
      <c r="R49" s="3">
        <f t="shared" si="31"/>
        <v>-2.1395192721342937E-2</v>
      </c>
      <c r="S49" s="3">
        <f t="shared" si="31"/>
        <v>-2.8772582827258475E-2</v>
      </c>
      <c r="T49" s="3">
        <f t="shared" si="31"/>
        <v>9.3195479613825682E-2</v>
      </c>
      <c r="U49" s="3">
        <f t="shared" si="31"/>
        <v>-9.3823199227728082E-2</v>
      </c>
      <c r="V49" s="3">
        <f t="shared" si="31"/>
        <v>4.3382769265747356E-2</v>
      </c>
      <c r="W49" s="3">
        <f t="shared" si="31"/>
        <v>3.5069123764799315E-3</v>
      </c>
      <c r="X49" s="3">
        <f t="shared" si="31"/>
        <v>-1.9994084638057075E-2</v>
      </c>
      <c r="Y49" s="3">
        <f t="shared" si="31"/>
        <v>-2.6827118088021962E-3</v>
      </c>
      <c r="Z49" s="3">
        <f t="shared" si="31"/>
        <v>1.8820531967378429E-4</v>
      </c>
      <c r="AA49" s="3">
        <f t="shared" si="31"/>
        <v>4.5743256542323252E-3</v>
      </c>
      <c r="AB49" s="3">
        <f t="shared" si="31"/>
        <v>2.727259269299509E-2</v>
      </c>
      <c r="AC49" s="3">
        <f t="shared" si="31"/>
        <v>1.6906086192989278E-3</v>
      </c>
      <c r="AD49" s="3">
        <f t="shared" si="31"/>
        <v>1.8314939905081928E-2</v>
      </c>
      <c r="AE49" s="3">
        <f t="shared" si="31"/>
        <v>-7.3412409796873135E-2</v>
      </c>
      <c r="AF49" s="3">
        <f t="shared" si="31"/>
        <v>-0.1980951941077933</v>
      </c>
      <c r="AG49" s="3">
        <f t="shared" si="31"/>
        <v>-0.32504233469124699</v>
      </c>
      <c r="AH49" s="3">
        <f t="shared" si="31"/>
        <v>-0.31839723719473056</v>
      </c>
      <c r="AI49" s="3">
        <f t="shared" si="31"/>
        <v>-0.18191336450506412</v>
      </c>
      <c r="AJ49" s="3">
        <f t="shared" si="31"/>
        <v>1.1491836047587753</v>
      </c>
    </row>
    <row r="50" spans="1:36" x14ac:dyDescent="0.25">
      <c r="F50" s="57">
        <f t="shared" ref="F50:AJ50" si="32">F49/F17</f>
        <v>1.7924532731843513E-2</v>
      </c>
      <c r="G50" s="57">
        <f t="shared" si="32"/>
        <v>-2.3731228699354279E-2</v>
      </c>
      <c r="H50" s="57">
        <f t="shared" si="32"/>
        <v>6.8839418131212944E-3</v>
      </c>
      <c r="I50" s="57">
        <f t="shared" si="32"/>
        <v>-1.1874643645390247E-3</v>
      </c>
      <c r="J50" s="57">
        <f t="shared" si="32"/>
        <v>1.7641737303568448E-4</v>
      </c>
      <c r="K50" s="57">
        <f t="shared" si="32"/>
        <v>-2.2712845227266055E-5</v>
      </c>
      <c r="L50" s="57">
        <f t="shared" si="32"/>
        <v>-4.8888129236531167E-6</v>
      </c>
      <c r="M50" s="57">
        <f t="shared" si="32"/>
        <v>1.5210292690534585E-5</v>
      </c>
      <c r="N50" s="57">
        <f t="shared" si="32"/>
        <v>-4.0294315087648326E-5</v>
      </c>
      <c r="O50" s="57">
        <f t="shared" si="32"/>
        <v>7.865581359345675E-5</v>
      </c>
      <c r="P50" s="57">
        <f t="shared" si="32"/>
        <v>-1.3173139483789857E-4</v>
      </c>
      <c r="Q50" s="57">
        <f t="shared" si="32"/>
        <v>2.0179072406960398E-4</v>
      </c>
      <c r="R50" s="57">
        <f t="shared" si="32"/>
        <v>-8.3252139440140785E-5</v>
      </c>
      <c r="S50" s="57">
        <f t="shared" si="32"/>
        <v>-1.7175233187411167E-4</v>
      </c>
      <c r="T50" s="57">
        <f t="shared" si="32"/>
        <v>6.5764746243784705E-4</v>
      </c>
      <c r="U50" s="57">
        <f t="shared" si="32"/>
        <v>-7.257074831404091E-4</v>
      </c>
      <c r="V50" s="57">
        <f t="shared" si="32"/>
        <v>3.4592078805599161E-4</v>
      </c>
      <c r="W50" s="57">
        <f t="shared" si="32"/>
        <v>2.7971606093797628E-5</v>
      </c>
      <c r="X50" s="57">
        <f t="shared" si="32"/>
        <v>-1.595921173893353E-4</v>
      </c>
      <c r="Y50" s="57">
        <f t="shared" si="32"/>
        <v>-2.1437749657791327E-5</v>
      </c>
      <c r="Z50" s="57">
        <f t="shared" si="32"/>
        <v>1.5059027524546298E-6</v>
      </c>
      <c r="AA50" s="57">
        <f t="shared" si="32"/>
        <v>3.6656000332766241E-5</v>
      </c>
      <c r="AB50" s="57">
        <f t="shared" si="32"/>
        <v>2.1892791573619895E-4</v>
      </c>
      <c r="AC50" s="57">
        <f t="shared" si="32"/>
        <v>1.3589929922689726E-5</v>
      </c>
      <c r="AD50" s="57">
        <f t="shared" si="32"/>
        <v>1.4724910112401171E-4</v>
      </c>
      <c r="AE50" s="57">
        <f t="shared" si="32"/>
        <v>-5.9022735185908042E-4</v>
      </c>
      <c r="AF50" s="57">
        <f t="shared" si="32"/>
        <v>-1.5926644372025523E-3</v>
      </c>
      <c r="AG50" s="57">
        <f t="shared" si="32"/>
        <v>-2.6133356329731418E-3</v>
      </c>
      <c r="AH50" s="57">
        <f t="shared" si="32"/>
        <v>-2.5601989287255692E-3</v>
      </c>
      <c r="AI50" s="57">
        <f t="shared" si="32"/>
        <v>-1.4643958860219874E-3</v>
      </c>
      <c r="AJ50" s="57">
        <f t="shared" si="32"/>
        <v>9.3512796981104832E-3</v>
      </c>
    </row>
    <row r="51" spans="1:36" x14ac:dyDescent="0.25">
      <c r="A51" s="13" t="s">
        <v>21</v>
      </c>
      <c r="B51" s="3">
        <f>STUTT!D8</f>
        <v>5930.4079000000002</v>
      </c>
      <c r="E51" s="11" t="s">
        <v>24</v>
      </c>
      <c r="F51" s="20">
        <f t="shared" ref="F51:AJ51" si="33">(F16-F17)^2</f>
        <v>7668.8477350704079</v>
      </c>
      <c r="G51" s="20">
        <f t="shared" si="33"/>
        <v>12829.161619328057</v>
      </c>
      <c r="H51" s="20">
        <f t="shared" si="33"/>
        <v>899.17293097371476</v>
      </c>
      <c r="I51" s="20">
        <f t="shared" si="33"/>
        <v>23.972933279310425</v>
      </c>
      <c r="J51" s="20">
        <f t="shared" si="33"/>
        <v>0.45633332598183113</v>
      </c>
      <c r="K51" s="20">
        <f t="shared" si="33"/>
        <v>6.3684208566163998E-3</v>
      </c>
      <c r="L51" s="20">
        <f t="shared" si="33"/>
        <v>2.2937710082304372E-4</v>
      </c>
      <c r="M51" s="20">
        <f t="shared" si="33"/>
        <v>1.5533523172691246E-3</v>
      </c>
      <c r="N51" s="20">
        <f t="shared" si="33"/>
        <v>6.5298624809715265E-3</v>
      </c>
      <c r="O51" s="20">
        <f t="shared" si="33"/>
        <v>1.1368444931958563E-2</v>
      </c>
      <c r="P51" s="20">
        <f t="shared" si="33"/>
        <v>1.1584735548678312E-2</v>
      </c>
      <c r="Q51" s="20">
        <f t="shared" si="33"/>
        <v>8.7394889232052728E-3</v>
      </c>
      <c r="R51" s="20">
        <f t="shared" si="33"/>
        <v>4.5775427158340577E-4</v>
      </c>
      <c r="S51" s="20">
        <f t="shared" si="33"/>
        <v>8.2786152255144932E-4</v>
      </c>
      <c r="T51" s="20">
        <f t="shared" si="33"/>
        <v>8.6853974204509979E-3</v>
      </c>
      <c r="U51" s="20">
        <f t="shared" si="33"/>
        <v>8.8027927133259559E-3</v>
      </c>
      <c r="V51" s="20">
        <f t="shared" si="33"/>
        <v>1.8820646691650733E-3</v>
      </c>
      <c r="W51" s="20">
        <f t="shared" si="33"/>
        <v>1.229843441630812E-5</v>
      </c>
      <c r="X51" s="20">
        <f t="shared" si="33"/>
        <v>3.9976342051378989E-4</v>
      </c>
      <c r="Y51" s="20">
        <f t="shared" si="33"/>
        <v>7.1969426490867511E-6</v>
      </c>
      <c r="Z51" s="20">
        <f t="shared" si="33"/>
        <v>3.5421242353511332E-8</v>
      </c>
      <c r="AA51" s="20">
        <f t="shared" si="33"/>
        <v>2.0924455190967989E-5</v>
      </c>
      <c r="AB51" s="20">
        <f t="shared" si="33"/>
        <v>7.4379431219800919E-4</v>
      </c>
      <c r="AC51" s="20">
        <f t="shared" si="33"/>
        <v>2.858157503647827E-6</v>
      </c>
      <c r="AD51" s="20">
        <f t="shared" si="33"/>
        <v>3.3543702372676242E-4</v>
      </c>
      <c r="AE51" s="20">
        <f t="shared" si="33"/>
        <v>5.3893819121840344E-3</v>
      </c>
      <c r="AF51" s="20">
        <f t="shared" si="33"/>
        <v>3.9241705928604306E-2</v>
      </c>
      <c r="AG51" s="20">
        <f t="shared" si="33"/>
        <v>0.10565251934153663</v>
      </c>
      <c r="AH51" s="20">
        <f t="shared" si="33"/>
        <v>0.10137680065323752</v>
      </c>
      <c r="AI51" s="20">
        <f t="shared" si="33"/>
        <v>3.3092472185552321E-2</v>
      </c>
      <c r="AJ51" s="20">
        <f t="shared" si="33"/>
        <v>1.3206229574463733</v>
      </c>
    </row>
    <row r="52" spans="1:36" x14ac:dyDescent="0.25">
      <c r="A52" s="13"/>
    </row>
    <row r="53" spans="1:36" x14ac:dyDescent="0.25">
      <c r="E53" s="118" t="s">
        <v>25</v>
      </c>
      <c r="F53" s="118"/>
      <c r="G53" s="104">
        <f>SUM(F51:AJ51)</f>
        <v>21423.285479675869</v>
      </c>
      <c r="I53" s="3">
        <f>G53+C123</f>
        <v>21423.285479675869</v>
      </c>
      <c r="K53" s="3">
        <f>SUM(Z51:AJ51)</f>
        <v>1.6064788868373499</v>
      </c>
    </row>
    <row r="55" spans="1:36" x14ac:dyDescent="0.25">
      <c r="E55" s="30" t="s">
        <v>30</v>
      </c>
      <c r="F55" s="31">
        <f t="shared" ref="F55:AJ55" si="34">ABS(F17-F16)/F16</f>
        <v>1.7608901402286426E-2</v>
      </c>
      <c r="G55" s="31">
        <f t="shared" si="34"/>
        <v>2.4308089531265113E-2</v>
      </c>
      <c r="H55" s="31">
        <f t="shared" si="34"/>
        <v>6.8368771486465533E-3</v>
      </c>
      <c r="I55" s="31">
        <f t="shared" si="34"/>
        <v>1.1888761125565372E-3</v>
      </c>
      <c r="J55" s="31">
        <f t="shared" si="34"/>
        <v>1.7638625543586089E-4</v>
      </c>
      <c r="K55" s="31">
        <f t="shared" si="34"/>
        <v>2.2713361112321592E-5</v>
      </c>
      <c r="L55" s="31">
        <f t="shared" si="34"/>
        <v>4.8888368242617648E-6</v>
      </c>
      <c r="M55" s="31">
        <f t="shared" si="34"/>
        <v>1.5210061341049746E-5</v>
      </c>
      <c r="N55" s="31">
        <f t="shared" si="34"/>
        <v>4.0295938784902476E-5</v>
      </c>
      <c r="O55" s="31">
        <f t="shared" si="34"/>
        <v>7.8649627343029262E-5</v>
      </c>
      <c r="P55" s="31">
        <f t="shared" si="34"/>
        <v>1.3174875028454169E-4</v>
      </c>
      <c r="Q55" s="31">
        <f t="shared" si="34"/>
        <v>2.0175001278844234E-4</v>
      </c>
      <c r="R55" s="31">
        <f t="shared" si="34"/>
        <v>8.3259070935924002E-5</v>
      </c>
      <c r="S55" s="31">
        <f t="shared" si="34"/>
        <v>1.7178183580498479E-4</v>
      </c>
      <c r="T55" s="31">
        <f t="shared" si="34"/>
        <v>6.5721524649871169E-4</v>
      </c>
      <c r="U55" s="31">
        <f t="shared" si="34"/>
        <v>7.2623451696388465E-4</v>
      </c>
      <c r="V55" s="31">
        <f t="shared" si="34"/>
        <v>3.4580116824336219E-4</v>
      </c>
      <c r="W55" s="31">
        <f t="shared" si="34"/>
        <v>2.7970823704934832E-5</v>
      </c>
      <c r="X55" s="31">
        <f t="shared" si="34"/>
        <v>1.5961759109867134E-4</v>
      </c>
      <c r="Y55" s="31">
        <f t="shared" si="34"/>
        <v>2.1438209244754228E-5</v>
      </c>
      <c r="Z55" s="31">
        <f t="shared" si="34"/>
        <v>1.5059004847149451E-6</v>
      </c>
      <c r="AA55" s="31">
        <f t="shared" si="34"/>
        <v>3.6654656719657332E-5</v>
      </c>
      <c r="AB55" s="31">
        <f t="shared" si="34"/>
        <v>2.1887999679470434E-4</v>
      </c>
      <c r="AC55" s="31">
        <f t="shared" si="34"/>
        <v>1.3589745239004261E-5</v>
      </c>
      <c r="AD55" s="31">
        <f t="shared" si="34"/>
        <v>1.4722742201845869E-4</v>
      </c>
      <c r="AE55" s="31">
        <f t="shared" si="34"/>
        <v>5.9057592592391022E-4</v>
      </c>
      <c r="AF55" s="31">
        <f t="shared" si="34"/>
        <v>1.5952050635773575E-3</v>
      </c>
      <c r="AG55" s="31">
        <f t="shared" si="34"/>
        <v>2.62018305070446E-3</v>
      </c>
      <c r="AH55" s="31">
        <f t="shared" si="34"/>
        <v>2.5667703714809193E-3</v>
      </c>
      <c r="AI55" s="31">
        <f t="shared" si="34"/>
        <v>1.4665434862699534E-3</v>
      </c>
      <c r="AJ55" s="31">
        <f t="shared" si="34"/>
        <v>9.2646434261294854E-3</v>
      </c>
    </row>
    <row r="56" spans="1:36" x14ac:dyDescent="0.25">
      <c r="E56" s="13" t="s">
        <v>31</v>
      </c>
      <c r="F56" s="32">
        <f>AVERAGE(F55:AJ55)</f>
        <v>2.3009511144034488E-3</v>
      </c>
    </row>
    <row r="57" spans="1:36" x14ac:dyDescent="0.25">
      <c r="A57" s="42"/>
      <c r="B57" s="15"/>
      <c r="C57" s="15"/>
      <c r="D57" s="15"/>
      <c r="F57" s="60">
        <f>AVERAGE(S55:X55)</f>
        <v>3.4810353038575826E-4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-50.877172842752479</v>
      </c>
    </row>
    <row r="119" spans="1:14" x14ac:dyDescent="0.25">
      <c r="L119" s="11">
        <f>L118+1</f>
        <v>2</v>
      </c>
      <c r="M119" s="11">
        <f t="shared" ref="M119:M124" si="35">INDEX($B$125:$K$126,1,L119)</f>
        <v>0</v>
      </c>
      <c r="N119" s="11">
        <f t="shared" ref="N119:N124" si="36">IF(L119=$B$3,0,INDEX($B$125:$K$126,2,L119))</f>
        <v>-47.535040976579083</v>
      </c>
    </row>
    <row r="120" spans="1:14" x14ac:dyDescent="0.25">
      <c r="L120" s="11">
        <f t="shared" ref="L120:L124" si="37">L119+1</f>
        <v>3</v>
      </c>
      <c r="M120" s="11">
        <f t="shared" si="35"/>
        <v>25</v>
      </c>
      <c r="N120" s="11">
        <f t="shared" si="36"/>
        <v>-43.172232324752386</v>
      </c>
    </row>
    <row r="121" spans="1:14" x14ac:dyDescent="0.25">
      <c r="A121" s="103">
        <f>(A165+A204+A243+A282+A321+A360+A399)*10^9</f>
        <v>9557601773635944</v>
      </c>
      <c r="L121" s="11">
        <f t="shared" si="37"/>
        <v>4</v>
      </c>
      <c r="M121" s="11">
        <f t="shared" si="35"/>
        <v>50</v>
      </c>
      <c r="N121" s="11">
        <f t="shared" si="36"/>
        <v>-36.734495124334281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-24.354268217538582</v>
      </c>
    </row>
    <row r="123" spans="1:14" x14ac:dyDescent="0.25">
      <c r="A123" s="118"/>
      <c r="B123" s="118"/>
      <c r="C123" s="3"/>
      <c r="D123" s="3"/>
      <c r="E123" s="3"/>
      <c r="F123" s="3"/>
      <c r="G123" s="3"/>
      <c r="H123" s="3"/>
      <c r="I123" s="3"/>
      <c r="J123" s="3"/>
      <c r="K123" s="3"/>
      <c r="L123" s="11">
        <f t="shared" si="37"/>
        <v>6</v>
      </c>
      <c r="M123" s="11">
        <f t="shared" si="35"/>
        <v>125</v>
      </c>
      <c r="N123" s="11">
        <f t="shared" si="36"/>
        <v>-4.1297750224271264</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-50.877172842752479</v>
      </c>
      <c r="C126" s="107">
        <v>-47.535040976579083</v>
      </c>
      <c r="D126" s="107">
        <v>-43.172232324752386</v>
      </c>
      <c r="E126" s="107">
        <v>-36.734495124334281</v>
      </c>
      <c r="F126" s="107">
        <v>-24.354268217538582</v>
      </c>
      <c r="G126" s="107">
        <v>-4.1297750224271264</v>
      </c>
      <c r="H126" s="107">
        <v>1.6141220300570035E-2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8" t="s">
        <v>22</v>
      </c>
      <c r="B131" s="27">
        <f>($C$17+SUM(B132:B162))*$B$51</f>
        <v>5930.4079000000011</v>
      </c>
      <c r="C131" s="27">
        <f t="shared" ref="C131:AF131" si="40">($C$17+SUM(C132:C162))*$B$51</f>
        <v>5930.4079000000002</v>
      </c>
      <c r="D131" s="27">
        <f t="shared" si="40"/>
        <v>5930.4078999999992</v>
      </c>
      <c r="E131" s="27">
        <f t="shared" si="40"/>
        <v>5930.407899999992</v>
      </c>
      <c r="F131" s="27">
        <f t="shared" si="40"/>
        <v>5930.4078999999183</v>
      </c>
      <c r="G131" s="27">
        <f t="shared" si="40"/>
        <v>5930.4078999991734</v>
      </c>
      <c r="H131" s="27">
        <f t="shared" si="40"/>
        <v>5930.4078999917319</v>
      </c>
      <c r="I131" s="27">
        <f t="shared" si="40"/>
        <v>5930.4078999173116</v>
      </c>
      <c r="J131" s="27">
        <f t="shared" si="40"/>
        <v>5930.4078991731158</v>
      </c>
      <c r="K131" s="27">
        <f t="shared" si="40"/>
        <v>5930.4078917311472</v>
      </c>
      <c r="L131" s="27">
        <f t="shared" si="40"/>
        <v>5930.4078173114685</v>
      </c>
      <c r="M131" s="27">
        <f t="shared" si="40"/>
        <v>5930.4070731149877</v>
      </c>
      <c r="N131" s="27">
        <f t="shared" si="40"/>
        <v>5930.3996311797246</v>
      </c>
      <c r="O131" s="27">
        <f t="shared" si="40"/>
        <v>5930.3252147824196</v>
      </c>
      <c r="P131" s="27">
        <f t="shared" si="40"/>
        <v>5929.5813462625092</v>
      </c>
      <c r="Q131" s="27">
        <f t="shared" si="40"/>
        <v>5922.1721275969976</v>
      </c>
      <c r="R131" s="27">
        <f t="shared" si="40"/>
        <v>5850.9493693465383</v>
      </c>
      <c r="S131" s="27">
        <f t="shared" si="40"/>
        <v>5361.7928290600748</v>
      </c>
      <c r="T131" s="27">
        <f t="shared" si="40"/>
        <v>4900.0722980740466</v>
      </c>
      <c r="U131" s="27">
        <f t="shared" si="40"/>
        <v>4899.7239922830695</v>
      </c>
      <c r="V131" s="27">
        <f t="shared" si="40"/>
        <v>4899.6206122914573</v>
      </c>
      <c r="W131" s="27">
        <f t="shared" si="40"/>
        <v>4898.587828795211</v>
      </c>
      <c r="X131" s="27">
        <f t="shared" si="40"/>
        <v>4888.3609454930993</v>
      </c>
      <c r="Y131" s="27">
        <f t="shared" si="40"/>
        <v>4795.5310352109336</v>
      </c>
      <c r="Z131" s="27">
        <f t="shared" si="40"/>
        <v>4391.8503855969957</v>
      </c>
      <c r="AA131" s="27">
        <f t="shared" si="40"/>
        <v>4146.391823197604</v>
      </c>
      <c r="AB131" s="27">
        <f t="shared" si="40"/>
        <v>3860.7468794514712</v>
      </c>
      <c r="AC131" s="27">
        <f t="shared" si="40"/>
        <v>3548.9759172910681</v>
      </c>
      <c r="AD131" s="27">
        <f t="shared" si="40"/>
        <v>3146.3293360249236</v>
      </c>
      <c r="AE131" s="27">
        <f t="shared" si="40"/>
        <v>2649.2507424818182</v>
      </c>
      <c r="AF131" s="27">
        <f t="shared" si="40"/>
        <v>2072.1460354013798</v>
      </c>
    </row>
    <row r="132" spans="1:33" x14ac:dyDescent="0.25">
      <c r="B132" s="3">
        <f t="shared" ref="B132:Z133" si="41">$C18*EXP(-B$129/$A18/EXP(-$B$126))</f>
        <v>0.17379452430407935</v>
      </c>
      <c r="C132" s="3">
        <f t="shared" ref="C132:AF132" si="42">$C18*EXP(-C$129/$A18/EXP(-$B$126))</f>
        <v>0.17379452430407932</v>
      </c>
      <c r="D132" s="3">
        <f t="shared" si="42"/>
        <v>0.17379452430407921</v>
      </c>
      <c r="E132" s="3">
        <f t="shared" si="42"/>
        <v>0.17379452430407796</v>
      </c>
      <c r="F132" s="3">
        <f t="shared" si="42"/>
        <v>0.17379452430406539</v>
      </c>
      <c r="G132" s="3">
        <f t="shared" si="42"/>
        <v>0.17379452430393993</v>
      </c>
      <c r="H132" s="3">
        <f t="shared" si="42"/>
        <v>0.17379452430268502</v>
      </c>
      <c r="I132" s="3">
        <f t="shared" si="42"/>
        <v>0.17379452429013623</v>
      </c>
      <c r="J132" s="3">
        <f t="shared" si="42"/>
        <v>0.17379452416464791</v>
      </c>
      <c r="K132" s="3">
        <f t="shared" si="42"/>
        <v>0.1737945229097651</v>
      </c>
      <c r="L132" s="3">
        <f t="shared" si="42"/>
        <v>0.17379451036093732</v>
      </c>
      <c r="M132" s="3">
        <f t="shared" si="42"/>
        <v>0.1737943848727094</v>
      </c>
      <c r="N132" s="3">
        <f t="shared" si="42"/>
        <v>0.17379312999541355</v>
      </c>
      <c r="O132" s="3">
        <f t="shared" si="42"/>
        <v>0.17378058172078881</v>
      </c>
      <c r="P132" s="3">
        <f t="shared" si="42"/>
        <v>0.17365514879457833</v>
      </c>
      <c r="Q132" s="3">
        <f t="shared" si="42"/>
        <v>0.17240578825200931</v>
      </c>
      <c r="R132" s="3">
        <f t="shared" si="42"/>
        <v>0.160396032917755</v>
      </c>
      <c r="S132" s="3">
        <f t="shared" si="42"/>
        <v>7.7913268638559061E-2</v>
      </c>
      <c r="T132" s="3">
        <f t="shared" si="42"/>
        <v>5.6988790720966233E-5</v>
      </c>
      <c r="U132" s="3">
        <f t="shared" si="42"/>
        <v>2.4978687400713927E-36</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9.0899647473980161E-2</v>
      </c>
      <c r="C133" s="3">
        <f t="shared" si="41"/>
        <v>9.0899647473980161E-2</v>
      </c>
      <c r="D133" s="3">
        <f t="shared" si="41"/>
        <v>9.0899647473980161E-2</v>
      </c>
      <c r="E133" s="3">
        <f t="shared" si="41"/>
        <v>9.0899647473980161E-2</v>
      </c>
      <c r="F133" s="3">
        <f t="shared" si="41"/>
        <v>9.0899647473980161E-2</v>
      </c>
      <c r="G133" s="3">
        <f t="shared" si="41"/>
        <v>9.0899647473980161E-2</v>
      </c>
      <c r="H133" s="3">
        <f t="shared" si="41"/>
        <v>9.0899647473980161E-2</v>
      </c>
      <c r="I133" s="3">
        <f t="shared" si="41"/>
        <v>9.0899647473980161E-2</v>
      </c>
      <c r="J133" s="3">
        <f t="shared" si="41"/>
        <v>9.0899647473980147E-2</v>
      </c>
      <c r="K133" s="3">
        <f t="shared" si="41"/>
        <v>9.0899647473979966E-2</v>
      </c>
      <c r="L133" s="3">
        <f t="shared" si="41"/>
        <v>9.0899647473978287E-2</v>
      </c>
      <c r="M133" s="3">
        <f t="shared" si="41"/>
        <v>9.0899647473961481E-2</v>
      </c>
      <c r="N133" s="3">
        <f t="shared" si="41"/>
        <v>9.0899647473793366E-2</v>
      </c>
      <c r="O133" s="3">
        <f t="shared" si="41"/>
        <v>9.0899647472112113E-2</v>
      </c>
      <c r="P133" s="3">
        <f t="shared" si="41"/>
        <v>9.0899647455299645E-2</v>
      </c>
      <c r="Q133" s="3">
        <f t="shared" si="41"/>
        <v>9.0899647287175089E-2</v>
      </c>
      <c r="R133" s="3">
        <f t="shared" si="41"/>
        <v>9.089964560592935E-2</v>
      </c>
      <c r="S133" s="3">
        <f t="shared" si="41"/>
        <v>9.0899628793473783E-2</v>
      </c>
      <c r="T133" s="3">
        <f t="shared" si="41"/>
        <v>9.0899460669089188E-2</v>
      </c>
      <c r="U133" s="3">
        <f t="shared" si="41"/>
        <v>9.0897779442345714E-2</v>
      </c>
      <c r="V133" s="3">
        <f t="shared" si="41"/>
        <v>9.0880968885043892E-2</v>
      </c>
      <c r="W133" s="3">
        <f t="shared" si="41"/>
        <v>9.071303420834384E-2</v>
      </c>
      <c r="X133" s="3">
        <f t="shared" si="41"/>
        <v>8.905066069865053E-2</v>
      </c>
      <c r="Y133" s="3">
        <f t="shared" si="41"/>
        <v>7.4013623986637064E-2</v>
      </c>
      <c r="Z133" s="3">
        <f t="shared" si="41"/>
        <v>1.1642785698438409E-2</v>
      </c>
      <c r="AA133" s="3">
        <f t="shared" ref="AA133:AF133" si="43">$C19*EXP(-AA$129/$A19/EXP(-$B$126))</f>
        <v>1.0802126202524264E-10</v>
      </c>
      <c r="AB133" s="3">
        <f t="shared" si="43"/>
        <v>5.105434142027497E-91</v>
      </c>
      <c r="AC133" s="3">
        <f t="shared" si="43"/>
        <v>0</v>
      </c>
      <c r="AD133" s="3">
        <f t="shared" si="43"/>
        <v>0</v>
      </c>
      <c r="AE133" s="3">
        <f t="shared" si="43"/>
        <v>0</v>
      </c>
      <c r="AF133" s="3">
        <f t="shared" si="43"/>
        <v>0</v>
      </c>
    </row>
    <row r="134" spans="1:33" x14ac:dyDescent="0.25">
      <c r="B134" s="3">
        <f t="shared" ref="B134:Z134" si="44">$C20*EXP(-B$129/$A20/EXP(-$B$126))</f>
        <v>3.1881256705136286E-2</v>
      </c>
      <c r="C134" s="3">
        <f t="shared" si="44"/>
        <v>3.1881256705136286E-2</v>
      </c>
      <c r="D134" s="3">
        <f t="shared" si="44"/>
        <v>3.1881256705136286E-2</v>
      </c>
      <c r="E134" s="3">
        <f t="shared" si="44"/>
        <v>3.1881256705136286E-2</v>
      </c>
      <c r="F134" s="3">
        <f t="shared" si="44"/>
        <v>3.1881256705136286E-2</v>
      </c>
      <c r="G134" s="3">
        <f t="shared" si="44"/>
        <v>3.1881256705136286E-2</v>
      </c>
      <c r="H134" s="3">
        <f t="shared" si="44"/>
        <v>3.1881256705136286E-2</v>
      </c>
      <c r="I134" s="3">
        <f t="shared" si="44"/>
        <v>3.1881256705136286E-2</v>
      </c>
      <c r="J134" s="3">
        <f t="shared" si="44"/>
        <v>3.1881256705136286E-2</v>
      </c>
      <c r="K134" s="3">
        <f t="shared" si="44"/>
        <v>3.1881256705136279E-2</v>
      </c>
      <c r="L134" s="3">
        <f t="shared" si="44"/>
        <v>3.1881256705136224E-2</v>
      </c>
      <c r="M134" s="3">
        <f t="shared" si="44"/>
        <v>3.1881256705135697E-2</v>
      </c>
      <c r="N134" s="3">
        <f t="shared" si="44"/>
        <v>3.1881256705130374E-2</v>
      </c>
      <c r="O134" s="3">
        <f t="shared" si="44"/>
        <v>3.1881256705077181E-2</v>
      </c>
      <c r="P134" s="3">
        <f t="shared" si="44"/>
        <v>3.1881256704545259E-2</v>
      </c>
      <c r="Q134" s="3">
        <f t="shared" si="44"/>
        <v>3.1881256699226E-2</v>
      </c>
      <c r="R134" s="3">
        <f t="shared" si="44"/>
        <v>3.1881256646033425E-2</v>
      </c>
      <c r="S134" s="3">
        <f t="shared" si="44"/>
        <v>3.1881256114107671E-2</v>
      </c>
      <c r="T134" s="3">
        <f t="shared" si="44"/>
        <v>3.1881250794850609E-2</v>
      </c>
      <c r="U134" s="3">
        <f t="shared" si="44"/>
        <v>3.1881197602328853E-2</v>
      </c>
      <c r="V134" s="3">
        <f t="shared" si="44"/>
        <v>3.1880665681992451E-2</v>
      </c>
      <c r="W134" s="3">
        <f t="shared" si="44"/>
        <v>3.1875346966717948E-2</v>
      </c>
      <c r="X134" s="3">
        <f t="shared" si="44"/>
        <v>3.1822208592810666E-2</v>
      </c>
      <c r="Y134" s="3">
        <f t="shared" si="44"/>
        <v>3.1295672758792643E-2</v>
      </c>
      <c r="Z134" s="3">
        <f t="shared" si="44"/>
        <v>2.6486466850532315E-2</v>
      </c>
      <c r="AA134" s="3">
        <f t="shared" ref="AA134" si="45">$C20*EXP(-AA$129/$A20/EXP(-$B$126))</f>
        <v>4.9936880231965311E-3</v>
      </c>
      <c r="AB134" s="3">
        <f t="shared" ref="AB134:AF143" si="46">$C20*EXP(-AB$129/$A20/EXP(-$B$126))</f>
        <v>2.8339695302874816E-10</v>
      </c>
      <c r="AC134" s="3">
        <f t="shared" si="46"/>
        <v>9.820483625022415E-83</v>
      </c>
      <c r="AD134" s="3">
        <f t="shared" si="46"/>
        <v>0</v>
      </c>
      <c r="AE134" s="3">
        <f t="shared" si="46"/>
        <v>0</v>
      </c>
      <c r="AF134" s="3">
        <f t="shared" si="46"/>
        <v>0</v>
      </c>
    </row>
    <row r="135" spans="1:33" x14ac:dyDescent="0.25">
      <c r="B135" s="3">
        <f t="shared" ref="B135:Z135" si="47">$C21*EXP(-B$129/$A21/EXP(-$B$126))</f>
        <v>5.4295186308030693E-2</v>
      </c>
      <c r="C135" s="3">
        <f t="shared" si="47"/>
        <v>5.4295186308030693E-2</v>
      </c>
      <c r="D135" s="3">
        <f t="shared" si="47"/>
        <v>5.4295186308030693E-2</v>
      </c>
      <c r="E135" s="3">
        <f t="shared" si="47"/>
        <v>5.4295186308030693E-2</v>
      </c>
      <c r="F135" s="3">
        <f t="shared" si="47"/>
        <v>5.4295186308030693E-2</v>
      </c>
      <c r="G135" s="3">
        <f t="shared" si="47"/>
        <v>5.4295186308030693E-2</v>
      </c>
      <c r="H135" s="3">
        <f t="shared" si="47"/>
        <v>5.4295186308030693E-2</v>
      </c>
      <c r="I135" s="3">
        <f t="shared" si="47"/>
        <v>5.4295186308030693E-2</v>
      </c>
      <c r="J135" s="3">
        <f t="shared" si="47"/>
        <v>5.4295186308030693E-2</v>
      </c>
      <c r="K135" s="3">
        <f t="shared" si="47"/>
        <v>5.4295186308030693E-2</v>
      </c>
      <c r="L135" s="3">
        <f t="shared" si="47"/>
        <v>5.429518630803068E-2</v>
      </c>
      <c r="M135" s="3">
        <f t="shared" si="47"/>
        <v>5.4295186308030603E-2</v>
      </c>
      <c r="N135" s="3">
        <f t="shared" si="47"/>
        <v>5.4295186308029784E-2</v>
      </c>
      <c r="O135" s="3">
        <f t="shared" si="47"/>
        <v>5.4295186308021617E-2</v>
      </c>
      <c r="P135" s="3">
        <f t="shared" si="47"/>
        <v>5.4295186307939891E-2</v>
      </c>
      <c r="Q135" s="3">
        <f t="shared" si="47"/>
        <v>5.4295186307122704E-2</v>
      </c>
      <c r="R135" s="3">
        <f t="shared" si="47"/>
        <v>5.4295186298950797E-2</v>
      </c>
      <c r="S135" s="3">
        <f t="shared" si="47"/>
        <v>5.4295186217231707E-2</v>
      </c>
      <c r="T135" s="3">
        <f t="shared" si="47"/>
        <v>5.4295185400040843E-2</v>
      </c>
      <c r="U135" s="3">
        <f t="shared" si="47"/>
        <v>5.4295177228132825E-2</v>
      </c>
      <c r="V135" s="3">
        <f t="shared" si="47"/>
        <v>5.4295095509120372E-2</v>
      </c>
      <c r="W135" s="3">
        <f t="shared" si="47"/>
        <v>5.4294278325760503E-2</v>
      </c>
      <c r="X135" s="3">
        <f t="shared" si="47"/>
        <v>5.4286107168589622E-2</v>
      </c>
      <c r="Y135" s="3">
        <f t="shared" si="47"/>
        <v>5.4204463202016259E-2</v>
      </c>
      <c r="Z135" s="3">
        <f t="shared" si="47"/>
        <v>5.339474655276568E-2</v>
      </c>
      <c r="AA135" s="3">
        <f t="shared" ref="AA135" si="48">$C21*EXP(-AA$129/$A21/EXP(-$B$126))</f>
        <v>4.5933902549298661E-2</v>
      </c>
      <c r="AB135" s="3">
        <f t="shared" si="46"/>
        <v>1.0197213155916134E-2</v>
      </c>
      <c r="AC135" s="3">
        <f t="shared" si="46"/>
        <v>2.9645789922613955E-9</v>
      </c>
      <c r="AD135" s="3">
        <f t="shared" si="46"/>
        <v>1.2787284223177201E-74</v>
      </c>
      <c r="AE135" s="3">
        <f t="shared" si="46"/>
        <v>0</v>
      </c>
      <c r="AF135" s="3">
        <f t="shared" si="46"/>
        <v>0</v>
      </c>
    </row>
    <row r="136" spans="1:33" x14ac:dyDescent="0.25">
      <c r="B136" s="3">
        <f t="shared" ref="B136:Z136" si="49">$C22*EXP(-B$129/$A22/EXP(-$B$126))</f>
        <v>5.1307510130975835E-2</v>
      </c>
      <c r="C136" s="3">
        <f t="shared" si="49"/>
        <v>5.1307510130975835E-2</v>
      </c>
      <c r="D136" s="3">
        <f t="shared" si="49"/>
        <v>5.1307510130975835E-2</v>
      </c>
      <c r="E136" s="3">
        <f t="shared" si="49"/>
        <v>5.1307510130975835E-2</v>
      </c>
      <c r="F136" s="3">
        <f t="shared" si="49"/>
        <v>5.1307510130975835E-2</v>
      </c>
      <c r="G136" s="3">
        <f t="shared" si="49"/>
        <v>5.1307510130975835E-2</v>
      </c>
      <c r="H136" s="3">
        <f t="shared" si="49"/>
        <v>5.1307510130975835E-2</v>
      </c>
      <c r="I136" s="3">
        <f t="shared" si="49"/>
        <v>5.1307510130975835E-2</v>
      </c>
      <c r="J136" s="3">
        <f t="shared" si="49"/>
        <v>5.1307510130975835E-2</v>
      </c>
      <c r="K136" s="3">
        <f t="shared" si="49"/>
        <v>5.1307510130975835E-2</v>
      </c>
      <c r="L136" s="3">
        <f t="shared" si="49"/>
        <v>5.1307510130975835E-2</v>
      </c>
      <c r="M136" s="3">
        <f t="shared" si="49"/>
        <v>5.1307510130975828E-2</v>
      </c>
      <c r="N136" s="3">
        <f t="shared" si="49"/>
        <v>5.1307510130975759E-2</v>
      </c>
      <c r="O136" s="3">
        <f t="shared" si="49"/>
        <v>5.1307510130975058E-2</v>
      </c>
      <c r="P136" s="3">
        <f t="shared" si="49"/>
        <v>5.1307510130968091E-2</v>
      </c>
      <c r="Q136" s="3">
        <f t="shared" si="49"/>
        <v>5.1307510130898432E-2</v>
      </c>
      <c r="R136" s="3">
        <f t="shared" si="49"/>
        <v>5.1307510130201822E-2</v>
      </c>
      <c r="S136" s="3">
        <f t="shared" si="49"/>
        <v>5.1307510123235721E-2</v>
      </c>
      <c r="T136" s="3">
        <f t="shared" si="49"/>
        <v>5.1307510053574729E-2</v>
      </c>
      <c r="U136" s="3">
        <f t="shared" si="49"/>
        <v>5.1307509356964716E-2</v>
      </c>
      <c r="V136" s="3">
        <f t="shared" si="49"/>
        <v>5.1307502390865178E-2</v>
      </c>
      <c r="W136" s="3">
        <f t="shared" si="49"/>
        <v>5.130743272992179E-2</v>
      </c>
      <c r="X136" s="3">
        <f t="shared" si="49"/>
        <v>5.1306736125689811E-2</v>
      </c>
      <c r="Y136" s="3">
        <f t="shared" si="49"/>
        <v>5.1299770603529977E-2</v>
      </c>
      <c r="Z136" s="3">
        <f t="shared" si="49"/>
        <v>5.1230167371808327E-2</v>
      </c>
      <c r="AA136" s="3">
        <f t="shared" ref="AA136" si="50">$C22*EXP(-AA$129/$A22/EXP(-$B$126))</f>
        <v>5.053930801948292E-2</v>
      </c>
      <c r="AB136" s="3">
        <f t="shared" si="46"/>
        <v>4.4122941441145064E-2</v>
      </c>
      <c r="AC136" s="3">
        <f t="shared" si="46"/>
        <v>1.1350529249345058E-2</v>
      </c>
      <c r="AD136" s="3">
        <f t="shared" si="46"/>
        <v>1.440564358394849E-8</v>
      </c>
      <c r="AE136" s="3">
        <f t="shared" si="46"/>
        <v>1.5620617535088008E-67</v>
      </c>
      <c r="AF136" s="3">
        <f t="shared" si="46"/>
        <v>0</v>
      </c>
    </row>
    <row r="137" spans="1:33" x14ac:dyDescent="0.25">
      <c r="B137" s="3">
        <f t="shared" ref="B137:Z137" si="51">$C23*EXP(-B$129/$A23/EXP(-$B$126))</f>
        <v>7.4663981933644916E-2</v>
      </c>
      <c r="C137" s="3">
        <f t="shared" si="51"/>
        <v>7.4663981933644916E-2</v>
      </c>
      <c r="D137" s="3">
        <f t="shared" si="51"/>
        <v>7.4663981933644916E-2</v>
      </c>
      <c r="E137" s="3">
        <f t="shared" si="51"/>
        <v>7.4663981933644916E-2</v>
      </c>
      <c r="F137" s="3">
        <f t="shared" si="51"/>
        <v>7.4663981933644916E-2</v>
      </c>
      <c r="G137" s="3">
        <f t="shared" si="51"/>
        <v>7.4663981933644916E-2</v>
      </c>
      <c r="H137" s="3">
        <f t="shared" si="51"/>
        <v>7.4663981933644916E-2</v>
      </c>
      <c r="I137" s="3">
        <f t="shared" si="51"/>
        <v>7.4663981933644916E-2</v>
      </c>
      <c r="J137" s="3">
        <f t="shared" si="51"/>
        <v>7.4663981933644916E-2</v>
      </c>
      <c r="K137" s="3">
        <f t="shared" si="51"/>
        <v>7.4663981933644916E-2</v>
      </c>
      <c r="L137" s="3">
        <f t="shared" si="51"/>
        <v>7.4663981933644916E-2</v>
      </c>
      <c r="M137" s="3">
        <f t="shared" si="51"/>
        <v>7.4663981933644916E-2</v>
      </c>
      <c r="N137" s="3">
        <f t="shared" si="51"/>
        <v>7.4663981933644902E-2</v>
      </c>
      <c r="O137" s="3">
        <f t="shared" si="51"/>
        <v>7.4663981933644819E-2</v>
      </c>
      <c r="P137" s="3">
        <f t="shared" si="51"/>
        <v>7.4663981933643903E-2</v>
      </c>
      <c r="Q137" s="3">
        <f t="shared" si="51"/>
        <v>7.4663981933634757E-2</v>
      </c>
      <c r="R137" s="3">
        <f t="shared" si="51"/>
        <v>7.4663981933543302E-2</v>
      </c>
      <c r="S137" s="3">
        <f t="shared" si="51"/>
        <v>7.466398193262884E-2</v>
      </c>
      <c r="T137" s="3">
        <f t="shared" si="51"/>
        <v>7.466398192348421E-2</v>
      </c>
      <c r="U137" s="3">
        <f t="shared" si="51"/>
        <v>7.4663981832037832E-2</v>
      </c>
      <c r="V137" s="3">
        <f t="shared" si="51"/>
        <v>7.4663980917574049E-2</v>
      </c>
      <c r="W137" s="3">
        <f t="shared" si="51"/>
        <v>7.4663971772936877E-2</v>
      </c>
      <c r="X137" s="3">
        <f t="shared" si="51"/>
        <v>7.4663880326626825E-2</v>
      </c>
      <c r="Y137" s="3">
        <f t="shared" si="51"/>
        <v>7.4662965869686293E-2</v>
      </c>
      <c r="Z137" s="3">
        <f t="shared" si="51"/>
        <v>7.4653821916255414E-2</v>
      </c>
      <c r="AA137" s="3">
        <f t="shared" ref="AA137" si="52">$C23*EXP(-AA$129/$A23/EXP(-$B$126))</f>
        <v>7.4562443951486576E-2</v>
      </c>
      <c r="AB137" s="3">
        <f t="shared" si="46"/>
        <v>7.3654793447766154E-2</v>
      </c>
      <c r="AC137" s="3">
        <f t="shared" si="46"/>
        <v>6.5164314323730765E-2</v>
      </c>
      <c r="AD137" s="3">
        <f t="shared" si="46"/>
        <v>1.9146877951174656E-2</v>
      </c>
      <c r="AE137" s="3">
        <f t="shared" si="46"/>
        <v>9.1828895323011486E-8</v>
      </c>
      <c r="AF137" s="3">
        <f t="shared" si="46"/>
        <v>5.9128010910925777E-61</v>
      </c>
    </row>
    <row r="138" spans="1:33" x14ac:dyDescent="0.25">
      <c r="B138" s="3">
        <f t="shared" ref="B138:Z138" si="53">$C24*EXP(-B$129/$A24/EXP(-$B$126))</f>
        <v>9.0647969973627479E-2</v>
      </c>
      <c r="C138" s="3">
        <f t="shared" si="53"/>
        <v>9.0647969973627479E-2</v>
      </c>
      <c r="D138" s="3">
        <f t="shared" si="53"/>
        <v>9.0647969973627479E-2</v>
      </c>
      <c r="E138" s="3">
        <f t="shared" si="53"/>
        <v>9.0647969973627479E-2</v>
      </c>
      <c r="F138" s="3">
        <f t="shared" si="53"/>
        <v>9.0647969973627479E-2</v>
      </c>
      <c r="G138" s="3">
        <f t="shared" si="53"/>
        <v>9.0647969973627479E-2</v>
      </c>
      <c r="H138" s="3">
        <f t="shared" si="53"/>
        <v>9.0647969973627479E-2</v>
      </c>
      <c r="I138" s="3">
        <f t="shared" si="53"/>
        <v>9.0647969973627479E-2</v>
      </c>
      <c r="J138" s="3">
        <f t="shared" si="53"/>
        <v>9.0647969973627479E-2</v>
      </c>
      <c r="K138" s="3">
        <f t="shared" si="53"/>
        <v>9.0647969973627479E-2</v>
      </c>
      <c r="L138" s="3">
        <f t="shared" si="53"/>
        <v>9.0647969973627479E-2</v>
      </c>
      <c r="M138" s="3">
        <f t="shared" si="53"/>
        <v>9.0647969973627479E-2</v>
      </c>
      <c r="N138" s="3">
        <f t="shared" si="53"/>
        <v>9.0647969973627479E-2</v>
      </c>
      <c r="O138" s="3">
        <f t="shared" si="53"/>
        <v>9.0647969973627465E-2</v>
      </c>
      <c r="P138" s="3">
        <f t="shared" si="53"/>
        <v>9.0647969973627368E-2</v>
      </c>
      <c r="Q138" s="3">
        <f t="shared" si="53"/>
        <v>9.0647969973626369E-2</v>
      </c>
      <c r="R138" s="3">
        <f t="shared" si="53"/>
        <v>9.0647969973616349E-2</v>
      </c>
      <c r="S138" s="3">
        <f t="shared" si="53"/>
        <v>9.0647969973516207E-2</v>
      </c>
      <c r="T138" s="3">
        <f t="shared" si="53"/>
        <v>9.0647969972514675E-2</v>
      </c>
      <c r="U138" s="3">
        <f t="shared" si="53"/>
        <v>9.0647969962499478E-2</v>
      </c>
      <c r="V138" s="3">
        <f t="shared" si="53"/>
        <v>9.0647969862347369E-2</v>
      </c>
      <c r="W138" s="3">
        <f t="shared" si="53"/>
        <v>9.0647968860826433E-2</v>
      </c>
      <c r="X138" s="3">
        <f t="shared" si="53"/>
        <v>9.0647958845617646E-2</v>
      </c>
      <c r="Y138" s="3">
        <f t="shared" si="53"/>
        <v>9.0647858693590599E-2</v>
      </c>
      <c r="Z138" s="3">
        <f t="shared" si="53"/>
        <v>9.0646857179406071E-2</v>
      </c>
      <c r="AA138" s="3">
        <f t="shared" ref="AA138" si="54">$C24*EXP(-AA$129/$A24/EXP(-$B$126))</f>
        <v>9.0636842646122859E-2</v>
      </c>
      <c r="AB138" s="3">
        <f t="shared" si="46"/>
        <v>9.0536758144637991E-2</v>
      </c>
      <c r="AC138" s="3">
        <f t="shared" si="46"/>
        <v>8.9541971470380538E-2</v>
      </c>
      <c r="AD138" s="3">
        <f t="shared" si="46"/>
        <v>8.0175887719413974E-2</v>
      </c>
      <c r="AE138" s="3">
        <f t="shared" si="46"/>
        <v>2.6559202355701479E-2</v>
      </c>
      <c r="AF138" s="3">
        <f t="shared" si="46"/>
        <v>4.2259809447573093E-7</v>
      </c>
    </row>
    <row r="139" spans="1:33" x14ac:dyDescent="0.25">
      <c r="B139" s="3">
        <f t="shared" ref="B139:Z139" si="55">$C25*EXP(-B$129/$A25/EXP(-$B$126))</f>
        <v>0.10513898706376987</v>
      </c>
      <c r="C139" s="3">
        <f t="shared" si="55"/>
        <v>0.10513898706376987</v>
      </c>
      <c r="D139" s="3">
        <f t="shared" si="55"/>
        <v>0.10513898706376987</v>
      </c>
      <c r="E139" s="3">
        <f t="shared" si="55"/>
        <v>0.10513898706376987</v>
      </c>
      <c r="F139" s="3">
        <f t="shared" si="55"/>
        <v>0.10513898706376987</v>
      </c>
      <c r="G139" s="3">
        <f t="shared" si="55"/>
        <v>0.10513898706376987</v>
      </c>
      <c r="H139" s="3">
        <f t="shared" si="55"/>
        <v>0.10513898706376987</v>
      </c>
      <c r="I139" s="3">
        <f t="shared" si="55"/>
        <v>0.10513898706376987</v>
      </c>
      <c r="J139" s="3">
        <f t="shared" si="55"/>
        <v>0.10513898706376987</v>
      </c>
      <c r="K139" s="3">
        <f t="shared" si="55"/>
        <v>0.10513898706376987</v>
      </c>
      <c r="L139" s="3">
        <f t="shared" si="55"/>
        <v>0.10513898706376987</v>
      </c>
      <c r="M139" s="3">
        <f t="shared" si="55"/>
        <v>0.10513898706376987</v>
      </c>
      <c r="N139" s="3">
        <f t="shared" si="55"/>
        <v>0.10513898706376987</v>
      </c>
      <c r="O139" s="3">
        <f t="shared" si="55"/>
        <v>0.10513898706376987</v>
      </c>
      <c r="P139" s="3">
        <f t="shared" si="55"/>
        <v>0.10513898706376985</v>
      </c>
      <c r="Q139" s="3">
        <f t="shared" si="55"/>
        <v>0.10513898706376976</v>
      </c>
      <c r="R139" s="3">
        <f t="shared" si="55"/>
        <v>0.1051389870637687</v>
      </c>
      <c r="S139" s="3">
        <f t="shared" si="55"/>
        <v>0.10513898706375822</v>
      </c>
      <c r="T139" s="3">
        <f t="shared" si="55"/>
        <v>0.10513898706365343</v>
      </c>
      <c r="U139" s="3">
        <f t="shared" si="55"/>
        <v>0.10513898706260555</v>
      </c>
      <c r="V139" s="3">
        <f t="shared" si="55"/>
        <v>0.10513898705212674</v>
      </c>
      <c r="W139" s="3">
        <f t="shared" si="55"/>
        <v>0.10513898694733854</v>
      </c>
      <c r="X139" s="3">
        <f t="shared" si="55"/>
        <v>0.10513898589945667</v>
      </c>
      <c r="Y139" s="3">
        <f t="shared" si="55"/>
        <v>0.10513897542063844</v>
      </c>
      <c r="Z139" s="3">
        <f t="shared" si="55"/>
        <v>0.10513887063251348</v>
      </c>
      <c r="AA139" s="3">
        <f t="shared" ref="AA139" si="56">$C25*EXP(-AA$129/$A25/EXP(-$B$126))</f>
        <v>0.1051378227570082</v>
      </c>
      <c r="AB139" s="3">
        <f t="shared" si="46"/>
        <v>0.10512734457634378</v>
      </c>
      <c r="AC139" s="3">
        <f t="shared" si="46"/>
        <v>0.10502262018737882</v>
      </c>
      <c r="AD139" s="3">
        <f t="shared" si="46"/>
        <v>0.10398109694831642</v>
      </c>
      <c r="AE139" s="3">
        <f t="shared" si="46"/>
        <v>9.4117384499787043E-2</v>
      </c>
      <c r="AF139" s="3">
        <f t="shared" si="46"/>
        <v>3.4739566911573039E-2</v>
      </c>
    </row>
    <row r="140" spans="1:33" x14ac:dyDescent="0.25">
      <c r="B140" s="3">
        <f t="shared" ref="B140:Z140" si="57">$C26*EXP(-B$129/$A26/EXP(-$B$126))</f>
        <v>0.12480864845095105</v>
      </c>
      <c r="C140" s="3">
        <f t="shared" si="57"/>
        <v>0.12480864845095105</v>
      </c>
      <c r="D140" s="3">
        <f t="shared" si="57"/>
        <v>0.12480864845095105</v>
      </c>
      <c r="E140" s="3">
        <f t="shared" si="57"/>
        <v>0.12480864845095105</v>
      </c>
      <c r="F140" s="3">
        <f t="shared" si="57"/>
        <v>0.12480864845095105</v>
      </c>
      <c r="G140" s="3">
        <f t="shared" si="57"/>
        <v>0.12480864845095105</v>
      </c>
      <c r="H140" s="3">
        <f t="shared" si="57"/>
        <v>0.12480864845095105</v>
      </c>
      <c r="I140" s="3">
        <f t="shared" si="57"/>
        <v>0.12480864845095105</v>
      </c>
      <c r="J140" s="3">
        <f t="shared" si="57"/>
        <v>0.12480864845095105</v>
      </c>
      <c r="K140" s="3">
        <f t="shared" si="57"/>
        <v>0.12480864845095105</v>
      </c>
      <c r="L140" s="3">
        <f t="shared" si="57"/>
        <v>0.12480864845095105</v>
      </c>
      <c r="M140" s="3">
        <f t="shared" si="57"/>
        <v>0.12480864845095105</v>
      </c>
      <c r="N140" s="3">
        <f t="shared" si="57"/>
        <v>0.12480864845095105</v>
      </c>
      <c r="O140" s="3">
        <f t="shared" si="57"/>
        <v>0.12480864845095105</v>
      </c>
      <c r="P140" s="3">
        <f t="shared" si="57"/>
        <v>0.12480864845095105</v>
      </c>
      <c r="Q140" s="3">
        <f t="shared" si="57"/>
        <v>0.12480864845095103</v>
      </c>
      <c r="R140" s="3">
        <f t="shared" si="57"/>
        <v>0.12480864845095092</v>
      </c>
      <c r="S140" s="3">
        <f t="shared" si="57"/>
        <v>0.1248086484509498</v>
      </c>
      <c r="T140" s="3">
        <f t="shared" si="57"/>
        <v>0.12480864845093857</v>
      </c>
      <c r="U140" s="3">
        <f t="shared" si="57"/>
        <v>0.12480864845082637</v>
      </c>
      <c r="V140" s="3">
        <f t="shared" si="57"/>
        <v>0.12480864844970425</v>
      </c>
      <c r="W140" s="3">
        <f t="shared" si="57"/>
        <v>0.12480864843848302</v>
      </c>
      <c r="X140" s="3">
        <f t="shared" si="57"/>
        <v>0.12480864832627089</v>
      </c>
      <c r="Y140" s="3">
        <f t="shared" si="57"/>
        <v>0.12480864720414958</v>
      </c>
      <c r="Z140" s="3">
        <f t="shared" si="57"/>
        <v>0.12480863598293694</v>
      </c>
      <c r="AA140" s="3">
        <f t="shared" ref="AA140" si="58">$C26*EXP(-AA$129/$A26/EXP(-$B$126))</f>
        <v>0.12480852377086596</v>
      </c>
      <c r="AB140" s="3">
        <f t="shared" si="46"/>
        <v>0.12480740165570503</v>
      </c>
      <c r="AC140" s="3">
        <f t="shared" si="46"/>
        <v>0.12479618105895325</v>
      </c>
      <c r="AD140" s="3">
        <f t="shared" si="46"/>
        <v>0.12468403055874869</v>
      </c>
      <c r="AE140" s="3">
        <f t="shared" si="46"/>
        <v>0.12356805388071346</v>
      </c>
      <c r="AF140" s="3">
        <f t="shared" si="46"/>
        <v>0.1129431630710741</v>
      </c>
    </row>
    <row r="141" spans="1:33" x14ac:dyDescent="0.25">
      <c r="B141" s="3">
        <f t="shared" ref="B141:Z141" si="59">$C27*EXP(-B$129/$A27/EXP(-$B$126))</f>
        <v>8.8034867704118849E-2</v>
      </c>
      <c r="C141" s="3">
        <f t="shared" si="59"/>
        <v>8.8034867704118849E-2</v>
      </c>
      <c r="D141" s="3">
        <f t="shared" si="59"/>
        <v>8.8034867704118849E-2</v>
      </c>
      <c r="E141" s="3">
        <f t="shared" si="59"/>
        <v>8.8034867704118849E-2</v>
      </c>
      <c r="F141" s="3">
        <f t="shared" si="59"/>
        <v>8.8034867704118849E-2</v>
      </c>
      <c r="G141" s="3">
        <f t="shared" si="59"/>
        <v>8.8034867704118849E-2</v>
      </c>
      <c r="H141" s="3">
        <f t="shared" si="59"/>
        <v>8.8034867704118849E-2</v>
      </c>
      <c r="I141" s="3">
        <f t="shared" si="59"/>
        <v>8.8034867704118849E-2</v>
      </c>
      <c r="J141" s="3">
        <f t="shared" si="59"/>
        <v>8.8034867704118849E-2</v>
      </c>
      <c r="K141" s="3">
        <f t="shared" si="59"/>
        <v>8.8034867704118849E-2</v>
      </c>
      <c r="L141" s="3">
        <f t="shared" si="59"/>
        <v>8.8034867704118849E-2</v>
      </c>
      <c r="M141" s="3">
        <f t="shared" si="59"/>
        <v>8.8034867704118849E-2</v>
      </c>
      <c r="N141" s="3">
        <f t="shared" si="59"/>
        <v>8.8034867704118849E-2</v>
      </c>
      <c r="O141" s="3">
        <f t="shared" si="59"/>
        <v>8.8034867704118849E-2</v>
      </c>
      <c r="P141" s="3">
        <f t="shared" si="59"/>
        <v>8.8034867704118849E-2</v>
      </c>
      <c r="Q141" s="3">
        <f t="shared" si="59"/>
        <v>8.8034867704118849E-2</v>
      </c>
      <c r="R141" s="3">
        <f t="shared" si="59"/>
        <v>8.8034867704118835E-2</v>
      </c>
      <c r="S141" s="3">
        <f t="shared" si="59"/>
        <v>8.8034867704118766E-2</v>
      </c>
      <c r="T141" s="3">
        <f t="shared" si="59"/>
        <v>8.8034867704118058E-2</v>
      </c>
      <c r="U141" s="3">
        <f t="shared" si="59"/>
        <v>8.8034867704110911E-2</v>
      </c>
      <c r="V141" s="3">
        <f t="shared" si="59"/>
        <v>8.803486770403951E-2</v>
      </c>
      <c r="W141" s="3">
        <f t="shared" si="59"/>
        <v>8.8034867703325512E-2</v>
      </c>
      <c r="X141" s="3">
        <f t="shared" si="59"/>
        <v>8.8034867696185543E-2</v>
      </c>
      <c r="Y141" s="3">
        <f t="shared" si="59"/>
        <v>8.8034867624785837E-2</v>
      </c>
      <c r="Z141" s="3">
        <f t="shared" si="59"/>
        <v>8.8034866910788753E-2</v>
      </c>
      <c r="AA141" s="3">
        <f t="shared" ref="AA141" si="60">$C27*EXP(-AA$129/$A27/EXP(-$B$126))</f>
        <v>8.803485977081818E-2</v>
      </c>
      <c r="AB141" s="3">
        <f t="shared" si="46"/>
        <v>8.8034788371144382E-2</v>
      </c>
      <c r="AC141" s="3">
        <f t="shared" si="46"/>
        <v>8.8034074377591226E-2</v>
      </c>
      <c r="AD141" s="3">
        <f t="shared" si="46"/>
        <v>8.8026934760542838E-2</v>
      </c>
      <c r="AE141" s="3">
        <f t="shared" si="46"/>
        <v>8.7955570428812899E-2</v>
      </c>
      <c r="AF141" s="3">
        <f t="shared" si="46"/>
        <v>8.724510145328665E-2</v>
      </c>
    </row>
    <row r="142" spans="1:33" x14ac:dyDescent="0.25">
      <c r="B142" s="3">
        <f t="shared" ref="B142:Z142" si="61">$C28*EXP(-B$129/$A28/EXP(-$B$126))</f>
        <v>5.3040160566801761E-2</v>
      </c>
      <c r="C142" s="3">
        <f t="shared" si="61"/>
        <v>5.3040160566801761E-2</v>
      </c>
      <c r="D142" s="3">
        <f t="shared" si="61"/>
        <v>5.3040160566801761E-2</v>
      </c>
      <c r="E142" s="3">
        <f t="shared" si="61"/>
        <v>5.3040160566801761E-2</v>
      </c>
      <c r="F142" s="3">
        <f t="shared" si="61"/>
        <v>5.3040160566801761E-2</v>
      </c>
      <c r="G142" s="3">
        <f t="shared" si="61"/>
        <v>5.3040160566801761E-2</v>
      </c>
      <c r="H142" s="3">
        <f t="shared" si="61"/>
        <v>5.3040160566801761E-2</v>
      </c>
      <c r="I142" s="3">
        <f t="shared" si="61"/>
        <v>5.3040160566801761E-2</v>
      </c>
      <c r="J142" s="3">
        <f t="shared" si="61"/>
        <v>5.3040160566801761E-2</v>
      </c>
      <c r="K142" s="3">
        <f t="shared" si="61"/>
        <v>5.3040160566801761E-2</v>
      </c>
      <c r="L142" s="3">
        <f t="shared" si="61"/>
        <v>5.3040160566801761E-2</v>
      </c>
      <c r="M142" s="3">
        <f t="shared" si="61"/>
        <v>5.3040160566801761E-2</v>
      </c>
      <c r="N142" s="3">
        <f t="shared" si="61"/>
        <v>5.3040160566801761E-2</v>
      </c>
      <c r="O142" s="3">
        <f t="shared" si="61"/>
        <v>5.3040160566801761E-2</v>
      </c>
      <c r="P142" s="3">
        <f t="shared" si="61"/>
        <v>5.3040160566801761E-2</v>
      </c>
      <c r="Q142" s="3">
        <f t="shared" si="61"/>
        <v>5.3040160566801761E-2</v>
      </c>
      <c r="R142" s="3">
        <f t="shared" si="61"/>
        <v>5.3040160566801761E-2</v>
      </c>
      <c r="S142" s="3">
        <f t="shared" si="61"/>
        <v>5.3040160566801754E-2</v>
      </c>
      <c r="T142" s="3">
        <f t="shared" si="61"/>
        <v>5.304016056680172E-2</v>
      </c>
      <c r="U142" s="3">
        <f t="shared" si="61"/>
        <v>5.3040160566801331E-2</v>
      </c>
      <c r="V142" s="3">
        <f t="shared" si="61"/>
        <v>5.3040160566797452E-2</v>
      </c>
      <c r="W142" s="3">
        <f t="shared" si="61"/>
        <v>5.3040160566758643E-2</v>
      </c>
      <c r="X142" s="3">
        <f t="shared" si="61"/>
        <v>5.3040160566370592E-2</v>
      </c>
      <c r="Y142" s="3">
        <f t="shared" si="61"/>
        <v>5.3040160562490037E-2</v>
      </c>
      <c r="Z142" s="3">
        <f t="shared" si="61"/>
        <v>5.304016052368455E-2</v>
      </c>
      <c r="AA142" s="3">
        <f t="shared" ref="AA142" si="62">$C28*EXP(-AA$129/$A28/EXP(-$B$126))</f>
        <v>5.304016013562967E-2</v>
      </c>
      <c r="AB142" s="3">
        <f t="shared" si="46"/>
        <v>5.3040156255081058E-2</v>
      </c>
      <c r="AC142" s="3">
        <f t="shared" si="46"/>
        <v>5.304011744961052E-2</v>
      </c>
      <c r="AD142" s="3">
        <f t="shared" si="46"/>
        <v>5.3039729396466624E-2</v>
      </c>
      <c r="AE142" s="3">
        <f t="shared" si="46"/>
        <v>5.3035849021173725E-2</v>
      </c>
      <c r="AF142" s="3">
        <f t="shared" si="46"/>
        <v>5.2997060878626975E-2</v>
      </c>
    </row>
    <row r="143" spans="1:33" x14ac:dyDescent="0.25">
      <c r="B143" s="3">
        <f t="shared" ref="B143:Z143" si="63">$C29*EXP(-B$129/$A29/EXP(-$B$126))</f>
        <v>2.9418988584786216E-2</v>
      </c>
      <c r="C143" s="3">
        <f t="shared" si="63"/>
        <v>2.9418988584786216E-2</v>
      </c>
      <c r="D143" s="3">
        <f t="shared" si="63"/>
        <v>2.9418988584786216E-2</v>
      </c>
      <c r="E143" s="3">
        <f t="shared" si="63"/>
        <v>2.9418988584786216E-2</v>
      </c>
      <c r="F143" s="3">
        <f t="shared" si="63"/>
        <v>2.9418988584786216E-2</v>
      </c>
      <c r="G143" s="3">
        <f t="shared" si="63"/>
        <v>2.9418988584786216E-2</v>
      </c>
      <c r="H143" s="3">
        <f t="shared" si="63"/>
        <v>2.9418988584786216E-2</v>
      </c>
      <c r="I143" s="3">
        <f t="shared" si="63"/>
        <v>2.9418988584786216E-2</v>
      </c>
      <c r="J143" s="3">
        <f t="shared" si="63"/>
        <v>2.9418988584786216E-2</v>
      </c>
      <c r="K143" s="3">
        <f t="shared" si="63"/>
        <v>2.9418988584786216E-2</v>
      </c>
      <c r="L143" s="3">
        <f t="shared" si="63"/>
        <v>2.9418988584786216E-2</v>
      </c>
      <c r="M143" s="3">
        <f t="shared" si="63"/>
        <v>2.9418988584786216E-2</v>
      </c>
      <c r="N143" s="3">
        <f t="shared" si="63"/>
        <v>2.9418988584786216E-2</v>
      </c>
      <c r="O143" s="3">
        <f t="shared" si="63"/>
        <v>2.9418988584786216E-2</v>
      </c>
      <c r="P143" s="3">
        <f t="shared" si="63"/>
        <v>2.9418988584786216E-2</v>
      </c>
      <c r="Q143" s="3">
        <f t="shared" si="63"/>
        <v>2.9418988584786216E-2</v>
      </c>
      <c r="R143" s="3">
        <f t="shared" si="63"/>
        <v>2.9418988584786216E-2</v>
      </c>
      <c r="S143" s="3">
        <f t="shared" si="63"/>
        <v>2.9418988584786216E-2</v>
      </c>
      <c r="T143" s="3">
        <f t="shared" si="63"/>
        <v>2.9418988584786213E-2</v>
      </c>
      <c r="U143" s="3">
        <f t="shared" si="63"/>
        <v>2.9418988584786192E-2</v>
      </c>
      <c r="V143" s="3">
        <f t="shared" si="63"/>
        <v>2.9418988584786001E-2</v>
      </c>
      <c r="W143" s="3">
        <f t="shared" si="63"/>
        <v>2.9418988584784058E-2</v>
      </c>
      <c r="X143" s="3">
        <f t="shared" si="63"/>
        <v>2.9418988584764643E-2</v>
      </c>
      <c r="Y143" s="3">
        <f t="shared" si="63"/>
        <v>2.9418988584570482E-2</v>
      </c>
      <c r="Z143" s="3">
        <f t="shared" si="63"/>
        <v>2.9418988582628869E-2</v>
      </c>
      <c r="AA143" s="3">
        <f t="shared" ref="AA143" si="64">$C29*EXP(-AA$129/$A29/EXP(-$B$126))</f>
        <v>2.941898856321274E-2</v>
      </c>
      <c r="AB143" s="3">
        <f t="shared" si="46"/>
        <v>2.9418988369051453E-2</v>
      </c>
      <c r="AC143" s="3">
        <f t="shared" si="46"/>
        <v>2.9418986427438641E-2</v>
      </c>
      <c r="AD143" s="3">
        <f t="shared" si="46"/>
        <v>2.9418967011317569E-2</v>
      </c>
      <c r="AE143" s="3">
        <f t="shared" si="46"/>
        <v>2.9418772850811629E-2</v>
      </c>
      <c r="AF143" s="3">
        <f t="shared" si="46"/>
        <v>2.9416831316229422E-2</v>
      </c>
    </row>
    <row r="144" spans="1:33" x14ac:dyDescent="0.25">
      <c r="B144" s="3">
        <f t="shared" ref="B144:Z144" si="65">$C30*EXP(-B$129/$A30/EXP(-$B$126))</f>
        <v>6.3753391533418529E-3</v>
      </c>
      <c r="C144" s="3">
        <f t="shared" si="65"/>
        <v>6.3753391533418529E-3</v>
      </c>
      <c r="D144" s="3">
        <f t="shared" si="65"/>
        <v>6.3753391533418529E-3</v>
      </c>
      <c r="E144" s="3">
        <f t="shared" si="65"/>
        <v>6.3753391533418529E-3</v>
      </c>
      <c r="F144" s="3">
        <f t="shared" si="65"/>
        <v>6.3753391533418529E-3</v>
      </c>
      <c r="G144" s="3">
        <f t="shared" si="65"/>
        <v>6.3753391533418529E-3</v>
      </c>
      <c r="H144" s="3">
        <f t="shared" si="65"/>
        <v>6.3753391533418529E-3</v>
      </c>
      <c r="I144" s="3">
        <f t="shared" si="65"/>
        <v>6.3753391533418529E-3</v>
      </c>
      <c r="J144" s="3">
        <f t="shared" si="65"/>
        <v>6.3753391533418529E-3</v>
      </c>
      <c r="K144" s="3">
        <f t="shared" si="65"/>
        <v>6.3753391533418529E-3</v>
      </c>
      <c r="L144" s="3">
        <f t="shared" si="65"/>
        <v>6.3753391533418529E-3</v>
      </c>
      <c r="M144" s="3">
        <f t="shared" si="65"/>
        <v>6.3753391533418529E-3</v>
      </c>
      <c r="N144" s="3">
        <f t="shared" si="65"/>
        <v>6.3753391533418529E-3</v>
      </c>
      <c r="O144" s="3">
        <f t="shared" si="65"/>
        <v>6.3753391533418529E-3</v>
      </c>
      <c r="P144" s="3">
        <f t="shared" si="65"/>
        <v>6.3753391533418529E-3</v>
      </c>
      <c r="Q144" s="3">
        <f t="shared" si="65"/>
        <v>6.3753391533418529E-3</v>
      </c>
      <c r="R144" s="3">
        <f t="shared" si="65"/>
        <v>6.3753391533418529E-3</v>
      </c>
      <c r="S144" s="3">
        <f t="shared" si="65"/>
        <v>6.3753391533418529E-3</v>
      </c>
      <c r="T144" s="3">
        <f t="shared" si="65"/>
        <v>6.3753391533418529E-3</v>
      </c>
      <c r="U144" s="3">
        <f t="shared" si="65"/>
        <v>6.3753391533418521E-3</v>
      </c>
      <c r="V144" s="3">
        <f t="shared" si="65"/>
        <v>6.3753391533418486E-3</v>
      </c>
      <c r="W144" s="3">
        <f t="shared" si="65"/>
        <v>6.3753391533418104E-3</v>
      </c>
      <c r="X144" s="3">
        <f t="shared" si="65"/>
        <v>6.3753391533414314E-3</v>
      </c>
      <c r="Y144" s="3">
        <f t="shared" si="65"/>
        <v>6.3753391533376358E-3</v>
      </c>
      <c r="Z144" s="3">
        <f t="shared" si="65"/>
        <v>6.3753391532996792E-3</v>
      </c>
      <c r="AA144" s="3">
        <f t="shared" ref="AA144" si="66">$C30*EXP(-AA$129/$A30/EXP(-$B$126))</f>
        <v>6.3753391529201156E-3</v>
      </c>
      <c r="AB144" s="3">
        <f t="shared" ref="AB144:AF153" si="67">$C30*EXP(-AB$129/$A30/EXP(-$B$126))</f>
        <v>6.3753391491244774E-3</v>
      </c>
      <c r="AC144" s="3">
        <f t="shared" si="67"/>
        <v>6.3753391111680971E-3</v>
      </c>
      <c r="AD144" s="3">
        <f t="shared" si="67"/>
        <v>6.3753387316043044E-3</v>
      </c>
      <c r="AE144" s="3">
        <f t="shared" si="67"/>
        <v>6.3753349359676236E-3</v>
      </c>
      <c r="AF144" s="3">
        <f t="shared" si="67"/>
        <v>6.3752969797251039E-3</v>
      </c>
    </row>
    <row r="145" spans="1:32" x14ac:dyDescent="0.25">
      <c r="B145" s="3">
        <f t="shared" ref="B145:Z145" si="68">$C31*EXP(-B$129/$A31/EXP(-$B$126))</f>
        <v>3.2709514210797811E-3</v>
      </c>
      <c r="C145" s="3">
        <f t="shared" si="68"/>
        <v>3.2709514210797811E-3</v>
      </c>
      <c r="D145" s="3">
        <f t="shared" si="68"/>
        <v>3.2709514210797811E-3</v>
      </c>
      <c r="E145" s="3">
        <f t="shared" si="68"/>
        <v>3.2709514210797811E-3</v>
      </c>
      <c r="F145" s="3">
        <f t="shared" si="68"/>
        <v>3.2709514210797811E-3</v>
      </c>
      <c r="G145" s="3">
        <f t="shared" si="68"/>
        <v>3.2709514210797811E-3</v>
      </c>
      <c r="H145" s="3">
        <f t="shared" si="68"/>
        <v>3.2709514210797811E-3</v>
      </c>
      <c r="I145" s="3">
        <f t="shared" si="68"/>
        <v>3.2709514210797811E-3</v>
      </c>
      <c r="J145" s="3">
        <f t="shared" si="68"/>
        <v>3.2709514210797811E-3</v>
      </c>
      <c r="K145" s="3">
        <f t="shared" si="68"/>
        <v>3.2709514210797811E-3</v>
      </c>
      <c r="L145" s="3">
        <f t="shared" si="68"/>
        <v>3.2709514210797811E-3</v>
      </c>
      <c r="M145" s="3">
        <f t="shared" si="68"/>
        <v>3.2709514210797811E-3</v>
      </c>
      <c r="N145" s="3">
        <f t="shared" si="68"/>
        <v>3.2709514210797811E-3</v>
      </c>
      <c r="O145" s="3">
        <f t="shared" si="68"/>
        <v>3.2709514210797811E-3</v>
      </c>
      <c r="P145" s="3">
        <f t="shared" si="68"/>
        <v>3.2709514210797811E-3</v>
      </c>
      <c r="Q145" s="3">
        <f t="shared" si="68"/>
        <v>3.2709514210797811E-3</v>
      </c>
      <c r="R145" s="3">
        <f t="shared" si="68"/>
        <v>3.2709514210797811E-3</v>
      </c>
      <c r="S145" s="3">
        <f t="shared" si="68"/>
        <v>3.2709514210797811E-3</v>
      </c>
      <c r="T145" s="3">
        <f t="shared" si="68"/>
        <v>3.2709514210797811E-3</v>
      </c>
      <c r="U145" s="3">
        <f t="shared" si="68"/>
        <v>3.2709514210797811E-3</v>
      </c>
      <c r="V145" s="3">
        <f t="shared" si="68"/>
        <v>3.2709514210797807E-3</v>
      </c>
      <c r="W145" s="3">
        <f t="shared" si="68"/>
        <v>3.2709514210797794E-3</v>
      </c>
      <c r="X145" s="3">
        <f t="shared" si="68"/>
        <v>3.2709514210797616E-3</v>
      </c>
      <c r="Y145" s="3">
        <f t="shared" si="68"/>
        <v>3.2709514210795859E-3</v>
      </c>
      <c r="Z145" s="3">
        <f t="shared" si="68"/>
        <v>3.2709514210778291E-3</v>
      </c>
      <c r="AA145" s="3">
        <f t="shared" ref="AA145" si="69">$C31*EXP(-AA$129/$A31/EXP(-$B$126))</f>
        <v>3.270951421060262E-3</v>
      </c>
      <c r="AB145" s="3">
        <f t="shared" si="67"/>
        <v>3.27095142088459E-3</v>
      </c>
      <c r="AC145" s="3">
        <f t="shared" si="67"/>
        <v>3.270951419127872E-3</v>
      </c>
      <c r="AD145" s="3">
        <f t="shared" si="67"/>
        <v>3.2709514015606864E-3</v>
      </c>
      <c r="AE145" s="3">
        <f t="shared" si="67"/>
        <v>3.2709512258888378E-3</v>
      </c>
      <c r="AF145" s="3">
        <f t="shared" si="67"/>
        <v>3.270949469170874E-3</v>
      </c>
    </row>
    <row r="146" spans="1:32" x14ac:dyDescent="0.25">
      <c r="B146" s="3">
        <f t="shared" ref="B146:Z146" si="70">$C32*EXP(-B$129/$A32/EXP(-$B$126))</f>
        <v>1.2755053961347703E-3</v>
      </c>
      <c r="C146" s="3">
        <f t="shared" si="70"/>
        <v>1.2755053961347703E-3</v>
      </c>
      <c r="D146" s="3">
        <f t="shared" si="70"/>
        <v>1.2755053961347703E-3</v>
      </c>
      <c r="E146" s="3">
        <f t="shared" si="70"/>
        <v>1.2755053961347703E-3</v>
      </c>
      <c r="F146" s="3">
        <f t="shared" si="70"/>
        <v>1.2755053961347703E-3</v>
      </c>
      <c r="G146" s="3">
        <f t="shared" si="70"/>
        <v>1.2755053961347703E-3</v>
      </c>
      <c r="H146" s="3">
        <f t="shared" si="70"/>
        <v>1.2755053961347703E-3</v>
      </c>
      <c r="I146" s="3">
        <f t="shared" si="70"/>
        <v>1.2755053961347703E-3</v>
      </c>
      <c r="J146" s="3">
        <f t="shared" si="70"/>
        <v>1.2755053961347703E-3</v>
      </c>
      <c r="K146" s="3">
        <f t="shared" si="70"/>
        <v>1.2755053961347703E-3</v>
      </c>
      <c r="L146" s="3">
        <f t="shared" si="70"/>
        <v>1.2755053961347703E-3</v>
      </c>
      <c r="M146" s="3">
        <f t="shared" si="70"/>
        <v>1.2755053961347703E-3</v>
      </c>
      <c r="N146" s="3">
        <f t="shared" si="70"/>
        <v>1.2755053961347703E-3</v>
      </c>
      <c r="O146" s="3">
        <f t="shared" si="70"/>
        <v>1.2755053961347703E-3</v>
      </c>
      <c r="P146" s="3">
        <f t="shared" si="70"/>
        <v>1.2755053961347703E-3</v>
      </c>
      <c r="Q146" s="3">
        <f t="shared" si="70"/>
        <v>1.2755053961347703E-3</v>
      </c>
      <c r="R146" s="3">
        <f t="shared" si="70"/>
        <v>1.2755053961347703E-3</v>
      </c>
      <c r="S146" s="3">
        <f t="shared" si="70"/>
        <v>1.2755053961347703E-3</v>
      </c>
      <c r="T146" s="3">
        <f t="shared" si="70"/>
        <v>1.2755053961347703E-3</v>
      </c>
      <c r="U146" s="3">
        <f t="shared" si="70"/>
        <v>1.2755053961347703E-3</v>
      </c>
      <c r="V146" s="3">
        <f t="shared" si="70"/>
        <v>1.2755053961347703E-3</v>
      </c>
      <c r="W146" s="3">
        <f t="shared" si="70"/>
        <v>1.2755053961347703E-3</v>
      </c>
      <c r="X146" s="3">
        <f t="shared" si="70"/>
        <v>1.2755053961347696E-3</v>
      </c>
      <c r="Y146" s="3">
        <f t="shared" si="70"/>
        <v>1.2755053961347636E-3</v>
      </c>
      <c r="Z146" s="3">
        <f t="shared" si="70"/>
        <v>1.2755053961347016E-3</v>
      </c>
      <c r="AA146" s="3">
        <f t="shared" ref="AA146" si="71">$C32*EXP(-AA$129/$A32/EXP(-$B$126))</f>
        <v>1.2755053961340836E-3</v>
      </c>
      <c r="AB146" s="3">
        <f t="shared" si="67"/>
        <v>1.275505396127904E-3</v>
      </c>
      <c r="AC146" s="3">
        <f t="shared" si="67"/>
        <v>1.2755053960661086E-3</v>
      </c>
      <c r="AD146" s="3">
        <f t="shared" si="67"/>
        <v>1.2755053954481535E-3</v>
      </c>
      <c r="AE146" s="3">
        <f t="shared" si="67"/>
        <v>1.2755053892686016E-3</v>
      </c>
      <c r="AF146" s="3">
        <f t="shared" si="67"/>
        <v>1.2755053274730846E-3</v>
      </c>
    </row>
    <row r="147" spans="1:32" x14ac:dyDescent="0.25">
      <c r="B147" s="3">
        <f t="shared" ref="B147:Z147" si="72">$C33*EXP(-B$129/$A33/EXP(-$B$126))</f>
        <v>0</v>
      </c>
      <c r="C147" s="3">
        <f t="shared" si="72"/>
        <v>0</v>
      </c>
      <c r="D147" s="3">
        <f t="shared" si="72"/>
        <v>0</v>
      </c>
      <c r="E147" s="3">
        <f t="shared" si="72"/>
        <v>0</v>
      </c>
      <c r="F147" s="3">
        <f t="shared" si="72"/>
        <v>0</v>
      </c>
      <c r="G147" s="3">
        <f t="shared" si="72"/>
        <v>0</v>
      </c>
      <c r="H147" s="3">
        <f t="shared" si="72"/>
        <v>0</v>
      </c>
      <c r="I147" s="3">
        <f t="shared" si="72"/>
        <v>0</v>
      </c>
      <c r="J147" s="3">
        <f t="shared" si="72"/>
        <v>0</v>
      </c>
      <c r="K147" s="3">
        <f t="shared" si="72"/>
        <v>0</v>
      </c>
      <c r="L147" s="3">
        <f t="shared" si="72"/>
        <v>0</v>
      </c>
      <c r="M147" s="3">
        <f t="shared" si="72"/>
        <v>0</v>
      </c>
      <c r="N147" s="3">
        <f t="shared" si="72"/>
        <v>0</v>
      </c>
      <c r="O147" s="3">
        <f t="shared" si="72"/>
        <v>0</v>
      </c>
      <c r="P147" s="3">
        <f t="shared" si="72"/>
        <v>0</v>
      </c>
      <c r="Q147" s="3">
        <f t="shared" si="72"/>
        <v>0</v>
      </c>
      <c r="R147" s="3">
        <f t="shared" si="72"/>
        <v>0</v>
      </c>
      <c r="S147" s="3">
        <f t="shared" si="72"/>
        <v>0</v>
      </c>
      <c r="T147" s="3">
        <f t="shared" si="72"/>
        <v>0</v>
      </c>
      <c r="U147" s="3">
        <f t="shared" si="72"/>
        <v>0</v>
      </c>
      <c r="V147" s="3">
        <f t="shared" si="72"/>
        <v>0</v>
      </c>
      <c r="W147" s="3">
        <f t="shared" si="72"/>
        <v>0</v>
      </c>
      <c r="X147" s="3">
        <f t="shared" si="72"/>
        <v>0</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1.0163894385292978E-5</v>
      </c>
      <c r="C148" s="3">
        <f t="shared" si="74"/>
        <v>1.0163894385292978E-5</v>
      </c>
      <c r="D148" s="3">
        <f t="shared" si="74"/>
        <v>1.0163894385292978E-5</v>
      </c>
      <c r="E148" s="3">
        <f t="shared" si="74"/>
        <v>1.0163894385292978E-5</v>
      </c>
      <c r="F148" s="3">
        <f t="shared" si="74"/>
        <v>1.0163894385292978E-5</v>
      </c>
      <c r="G148" s="3">
        <f t="shared" si="74"/>
        <v>1.0163894385292978E-5</v>
      </c>
      <c r="H148" s="3">
        <f t="shared" si="74"/>
        <v>1.0163894385292978E-5</v>
      </c>
      <c r="I148" s="3">
        <f t="shared" si="74"/>
        <v>1.0163894385292978E-5</v>
      </c>
      <c r="J148" s="3">
        <f t="shared" si="74"/>
        <v>1.0163894385292978E-5</v>
      </c>
      <c r="K148" s="3">
        <f t="shared" si="74"/>
        <v>1.0163894385292978E-5</v>
      </c>
      <c r="L148" s="3">
        <f t="shared" si="74"/>
        <v>1.0163894385292978E-5</v>
      </c>
      <c r="M148" s="3">
        <f t="shared" si="74"/>
        <v>1.0163894385292978E-5</v>
      </c>
      <c r="N148" s="3">
        <f t="shared" si="74"/>
        <v>1.0163894385292978E-5</v>
      </c>
      <c r="O148" s="3">
        <f t="shared" si="74"/>
        <v>1.0163894385292978E-5</v>
      </c>
      <c r="P148" s="3">
        <f t="shared" si="74"/>
        <v>1.0163894385292978E-5</v>
      </c>
      <c r="Q148" s="3">
        <f t="shared" si="74"/>
        <v>1.0163894385292978E-5</v>
      </c>
      <c r="R148" s="3">
        <f t="shared" si="74"/>
        <v>1.0163894385292978E-5</v>
      </c>
      <c r="S148" s="3">
        <f t="shared" si="74"/>
        <v>1.0163894385292978E-5</v>
      </c>
      <c r="T148" s="3">
        <f t="shared" si="74"/>
        <v>1.0163894385292978E-5</v>
      </c>
      <c r="U148" s="3">
        <f t="shared" si="74"/>
        <v>1.0163894385292978E-5</v>
      </c>
      <c r="V148" s="3">
        <f t="shared" si="74"/>
        <v>1.0163894385292978E-5</v>
      </c>
      <c r="W148" s="3">
        <f t="shared" si="74"/>
        <v>1.0163894385292978E-5</v>
      </c>
      <c r="X148" s="3">
        <f t="shared" si="74"/>
        <v>1.0163894385292978E-5</v>
      </c>
      <c r="Y148" s="3">
        <f t="shared" si="74"/>
        <v>1.0163894385292978E-5</v>
      </c>
      <c r="Z148" s="3">
        <f t="shared" si="74"/>
        <v>1.0163894385292973E-5</v>
      </c>
      <c r="AA148" s="3">
        <f>$C34*EXP(-AA$129/$A34/EXP(-$B$126))</f>
        <v>1.0163894385292934E-5</v>
      </c>
      <c r="AB148" s="3">
        <f t="shared" si="67"/>
        <v>1.0163894385292533E-5</v>
      </c>
      <c r="AC148" s="3">
        <f t="shared" si="67"/>
        <v>1.0163894385288526E-5</v>
      </c>
      <c r="AD148" s="3">
        <f t="shared" si="67"/>
        <v>1.0163894385248455E-5</v>
      </c>
      <c r="AE148" s="3">
        <f t="shared" si="67"/>
        <v>1.0163894384847747E-5</v>
      </c>
      <c r="AF148" s="3">
        <f t="shared" si="67"/>
        <v>1.0163894380840666E-5</v>
      </c>
    </row>
    <row r="149" spans="1:32" x14ac:dyDescent="0.25">
      <c r="B149" s="3">
        <f t="shared" ref="B149:Z149" si="75">$C35*EXP(-B$129/$A35/EXP(-$B$126))</f>
        <v>2.5019775067814324E-5</v>
      </c>
      <c r="C149" s="3">
        <f t="shared" si="75"/>
        <v>2.5019775067814324E-5</v>
      </c>
      <c r="D149" s="3">
        <f t="shared" si="75"/>
        <v>2.5019775067814324E-5</v>
      </c>
      <c r="E149" s="3">
        <f t="shared" si="75"/>
        <v>2.5019775067814324E-5</v>
      </c>
      <c r="F149" s="3">
        <f t="shared" si="75"/>
        <v>2.5019775067814324E-5</v>
      </c>
      <c r="G149" s="3">
        <f t="shared" si="75"/>
        <v>2.5019775067814324E-5</v>
      </c>
      <c r="H149" s="3">
        <f t="shared" si="75"/>
        <v>2.5019775067814324E-5</v>
      </c>
      <c r="I149" s="3">
        <f t="shared" si="75"/>
        <v>2.5019775067814324E-5</v>
      </c>
      <c r="J149" s="3">
        <f t="shared" si="75"/>
        <v>2.5019775067814324E-5</v>
      </c>
      <c r="K149" s="3">
        <f t="shared" si="75"/>
        <v>2.5019775067814324E-5</v>
      </c>
      <c r="L149" s="3">
        <f t="shared" si="75"/>
        <v>2.5019775067814324E-5</v>
      </c>
      <c r="M149" s="3">
        <f t="shared" si="75"/>
        <v>2.5019775067814324E-5</v>
      </c>
      <c r="N149" s="3">
        <f t="shared" si="75"/>
        <v>2.5019775067814324E-5</v>
      </c>
      <c r="O149" s="3">
        <f t="shared" si="75"/>
        <v>2.5019775067814324E-5</v>
      </c>
      <c r="P149" s="3">
        <f t="shared" si="75"/>
        <v>2.5019775067814324E-5</v>
      </c>
      <c r="Q149" s="3">
        <f t="shared" si="75"/>
        <v>2.5019775067814324E-5</v>
      </c>
      <c r="R149" s="3">
        <f t="shared" si="75"/>
        <v>2.5019775067814324E-5</v>
      </c>
      <c r="S149" s="3">
        <f t="shared" si="75"/>
        <v>2.5019775067814324E-5</v>
      </c>
      <c r="T149" s="3">
        <f t="shared" si="75"/>
        <v>2.5019775067814324E-5</v>
      </c>
      <c r="U149" s="3">
        <f t="shared" si="75"/>
        <v>2.5019775067814324E-5</v>
      </c>
      <c r="V149" s="3">
        <f t="shared" si="75"/>
        <v>2.5019775067814324E-5</v>
      </c>
      <c r="W149" s="3">
        <f t="shared" si="75"/>
        <v>2.5019775067814324E-5</v>
      </c>
      <c r="X149" s="3">
        <f t="shared" si="75"/>
        <v>2.5019775067814324E-5</v>
      </c>
      <c r="Y149" s="3">
        <f t="shared" si="75"/>
        <v>2.5019775067814324E-5</v>
      </c>
      <c r="Z149" s="3">
        <f t="shared" si="75"/>
        <v>2.5019775067814324E-5</v>
      </c>
      <c r="AA149" s="3">
        <f t="shared" ref="AA149" si="76">$C35*EXP(-AA$129/$A35/EXP(-$B$126))</f>
        <v>2.5019775067814314E-5</v>
      </c>
      <c r="AB149" s="3">
        <f t="shared" si="67"/>
        <v>2.5019775067814222E-5</v>
      </c>
      <c r="AC149" s="3">
        <f t="shared" si="67"/>
        <v>2.5019775067813335E-5</v>
      </c>
      <c r="AD149" s="3">
        <f t="shared" si="67"/>
        <v>2.5019775067804437E-5</v>
      </c>
      <c r="AE149" s="3">
        <f t="shared" si="67"/>
        <v>2.5019775067715455E-5</v>
      </c>
      <c r="AF149" s="3">
        <f t="shared" si="67"/>
        <v>2.5019775066825643E-5</v>
      </c>
    </row>
    <row r="150" spans="1:32" x14ac:dyDescent="0.25">
      <c r="B150" s="3">
        <f t="shared" ref="B150:Z150" si="77">$C36*EXP(-B$129/$A36/EXP(-$B$126))</f>
        <v>2.3706614690246962E-5</v>
      </c>
      <c r="C150" s="3">
        <f t="shared" si="77"/>
        <v>2.3706614690246962E-5</v>
      </c>
      <c r="D150" s="3">
        <f t="shared" si="77"/>
        <v>2.3706614690246962E-5</v>
      </c>
      <c r="E150" s="3">
        <f t="shared" si="77"/>
        <v>2.3706614690246962E-5</v>
      </c>
      <c r="F150" s="3">
        <f t="shared" si="77"/>
        <v>2.3706614690246962E-5</v>
      </c>
      <c r="G150" s="3">
        <f t="shared" si="77"/>
        <v>2.3706614690246962E-5</v>
      </c>
      <c r="H150" s="3">
        <f t="shared" si="77"/>
        <v>2.3706614690246962E-5</v>
      </c>
      <c r="I150" s="3">
        <f t="shared" si="77"/>
        <v>2.3706614690246962E-5</v>
      </c>
      <c r="J150" s="3">
        <f t="shared" si="77"/>
        <v>2.3706614690246962E-5</v>
      </c>
      <c r="K150" s="3">
        <f t="shared" si="77"/>
        <v>2.3706614690246962E-5</v>
      </c>
      <c r="L150" s="3">
        <f t="shared" si="77"/>
        <v>2.3706614690246962E-5</v>
      </c>
      <c r="M150" s="3">
        <f t="shared" si="77"/>
        <v>2.3706614690246962E-5</v>
      </c>
      <c r="N150" s="3">
        <f t="shared" si="77"/>
        <v>2.3706614690246962E-5</v>
      </c>
      <c r="O150" s="3">
        <f t="shared" si="77"/>
        <v>2.3706614690246962E-5</v>
      </c>
      <c r="P150" s="3">
        <f t="shared" si="77"/>
        <v>2.3706614690246962E-5</v>
      </c>
      <c r="Q150" s="3">
        <f t="shared" si="77"/>
        <v>2.3706614690246962E-5</v>
      </c>
      <c r="R150" s="3">
        <f t="shared" si="77"/>
        <v>2.3706614690246962E-5</v>
      </c>
      <c r="S150" s="3">
        <f t="shared" si="77"/>
        <v>2.3706614690246962E-5</v>
      </c>
      <c r="T150" s="3">
        <f t="shared" si="77"/>
        <v>2.3706614690246962E-5</v>
      </c>
      <c r="U150" s="3">
        <f t="shared" si="77"/>
        <v>2.3706614690246962E-5</v>
      </c>
      <c r="V150" s="3">
        <f t="shared" si="77"/>
        <v>2.3706614690246962E-5</v>
      </c>
      <c r="W150" s="3">
        <f t="shared" si="77"/>
        <v>2.3706614690246962E-5</v>
      </c>
      <c r="X150" s="3">
        <f t="shared" si="77"/>
        <v>2.3706614690246962E-5</v>
      </c>
      <c r="Y150" s="3">
        <f t="shared" si="77"/>
        <v>2.3706614690246962E-5</v>
      </c>
      <c r="Z150" s="3">
        <f t="shared" si="77"/>
        <v>2.3706614690246962E-5</v>
      </c>
      <c r="AA150" s="3">
        <f t="shared" ref="AA150" si="78">$C36*EXP(-AA$129/$A36/EXP(-$B$126))</f>
        <v>2.3706614690246962E-5</v>
      </c>
      <c r="AB150" s="3">
        <f t="shared" si="67"/>
        <v>2.3706614690246955E-5</v>
      </c>
      <c r="AC150" s="3">
        <f t="shared" si="67"/>
        <v>2.3706614690246877E-5</v>
      </c>
      <c r="AD150" s="3">
        <f t="shared" si="67"/>
        <v>2.3706614690246118E-5</v>
      </c>
      <c r="AE150" s="3">
        <f t="shared" si="67"/>
        <v>2.3706614690238512E-5</v>
      </c>
      <c r="AF150" s="3">
        <f t="shared" si="67"/>
        <v>2.3706614690162455E-5</v>
      </c>
    </row>
    <row r="151" spans="1:32" x14ac:dyDescent="0.25">
      <c r="B151" s="3">
        <f t="shared" ref="B151:Z151" si="79">$C37*EXP(-B$129/$A37/EXP(-$B$126))</f>
        <v>3.9478614411466939E-5</v>
      </c>
      <c r="C151" s="3">
        <f t="shared" si="79"/>
        <v>3.9478614411466939E-5</v>
      </c>
      <c r="D151" s="3">
        <f t="shared" si="79"/>
        <v>3.9478614411466939E-5</v>
      </c>
      <c r="E151" s="3">
        <f t="shared" si="79"/>
        <v>3.9478614411466939E-5</v>
      </c>
      <c r="F151" s="3">
        <f t="shared" si="79"/>
        <v>3.9478614411466939E-5</v>
      </c>
      <c r="G151" s="3">
        <f t="shared" si="79"/>
        <v>3.9478614411466939E-5</v>
      </c>
      <c r="H151" s="3">
        <f t="shared" si="79"/>
        <v>3.9478614411466939E-5</v>
      </c>
      <c r="I151" s="3">
        <f t="shared" si="79"/>
        <v>3.9478614411466939E-5</v>
      </c>
      <c r="J151" s="3">
        <f t="shared" si="79"/>
        <v>3.9478614411466939E-5</v>
      </c>
      <c r="K151" s="3">
        <f t="shared" si="79"/>
        <v>3.9478614411466939E-5</v>
      </c>
      <c r="L151" s="3">
        <f t="shared" si="79"/>
        <v>3.9478614411466939E-5</v>
      </c>
      <c r="M151" s="3">
        <f t="shared" si="79"/>
        <v>3.9478614411466939E-5</v>
      </c>
      <c r="N151" s="3">
        <f t="shared" si="79"/>
        <v>3.9478614411466939E-5</v>
      </c>
      <c r="O151" s="3">
        <f t="shared" si="79"/>
        <v>3.9478614411466939E-5</v>
      </c>
      <c r="P151" s="3">
        <f t="shared" si="79"/>
        <v>3.9478614411466939E-5</v>
      </c>
      <c r="Q151" s="3">
        <f t="shared" si="79"/>
        <v>3.9478614411466939E-5</v>
      </c>
      <c r="R151" s="3">
        <f t="shared" si="79"/>
        <v>3.9478614411466939E-5</v>
      </c>
      <c r="S151" s="3">
        <f t="shared" si="79"/>
        <v>3.9478614411466939E-5</v>
      </c>
      <c r="T151" s="3">
        <f t="shared" si="79"/>
        <v>3.9478614411466939E-5</v>
      </c>
      <c r="U151" s="3">
        <f t="shared" si="79"/>
        <v>3.9478614411466939E-5</v>
      </c>
      <c r="V151" s="3">
        <f t="shared" si="79"/>
        <v>3.9478614411466939E-5</v>
      </c>
      <c r="W151" s="3">
        <f t="shared" si="79"/>
        <v>3.9478614411466939E-5</v>
      </c>
      <c r="X151" s="3">
        <f t="shared" si="79"/>
        <v>3.9478614411466939E-5</v>
      </c>
      <c r="Y151" s="3">
        <f t="shared" si="79"/>
        <v>3.9478614411466939E-5</v>
      </c>
      <c r="Z151" s="3">
        <f t="shared" si="79"/>
        <v>3.9478614411466939E-5</v>
      </c>
      <c r="AA151" s="3">
        <f t="shared" ref="AA151" si="80">$C37*EXP(-AA$129/$A37/EXP(-$B$126))</f>
        <v>3.9478614411466939E-5</v>
      </c>
      <c r="AB151" s="3">
        <f t="shared" si="67"/>
        <v>3.9478614411466939E-5</v>
      </c>
      <c r="AC151" s="3">
        <f t="shared" si="67"/>
        <v>3.9478614411466925E-5</v>
      </c>
      <c r="AD151" s="3">
        <f t="shared" si="67"/>
        <v>3.947861441146681E-5</v>
      </c>
      <c r="AE151" s="3">
        <f t="shared" si="67"/>
        <v>3.9478614411465665E-5</v>
      </c>
      <c r="AF151" s="3">
        <f t="shared" si="67"/>
        <v>3.9478614411454247E-5</v>
      </c>
    </row>
    <row r="152" spans="1:32" x14ac:dyDescent="0.25">
      <c r="B152" s="3">
        <f t="shared" ref="B152:Z152" si="81">$C38*EXP(-B$129/$A38/EXP(-$B$126))</f>
        <v>0</v>
      </c>
      <c r="C152" s="3">
        <f t="shared" si="81"/>
        <v>0</v>
      </c>
      <c r="D152" s="3">
        <f t="shared" si="81"/>
        <v>0</v>
      </c>
      <c r="E152" s="3">
        <f t="shared" si="81"/>
        <v>0</v>
      </c>
      <c r="F152" s="3">
        <f t="shared" si="81"/>
        <v>0</v>
      </c>
      <c r="G152" s="3">
        <f t="shared" si="81"/>
        <v>0</v>
      </c>
      <c r="H152" s="3">
        <f t="shared" si="81"/>
        <v>0</v>
      </c>
      <c r="I152" s="3">
        <f t="shared" si="81"/>
        <v>0</v>
      </c>
      <c r="J152" s="3">
        <f t="shared" si="81"/>
        <v>0</v>
      </c>
      <c r="K152" s="3">
        <f t="shared" si="81"/>
        <v>0</v>
      </c>
      <c r="L152" s="3">
        <f t="shared" si="81"/>
        <v>0</v>
      </c>
      <c r="M152" s="3">
        <f t="shared" si="81"/>
        <v>0</v>
      </c>
      <c r="N152" s="3">
        <f t="shared" si="81"/>
        <v>0</v>
      </c>
      <c r="O152" s="3">
        <f t="shared" si="81"/>
        <v>0</v>
      </c>
      <c r="P152" s="3">
        <f t="shared" si="81"/>
        <v>0</v>
      </c>
      <c r="Q152" s="3">
        <f t="shared" si="81"/>
        <v>0</v>
      </c>
      <c r="R152" s="3">
        <f t="shared" si="81"/>
        <v>0</v>
      </c>
      <c r="S152" s="3">
        <f t="shared" si="81"/>
        <v>0</v>
      </c>
      <c r="T152" s="3">
        <f t="shared" si="81"/>
        <v>0</v>
      </c>
      <c r="U152" s="3">
        <f t="shared" si="81"/>
        <v>0</v>
      </c>
      <c r="V152" s="3">
        <f t="shared" si="81"/>
        <v>0</v>
      </c>
      <c r="W152" s="3">
        <f t="shared" si="81"/>
        <v>0</v>
      </c>
      <c r="X152" s="3">
        <f t="shared" si="81"/>
        <v>0</v>
      </c>
      <c r="Y152" s="3">
        <f t="shared" si="81"/>
        <v>0</v>
      </c>
      <c r="Z152" s="3">
        <f t="shared" si="81"/>
        <v>0</v>
      </c>
      <c r="AA152" s="3">
        <f t="shared" ref="AA152" si="82">$C38*EXP(-AA$129/$A38/EXP(-$B$126))</f>
        <v>0</v>
      </c>
      <c r="AB152" s="3">
        <f t="shared" si="67"/>
        <v>0</v>
      </c>
      <c r="AC152" s="3">
        <f t="shared" si="67"/>
        <v>0</v>
      </c>
      <c r="AD152" s="3">
        <f t="shared" si="67"/>
        <v>0</v>
      </c>
      <c r="AE152" s="3">
        <f t="shared" si="67"/>
        <v>0</v>
      </c>
      <c r="AF152" s="3">
        <f t="shared" si="67"/>
        <v>0</v>
      </c>
    </row>
    <row r="153" spans="1:32" x14ac:dyDescent="0.25">
      <c r="B153" s="3">
        <f t="shared" ref="B153:Z153" si="83">$C39*EXP(-B$129/$A39/EXP(-$B$126))</f>
        <v>6.5441532530599776E-5</v>
      </c>
      <c r="C153" s="3">
        <f t="shared" si="83"/>
        <v>6.5441532530599776E-5</v>
      </c>
      <c r="D153" s="3">
        <f t="shared" si="83"/>
        <v>6.5441532530599776E-5</v>
      </c>
      <c r="E153" s="3">
        <f t="shared" si="83"/>
        <v>6.5441532530599776E-5</v>
      </c>
      <c r="F153" s="3">
        <f t="shared" si="83"/>
        <v>6.5441532530599776E-5</v>
      </c>
      <c r="G153" s="3">
        <f t="shared" si="83"/>
        <v>6.5441532530599776E-5</v>
      </c>
      <c r="H153" s="3">
        <f t="shared" si="83"/>
        <v>6.5441532530599776E-5</v>
      </c>
      <c r="I153" s="3">
        <f t="shared" si="83"/>
        <v>6.5441532530599776E-5</v>
      </c>
      <c r="J153" s="3">
        <f t="shared" si="83"/>
        <v>6.5441532530599776E-5</v>
      </c>
      <c r="K153" s="3">
        <f t="shared" si="83"/>
        <v>6.5441532530599776E-5</v>
      </c>
      <c r="L153" s="3">
        <f t="shared" si="83"/>
        <v>6.5441532530599776E-5</v>
      </c>
      <c r="M153" s="3">
        <f t="shared" si="83"/>
        <v>6.5441532530599776E-5</v>
      </c>
      <c r="N153" s="3">
        <f t="shared" si="83"/>
        <v>6.5441532530599776E-5</v>
      </c>
      <c r="O153" s="3">
        <f t="shared" si="83"/>
        <v>6.5441532530599776E-5</v>
      </c>
      <c r="P153" s="3">
        <f t="shared" si="83"/>
        <v>6.5441532530599776E-5</v>
      </c>
      <c r="Q153" s="3">
        <f t="shared" si="83"/>
        <v>6.5441532530599776E-5</v>
      </c>
      <c r="R153" s="3">
        <f t="shared" si="83"/>
        <v>6.5441532530599776E-5</v>
      </c>
      <c r="S153" s="3">
        <f t="shared" si="83"/>
        <v>6.5441532530599776E-5</v>
      </c>
      <c r="T153" s="3">
        <f t="shared" si="83"/>
        <v>6.5441532530599776E-5</v>
      </c>
      <c r="U153" s="3">
        <f t="shared" si="83"/>
        <v>6.5441532530599776E-5</v>
      </c>
      <c r="V153" s="3">
        <f t="shared" si="83"/>
        <v>6.5441532530599776E-5</v>
      </c>
      <c r="W153" s="3">
        <f t="shared" si="83"/>
        <v>6.5441532530599776E-5</v>
      </c>
      <c r="X153" s="3">
        <f t="shared" si="83"/>
        <v>6.5441532530599776E-5</v>
      </c>
      <c r="Y153" s="3">
        <f t="shared" si="83"/>
        <v>6.5441532530599776E-5</v>
      </c>
      <c r="Z153" s="3">
        <f t="shared" si="83"/>
        <v>6.5441532530599776E-5</v>
      </c>
      <c r="AA153" s="3">
        <f t="shared" ref="AA153" si="84">$C39*EXP(-AA$129/$A39/EXP(-$B$126))</f>
        <v>6.5441532530599776E-5</v>
      </c>
      <c r="AB153" s="3">
        <f t="shared" si="67"/>
        <v>6.5441532530599776E-5</v>
      </c>
      <c r="AC153" s="3">
        <f t="shared" si="67"/>
        <v>6.5441532530599776E-5</v>
      </c>
      <c r="AD153" s="3">
        <f t="shared" si="67"/>
        <v>6.5441532530599762E-5</v>
      </c>
      <c r="AE153" s="3">
        <f t="shared" si="67"/>
        <v>6.5441532530599722E-5</v>
      </c>
      <c r="AF153" s="3">
        <f t="shared" si="67"/>
        <v>6.5441532530599247E-5</v>
      </c>
    </row>
    <row r="154" spans="1:32" x14ac:dyDescent="0.25">
      <c r="B154" s="3">
        <f t="shared" ref="B154:Z154" si="85">$C40*EXP(-B$129/$A40/EXP(-$B$126))</f>
        <v>9.072554140189839E-6</v>
      </c>
      <c r="C154" s="3">
        <f t="shared" si="85"/>
        <v>9.072554140189839E-6</v>
      </c>
      <c r="D154" s="3">
        <f t="shared" si="85"/>
        <v>9.072554140189839E-6</v>
      </c>
      <c r="E154" s="3">
        <f t="shared" si="85"/>
        <v>9.072554140189839E-6</v>
      </c>
      <c r="F154" s="3">
        <f t="shared" si="85"/>
        <v>9.072554140189839E-6</v>
      </c>
      <c r="G154" s="3">
        <f t="shared" si="85"/>
        <v>9.072554140189839E-6</v>
      </c>
      <c r="H154" s="3">
        <f t="shared" si="85"/>
        <v>9.072554140189839E-6</v>
      </c>
      <c r="I154" s="3">
        <f t="shared" si="85"/>
        <v>9.072554140189839E-6</v>
      </c>
      <c r="J154" s="3">
        <f t="shared" si="85"/>
        <v>9.072554140189839E-6</v>
      </c>
      <c r="K154" s="3">
        <f t="shared" si="85"/>
        <v>9.072554140189839E-6</v>
      </c>
      <c r="L154" s="3">
        <f t="shared" si="85"/>
        <v>9.072554140189839E-6</v>
      </c>
      <c r="M154" s="3">
        <f t="shared" si="85"/>
        <v>9.072554140189839E-6</v>
      </c>
      <c r="N154" s="3">
        <f t="shared" si="85"/>
        <v>9.072554140189839E-6</v>
      </c>
      <c r="O154" s="3">
        <f t="shared" si="85"/>
        <v>9.072554140189839E-6</v>
      </c>
      <c r="P154" s="3">
        <f t="shared" si="85"/>
        <v>9.072554140189839E-6</v>
      </c>
      <c r="Q154" s="3">
        <f t="shared" si="85"/>
        <v>9.072554140189839E-6</v>
      </c>
      <c r="R154" s="3">
        <f t="shared" si="85"/>
        <v>9.072554140189839E-6</v>
      </c>
      <c r="S154" s="3">
        <f t="shared" si="85"/>
        <v>9.072554140189839E-6</v>
      </c>
      <c r="T154" s="3">
        <f t="shared" si="85"/>
        <v>9.072554140189839E-6</v>
      </c>
      <c r="U154" s="3">
        <f t="shared" si="85"/>
        <v>9.072554140189839E-6</v>
      </c>
      <c r="V154" s="3">
        <f t="shared" si="85"/>
        <v>9.072554140189839E-6</v>
      </c>
      <c r="W154" s="3">
        <f t="shared" si="85"/>
        <v>9.072554140189839E-6</v>
      </c>
      <c r="X154" s="3">
        <f t="shared" si="85"/>
        <v>9.072554140189839E-6</v>
      </c>
      <c r="Y154" s="3">
        <f t="shared" si="85"/>
        <v>9.072554140189839E-6</v>
      </c>
      <c r="Z154" s="3">
        <f t="shared" si="85"/>
        <v>9.072554140189839E-6</v>
      </c>
      <c r="AA154" s="3">
        <f t="shared" ref="AA154:AF154" si="86">$C40*EXP(-AA$129/$A40/EXP(-$B$126))</f>
        <v>9.072554140189839E-6</v>
      </c>
      <c r="AB154" s="3">
        <f t="shared" si="86"/>
        <v>9.072554140189839E-6</v>
      </c>
      <c r="AC154" s="3">
        <f t="shared" si="86"/>
        <v>9.072554140189839E-6</v>
      </c>
      <c r="AD154" s="3">
        <f t="shared" si="86"/>
        <v>9.072554140189839E-6</v>
      </c>
      <c r="AE154" s="3">
        <f t="shared" si="86"/>
        <v>9.0725541401898373E-6</v>
      </c>
      <c r="AF154" s="3">
        <f t="shared" si="86"/>
        <v>9.0725541401898322E-6</v>
      </c>
    </row>
    <row r="155" spans="1:32" x14ac:dyDescent="0.25">
      <c r="B155" s="3">
        <f t="shared" ref="B155:Z155" si="87">$C41*EXP(-B$129/$A41/EXP(-$B$126))</f>
        <v>3.4648583404177175E-7</v>
      </c>
      <c r="C155" s="3">
        <f t="shared" si="87"/>
        <v>3.4648583404177175E-7</v>
      </c>
      <c r="D155" s="3">
        <f t="shared" si="87"/>
        <v>3.4648583404177175E-7</v>
      </c>
      <c r="E155" s="3">
        <f t="shared" si="87"/>
        <v>3.4648583404177175E-7</v>
      </c>
      <c r="F155" s="3">
        <f t="shared" si="87"/>
        <v>3.4648583404177175E-7</v>
      </c>
      <c r="G155" s="3">
        <f t="shared" si="87"/>
        <v>3.4648583404177175E-7</v>
      </c>
      <c r="H155" s="3">
        <f t="shared" si="87"/>
        <v>3.4648583404177175E-7</v>
      </c>
      <c r="I155" s="3">
        <f t="shared" si="87"/>
        <v>3.4648583404177175E-7</v>
      </c>
      <c r="J155" s="3">
        <f t="shared" si="87"/>
        <v>3.4648583404177175E-7</v>
      </c>
      <c r="K155" s="3">
        <f t="shared" si="87"/>
        <v>3.4648583404177175E-7</v>
      </c>
      <c r="L155" s="3">
        <f t="shared" si="87"/>
        <v>3.4648583404177175E-7</v>
      </c>
      <c r="M155" s="3">
        <f t="shared" si="87"/>
        <v>3.4648583404177175E-7</v>
      </c>
      <c r="N155" s="3">
        <f t="shared" si="87"/>
        <v>3.4648583404177175E-7</v>
      </c>
      <c r="O155" s="3">
        <f t="shared" si="87"/>
        <v>3.4648583404177175E-7</v>
      </c>
      <c r="P155" s="3">
        <f t="shared" si="87"/>
        <v>3.4648583404177175E-7</v>
      </c>
      <c r="Q155" s="3">
        <f t="shared" si="87"/>
        <v>3.4648583404177175E-7</v>
      </c>
      <c r="R155" s="3">
        <f t="shared" si="87"/>
        <v>3.4648583404177175E-7</v>
      </c>
      <c r="S155" s="3">
        <f t="shared" si="87"/>
        <v>3.4648583404177175E-7</v>
      </c>
      <c r="T155" s="3">
        <f t="shared" si="87"/>
        <v>3.4648583404177175E-7</v>
      </c>
      <c r="U155" s="3">
        <f t="shared" si="87"/>
        <v>3.4648583404177175E-7</v>
      </c>
      <c r="V155" s="3">
        <f t="shared" si="87"/>
        <v>3.4648583404177175E-7</v>
      </c>
      <c r="W155" s="3">
        <f t="shared" si="87"/>
        <v>3.4648583404177175E-7</v>
      </c>
      <c r="X155" s="3">
        <f t="shared" si="87"/>
        <v>3.4648583404177175E-7</v>
      </c>
      <c r="Y155" s="3">
        <f t="shared" si="87"/>
        <v>3.4648583404177175E-7</v>
      </c>
      <c r="Z155" s="3">
        <f t="shared" si="87"/>
        <v>3.4648583404177175E-7</v>
      </c>
      <c r="AA155" s="3">
        <f t="shared" ref="AA155:AF155" si="88">$C41*EXP(-AA$129/$A41/EXP(-$B$126))</f>
        <v>3.4648583404177175E-7</v>
      </c>
      <c r="AB155" s="3">
        <f t="shared" si="88"/>
        <v>3.4648583404177175E-7</v>
      </c>
      <c r="AC155" s="3">
        <f t="shared" si="88"/>
        <v>3.4648583404177175E-7</v>
      </c>
      <c r="AD155" s="3">
        <f t="shared" si="88"/>
        <v>3.4648583404177175E-7</v>
      </c>
      <c r="AE155" s="3">
        <f t="shared" si="88"/>
        <v>3.4648583404177175E-7</v>
      </c>
      <c r="AF155" s="3">
        <f t="shared" si="88"/>
        <v>3.464858340417717E-7</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2.6390969703261771E-3</v>
      </c>
      <c r="C162" s="3">
        <f t="shared" si="101"/>
        <v>2.6390969703261771E-3</v>
      </c>
      <c r="D162" s="3">
        <f t="shared" si="101"/>
        <v>2.6390969703261771E-3</v>
      </c>
      <c r="E162" s="3">
        <f t="shared" si="101"/>
        <v>2.6390969703261771E-3</v>
      </c>
      <c r="F162" s="3">
        <f t="shared" si="101"/>
        <v>2.6390969703261771E-3</v>
      </c>
      <c r="G162" s="3">
        <f t="shared" si="101"/>
        <v>2.6390969703261771E-3</v>
      </c>
      <c r="H162" s="3">
        <f t="shared" si="101"/>
        <v>2.6390969703261771E-3</v>
      </c>
      <c r="I162" s="3">
        <f t="shared" si="101"/>
        <v>2.6390969703261771E-3</v>
      </c>
      <c r="J162" s="3">
        <f t="shared" si="101"/>
        <v>2.6390969703261771E-3</v>
      </c>
      <c r="K162" s="3">
        <f t="shared" si="101"/>
        <v>2.6390969703261771E-3</v>
      </c>
      <c r="L162" s="3">
        <f t="shared" si="101"/>
        <v>2.6390969703261771E-3</v>
      </c>
      <c r="M162" s="3">
        <f t="shared" si="101"/>
        <v>2.6390969703261771E-3</v>
      </c>
      <c r="N162" s="3">
        <f t="shared" si="101"/>
        <v>2.6390969703261771E-3</v>
      </c>
      <c r="O162" s="3">
        <f t="shared" si="101"/>
        <v>2.6390969703261771E-3</v>
      </c>
      <c r="P162" s="3">
        <f t="shared" si="101"/>
        <v>2.6390969703261771E-3</v>
      </c>
      <c r="Q162" s="3">
        <f t="shared" si="101"/>
        <v>2.6390969703261771E-3</v>
      </c>
      <c r="R162" s="3">
        <f t="shared" si="101"/>
        <v>2.6390969703261771E-3</v>
      </c>
      <c r="S162" s="3">
        <f t="shared" si="101"/>
        <v>2.6390969703261771E-3</v>
      </c>
      <c r="T162" s="3">
        <f t="shared" si="101"/>
        <v>2.6390969703261771E-3</v>
      </c>
      <c r="U162" s="3">
        <f t="shared" si="101"/>
        <v>2.6390969703261771E-3</v>
      </c>
      <c r="V162" s="3">
        <f t="shared" si="101"/>
        <v>2.6390969703261771E-3</v>
      </c>
      <c r="W162" s="3">
        <f t="shared" si="101"/>
        <v>2.6390969703261771E-3</v>
      </c>
      <c r="X162" s="3">
        <f t="shared" si="101"/>
        <v>2.6390969703261771E-3</v>
      </c>
      <c r="Y162" s="3">
        <f t="shared" si="101"/>
        <v>2.6390969703261771E-3</v>
      </c>
      <c r="Z162" s="3">
        <f t="shared" si="101"/>
        <v>2.6390969703261771E-3</v>
      </c>
      <c r="AA162" s="3">
        <f t="shared" ref="AA162:AF162" si="102">$C48*EXP(-AA$129/$A48/EXP(-$B$126))</f>
        <v>2.6390969703261771E-3</v>
      </c>
      <c r="AB162" s="3">
        <f t="shared" si="102"/>
        <v>2.6390969703261771E-3</v>
      </c>
      <c r="AC162" s="3">
        <f t="shared" si="102"/>
        <v>2.6390969703261771E-3</v>
      </c>
      <c r="AD162" s="3">
        <f t="shared" si="102"/>
        <v>2.6390969703261771E-3</v>
      </c>
      <c r="AE162" s="3">
        <f t="shared" si="102"/>
        <v>2.6390969703261771E-3</v>
      </c>
      <c r="AF162" s="3">
        <f t="shared" si="102"/>
        <v>2.6390969703261771E-3</v>
      </c>
    </row>
    <row r="163" spans="1:34" x14ac:dyDescent="0.25">
      <c r="A163" s="79">
        <f>AVERAGE(B163:AF163)</f>
        <v>2.9862707837631969E-2</v>
      </c>
      <c r="B163" s="80">
        <f>IF($A$64&lt;=B129,IF($B$64&gt;=B129,ABS((B131-B130)/B130),0),0)</f>
        <v>2.536097177703658E-3</v>
      </c>
      <c r="C163" s="80">
        <f t="shared" ref="C163:AF163" si="103">IF($A$64&lt;=C129,IF($B$64&gt;=C129,ABS((C131-C130)/C130),0),0)</f>
        <v>2.542332578010197E-3</v>
      </c>
      <c r="D163" s="80">
        <f t="shared" si="103"/>
        <v>2.5385201729318254E-3</v>
      </c>
      <c r="E163" s="80">
        <f t="shared" si="103"/>
        <v>2.5374086450521529E-3</v>
      </c>
      <c r="F163" s="80">
        <f t="shared" si="103"/>
        <v>2.5370629870042046E-3</v>
      </c>
      <c r="G163" s="80">
        <f t="shared" si="103"/>
        <v>2.5369240461443521E-3</v>
      </c>
      <c r="H163" s="80">
        <f t="shared" si="103"/>
        <v>2.5368799929373288E-3</v>
      </c>
      <c r="I163" s="80">
        <f t="shared" si="103"/>
        <v>2.5368732278454745E-3</v>
      </c>
      <c r="J163" s="80">
        <f t="shared" si="103"/>
        <v>2.536873353015267E-3</v>
      </c>
      <c r="K163" s="80">
        <f t="shared" si="103"/>
        <v>2.5368746047148782E-3</v>
      </c>
      <c r="L163" s="80">
        <f t="shared" si="103"/>
        <v>2.5368871217097632E-3</v>
      </c>
      <c r="M163" s="80">
        <f t="shared" si="103"/>
        <v>2.5370055139992643E-3</v>
      </c>
      <c r="N163" s="80">
        <f t="shared" si="103"/>
        <v>2.538148766419552E-3</v>
      </c>
      <c r="O163" s="80">
        <f t="shared" si="103"/>
        <v>2.549502867105014E-3</v>
      </c>
      <c r="P163" s="80">
        <f t="shared" si="103"/>
        <v>2.6630703273949753E-3</v>
      </c>
      <c r="Q163" s="80">
        <f t="shared" si="103"/>
        <v>3.7941810303740195E-3</v>
      </c>
      <c r="R163" s="80">
        <f t="shared" si="103"/>
        <v>1.4662074970744255E-2</v>
      </c>
      <c r="S163" s="80">
        <f t="shared" si="103"/>
        <v>8.8755299714694341E-2</v>
      </c>
      <c r="T163" s="80">
        <f t="shared" si="103"/>
        <v>0.14611523816471808</v>
      </c>
      <c r="U163" s="80">
        <f t="shared" si="103"/>
        <v>0.12321354530199091</v>
      </c>
      <c r="V163" s="80">
        <f t="shared" si="103"/>
        <v>9.2577764371385901E-2</v>
      </c>
      <c r="W163" s="80">
        <f t="shared" si="103"/>
        <v>4.7309510840526238E-2</v>
      </c>
      <c r="X163" s="80">
        <f t="shared" si="103"/>
        <v>6.7990240963880025E-3</v>
      </c>
      <c r="Y163" s="80">
        <f t="shared" si="103"/>
        <v>5.8478296853689757E-2</v>
      </c>
      <c r="Z163" s="80">
        <f t="shared" si="103"/>
        <v>4.1910363586815359E-2</v>
      </c>
      <c r="AA163" s="80">
        <f t="shared" si="103"/>
        <v>5.5308181649733133E-2</v>
      </c>
      <c r="AB163" s="80">
        <f t="shared" si="103"/>
        <v>6.0282960330300193E-2</v>
      </c>
      <c r="AC163" s="80">
        <f t="shared" si="103"/>
        <v>5.8598940178983164E-2</v>
      </c>
      <c r="AD163" s="80">
        <f t="shared" si="103"/>
        <v>4.9954658779362761E-2</v>
      </c>
      <c r="AE163" s="80">
        <f t="shared" si="103"/>
        <v>3.3649654314603615E-2</v>
      </c>
      <c r="AF163" s="80">
        <f t="shared" si="103"/>
        <v>6.1337874002932542E-3</v>
      </c>
    </row>
    <row r="164" spans="1:34" x14ac:dyDescent="0.25">
      <c r="B164" s="21">
        <f>(B131-B130)^2</f>
        <v>227.35606122613254</v>
      </c>
      <c r="C164" s="21">
        <f t="shared" ref="C164:AF164" si="104">(C131-C130)^2</f>
        <v>228.47827457675584</v>
      </c>
      <c r="D164" s="21">
        <f t="shared" si="104"/>
        <v>227.7918088312889</v>
      </c>
      <c r="E164" s="21">
        <f t="shared" si="104"/>
        <v>227.59186137207166</v>
      </c>
      <c r="F164" s="21">
        <f t="shared" si="104"/>
        <v>227.52970057757372</v>
      </c>
      <c r="G164" s="21">
        <f t="shared" si="104"/>
        <v>227.50471680174837</v>
      </c>
      <c r="H164" s="21">
        <f t="shared" si="104"/>
        <v>227.49679562197514</v>
      </c>
      <c r="I164" s="21">
        <f t="shared" si="104"/>
        <v>227.49557920166814</v>
      </c>
      <c r="J164" s="21">
        <f t="shared" si="104"/>
        <v>227.49560165101636</v>
      </c>
      <c r="K164" s="21">
        <f t="shared" si="104"/>
        <v>227.4958261448611</v>
      </c>
      <c r="L164" s="21">
        <f t="shared" si="104"/>
        <v>227.49807108918108</v>
      </c>
      <c r="M164" s="21">
        <f t="shared" si="104"/>
        <v>227.51930240359223</v>
      </c>
      <c r="N164" s="21">
        <f t="shared" si="104"/>
        <v>227.72435342824474</v>
      </c>
      <c r="O164" s="21">
        <f t="shared" si="104"/>
        <v>229.76576950147029</v>
      </c>
      <c r="P164" s="21">
        <f t="shared" si="104"/>
        <v>250.68568384933036</v>
      </c>
      <c r="Q164" s="21">
        <f t="shared" si="104"/>
        <v>508.74482008301169</v>
      </c>
      <c r="R164" s="21">
        <f t="shared" si="104"/>
        <v>7580.0689134862068</v>
      </c>
      <c r="S164" s="21">
        <f t="shared" si="104"/>
        <v>272733.58288559725</v>
      </c>
      <c r="T164" s="21">
        <f t="shared" si="104"/>
        <v>703068.22354511602</v>
      </c>
      <c r="U164" s="21">
        <f t="shared" si="104"/>
        <v>474102.75276659155</v>
      </c>
      <c r="V164" s="21">
        <f t="shared" si="104"/>
        <v>249873.06831142635</v>
      </c>
      <c r="W164" s="21">
        <f t="shared" si="104"/>
        <v>59174.562305260559</v>
      </c>
      <c r="X164" s="21">
        <f t="shared" si="104"/>
        <v>1089.7681738015619</v>
      </c>
      <c r="Y164" s="21">
        <f t="shared" si="104"/>
        <v>70193.828096536032</v>
      </c>
      <c r="Z164" s="21">
        <f t="shared" si="104"/>
        <v>31208.810416138684</v>
      </c>
      <c r="AA164" s="21">
        <f t="shared" si="104"/>
        <v>47223.788973353425</v>
      </c>
      <c r="AB164" s="21">
        <f t="shared" si="104"/>
        <v>48182.378682643888</v>
      </c>
      <c r="AC164" s="21">
        <f t="shared" si="104"/>
        <v>38594.259957612463</v>
      </c>
      <c r="AD164" s="21">
        <f t="shared" si="104"/>
        <v>22408.834185482807</v>
      </c>
      <c r="AE164" s="21">
        <f t="shared" si="104"/>
        <v>7438.0760777899532</v>
      </c>
      <c r="AF164" s="21">
        <f t="shared" si="104"/>
        <v>159.58302373258988</v>
      </c>
    </row>
    <row r="165" spans="1:34" x14ac:dyDescent="0.25">
      <c r="A165" s="71">
        <f>SUM(B165:AF165)</f>
        <v>2036979.7605409289</v>
      </c>
      <c r="B165" s="60">
        <f>IF($A$64&lt;=B129,IF($B$64&gt;=B129,ABS(B164),0),0)</f>
        <v>227.35606122613254</v>
      </c>
      <c r="C165" s="60">
        <f t="shared" ref="C165:AF165" si="105">IF($A$64&lt;=C129,IF($B$64&gt;=C129,ABS(C164),0),0)</f>
        <v>228.47827457675584</v>
      </c>
      <c r="D165" s="60">
        <f t="shared" si="105"/>
        <v>227.7918088312889</v>
      </c>
      <c r="E165" s="60">
        <f t="shared" si="105"/>
        <v>227.59186137207166</v>
      </c>
      <c r="F165" s="60">
        <f t="shared" si="105"/>
        <v>227.52970057757372</v>
      </c>
      <c r="G165" s="60">
        <f t="shared" si="105"/>
        <v>227.50471680174837</v>
      </c>
      <c r="H165" s="60">
        <f t="shared" si="105"/>
        <v>227.49679562197514</v>
      </c>
      <c r="I165" s="60">
        <f t="shared" si="105"/>
        <v>227.49557920166814</v>
      </c>
      <c r="J165" s="60">
        <f t="shared" si="105"/>
        <v>227.49560165101636</v>
      </c>
      <c r="K165" s="60">
        <f t="shared" si="105"/>
        <v>227.4958261448611</v>
      </c>
      <c r="L165" s="60">
        <f t="shared" si="105"/>
        <v>227.49807108918108</v>
      </c>
      <c r="M165" s="60">
        <f t="shared" si="105"/>
        <v>227.51930240359223</v>
      </c>
      <c r="N165" s="60">
        <f t="shared" si="105"/>
        <v>227.72435342824474</v>
      </c>
      <c r="O165" s="60">
        <f t="shared" si="105"/>
        <v>229.76576950147029</v>
      </c>
      <c r="P165" s="60">
        <f t="shared" si="105"/>
        <v>250.68568384933036</v>
      </c>
      <c r="Q165" s="60">
        <f t="shared" si="105"/>
        <v>508.74482008301169</v>
      </c>
      <c r="R165" s="60">
        <f t="shared" si="105"/>
        <v>7580.0689134862068</v>
      </c>
      <c r="S165" s="60">
        <f t="shared" si="105"/>
        <v>272733.58288559725</v>
      </c>
      <c r="T165" s="60">
        <f t="shared" si="105"/>
        <v>703068.22354511602</v>
      </c>
      <c r="U165" s="60">
        <f t="shared" si="105"/>
        <v>474102.75276659155</v>
      </c>
      <c r="V165" s="60">
        <f t="shared" si="105"/>
        <v>249873.06831142635</v>
      </c>
      <c r="W165" s="60">
        <f t="shared" si="105"/>
        <v>59174.562305260559</v>
      </c>
      <c r="X165" s="60">
        <f t="shared" si="105"/>
        <v>1089.7681738015619</v>
      </c>
      <c r="Y165" s="60">
        <f t="shared" si="105"/>
        <v>70193.828096536032</v>
      </c>
      <c r="Z165" s="60">
        <f t="shared" si="105"/>
        <v>31208.810416138684</v>
      </c>
      <c r="AA165" s="60">
        <f t="shared" si="105"/>
        <v>47223.788973353425</v>
      </c>
      <c r="AB165" s="60">
        <f t="shared" si="105"/>
        <v>48182.378682643888</v>
      </c>
      <c r="AC165" s="60">
        <f t="shared" si="105"/>
        <v>38594.259957612463</v>
      </c>
      <c r="AD165" s="60">
        <f t="shared" si="105"/>
        <v>22408.834185482807</v>
      </c>
      <c r="AE165" s="60">
        <f t="shared" si="105"/>
        <v>7438.0760777899532</v>
      </c>
      <c r="AF165" s="60">
        <f t="shared" si="105"/>
        <v>159.58302373258988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0" t="s">
        <v>22</v>
      </c>
      <c r="B170" s="27">
        <f>($C$17+SUM(B171:B201))*$B$51</f>
        <v>5930.4079000000002</v>
      </c>
      <c r="C170" s="27">
        <f t="shared" ref="C170:AF170" si="106">($C$17+SUM(C171:C201))*$B$51</f>
        <v>5930.4078999999983</v>
      </c>
      <c r="D170" s="27">
        <f t="shared" si="106"/>
        <v>5930.4078999999774</v>
      </c>
      <c r="E170" s="27">
        <f t="shared" si="106"/>
        <v>5930.4078999997664</v>
      </c>
      <c r="F170" s="27">
        <f t="shared" si="106"/>
        <v>5930.4078999976618</v>
      </c>
      <c r="G170" s="27">
        <f t="shared" si="106"/>
        <v>5930.407899976617</v>
      </c>
      <c r="H170" s="27">
        <f t="shared" si="106"/>
        <v>5930.4078997661627</v>
      </c>
      <c r="I170" s="27">
        <f t="shared" si="106"/>
        <v>5930.407897661622</v>
      </c>
      <c r="J170" s="27">
        <f t="shared" si="106"/>
        <v>5930.4078766162202</v>
      </c>
      <c r="K170" s="27">
        <f t="shared" si="106"/>
        <v>5930.4076661622239</v>
      </c>
      <c r="L170" s="27">
        <f t="shared" si="106"/>
        <v>5930.4055616246233</v>
      </c>
      <c r="M170" s="27">
        <f t="shared" si="106"/>
        <v>5930.3845164849654</v>
      </c>
      <c r="N170" s="27">
        <f t="shared" si="106"/>
        <v>5930.1740887214473</v>
      </c>
      <c r="O170" s="27">
        <f t="shared" si="106"/>
        <v>5928.0721726075371</v>
      </c>
      <c r="P170" s="27">
        <f t="shared" si="106"/>
        <v>5907.2873891544605</v>
      </c>
      <c r="Q170" s="27">
        <f t="shared" si="106"/>
        <v>5721.1992353621063</v>
      </c>
      <c r="R170" s="27">
        <f t="shared" si="106"/>
        <v>5006.3452527677027</v>
      </c>
      <c r="S170" s="27">
        <f t="shared" si="106"/>
        <v>4899.7322315344418</v>
      </c>
      <c r="T170" s="27">
        <f t="shared" si="106"/>
        <v>4899.7029939078775</v>
      </c>
      <c r="U170" s="27">
        <f t="shared" si="106"/>
        <v>4899.4107004168482</v>
      </c>
      <c r="V170" s="27">
        <f t="shared" si="106"/>
        <v>4896.4958827818919</v>
      </c>
      <c r="W170" s="27">
        <f t="shared" si="106"/>
        <v>4868.1439830087147</v>
      </c>
      <c r="X170" s="27">
        <f t="shared" si="106"/>
        <v>4650.8142524931545</v>
      </c>
      <c r="Y170" s="27">
        <f t="shared" si="106"/>
        <v>4268.7761599746309</v>
      </c>
      <c r="Z170" s="27">
        <f t="shared" si="106"/>
        <v>4036.6437038346603</v>
      </c>
      <c r="AA170" s="27">
        <f t="shared" si="106"/>
        <v>3727.9792130885926</v>
      </c>
      <c r="AB170" s="27">
        <f t="shared" si="106"/>
        <v>3387.6383025087362</v>
      </c>
      <c r="AC170" s="27">
        <f t="shared" si="106"/>
        <v>2932.8484995464328</v>
      </c>
      <c r="AD170" s="27">
        <f t="shared" si="106"/>
        <v>2391.9932176422481</v>
      </c>
      <c r="AE170" s="27">
        <f t="shared" si="106"/>
        <v>1772.6020194411715</v>
      </c>
      <c r="AF170" s="27">
        <f t="shared" si="106"/>
        <v>1120.2090545229717</v>
      </c>
      <c r="AG170" s="27"/>
      <c r="AH170" s="27"/>
    </row>
    <row r="171" spans="1:34" x14ac:dyDescent="0.25">
      <c r="B171" s="3">
        <f t="shared" ref="B171:AF171" si="107">$C18*EXP(-B$168/$A18/EXP(-$C$126))</f>
        <v>0.17379452430407932</v>
      </c>
      <c r="C171" s="3">
        <f t="shared" si="107"/>
        <v>0.17379452430407896</v>
      </c>
      <c r="D171" s="3">
        <f t="shared" si="107"/>
        <v>0.17379452430407541</v>
      </c>
      <c r="E171" s="3">
        <f t="shared" si="107"/>
        <v>0.17379452430403991</v>
      </c>
      <c r="F171" s="3">
        <f t="shared" si="107"/>
        <v>0.17379452430368506</v>
      </c>
      <c r="G171" s="3">
        <f t="shared" si="107"/>
        <v>0.17379452430013634</v>
      </c>
      <c r="H171" s="3">
        <f t="shared" si="107"/>
        <v>0.17379452426464906</v>
      </c>
      <c r="I171" s="3">
        <f t="shared" si="107"/>
        <v>0.17379452390977634</v>
      </c>
      <c r="J171" s="3">
        <f t="shared" si="107"/>
        <v>0.17379452036104925</v>
      </c>
      <c r="K171" s="3">
        <f t="shared" si="107"/>
        <v>0.17379448487378249</v>
      </c>
      <c r="L171" s="3">
        <f t="shared" si="107"/>
        <v>0.17379413000151339</v>
      </c>
      <c r="M171" s="3">
        <f t="shared" si="107"/>
        <v>0.17379058131867592</v>
      </c>
      <c r="N171" s="3">
        <f t="shared" si="107"/>
        <v>0.17375509847536585</v>
      </c>
      <c r="O171" s="3">
        <f t="shared" si="107"/>
        <v>0.17340066824780517</v>
      </c>
      <c r="P171" s="3">
        <f t="shared" si="107"/>
        <v>0.16989588731541128</v>
      </c>
      <c r="Q171" s="3">
        <f t="shared" si="107"/>
        <v>0.13851724900050377</v>
      </c>
      <c r="R171" s="3">
        <f t="shared" si="107"/>
        <v>1.7976857468475264E-2</v>
      </c>
      <c r="S171" s="3">
        <f t="shared" si="107"/>
        <v>2.4367610753308526E-11</v>
      </c>
      <c r="T171" s="3">
        <f t="shared" si="107"/>
        <v>5.102754617239297E-100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9.0899647473980161E-2</v>
      </c>
      <c r="C172" s="3">
        <f t="shared" si="108"/>
        <v>9.0899647473980161E-2</v>
      </c>
      <c r="D172" s="3">
        <f t="shared" si="108"/>
        <v>9.0899647473980161E-2</v>
      </c>
      <c r="E172" s="3">
        <f t="shared" si="108"/>
        <v>9.0899647473980161E-2</v>
      </c>
      <c r="F172" s="3">
        <f t="shared" si="108"/>
        <v>9.0899647473980161E-2</v>
      </c>
      <c r="G172" s="3">
        <f t="shared" si="108"/>
        <v>9.0899647473980161E-2</v>
      </c>
      <c r="H172" s="3">
        <f t="shared" si="108"/>
        <v>9.0899647473980147E-2</v>
      </c>
      <c r="I172" s="3">
        <f t="shared" si="108"/>
        <v>9.0899647473980105E-2</v>
      </c>
      <c r="J172" s="3">
        <f t="shared" si="108"/>
        <v>9.0899647473979633E-2</v>
      </c>
      <c r="K172" s="3">
        <f t="shared" si="108"/>
        <v>9.0899647473974887E-2</v>
      </c>
      <c r="L172" s="3">
        <f t="shared" si="108"/>
        <v>9.0899647473927328E-2</v>
      </c>
      <c r="M172" s="3">
        <f t="shared" si="108"/>
        <v>9.0899647473451889E-2</v>
      </c>
      <c r="N172" s="3">
        <f t="shared" si="108"/>
        <v>9.0899647468697428E-2</v>
      </c>
      <c r="O172" s="3">
        <f t="shared" si="108"/>
        <v>9.0899647421152904E-2</v>
      </c>
      <c r="P172" s="3">
        <f t="shared" si="108"/>
        <v>9.0899646945707527E-2</v>
      </c>
      <c r="Q172" s="3">
        <f t="shared" si="108"/>
        <v>9.0899642191253932E-2</v>
      </c>
      <c r="R172" s="3">
        <f t="shared" si="108"/>
        <v>9.0899594646731779E-2</v>
      </c>
      <c r="S172" s="3">
        <f t="shared" si="108"/>
        <v>9.089911920287784E-2</v>
      </c>
      <c r="T172" s="3">
        <f t="shared" si="108"/>
        <v>9.0894364901109068E-2</v>
      </c>
      <c r="U172" s="3">
        <f t="shared" si="108"/>
        <v>9.0846835557823705E-2</v>
      </c>
      <c r="V172" s="3">
        <f t="shared" si="108"/>
        <v>9.0372906922563612E-2</v>
      </c>
      <c r="W172" s="3">
        <f t="shared" si="108"/>
        <v>8.5767495631902155E-2</v>
      </c>
      <c r="X172" s="3">
        <f t="shared" si="108"/>
        <v>5.0835546912790422E-2</v>
      </c>
      <c r="Y172" s="3">
        <f t="shared" si="108"/>
        <v>2.7202900442644019E-4</v>
      </c>
      <c r="Z172" s="3">
        <f t="shared" si="108"/>
        <v>5.2371176507302109E-27</v>
      </c>
      <c r="AA172" s="3">
        <f t="shared" si="108"/>
        <v>3.6632243124434134E-254</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3.1881256705136286E-2</v>
      </c>
      <c r="C173" s="3">
        <f t="shared" si="109"/>
        <v>3.1881256705136286E-2</v>
      </c>
      <c r="D173" s="3">
        <f t="shared" si="109"/>
        <v>3.1881256705136286E-2</v>
      </c>
      <c r="E173" s="3">
        <f t="shared" si="109"/>
        <v>3.1881256705136286E-2</v>
      </c>
      <c r="F173" s="3">
        <f t="shared" si="109"/>
        <v>3.1881256705136286E-2</v>
      </c>
      <c r="G173" s="3">
        <f t="shared" si="109"/>
        <v>3.1881256705136286E-2</v>
      </c>
      <c r="H173" s="3">
        <f t="shared" si="109"/>
        <v>3.1881256705136286E-2</v>
      </c>
      <c r="I173" s="3">
        <f t="shared" si="109"/>
        <v>3.1881256705136286E-2</v>
      </c>
      <c r="J173" s="3">
        <f t="shared" si="109"/>
        <v>3.1881256705136266E-2</v>
      </c>
      <c r="K173" s="3">
        <f t="shared" si="109"/>
        <v>3.188125670513612E-2</v>
      </c>
      <c r="L173" s="3">
        <f t="shared" si="109"/>
        <v>3.1881256705134614E-2</v>
      </c>
      <c r="M173" s="3">
        <f t="shared" si="109"/>
        <v>3.1881256705119571E-2</v>
      </c>
      <c r="N173" s="3">
        <f t="shared" si="109"/>
        <v>3.1881256704969149E-2</v>
      </c>
      <c r="O173" s="3">
        <f t="shared" si="109"/>
        <v>3.1881256703464894E-2</v>
      </c>
      <c r="P173" s="3">
        <f t="shared" si="109"/>
        <v>3.1881256688422385E-2</v>
      </c>
      <c r="Q173" s="3">
        <f t="shared" si="109"/>
        <v>3.1881256537997234E-2</v>
      </c>
      <c r="R173" s="3">
        <f t="shared" si="109"/>
        <v>3.1881255033745788E-2</v>
      </c>
      <c r="S173" s="3">
        <f t="shared" si="109"/>
        <v>3.1881239991235238E-2</v>
      </c>
      <c r="T173" s="3">
        <f t="shared" si="109"/>
        <v>3.1881089566520089E-2</v>
      </c>
      <c r="U173" s="3">
        <f t="shared" si="109"/>
        <v>3.1879585358404128E-2</v>
      </c>
      <c r="V173" s="3">
        <f t="shared" si="109"/>
        <v>3.1864547180113029E-2</v>
      </c>
      <c r="W173" s="3">
        <f t="shared" si="109"/>
        <v>3.1714555003560074E-2</v>
      </c>
      <c r="X173" s="3">
        <f t="shared" si="109"/>
        <v>3.0252922210044508E-2</v>
      </c>
      <c r="Y173" s="3">
        <f t="shared" si="109"/>
        <v>1.8873585669600824E-2</v>
      </c>
      <c r="Z173" s="3">
        <f t="shared" si="109"/>
        <v>1.6854864982108605E-4</v>
      </c>
      <c r="AA173" s="3">
        <f t="shared" si="109"/>
        <v>5.4379334595680848E-25</v>
      </c>
      <c r="AB173" s="3">
        <f t="shared" si="109"/>
        <v>6.6453827706341987E-230</v>
      </c>
      <c r="AC173" s="3">
        <f t="shared" si="109"/>
        <v>0</v>
      </c>
      <c r="AD173" s="3">
        <f t="shared" si="109"/>
        <v>0</v>
      </c>
      <c r="AE173" s="3">
        <f t="shared" si="109"/>
        <v>0</v>
      </c>
      <c r="AF173" s="3">
        <f t="shared" si="109"/>
        <v>0</v>
      </c>
      <c r="AG173" s="3"/>
      <c r="AH173" s="3"/>
    </row>
    <row r="174" spans="1:34" x14ac:dyDescent="0.25">
      <c r="B174" s="3">
        <f t="shared" ref="B174:AF174" si="110">$C21*EXP(-B$168/$A21/EXP(-$C$126))</f>
        <v>5.4295186308030693E-2</v>
      </c>
      <c r="C174" s="3">
        <f t="shared" si="110"/>
        <v>5.4295186308030693E-2</v>
      </c>
      <c r="D174" s="3">
        <f t="shared" si="110"/>
        <v>5.4295186308030693E-2</v>
      </c>
      <c r="E174" s="3">
        <f t="shared" si="110"/>
        <v>5.4295186308030693E-2</v>
      </c>
      <c r="F174" s="3">
        <f t="shared" si="110"/>
        <v>5.4295186308030693E-2</v>
      </c>
      <c r="G174" s="3">
        <f t="shared" si="110"/>
        <v>5.4295186308030693E-2</v>
      </c>
      <c r="H174" s="3">
        <f t="shared" si="110"/>
        <v>5.4295186308030693E-2</v>
      </c>
      <c r="I174" s="3">
        <f t="shared" si="110"/>
        <v>5.4295186308030693E-2</v>
      </c>
      <c r="J174" s="3">
        <f t="shared" si="110"/>
        <v>5.4295186308030693E-2</v>
      </c>
      <c r="K174" s="3">
        <f t="shared" si="110"/>
        <v>5.4295186308030673E-2</v>
      </c>
      <c r="L174" s="3">
        <f t="shared" si="110"/>
        <v>5.4295186308030437E-2</v>
      </c>
      <c r="M174" s="3">
        <f t="shared" si="110"/>
        <v>5.4295186308028126E-2</v>
      </c>
      <c r="N174" s="3">
        <f t="shared" si="110"/>
        <v>5.4295186308005013E-2</v>
      </c>
      <c r="O174" s="3">
        <f t="shared" si="110"/>
        <v>5.429518630777392E-2</v>
      </c>
      <c r="P174" s="3">
        <f t="shared" si="110"/>
        <v>5.4295186305462956E-2</v>
      </c>
      <c r="Q174" s="3">
        <f t="shared" si="110"/>
        <v>5.429518628235333E-2</v>
      </c>
      <c r="R174" s="3">
        <f t="shared" si="110"/>
        <v>5.4295186051257056E-2</v>
      </c>
      <c r="S174" s="3">
        <f t="shared" si="110"/>
        <v>5.429518374029442E-2</v>
      </c>
      <c r="T174" s="3">
        <f t="shared" si="110"/>
        <v>5.4295160630673397E-2</v>
      </c>
      <c r="U174" s="3">
        <f t="shared" si="110"/>
        <v>5.4294929535004179E-2</v>
      </c>
      <c r="V174" s="3">
        <f t="shared" si="110"/>
        <v>5.4292618632409792E-2</v>
      </c>
      <c r="W174" s="3">
        <f t="shared" si="110"/>
        <v>5.4269515015394475E-2</v>
      </c>
      <c r="X174" s="3">
        <f t="shared" si="110"/>
        <v>5.4039018887250635E-2</v>
      </c>
      <c r="Y174" s="3">
        <f t="shared" si="110"/>
        <v>5.1787220928859796E-2</v>
      </c>
      <c r="Z174" s="3">
        <f t="shared" si="110"/>
        <v>3.383561779450462E-2</v>
      </c>
      <c r="AA174" s="3">
        <f t="shared" si="110"/>
        <v>4.7961102314541024E-4</v>
      </c>
      <c r="AB174" s="3">
        <f t="shared" si="110"/>
        <v>1.5705060444939679E-22</v>
      </c>
      <c r="AC174" s="3">
        <f t="shared" si="110"/>
        <v>2.2260974543311997E-207</v>
      </c>
      <c r="AD174" s="3">
        <f t="shared" si="110"/>
        <v>0</v>
      </c>
      <c r="AE174" s="3">
        <f t="shared" si="110"/>
        <v>0</v>
      </c>
      <c r="AF174" s="3">
        <f t="shared" si="110"/>
        <v>0</v>
      </c>
      <c r="AG174" s="3"/>
      <c r="AH174" s="3"/>
    </row>
    <row r="175" spans="1:34" x14ac:dyDescent="0.25">
      <c r="B175" s="3">
        <f t="shared" ref="B175:AF175" si="111">$C22*EXP(-B$168/$A22/EXP(-$C$126))</f>
        <v>5.1307510130975835E-2</v>
      </c>
      <c r="C175" s="3">
        <f t="shared" si="111"/>
        <v>5.1307510130975835E-2</v>
      </c>
      <c r="D175" s="3">
        <f t="shared" si="111"/>
        <v>5.1307510130975835E-2</v>
      </c>
      <c r="E175" s="3">
        <f t="shared" si="111"/>
        <v>5.1307510130975835E-2</v>
      </c>
      <c r="F175" s="3">
        <f t="shared" si="111"/>
        <v>5.1307510130975835E-2</v>
      </c>
      <c r="G175" s="3">
        <f t="shared" si="111"/>
        <v>5.1307510130975835E-2</v>
      </c>
      <c r="H175" s="3">
        <f t="shared" si="111"/>
        <v>5.1307510130975835E-2</v>
      </c>
      <c r="I175" s="3">
        <f t="shared" si="111"/>
        <v>5.1307510130975835E-2</v>
      </c>
      <c r="J175" s="3">
        <f t="shared" si="111"/>
        <v>5.1307510130975835E-2</v>
      </c>
      <c r="K175" s="3">
        <f t="shared" si="111"/>
        <v>5.1307510130975835E-2</v>
      </c>
      <c r="L175" s="3">
        <f t="shared" si="111"/>
        <v>5.1307510130975814E-2</v>
      </c>
      <c r="M175" s="3">
        <f t="shared" si="111"/>
        <v>5.130751013097562E-2</v>
      </c>
      <c r="N175" s="3">
        <f t="shared" si="111"/>
        <v>5.1307510130973649E-2</v>
      </c>
      <c r="O175" s="3">
        <f t="shared" si="111"/>
        <v>5.1307510130953943E-2</v>
      </c>
      <c r="P175" s="3">
        <f t="shared" si="111"/>
        <v>5.1307510130756948E-2</v>
      </c>
      <c r="Q175" s="3">
        <f t="shared" si="111"/>
        <v>5.1307510128786982E-2</v>
      </c>
      <c r="R175" s="3">
        <f t="shared" si="111"/>
        <v>5.1307510109087309E-2</v>
      </c>
      <c r="S175" s="3">
        <f t="shared" si="111"/>
        <v>5.1307509912090515E-2</v>
      </c>
      <c r="T175" s="3">
        <f t="shared" si="111"/>
        <v>5.1307507942122715E-2</v>
      </c>
      <c r="U175" s="3">
        <f t="shared" si="111"/>
        <v>5.1307488242448802E-2</v>
      </c>
      <c r="V175" s="3">
        <f t="shared" si="111"/>
        <v>5.1307291246125708E-2</v>
      </c>
      <c r="W175" s="3">
        <f t="shared" si="111"/>
        <v>5.1305321324494772E-2</v>
      </c>
      <c r="X175" s="3">
        <f t="shared" si="111"/>
        <v>5.1285626267592976E-2</v>
      </c>
      <c r="Y175" s="3">
        <f t="shared" si="111"/>
        <v>5.1089091049042065E-2</v>
      </c>
      <c r="Z175" s="3">
        <f t="shared" si="111"/>
        <v>4.9164689863330044E-2</v>
      </c>
      <c r="AA175" s="3">
        <f t="shared" si="111"/>
        <v>3.3489185350210365E-2</v>
      </c>
      <c r="AB175" s="3">
        <f t="shared" si="111"/>
        <v>7.2014073085859974E-4</v>
      </c>
      <c r="AC175" s="3">
        <f t="shared" si="111"/>
        <v>1.5224579108306495E-20</v>
      </c>
      <c r="AD175" s="3">
        <f t="shared" si="111"/>
        <v>2.715341739518563E-187</v>
      </c>
      <c r="AE175" s="3">
        <f t="shared" si="111"/>
        <v>0</v>
      </c>
      <c r="AF175" s="3">
        <f t="shared" si="111"/>
        <v>0</v>
      </c>
      <c r="AG175" s="3"/>
      <c r="AH175" s="3"/>
    </row>
    <row r="176" spans="1:34" x14ac:dyDescent="0.25">
      <c r="B176" s="3">
        <f t="shared" ref="B176:AF176" si="112">$C23*EXP(-B$168/$A23/EXP(-$C$126))</f>
        <v>7.4663981933644916E-2</v>
      </c>
      <c r="C176" s="3">
        <f t="shared" si="112"/>
        <v>7.4663981933644916E-2</v>
      </c>
      <c r="D176" s="3">
        <f t="shared" si="112"/>
        <v>7.4663981933644916E-2</v>
      </c>
      <c r="E176" s="3">
        <f t="shared" si="112"/>
        <v>7.4663981933644916E-2</v>
      </c>
      <c r="F176" s="3">
        <f t="shared" si="112"/>
        <v>7.4663981933644916E-2</v>
      </c>
      <c r="G176" s="3">
        <f t="shared" si="112"/>
        <v>7.4663981933644916E-2</v>
      </c>
      <c r="H176" s="3">
        <f t="shared" si="112"/>
        <v>7.4663981933644916E-2</v>
      </c>
      <c r="I176" s="3">
        <f t="shared" si="112"/>
        <v>7.4663981933644916E-2</v>
      </c>
      <c r="J176" s="3">
        <f t="shared" si="112"/>
        <v>7.4663981933644916E-2</v>
      </c>
      <c r="K176" s="3">
        <f t="shared" si="112"/>
        <v>7.4663981933644916E-2</v>
      </c>
      <c r="L176" s="3">
        <f t="shared" si="112"/>
        <v>7.4663981933644916E-2</v>
      </c>
      <c r="M176" s="3">
        <f t="shared" si="112"/>
        <v>7.4663981933644888E-2</v>
      </c>
      <c r="N176" s="3">
        <f t="shared" si="112"/>
        <v>7.4663981933644624E-2</v>
      </c>
      <c r="O176" s="3">
        <f t="shared" si="112"/>
        <v>7.4663981933642043E-2</v>
      </c>
      <c r="P176" s="3">
        <f t="shared" si="112"/>
        <v>7.4663981933616189E-2</v>
      </c>
      <c r="Q176" s="3">
        <f t="shared" si="112"/>
        <v>7.4663981933357576E-2</v>
      </c>
      <c r="R176" s="3">
        <f t="shared" si="112"/>
        <v>7.4663981930771534E-2</v>
      </c>
      <c r="S176" s="3">
        <f t="shared" si="112"/>
        <v>7.4663981904911095E-2</v>
      </c>
      <c r="T176" s="3">
        <f t="shared" si="112"/>
        <v>7.4663981646306679E-2</v>
      </c>
      <c r="U176" s="3">
        <f t="shared" si="112"/>
        <v>7.4663979060262564E-2</v>
      </c>
      <c r="V176" s="3">
        <f t="shared" si="112"/>
        <v>7.4663953199826341E-2</v>
      </c>
      <c r="W176" s="3">
        <f t="shared" si="112"/>
        <v>7.4663694595956773E-2</v>
      </c>
      <c r="X176" s="3">
        <f t="shared" si="112"/>
        <v>7.4661108606523738E-2</v>
      </c>
      <c r="Y176" s="3">
        <f t="shared" si="112"/>
        <v>7.4635253637820934E-2</v>
      </c>
      <c r="Z176" s="3">
        <f t="shared" si="112"/>
        <v>7.4377195882913541E-2</v>
      </c>
      <c r="AA176" s="3">
        <f t="shared" si="112"/>
        <v>7.1845186921384696E-2</v>
      </c>
      <c r="AB176" s="3">
        <f t="shared" si="112"/>
        <v>5.0813190045081266E-2</v>
      </c>
      <c r="AC176" s="3">
        <f t="shared" si="112"/>
        <v>1.5913447567411272E-3</v>
      </c>
      <c r="AD176" s="3">
        <f t="shared" si="112"/>
        <v>1.4442502309962217E-18</v>
      </c>
      <c r="AE176" s="3">
        <f t="shared" si="112"/>
        <v>5.475504335126418E-169</v>
      </c>
      <c r="AF176" s="3">
        <f t="shared" si="112"/>
        <v>0</v>
      </c>
      <c r="AG176" s="3"/>
      <c r="AH176" s="3"/>
    </row>
    <row r="177" spans="2:34" x14ac:dyDescent="0.25">
      <c r="B177" s="3">
        <f t="shared" ref="B177:AF177" si="113">$C24*EXP(-B$168/$A24/EXP(-$C$126))</f>
        <v>9.0647969973627479E-2</v>
      </c>
      <c r="C177" s="3">
        <f t="shared" si="113"/>
        <v>9.0647969973627479E-2</v>
      </c>
      <c r="D177" s="3">
        <f t="shared" si="113"/>
        <v>9.0647969973627479E-2</v>
      </c>
      <c r="E177" s="3">
        <f t="shared" si="113"/>
        <v>9.0647969973627479E-2</v>
      </c>
      <c r="F177" s="3">
        <f t="shared" si="113"/>
        <v>9.0647969973627479E-2</v>
      </c>
      <c r="G177" s="3">
        <f t="shared" si="113"/>
        <v>9.0647969973627479E-2</v>
      </c>
      <c r="H177" s="3">
        <f t="shared" si="113"/>
        <v>9.0647969973627479E-2</v>
      </c>
      <c r="I177" s="3">
        <f t="shared" si="113"/>
        <v>9.0647969973627479E-2</v>
      </c>
      <c r="J177" s="3">
        <f t="shared" si="113"/>
        <v>9.0647969973627479E-2</v>
      </c>
      <c r="K177" s="3">
        <f t="shared" si="113"/>
        <v>9.0647969973627479E-2</v>
      </c>
      <c r="L177" s="3">
        <f t="shared" si="113"/>
        <v>9.0647969973627479E-2</v>
      </c>
      <c r="M177" s="3">
        <f t="shared" si="113"/>
        <v>9.0647969973627479E-2</v>
      </c>
      <c r="N177" s="3">
        <f t="shared" si="113"/>
        <v>9.0647969973627451E-2</v>
      </c>
      <c r="O177" s="3">
        <f t="shared" si="113"/>
        <v>9.0647969973627174E-2</v>
      </c>
      <c r="P177" s="3">
        <f t="shared" si="113"/>
        <v>9.0647969973624329E-2</v>
      </c>
      <c r="Q177" s="3">
        <f t="shared" si="113"/>
        <v>9.0647969973596004E-2</v>
      </c>
      <c r="R177" s="3">
        <f t="shared" si="113"/>
        <v>9.0647969973312786E-2</v>
      </c>
      <c r="S177" s="3">
        <f t="shared" si="113"/>
        <v>9.0647969970480552E-2</v>
      </c>
      <c r="T177" s="3">
        <f t="shared" si="113"/>
        <v>9.0647969942158194E-2</v>
      </c>
      <c r="U177" s="3">
        <f t="shared" si="113"/>
        <v>9.0647969658934568E-2</v>
      </c>
      <c r="V177" s="3">
        <f t="shared" si="113"/>
        <v>9.064796682669847E-2</v>
      </c>
      <c r="W177" s="3">
        <f t="shared" si="113"/>
        <v>9.0647938504342218E-2</v>
      </c>
      <c r="X177" s="3">
        <f t="shared" si="113"/>
        <v>9.0647655281266379E-2</v>
      </c>
      <c r="Y177" s="3">
        <f t="shared" si="113"/>
        <v>9.0644823099177721E-2</v>
      </c>
      <c r="Z177" s="3">
        <f t="shared" si="113"/>
        <v>9.0616506144690592E-2</v>
      </c>
      <c r="AA177" s="3">
        <f t="shared" si="113"/>
        <v>9.0333822677655745E-2</v>
      </c>
      <c r="AB177" s="3">
        <f t="shared" si="113"/>
        <v>8.7555038530550675E-2</v>
      </c>
      <c r="AC177" s="3">
        <f t="shared" si="113"/>
        <v>6.4060259075237033E-2</v>
      </c>
      <c r="AD177" s="3">
        <f t="shared" si="113"/>
        <v>2.8162043377596905E-3</v>
      </c>
      <c r="AE177" s="3">
        <f t="shared" si="113"/>
        <v>7.5930959308379743E-17</v>
      </c>
      <c r="AF177" s="3">
        <f t="shared" si="113"/>
        <v>1.5415801997610469E-152</v>
      </c>
      <c r="AG177" s="3"/>
      <c r="AH177" s="3"/>
    </row>
    <row r="178" spans="2:34" x14ac:dyDescent="0.25">
      <c r="B178" s="3">
        <f t="shared" ref="B178:AF178" si="114">$C25*EXP(-B$168/$A25/EXP(-$C$126))</f>
        <v>0.10513898706376987</v>
      </c>
      <c r="C178" s="3">
        <f t="shared" si="114"/>
        <v>0.10513898706376987</v>
      </c>
      <c r="D178" s="3">
        <f t="shared" si="114"/>
        <v>0.10513898706376987</v>
      </c>
      <c r="E178" s="3">
        <f t="shared" si="114"/>
        <v>0.10513898706376987</v>
      </c>
      <c r="F178" s="3">
        <f t="shared" si="114"/>
        <v>0.10513898706376987</v>
      </c>
      <c r="G178" s="3">
        <f t="shared" si="114"/>
        <v>0.10513898706376987</v>
      </c>
      <c r="H178" s="3">
        <f t="shared" si="114"/>
        <v>0.10513898706376987</v>
      </c>
      <c r="I178" s="3">
        <f t="shared" si="114"/>
        <v>0.10513898706376987</v>
      </c>
      <c r="J178" s="3">
        <f t="shared" si="114"/>
        <v>0.10513898706376987</v>
      </c>
      <c r="K178" s="3">
        <f t="shared" si="114"/>
        <v>0.10513898706376987</v>
      </c>
      <c r="L178" s="3">
        <f t="shared" si="114"/>
        <v>0.10513898706376987</v>
      </c>
      <c r="M178" s="3">
        <f t="shared" si="114"/>
        <v>0.10513898706376987</v>
      </c>
      <c r="N178" s="3">
        <f t="shared" si="114"/>
        <v>0.10513898706376987</v>
      </c>
      <c r="O178" s="3">
        <f t="shared" si="114"/>
        <v>0.10513898706376983</v>
      </c>
      <c r="P178" s="3">
        <f t="shared" si="114"/>
        <v>0.10513898706376953</v>
      </c>
      <c r="Q178" s="3">
        <f t="shared" si="114"/>
        <v>0.10513898706376658</v>
      </c>
      <c r="R178" s="3">
        <f t="shared" si="114"/>
        <v>0.10513898706373694</v>
      </c>
      <c r="S178" s="3">
        <f t="shared" si="114"/>
        <v>0.1051389870634406</v>
      </c>
      <c r="T178" s="3">
        <f t="shared" si="114"/>
        <v>0.10513898706047727</v>
      </c>
      <c r="U178" s="3">
        <f t="shared" si="114"/>
        <v>0.10513898703084384</v>
      </c>
      <c r="V178" s="3">
        <f t="shared" si="114"/>
        <v>0.10513898673450967</v>
      </c>
      <c r="W178" s="3">
        <f t="shared" si="114"/>
        <v>0.10513898377116782</v>
      </c>
      <c r="X178" s="3">
        <f t="shared" si="114"/>
        <v>0.10513895413775397</v>
      </c>
      <c r="Y178" s="3">
        <f t="shared" si="114"/>
        <v>0.10513865780407487</v>
      </c>
      <c r="Z178" s="3">
        <f t="shared" si="114"/>
        <v>0.10513569451322033</v>
      </c>
      <c r="AA178" s="3">
        <f t="shared" si="114"/>
        <v>0.10510606619784059</v>
      </c>
      <c r="AB178" s="3">
        <f t="shared" si="114"/>
        <v>0.10481024188196604</v>
      </c>
      <c r="AC178" s="3">
        <f t="shared" si="114"/>
        <v>0.10189740760476895</v>
      </c>
      <c r="AD178" s="3">
        <f t="shared" si="114"/>
        <v>7.6870066051984501E-2</v>
      </c>
      <c r="AE178" s="3">
        <f t="shared" si="114"/>
        <v>4.588792766689216E-3</v>
      </c>
      <c r="AF178" s="3">
        <f t="shared" si="114"/>
        <v>2.6370013575263998E-15</v>
      </c>
      <c r="AG178" s="3"/>
      <c r="AH178" s="3"/>
    </row>
    <row r="179" spans="2:34" x14ac:dyDescent="0.25">
      <c r="B179" s="3">
        <f t="shared" ref="B179:AF179" si="115">$C26*EXP(-B$168/$A26/EXP(-$C$126))</f>
        <v>0.12480864845095105</v>
      </c>
      <c r="C179" s="3">
        <f t="shared" si="115"/>
        <v>0.12480864845095105</v>
      </c>
      <c r="D179" s="3">
        <f t="shared" si="115"/>
        <v>0.12480864845095105</v>
      </c>
      <c r="E179" s="3">
        <f t="shared" si="115"/>
        <v>0.12480864845095105</v>
      </c>
      <c r="F179" s="3">
        <f t="shared" si="115"/>
        <v>0.12480864845095105</v>
      </c>
      <c r="G179" s="3">
        <f t="shared" si="115"/>
        <v>0.12480864845095105</v>
      </c>
      <c r="H179" s="3">
        <f t="shared" si="115"/>
        <v>0.12480864845095105</v>
      </c>
      <c r="I179" s="3">
        <f t="shared" si="115"/>
        <v>0.12480864845095105</v>
      </c>
      <c r="J179" s="3">
        <f t="shared" si="115"/>
        <v>0.12480864845095105</v>
      </c>
      <c r="K179" s="3">
        <f t="shared" si="115"/>
        <v>0.12480864845095105</v>
      </c>
      <c r="L179" s="3">
        <f t="shared" si="115"/>
        <v>0.12480864845095105</v>
      </c>
      <c r="M179" s="3">
        <f t="shared" si="115"/>
        <v>0.12480864845095105</v>
      </c>
      <c r="N179" s="3">
        <f t="shared" si="115"/>
        <v>0.12480864845095105</v>
      </c>
      <c r="O179" s="3">
        <f t="shared" si="115"/>
        <v>0.12480864845095105</v>
      </c>
      <c r="P179" s="3">
        <f t="shared" si="115"/>
        <v>0.12480864845095101</v>
      </c>
      <c r="Q179" s="3">
        <f t="shared" si="115"/>
        <v>0.1248086484509507</v>
      </c>
      <c r="R179" s="3">
        <f t="shared" si="115"/>
        <v>0.12480864845094752</v>
      </c>
      <c r="S179" s="3">
        <f t="shared" si="115"/>
        <v>0.12480864845091579</v>
      </c>
      <c r="T179" s="3">
        <f t="shared" si="115"/>
        <v>0.12480864845059846</v>
      </c>
      <c r="U179" s="3">
        <f t="shared" si="115"/>
        <v>0.12480864844742519</v>
      </c>
      <c r="V179" s="3">
        <f t="shared" si="115"/>
        <v>0.12480864841569231</v>
      </c>
      <c r="W179" s="3">
        <f t="shared" si="115"/>
        <v>0.12480864809836369</v>
      </c>
      <c r="X179" s="3">
        <f t="shared" si="115"/>
        <v>0.12480864492507754</v>
      </c>
      <c r="Y179" s="3">
        <f t="shared" si="115"/>
        <v>0.12480861319222043</v>
      </c>
      <c r="Z179" s="3">
        <f t="shared" si="115"/>
        <v>0.12480829586409309</v>
      </c>
      <c r="AA179" s="3">
        <f t="shared" si="115"/>
        <v>0.124805122627194</v>
      </c>
      <c r="AB179" s="3">
        <f t="shared" si="115"/>
        <v>0.12477339469522016</v>
      </c>
      <c r="AC179" s="3">
        <f t="shared" si="115"/>
        <v>0.12445655866007067</v>
      </c>
      <c r="AD179" s="3">
        <f t="shared" si="115"/>
        <v>0.12133211257597928</v>
      </c>
      <c r="AE179" s="3">
        <f t="shared" si="115"/>
        <v>9.4092600506299987E-2</v>
      </c>
      <c r="AF179" s="3">
        <f t="shared" si="115"/>
        <v>7.4020598765785388E-3</v>
      </c>
      <c r="AG179" s="3"/>
      <c r="AH179" s="3"/>
    </row>
    <row r="180" spans="2:34" x14ac:dyDescent="0.25">
      <c r="B180" s="3">
        <f t="shared" ref="B180:AF180" si="116">$C27*EXP(-B$168/$A27/EXP(-$C$126))</f>
        <v>8.8034867704118849E-2</v>
      </c>
      <c r="C180" s="3">
        <f t="shared" si="116"/>
        <v>8.8034867704118849E-2</v>
      </c>
      <c r="D180" s="3">
        <f t="shared" si="116"/>
        <v>8.8034867704118849E-2</v>
      </c>
      <c r="E180" s="3">
        <f t="shared" si="116"/>
        <v>8.8034867704118849E-2</v>
      </c>
      <c r="F180" s="3">
        <f t="shared" si="116"/>
        <v>8.8034867704118849E-2</v>
      </c>
      <c r="G180" s="3">
        <f t="shared" si="116"/>
        <v>8.8034867704118849E-2</v>
      </c>
      <c r="H180" s="3">
        <f t="shared" si="116"/>
        <v>8.8034867704118849E-2</v>
      </c>
      <c r="I180" s="3">
        <f t="shared" si="116"/>
        <v>8.8034867704118849E-2</v>
      </c>
      <c r="J180" s="3">
        <f t="shared" si="116"/>
        <v>8.8034867704118849E-2</v>
      </c>
      <c r="K180" s="3">
        <f t="shared" si="116"/>
        <v>8.8034867704118849E-2</v>
      </c>
      <c r="L180" s="3">
        <f t="shared" si="116"/>
        <v>8.8034867704118849E-2</v>
      </c>
      <c r="M180" s="3">
        <f t="shared" si="116"/>
        <v>8.8034867704118849E-2</v>
      </c>
      <c r="N180" s="3">
        <f t="shared" si="116"/>
        <v>8.8034867704118849E-2</v>
      </c>
      <c r="O180" s="3">
        <f t="shared" si="116"/>
        <v>8.8034867704118849E-2</v>
      </c>
      <c r="P180" s="3">
        <f t="shared" si="116"/>
        <v>8.8034867704118849E-2</v>
      </c>
      <c r="Q180" s="3">
        <f t="shared" si="116"/>
        <v>8.8034867704118835E-2</v>
      </c>
      <c r="R180" s="3">
        <f t="shared" si="116"/>
        <v>8.8034867704118627E-2</v>
      </c>
      <c r="S180" s="3">
        <f t="shared" si="116"/>
        <v>8.8034867704116601E-2</v>
      </c>
      <c r="T180" s="3">
        <f t="shared" si="116"/>
        <v>8.8034867704096423E-2</v>
      </c>
      <c r="U180" s="3">
        <f t="shared" si="116"/>
        <v>8.8034867703894501E-2</v>
      </c>
      <c r="V180" s="3">
        <f t="shared" si="116"/>
        <v>8.8034867701875366E-2</v>
      </c>
      <c r="W180" s="3">
        <f t="shared" si="116"/>
        <v>8.803486768168399E-2</v>
      </c>
      <c r="X180" s="3">
        <f t="shared" si="116"/>
        <v>8.8034867479770254E-2</v>
      </c>
      <c r="Y180" s="3">
        <f t="shared" si="116"/>
        <v>8.8034865460632897E-2</v>
      </c>
      <c r="Z180" s="3">
        <f t="shared" si="116"/>
        <v>8.8034845269261863E-2</v>
      </c>
      <c r="AA180" s="3">
        <f t="shared" si="116"/>
        <v>8.8034643355806255E-2</v>
      </c>
      <c r="AB180" s="3">
        <f t="shared" si="116"/>
        <v>8.8032624246720592E-2</v>
      </c>
      <c r="AC180" s="3">
        <f t="shared" si="116"/>
        <v>8.8012435702686881E-2</v>
      </c>
      <c r="AD180" s="3">
        <f t="shared" si="116"/>
        <v>8.7810804728654851E-2</v>
      </c>
      <c r="AE180" s="3">
        <f t="shared" si="116"/>
        <v>8.5819726992255374E-2</v>
      </c>
      <c r="AF180" s="3">
        <f t="shared" si="116"/>
        <v>6.8230545424104769E-2</v>
      </c>
      <c r="AG180" s="3"/>
      <c r="AH180" s="3"/>
    </row>
    <row r="181" spans="2:34" x14ac:dyDescent="0.25">
      <c r="B181" s="3">
        <f t="shared" ref="B181:AF181" si="117">$C28*EXP(-B$168/$A28/EXP(-$C$126))</f>
        <v>5.3040160566801761E-2</v>
      </c>
      <c r="C181" s="3">
        <f t="shared" si="117"/>
        <v>5.3040160566801761E-2</v>
      </c>
      <c r="D181" s="3">
        <f t="shared" si="117"/>
        <v>5.3040160566801761E-2</v>
      </c>
      <c r="E181" s="3">
        <f t="shared" si="117"/>
        <v>5.3040160566801761E-2</v>
      </c>
      <c r="F181" s="3">
        <f t="shared" si="117"/>
        <v>5.3040160566801761E-2</v>
      </c>
      <c r="G181" s="3">
        <f t="shared" si="117"/>
        <v>5.3040160566801761E-2</v>
      </c>
      <c r="H181" s="3">
        <f t="shared" si="117"/>
        <v>5.3040160566801761E-2</v>
      </c>
      <c r="I181" s="3">
        <f t="shared" si="117"/>
        <v>5.3040160566801761E-2</v>
      </c>
      <c r="J181" s="3">
        <f t="shared" si="117"/>
        <v>5.3040160566801761E-2</v>
      </c>
      <c r="K181" s="3">
        <f t="shared" si="117"/>
        <v>5.3040160566801761E-2</v>
      </c>
      <c r="L181" s="3">
        <f t="shared" si="117"/>
        <v>5.3040160566801761E-2</v>
      </c>
      <c r="M181" s="3">
        <f t="shared" si="117"/>
        <v>5.3040160566801761E-2</v>
      </c>
      <c r="N181" s="3">
        <f t="shared" si="117"/>
        <v>5.3040160566801761E-2</v>
      </c>
      <c r="O181" s="3">
        <f t="shared" si="117"/>
        <v>5.3040160566801761E-2</v>
      </c>
      <c r="P181" s="3">
        <f t="shared" si="117"/>
        <v>5.3040160566801761E-2</v>
      </c>
      <c r="Q181" s="3">
        <f t="shared" si="117"/>
        <v>5.3040160566801761E-2</v>
      </c>
      <c r="R181" s="3">
        <f t="shared" si="117"/>
        <v>5.3040160566801747E-2</v>
      </c>
      <c r="S181" s="3">
        <f t="shared" si="117"/>
        <v>5.3040160566801636E-2</v>
      </c>
      <c r="T181" s="3">
        <f t="shared" si="117"/>
        <v>5.304016056680054E-2</v>
      </c>
      <c r="U181" s="3">
        <f t="shared" si="117"/>
        <v>5.3040160566789563E-2</v>
      </c>
      <c r="V181" s="3">
        <f t="shared" si="117"/>
        <v>5.3040160566679831E-2</v>
      </c>
      <c r="W181" s="3">
        <f t="shared" si="117"/>
        <v>5.3040160565582438E-2</v>
      </c>
      <c r="X181" s="3">
        <f t="shared" si="117"/>
        <v>5.3040160554608494E-2</v>
      </c>
      <c r="Y181" s="3">
        <f t="shared" si="117"/>
        <v>5.3040160444869096E-2</v>
      </c>
      <c r="Z181" s="3">
        <f t="shared" si="117"/>
        <v>5.3040159347475128E-2</v>
      </c>
      <c r="AA181" s="3">
        <f t="shared" si="117"/>
        <v>5.3040148373536662E-2</v>
      </c>
      <c r="AB181" s="3">
        <f t="shared" si="117"/>
        <v>5.3040038634276941E-2</v>
      </c>
      <c r="AC181" s="3">
        <f t="shared" si="117"/>
        <v>5.3038941254167297E-2</v>
      </c>
      <c r="AD181" s="3">
        <f t="shared" si="117"/>
        <v>5.302796870173624E-2</v>
      </c>
      <c r="AE181" s="3">
        <f t="shared" si="117"/>
        <v>5.29183679484279E-2</v>
      </c>
      <c r="AF181" s="3">
        <f t="shared" si="117"/>
        <v>5.1834742526533674E-2</v>
      </c>
      <c r="AG181" s="3"/>
      <c r="AH181" s="3"/>
    </row>
    <row r="182" spans="2:34" x14ac:dyDescent="0.25">
      <c r="B182" s="3">
        <f t="shared" ref="B182:AF182" si="118">$C29*EXP(-B$168/$A29/EXP(-$C$126))</f>
        <v>2.9418988584786216E-2</v>
      </c>
      <c r="C182" s="3">
        <f t="shared" si="118"/>
        <v>2.9418988584786216E-2</v>
      </c>
      <c r="D182" s="3">
        <f t="shared" si="118"/>
        <v>2.9418988584786216E-2</v>
      </c>
      <c r="E182" s="3">
        <f t="shared" si="118"/>
        <v>2.9418988584786216E-2</v>
      </c>
      <c r="F182" s="3">
        <f t="shared" si="118"/>
        <v>2.9418988584786216E-2</v>
      </c>
      <c r="G182" s="3">
        <f t="shared" si="118"/>
        <v>2.9418988584786216E-2</v>
      </c>
      <c r="H182" s="3">
        <f t="shared" si="118"/>
        <v>2.9418988584786216E-2</v>
      </c>
      <c r="I182" s="3">
        <f t="shared" si="118"/>
        <v>2.9418988584786216E-2</v>
      </c>
      <c r="J182" s="3">
        <f t="shared" si="118"/>
        <v>2.9418988584786216E-2</v>
      </c>
      <c r="K182" s="3">
        <f t="shared" si="118"/>
        <v>2.9418988584786216E-2</v>
      </c>
      <c r="L182" s="3">
        <f t="shared" si="118"/>
        <v>2.9418988584786216E-2</v>
      </c>
      <c r="M182" s="3">
        <f t="shared" si="118"/>
        <v>2.9418988584786216E-2</v>
      </c>
      <c r="N182" s="3">
        <f t="shared" si="118"/>
        <v>2.9418988584786216E-2</v>
      </c>
      <c r="O182" s="3">
        <f t="shared" si="118"/>
        <v>2.9418988584786216E-2</v>
      </c>
      <c r="P182" s="3">
        <f t="shared" si="118"/>
        <v>2.9418988584786216E-2</v>
      </c>
      <c r="Q182" s="3">
        <f t="shared" si="118"/>
        <v>2.9418988584786216E-2</v>
      </c>
      <c r="R182" s="3">
        <f t="shared" si="118"/>
        <v>2.9418988584786216E-2</v>
      </c>
      <c r="S182" s="3">
        <f t="shared" si="118"/>
        <v>2.9418988584786209E-2</v>
      </c>
      <c r="T182" s="3">
        <f t="shared" si="118"/>
        <v>2.9418988584786154E-2</v>
      </c>
      <c r="U182" s="3">
        <f t="shared" si="118"/>
        <v>2.9418988584785605E-2</v>
      </c>
      <c r="V182" s="3">
        <f t="shared" si="118"/>
        <v>2.9418988584780113E-2</v>
      </c>
      <c r="W182" s="3">
        <f t="shared" si="118"/>
        <v>2.9418988584725206E-2</v>
      </c>
      <c r="X182" s="3">
        <f t="shared" si="118"/>
        <v>2.9418988584176131E-2</v>
      </c>
      <c r="Y182" s="3">
        <f t="shared" si="118"/>
        <v>2.9418988578685377E-2</v>
      </c>
      <c r="Z182" s="3">
        <f t="shared" si="118"/>
        <v>2.9418988523777827E-2</v>
      </c>
      <c r="AA182" s="3">
        <f t="shared" si="118"/>
        <v>2.9418987974702323E-2</v>
      </c>
      <c r="AB182" s="3">
        <f t="shared" si="118"/>
        <v>2.9418982483947843E-2</v>
      </c>
      <c r="AC182" s="3">
        <f t="shared" si="118"/>
        <v>2.941892757645944E-2</v>
      </c>
      <c r="AD182" s="3">
        <f t="shared" si="118"/>
        <v>2.9418378507211702E-2</v>
      </c>
      <c r="AE182" s="3">
        <f t="shared" si="118"/>
        <v>2.9412888378327572E-2</v>
      </c>
      <c r="AF182" s="3">
        <f t="shared" si="118"/>
        <v>2.9358043409909971E-2</v>
      </c>
      <c r="AG182" s="3"/>
      <c r="AH182" s="3"/>
    </row>
    <row r="183" spans="2:34" x14ac:dyDescent="0.25">
      <c r="B183" s="3">
        <f t="shared" ref="B183:AF183" si="119">$C30*EXP(-B$168/$A30/EXP(-$C$126))</f>
        <v>6.3753391533418529E-3</v>
      </c>
      <c r="C183" s="3">
        <f t="shared" si="119"/>
        <v>6.3753391533418529E-3</v>
      </c>
      <c r="D183" s="3">
        <f t="shared" si="119"/>
        <v>6.3753391533418529E-3</v>
      </c>
      <c r="E183" s="3">
        <f t="shared" si="119"/>
        <v>6.3753391533418529E-3</v>
      </c>
      <c r="F183" s="3">
        <f t="shared" si="119"/>
        <v>6.3753391533418529E-3</v>
      </c>
      <c r="G183" s="3">
        <f t="shared" si="119"/>
        <v>6.3753391533418529E-3</v>
      </c>
      <c r="H183" s="3">
        <f t="shared" si="119"/>
        <v>6.3753391533418529E-3</v>
      </c>
      <c r="I183" s="3">
        <f t="shared" si="119"/>
        <v>6.3753391533418529E-3</v>
      </c>
      <c r="J183" s="3">
        <f t="shared" si="119"/>
        <v>6.3753391533418529E-3</v>
      </c>
      <c r="K183" s="3">
        <f t="shared" si="119"/>
        <v>6.3753391533418529E-3</v>
      </c>
      <c r="L183" s="3">
        <f t="shared" si="119"/>
        <v>6.3753391533418529E-3</v>
      </c>
      <c r="M183" s="3">
        <f t="shared" si="119"/>
        <v>6.3753391533418529E-3</v>
      </c>
      <c r="N183" s="3">
        <f t="shared" si="119"/>
        <v>6.3753391533418529E-3</v>
      </c>
      <c r="O183" s="3">
        <f t="shared" si="119"/>
        <v>6.3753391533418529E-3</v>
      </c>
      <c r="P183" s="3">
        <f t="shared" si="119"/>
        <v>6.3753391533418529E-3</v>
      </c>
      <c r="Q183" s="3">
        <f t="shared" si="119"/>
        <v>6.3753391533418529E-3</v>
      </c>
      <c r="R183" s="3">
        <f t="shared" si="119"/>
        <v>6.3753391533418529E-3</v>
      </c>
      <c r="S183" s="3">
        <f t="shared" si="119"/>
        <v>6.3753391533418529E-3</v>
      </c>
      <c r="T183" s="3">
        <f t="shared" si="119"/>
        <v>6.3753391533418512E-3</v>
      </c>
      <c r="U183" s="3">
        <f t="shared" si="119"/>
        <v>6.3753391533418408E-3</v>
      </c>
      <c r="V183" s="3">
        <f t="shared" si="119"/>
        <v>6.3753391533417341E-3</v>
      </c>
      <c r="W183" s="3">
        <f t="shared" si="119"/>
        <v>6.3753391533406603E-3</v>
      </c>
      <c r="X183" s="3">
        <f t="shared" si="119"/>
        <v>6.3753391533299267E-3</v>
      </c>
      <c r="Y183" s="3">
        <f t="shared" si="119"/>
        <v>6.375339153222589E-3</v>
      </c>
      <c r="Z183" s="3">
        <f t="shared" si="119"/>
        <v>6.3753391521492071E-3</v>
      </c>
      <c r="AA183" s="3">
        <f t="shared" si="119"/>
        <v>6.3753391414153888E-3</v>
      </c>
      <c r="AB183" s="3">
        <f t="shared" si="119"/>
        <v>6.3753390340772114E-3</v>
      </c>
      <c r="AC183" s="3">
        <f t="shared" si="119"/>
        <v>6.3753379606955396E-3</v>
      </c>
      <c r="AD183" s="3">
        <f t="shared" si="119"/>
        <v>6.3753272268887553E-3</v>
      </c>
      <c r="AE183" s="3">
        <f t="shared" si="119"/>
        <v>6.3752198898148673E-3</v>
      </c>
      <c r="AF183" s="3">
        <f t="shared" si="119"/>
        <v>6.3741466184648668E-3</v>
      </c>
      <c r="AG183" s="3"/>
      <c r="AH183" s="3"/>
    </row>
    <row r="184" spans="2:34" x14ac:dyDescent="0.25">
      <c r="B184" s="3">
        <f t="shared" ref="B184:AF184" si="120">$C31*EXP(-B$168/$A31/EXP(-$C$126))</f>
        <v>3.2709514210797811E-3</v>
      </c>
      <c r="C184" s="3">
        <f t="shared" si="120"/>
        <v>3.2709514210797811E-3</v>
      </c>
      <c r="D184" s="3">
        <f t="shared" si="120"/>
        <v>3.2709514210797811E-3</v>
      </c>
      <c r="E184" s="3">
        <f t="shared" si="120"/>
        <v>3.2709514210797811E-3</v>
      </c>
      <c r="F184" s="3">
        <f t="shared" si="120"/>
        <v>3.2709514210797811E-3</v>
      </c>
      <c r="G184" s="3">
        <f t="shared" si="120"/>
        <v>3.2709514210797811E-3</v>
      </c>
      <c r="H184" s="3">
        <f t="shared" si="120"/>
        <v>3.2709514210797811E-3</v>
      </c>
      <c r="I184" s="3">
        <f t="shared" si="120"/>
        <v>3.2709514210797811E-3</v>
      </c>
      <c r="J184" s="3">
        <f t="shared" si="120"/>
        <v>3.2709514210797811E-3</v>
      </c>
      <c r="K184" s="3">
        <f t="shared" si="120"/>
        <v>3.2709514210797811E-3</v>
      </c>
      <c r="L184" s="3">
        <f t="shared" si="120"/>
        <v>3.2709514210797811E-3</v>
      </c>
      <c r="M184" s="3">
        <f t="shared" si="120"/>
        <v>3.2709514210797811E-3</v>
      </c>
      <c r="N184" s="3">
        <f t="shared" si="120"/>
        <v>3.2709514210797811E-3</v>
      </c>
      <c r="O184" s="3">
        <f t="shared" si="120"/>
        <v>3.2709514210797811E-3</v>
      </c>
      <c r="P184" s="3">
        <f t="shared" si="120"/>
        <v>3.2709514210797811E-3</v>
      </c>
      <c r="Q184" s="3">
        <f t="shared" si="120"/>
        <v>3.2709514210797811E-3</v>
      </c>
      <c r="R184" s="3">
        <f t="shared" si="120"/>
        <v>3.2709514210797811E-3</v>
      </c>
      <c r="S184" s="3">
        <f t="shared" si="120"/>
        <v>3.2709514210797811E-3</v>
      </c>
      <c r="T184" s="3">
        <f t="shared" si="120"/>
        <v>3.2709514210797811E-3</v>
      </c>
      <c r="U184" s="3">
        <f t="shared" si="120"/>
        <v>3.2709514210797802E-3</v>
      </c>
      <c r="V184" s="3">
        <f t="shared" si="120"/>
        <v>3.2709514210797755E-3</v>
      </c>
      <c r="W184" s="3">
        <f t="shared" si="120"/>
        <v>3.270951421079726E-3</v>
      </c>
      <c r="X184" s="3">
        <f t="shared" si="120"/>
        <v>3.270951421079229E-3</v>
      </c>
      <c r="Y184" s="3">
        <f t="shared" si="120"/>
        <v>3.2709514210742612E-3</v>
      </c>
      <c r="Z184" s="3">
        <f t="shared" si="120"/>
        <v>3.2709514210245826E-3</v>
      </c>
      <c r="AA184" s="3">
        <f t="shared" si="120"/>
        <v>3.2709514205277938E-3</v>
      </c>
      <c r="AB184" s="3">
        <f t="shared" si="120"/>
        <v>3.2709514155599079E-3</v>
      </c>
      <c r="AC184" s="3">
        <f t="shared" si="120"/>
        <v>3.2709513658810497E-3</v>
      </c>
      <c r="AD184" s="3">
        <f t="shared" si="120"/>
        <v>3.2709508690925062E-3</v>
      </c>
      <c r="AE184" s="3">
        <f t="shared" si="120"/>
        <v>3.2709459012112219E-3</v>
      </c>
      <c r="AF184" s="3">
        <f t="shared" si="120"/>
        <v>3.2708962228133612E-3</v>
      </c>
      <c r="AG184" s="3"/>
      <c r="AH184" s="3"/>
    </row>
    <row r="185" spans="2:34" x14ac:dyDescent="0.25">
      <c r="B185" s="3">
        <f t="shared" ref="B185:AF185" si="121">$C32*EXP(-B$168/$A32/EXP(-$C$126))</f>
        <v>1.2755053961347703E-3</v>
      </c>
      <c r="C185" s="3">
        <f t="shared" si="121"/>
        <v>1.2755053961347703E-3</v>
      </c>
      <c r="D185" s="3">
        <f t="shared" si="121"/>
        <v>1.2755053961347703E-3</v>
      </c>
      <c r="E185" s="3">
        <f t="shared" si="121"/>
        <v>1.2755053961347703E-3</v>
      </c>
      <c r="F185" s="3">
        <f t="shared" si="121"/>
        <v>1.2755053961347703E-3</v>
      </c>
      <c r="G185" s="3">
        <f t="shared" si="121"/>
        <v>1.2755053961347703E-3</v>
      </c>
      <c r="H185" s="3">
        <f t="shared" si="121"/>
        <v>1.2755053961347703E-3</v>
      </c>
      <c r="I185" s="3">
        <f t="shared" si="121"/>
        <v>1.2755053961347703E-3</v>
      </c>
      <c r="J185" s="3">
        <f t="shared" si="121"/>
        <v>1.2755053961347703E-3</v>
      </c>
      <c r="K185" s="3">
        <f t="shared" si="121"/>
        <v>1.2755053961347703E-3</v>
      </c>
      <c r="L185" s="3">
        <f t="shared" si="121"/>
        <v>1.2755053961347703E-3</v>
      </c>
      <c r="M185" s="3">
        <f t="shared" si="121"/>
        <v>1.2755053961347703E-3</v>
      </c>
      <c r="N185" s="3">
        <f t="shared" si="121"/>
        <v>1.2755053961347703E-3</v>
      </c>
      <c r="O185" s="3">
        <f t="shared" si="121"/>
        <v>1.2755053961347703E-3</v>
      </c>
      <c r="P185" s="3">
        <f t="shared" si="121"/>
        <v>1.2755053961347703E-3</v>
      </c>
      <c r="Q185" s="3">
        <f t="shared" si="121"/>
        <v>1.2755053961347703E-3</v>
      </c>
      <c r="R185" s="3">
        <f t="shared" si="121"/>
        <v>1.2755053961347703E-3</v>
      </c>
      <c r="S185" s="3">
        <f t="shared" si="121"/>
        <v>1.2755053961347703E-3</v>
      </c>
      <c r="T185" s="3">
        <f t="shared" si="121"/>
        <v>1.2755053961347703E-3</v>
      </c>
      <c r="U185" s="3">
        <f t="shared" si="121"/>
        <v>1.2755053961347703E-3</v>
      </c>
      <c r="V185" s="3">
        <f t="shared" si="121"/>
        <v>1.2755053961347701E-3</v>
      </c>
      <c r="W185" s="3">
        <f t="shared" si="121"/>
        <v>1.2755053961347683E-3</v>
      </c>
      <c r="X185" s="3">
        <f t="shared" si="121"/>
        <v>1.275505396134751E-3</v>
      </c>
      <c r="Y185" s="3">
        <f t="shared" si="121"/>
        <v>1.2755053961345762E-3</v>
      </c>
      <c r="Z185" s="3">
        <f t="shared" si="121"/>
        <v>1.2755053961328285E-3</v>
      </c>
      <c r="AA185" s="3">
        <f t="shared" si="121"/>
        <v>1.2755053961153533E-3</v>
      </c>
      <c r="AB185" s="3">
        <f t="shared" si="121"/>
        <v>1.2755053959405994E-3</v>
      </c>
      <c r="AC185" s="3">
        <f t="shared" si="121"/>
        <v>1.2755053941930624E-3</v>
      </c>
      <c r="AD185" s="3">
        <f t="shared" si="121"/>
        <v>1.2755053767176915E-3</v>
      </c>
      <c r="AE185" s="3">
        <f t="shared" si="121"/>
        <v>1.2755052019639941E-3</v>
      </c>
      <c r="AF185" s="3">
        <f t="shared" si="121"/>
        <v>1.2755034544283386E-3</v>
      </c>
      <c r="AG185" s="3"/>
      <c r="AH185" s="3"/>
    </row>
    <row r="186" spans="2:34" x14ac:dyDescent="0.25">
      <c r="B186" s="3">
        <f t="shared" ref="B186:AF186" si="122">$C33*EXP(-B$168/$A33/EXP(-$C$126))</f>
        <v>0</v>
      </c>
      <c r="C186" s="3">
        <f t="shared" si="122"/>
        <v>0</v>
      </c>
      <c r="D186" s="3">
        <f t="shared" si="122"/>
        <v>0</v>
      </c>
      <c r="E186" s="3">
        <f t="shared" si="122"/>
        <v>0</v>
      </c>
      <c r="F186" s="3">
        <f t="shared" si="122"/>
        <v>0</v>
      </c>
      <c r="G186" s="3">
        <f t="shared" si="122"/>
        <v>0</v>
      </c>
      <c r="H186" s="3">
        <f t="shared" si="122"/>
        <v>0</v>
      </c>
      <c r="I186" s="3">
        <f t="shared" si="122"/>
        <v>0</v>
      </c>
      <c r="J186" s="3">
        <f t="shared" si="122"/>
        <v>0</v>
      </c>
      <c r="K186" s="3">
        <f t="shared" si="122"/>
        <v>0</v>
      </c>
      <c r="L186" s="3">
        <f t="shared" si="122"/>
        <v>0</v>
      </c>
      <c r="M186" s="3">
        <f t="shared" si="122"/>
        <v>0</v>
      </c>
      <c r="N186" s="3">
        <f t="shared" si="122"/>
        <v>0</v>
      </c>
      <c r="O186" s="3">
        <f t="shared" si="122"/>
        <v>0</v>
      </c>
      <c r="P186" s="3">
        <f t="shared" si="122"/>
        <v>0</v>
      </c>
      <c r="Q186" s="3">
        <f t="shared" si="122"/>
        <v>0</v>
      </c>
      <c r="R186" s="3">
        <f t="shared" si="122"/>
        <v>0</v>
      </c>
      <c r="S186" s="3">
        <f t="shared" si="122"/>
        <v>0</v>
      </c>
      <c r="T186" s="3">
        <f t="shared" si="122"/>
        <v>0</v>
      </c>
      <c r="U186" s="3">
        <f t="shared" si="122"/>
        <v>0</v>
      </c>
      <c r="V186" s="3">
        <f t="shared" si="122"/>
        <v>0</v>
      </c>
      <c r="W186" s="3">
        <f t="shared" si="122"/>
        <v>0</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1.0163894385292978E-5</v>
      </c>
      <c r="C187" s="3">
        <f t="shared" si="123"/>
        <v>1.0163894385292978E-5</v>
      </c>
      <c r="D187" s="3">
        <f t="shared" si="123"/>
        <v>1.0163894385292978E-5</v>
      </c>
      <c r="E187" s="3">
        <f t="shared" si="123"/>
        <v>1.0163894385292978E-5</v>
      </c>
      <c r="F187" s="3">
        <f t="shared" si="123"/>
        <v>1.0163894385292978E-5</v>
      </c>
      <c r="G187" s="3">
        <f t="shared" si="123"/>
        <v>1.0163894385292978E-5</v>
      </c>
      <c r="H187" s="3">
        <f t="shared" si="123"/>
        <v>1.0163894385292978E-5</v>
      </c>
      <c r="I187" s="3">
        <f t="shared" si="123"/>
        <v>1.0163894385292978E-5</v>
      </c>
      <c r="J187" s="3">
        <f t="shared" si="123"/>
        <v>1.0163894385292978E-5</v>
      </c>
      <c r="K187" s="3">
        <f t="shared" si="123"/>
        <v>1.0163894385292978E-5</v>
      </c>
      <c r="L187" s="3">
        <f t="shared" si="123"/>
        <v>1.0163894385292978E-5</v>
      </c>
      <c r="M187" s="3">
        <f t="shared" si="123"/>
        <v>1.0163894385292978E-5</v>
      </c>
      <c r="N187" s="3">
        <f t="shared" si="123"/>
        <v>1.0163894385292978E-5</v>
      </c>
      <c r="O187" s="3">
        <f t="shared" si="123"/>
        <v>1.0163894385292978E-5</v>
      </c>
      <c r="P187" s="3">
        <f t="shared" si="123"/>
        <v>1.0163894385292978E-5</v>
      </c>
      <c r="Q187" s="3">
        <f t="shared" si="123"/>
        <v>1.0163894385292978E-5</v>
      </c>
      <c r="R187" s="3">
        <f t="shared" si="123"/>
        <v>1.0163894385292978E-5</v>
      </c>
      <c r="S187" s="3">
        <f t="shared" si="123"/>
        <v>1.0163894385292978E-5</v>
      </c>
      <c r="T187" s="3">
        <f t="shared" si="123"/>
        <v>1.0163894385292978E-5</v>
      </c>
      <c r="U187" s="3">
        <f t="shared" si="123"/>
        <v>1.0163894385292978E-5</v>
      </c>
      <c r="V187" s="3">
        <f t="shared" si="123"/>
        <v>1.0163894385292978E-5</v>
      </c>
      <c r="W187" s="3">
        <f t="shared" si="123"/>
        <v>1.0163894385292978E-5</v>
      </c>
      <c r="X187" s="3">
        <f t="shared" si="123"/>
        <v>1.0163894385292976E-5</v>
      </c>
      <c r="Y187" s="3">
        <f t="shared" si="123"/>
        <v>1.0163894385292966E-5</v>
      </c>
      <c r="Z187" s="3">
        <f t="shared" si="123"/>
        <v>1.0163894385292851E-5</v>
      </c>
      <c r="AA187" s="3">
        <f t="shared" si="123"/>
        <v>1.0163894385291719E-5</v>
      </c>
      <c r="AB187" s="3">
        <f t="shared" si="123"/>
        <v>1.0163894385280388E-5</v>
      </c>
      <c r="AC187" s="3">
        <f t="shared" si="123"/>
        <v>1.0163894385167068E-5</v>
      </c>
      <c r="AD187" s="3">
        <f t="shared" si="123"/>
        <v>1.0163894384033894E-5</v>
      </c>
      <c r="AE187" s="3">
        <f t="shared" si="123"/>
        <v>1.0163894372702132E-5</v>
      </c>
      <c r="AF187" s="3">
        <f t="shared" si="123"/>
        <v>1.0163894259384516E-5</v>
      </c>
      <c r="AG187" s="3"/>
      <c r="AH187" s="3"/>
    </row>
    <row r="188" spans="2:34" x14ac:dyDescent="0.25">
      <c r="B188" s="3">
        <f t="shared" ref="B188:AF188" si="124">$C35*EXP(-B$168/$A35/EXP(-$C$126))</f>
        <v>2.5019775067814324E-5</v>
      </c>
      <c r="C188" s="3">
        <f t="shared" si="124"/>
        <v>2.5019775067814324E-5</v>
      </c>
      <c r="D188" s="3">
        <f t="shared" si="124"/>
        <v>2.5019775067814324E-5</v>
      </c>
      <c r="E188" s="3">
        <f t="shared" si="124"/>
        <v>2.5019775067814324E-5</v>
      </c>
      <c r="F188" s="3">
        <f t="shared" si="124"/>
        <v>2.5019775067814324E-5</v>
      </c>
      <c r="G188" s="3">
        <f t="shared" si="124"/>
        <v>2.5019775067814324E-5</v>
      </c>
      <c r="H188" s="3">
        <f t="shared" si="124"/>
        <v>2.5019775067814324E-5</v>
      </c>
      <c r="I188" s="3">
        <f t="shared" si="124"/>
        <v>2.5019775067814324E-5</v>
      </c>
      <c r="J188" s="3">
        <f t="shared" si="124"/>
        <v>2.5019775067814324E-5</v>
      </c>
      <c r="K188" s="3">
        <f t="shared" si="124"/>
        <v>2.5019775067814324E-5</v>
      </c>
      <c r="L188" s="3">
        <f t="shared" si="124"/>
        <v>2.5019775067814324E-5</v>
      </c>
      <c r="M188" s="3">
        <f t="shared" si="124"/>
        <v>2.5019775067814324E-5</v>
      </c>
      <c r="N188" s="3">
        <f t="shared" si="124"/>
        <v>2.5019775067814324E-5</v>
      </c>
      <c r="O188" s="3">
        <f t="shared" si="124"/>
        <v>2.5019775067814324E-5</v>
      </c>
      <c r="P188" s="3">
        <f t="shared" si="124"/>
        <v>2.5019775067814324E-5</v>
      </c>
      <c r="Q188" s="3">
        <f t="shared" si="124"/>
        <v>2.5019775067814324E-5</v>
      </c>
      <c r="R188" s="3">
        <f t="shared" si="124"/>
        <v>2.5019775067814324E-5</v>
      </c>
      <c r="S188" s="3">
        <f t="shared" si="124"/>
        <v>2.5019775067814324E-5</v>
      </c>
      <c r="T188" s="3">
        <f t="shared" si="124"/>
        <v>2.5019775067814324E-5</v>
      </c>
      <c r="U188" s="3">
        <f t="shared" si="124"/>
        <v>2.5019775067814324E-5</v>
      </c>
      <c r="V188" s="3">
        <f t="shared" si="124"/>
        <v>2.5019775067814324E-5</v>
      </c>
      <c r="W188" s="3">
        <f t="shared" si="124"/>
        <v>2.5019775067814324E-5</v>
      </c>
      <c r="X188" s="3">
        <f t="shared" si="124"/>
        <v>2.5019775067814324E-5</v>
      </c>
      <c r="Y188" s="3">
        <f t="shared" si="124"/>
        <v>2.5019775067814321E-5</v>
      </c>
      <c r="Z188" s="3">
        <f t="shared" si="124"/>
        <v>2.5019775067814297E-5</v>
      </c>
      <c r="AA188" s="3">
        <f t="shared" si="124"/>
        <v>2.5019775067814043E-5</v>
      </c>
      <c r="AB188" s="3">
        <f t="shared" si="124"/>
        <v>2.5019775067811525E-5</v>
      </c>
      <c r="AC188" s="3">
        <f t="shared" si="124"/>
        <v>2.5019775067786365E-5</v>
      </c>
      <c r="AD188" s="3">
        <f t="shared" si="124"/>
        <v>2.5019775067534732E-5</v>
      </c>
      <c r="AE188" s="3">
        <f t="shared" si="124"/>
        <v>2.5019775065018404E-5</v>
      </c>
      <c r="AF188" s="3">
        <f t="shared" si="124"/>
        <v>2.5019775039855122E-5</v>
      </c>
      <c r="AG188" s="3"/>
      <c r="AH188" s="3"/>
    </row>
    <row r="189" spans="2:34" x14ac:dyDescent="0.25">
      <c r="B189" s="3">
        <f t="shared" ref="B189:AF189" si="125">$C36*EXP(-B$168/$A36/EXP(-$C$126))</f>
        <v>2.3706614690246962E-5</v>
      </c>
      <c r="C189" s="3">
        <f t="shared" si="125"/>
        <v>2.3706614690246962E-5</v>
      </c>
      <c r="D189" s="3">
        <f t="shared" si="125"/>
        <v>2.3706614690246962E-5</v>
      </c>
      <c r="E189" s="3">
        <f t="shared" si="125"/>
        <v>2.3706614690246962E-5</v>
      </c>
      <c r="F189" s="3">
        <f t="shared" si="125"/>
        <v>2.3706614690246962E-5</v>
      </c>
      <c r="G189" s="3">
        <f t="shared" si="125"/>
        <v>2.3706614690246962E-5</v>
      </c>
      <c r="H189" s="3">
        <f t="shared" si="125"/>
        <v>2.3706614690246962E-5</v>
      </c>
      <c r="I189" s="3">
        <f t="shared" si="125"/>
        <v>2.3706614690246962E-5</v>
      </c>
      <c r="J189" s="3">
        <f t="shared" si="125"/>
        <v>2.3706614690246962E-5</v>
      </c>
      <c r="K189" s="3">
        <f t="shared" si="125"/>
        <v>2.3706614690246962E-5</v>
      </c>
      <c r="L189" s="3">
        <f t="shared" si="125"/>
        <v>2.3706614690246962E-5</v>
      </c>
      <c r="M189" s="3">
        <f t="shared" si="125"/>
        <v>2.3706614690246962E-5</v>
      </c>
      <c r="N189" s="3">
        <f t="shared" si="125"/>
        <v>2.3706614690246962E-5</v>
      </c>
      <c r="O189" s="3">
        <f t="shared" si="125"/>
        <v>2.3706614690246962E-5</v>
      </c>
      <c r="P189" s="3">
        <f t="shared" si="125"/>
        <v>2.3706614690246962E-5</v>
      </c>
      <c r="Q189" s="3">
        <f t="shared" si="125"/>
        <v>2.3706614690246962E-5</v>
      </c>
      <c r="R189" s="3">
        <f t="shared" si="125"/>
        <v>2.3706614690246962E-5</v>
      </c>
      <c r="S189" s="3">
        <f t="shared" si="125"/>
        <v>2.3706614690246962E-5</v>
      </c>
      <c r="T189" s="3">
        <f t="shared" si="125"/>
        <v>2.3706614690246962E-5</v>
      </c>
      <c r="U189" s="3">
        <f t="shared" si="125"/>
        <v>2.3706614690246962E-5</v>
      </c>
      <c r="V189" s="3">
        <f t="shared" si="125"/>
        <v>2.3706614690246962E-5</v>
      </c>
      <c r="W189" s="3">
        <f t="shared" si="125"/>
        <v>2.3706614690246962E-5</v>
      </c>
      <c r="X189" s="3">
        <f t="shared" si="125"/>
        <v>2.3706614690246962E-5</v>
      </c>
      <c r="Y189" s="3">
        <f t="shared" si="125"/>
        <v>2.3706614690246962E-5</v>
      </c>
      <c r="Z189" s="3">
        <f t="shared" si="125"/>
        <v>2.3706614690246958E-5</v>
      </c>
      <c r="AA189" s="3">
        <f t="shared" si="125"/>
        <v>2.3706614690246938E-5</v>
      </c>
      <c r="AB189" s="3">
        <f t="shared" si="125"/>
        <v>2.3706614690246721E-5</v>
      </c>
      <c r="AC189" s="3">
        <f t="shared" si="125"/>
        <v>2.3706614690244573E-5</v>
      </c>
      <c r="AD189" s="3">
        <f t="shared" si="125"/>
        <v>2.3706614690223062E-5</v>
      </c>
      <c r="AE189" s="3">
        <f t="shared" si="125"/>
        <v>2.3706614690007983E-5</v>
      </c>
      <c r="AF189" s="3">
        <f t="shared" si="125"/>
        <v>2.3706614687857184E-5</v>
      </c>
      <c r="AG189" s="3"/>
      <c r="AH189" s="3"/>
    </row>
    <row r="190" spans="2:34" x14ac:dyDescent="0.25">
      <c r="B190" s="3">
        <f t="shared" ref="B190:AF190" si="126">$C37*EXP(-B$168/$A37/EXP(-$C$126))</f>
        <v>3.9478614411466939E-5</v>
      </c>
      <c r="C190" s="3">
        <f t="shared" si="126"/>
        <v>3.9478614411466939E-5</v>
      </c>
      <c r="D190" s="3">
        <f t="shared" si="126"/>
        <v>3.9478614411466939E-5</v>
      </c>
      <c r="E190" s="3">
        <f t="shared" si="126"/>
        <v>3.9478614411466939E-5</v>
      </c>
      <c r="F190" s="3">
        <f t="shared" si="126"/>
        <v>3.9478614411466939E-5</v>
      </c>
      <c r="G190" s="3">
        <f t="shared" si="126"/>
        <v>3.9478614411466939E-5</v>
      </c>
      <c r="H190" s="3">
        <f t="shared" si="126"/>
        <v>3.9478614411466939E-5</v>
      </c>
      <c r="I190" s="3">
        <f t="shared" si="126"/>
        <v>3.9478614411466939E-5</v>
      </c>
      <c r="J190" s="3">
        <f t="shared" si="126"/>
        <v>3.9478614411466939E-5</v>
      </c>
      <c r="K190" s="3">
        <f t="shared" si="126"/>
        <v>3.9478614411466939E-5</v>
      </c>
      <c r="L190" s="3">
        <f t="shared" si="126"/>
        <v>3.9478614411466939E-5</v>
      </c>
      <c r="M190" s="3">
        <f t="shared" si="126"/>
        <v>3.9478614411466939E-5</v>
      </c>
      <c r="N190" s="3">
        <f t="shared" si="126"/>
        <v>3.9478614411466939E-5</v>
      </c>
      <c r="O190" s="3">
        <f t="shared" si="126"/>
        <v>3.9478614411466939E-5</v>
      </c>
      <c r="P190" s="3">
        <f t="shared" si="126"/>
        <v>3.9478614411466939E-5</v>
      </c>
      <c r="Q190" s="3">
        <f t="shared" si="126"/>
        <v>3.9478614411466939E-5</v>
      </c>
      <c r="R190" s="3">
        <f t="shared" si="126"/>
        <v>3.9478614411466939E-5</v>
      </c>
      <c r="S190" s="3">
        <f t="shared" si="126"/>
        <v>3.9478614411466939E-5</v>
      </c>
      <c r="T190" s="3">
        <f t="shared" si="126"/>
        <v>3.9478614411466939E-5</v>
      </c>
      <c r="U190" s="3">
        <f t="shared" si="126"/>
        <v>3.9478614411466939E-5</v>
      </c>
      <c r="V190" s="3">
        <f t="shared" si="126"/>
        <v>3.9478614411466939E-5</v>
      </c>
      <c r="W190" s="3">
        <f t="shared" si="126"/>
        <v>3.9478614411466939E-5</v>
      </c>
      <c r="X190" s="3">
        <f t="shared" si="126"/>
        <v>3.9478614411466939E-5</v>
      </c>
      <c r="Y190" s="3">
        <f t="shared" si="126"/>
        <v>3.9478614411466939E-5</v>
      </c>
      <c r="Z190" s="3">
        <f t="shared" si="126"/>
        <v>3.9478614411466939E-5</v>
      </c>
      <c r="AA190" s="3">
        <f t="shared" si="126"/>
        <v>3.9478614411466932E-5</v>
      </c>
      <c r="AB190" s="3">
        <f t="shared" si="126"/>
        <v>3.9478614411466905E-5</v>
      </c>
      <c r="AC190" s="3">
        <f t="shared" si="126"/>
        <v>3.947861441146658E-5</v>
      </c>
      <c r="AD190" s="3">
        <f t="shared" si="126"/>
        <v>3.9478614411463347E-5</v>
      </c>
      <c r="AE190" s="3">
        <f t="shared" si="126"/>
        <v>3.9478614411431038E-5</v>
      </c>
      <c r="AF190" s="3">
        <f t="shared" si="126"/>
        <v>3.9478614411107932E-5</v>
      </c>
      <c r="AG190" s="3"/>
      <c r="AH190" s="3"/>
    </row>
    <row r="191" spans="2:34" x14ac:dyDescent="0.25">
      <c r="B191" s="3">
        <f t="shared" ref="B191:AF191" si="127">$C38*EXP(-B$168/$A38/EXP(-$C$126))</f>
        <v>0</v>
      </c>
      <c r="C191" s="3">
        <f t="shared" si="127"/>
        <v>0</v>
      </c>
      <c r="D191" s="3">
        <f t="shared" si="127"/>
        <v>0</v>
      </c>
      <c r="E191" s="3">
        <f t="shared" si="127"/>
        <v>0</v>
      </c>
      <c r="F191" s="3">
        <f t="shared" si="127"/>
        <v>0</v>
      </c>
      <c r="G191" s="3">
        <f t="shared" si="127"/>
        <v>0</v>
      </c>
      <c r="H191" s="3">
        <f t="shared" si="127"/>
        <v>0</v>
      </c>
      <c r="I191" s="3">
        <f t="shared" si="127"/>
        <v>0</v>
      </c>
      <c r="J191" s="3">
        <f t="shared" si="127"/>
        <v>0</v>
      </c>
      <c r="K191" s="3">
        <f t="shared" si="127"/>
        <v>0</v>
      </c>
      <c r="L191" s="3">
        <f t="shared" si="127"/>
        <v>0</v>
      </c>
      <c r="M191" s="3">
        <f t="shared" si="127"/>
        <v>0</v>
      </c>
      <c r="N191" s="3">
        <f t="shared" si="127"/>
        <v>0</v>
      </c>
      <c r="O191" s="3">
        <f t="shared" si="127"/>
        <v>0</v>
      </c>
      <c r="P191" s="3">
        <f t="shared" si="127"/>
        <v>0</v>
      </c>
      <c r="Q191" s="3">
        <f t="shared" si="127"/>
        <v>0</v>
      </c>
      <c r="R191" s="3">
        <f t="shared" si="127"/>
        <v>0</v>
      </c>
      <c r="S191" s="3">
        <f t="shared" si="127"/>
        <v>0</v>
      </c>
      <c r="T191" s="3">
        <f t="shared" si="127"/>
        <v>0</v>
      </c>
      <c r="U191" s="3">
        <f t="shared" si="127"/>
        <v>0</v>
      </c>
      <c r="V191" s="3">
        <f t="shared" si="127"/>
        <v>0</v>
      </c>
      <c r="W191" s="3">
        <f t="shared" si="127"/>
        <v>0</v>
      </c>
      <c r="X191" s="3">
        <f t="shared" si="127"/>
        <v>0</v>
      </c>
      <c r="Y191" s="3">
        <f t="shared" si="127"/>
        <v>0</v>
      </c>
      <c r="Z191" s="3">
        <f t="shared" si="127"/>
        <v>0</v>
      </c>
      <c r="AA191" s="3">
        <f t="shared" si="127"/>
        <v>0</v>
      </c>
      <c r="AB191" s="3">
        <f t="shared" si="127"/>
        <v>0</v>
      </c>
      <c r="AC191" s="3">
        <f t="shared" si="127"/>
        <v>0</v>
      </c>
      <c r="AD191" s="3">
        <f t="shared" si="127"/>
        <v>0</v>
      </c>
      <c r="AE191" s="3">
        <f t="shared" si="127"/>
        <v>0</v>
      </c>
      <c r="AF191" s="3">
        <f t="shared" si="127"/>
        <v>0</v>
      </c>
      <c r="AG191" s="3"/>
      <c r="AH191" s="3"/>
    </row>
    <row r="192" spans="2:34" x14ac:dyDescent="0.25">
      <c r="B192" s="3">
        <f t="shared" ref="B192:AF192" si="128">$C39*EXP(-B$168/$A39/EXP(-$C$126))</f>
        <v>6.5441532530599776E-5</v>
      </c>
      <c r="C192" s="3">
        <f t="shared" si="128"/>
        <v>6.5441532530599776E-5</v>
      </c>
      <c r="D192" s="3">
        <f t="shared" si="128"/>
        <v>6.5441532530599776E-5</v>
      </c>
      <c r="E192" s="3">
        <f t="shared" si="128"/>
        <v>6.5441532530599776E-5</v>
      </c>
      <c r="F192" s="3">
        <f t="shared" si="128"/>
        <v>6.5441532530599776E-5</v>
      </c>
      <c r="G192" s="3">
        <f t="shared" si="128"/>
        <v>6.5441532530599776E-5</v>
      </c>
      <c r="H192" s="3">
        <f t="shared" si="128"/>
        <v>6.5441532530599776E-5</v>
      </c>
      <c r="I192" s="3">
        <f t="shared" si="128"/>
        <v>6.5441532530599776E-5</v>
      </c>
      <c r="J192" s="3">
        <f t="shared" si="128"/>
        <v>6.5441532530599776E-5</v>
      </c>
      <c r="K192" s="3">
        <f t="shared" si="128"/>
        <v>6.5441532530599776E-5</v>
      </c>
      <c r="L192" s="3">
        <f t="shared" si="128"/>
        <v>6.5441532530599776E-5</v>
      </c>
      <c r="M192" s="3">
        <f t="shared" si="128"/>
        <v>6.5441532530599776E-5</v>
      </c>
      <c r="N192" s="3">
        <f t="shared" si="128"/>
        <v>6.5441532530599776E-5</v>
      </c>
      <c r="O192" s="3">
        <f t="shared" si="128"/>
        <v>6.5441532530599776E-5</v>
      </c>
      <c r="P192" s="3">
        <f t="shared" si="128"/>
        <v>6.5441532530599776E-5</v>
      </c>
      <c r="Q192" s="3">
        <f t="shared" si="128"/>
        <v>6.5441532530599776E-5</v>
      </c>
      <c r="R192" s="3">
        <f t="shared" si="128"/>
        <v>6.5441532530599776E-5</v>
      </c>
      <c r="S192" s="3">
        <f t="shared" si="128"/>
        <v>6.5441532530599776E-5</v>
      </c>
      <c r="T192" s="3">
        <f t="shared" si="128"/>
        <v>6.5441532530599776E-5</v>
      </c>
      <c r="U192" s="3">
        <f t="shared" si="128"/>
        <v>6.5441532530599776E-5</v>
      </c>
      <c r="V192" s="3">
        <f t="shared" si="128"/>
        <v>6.5441532530599776E-5</v>
      </c>
      <c r="W192" s="3">
        <f t="shared" si="128"/>
        <v>6.5441532530599776E-5</v>
      </c>
      <c r="X192" s="3">
        <f t="shared" si="128"/>
        <v>6.5441532530599776E-5</v>
      </c>
      <c r="Y192" s="3">
        <f t="shared" si="128"/>
        <v>6.5441532530599776E-5</v>
      </c>
      <c r="Z192" s="3">
        <f t="shared" si="128"/>
        <v>6.5441532530599776E-5</v>
      </c>
      <c r="AA192" s="3">
        <f t="shared" si="128"/>
        <v>6.5441532530599776E-5</v>
      </c>
      <c r="AB192" s="3">
        <f t="shared" si="128"/>
        <v>6.5441532530599776E-5</v>
      </c>
      <c r="AC192" s="3">
        <f t="shared" si="128"/>
        <v>6.5441532530599762E-5</v>
      </c>
      <c r="AD192" s="3">
        <f t="shared" si="128"/>
        <v>6.5441532530599627E-5</v>
      </c>
      <c r="AE192" s="3">
        <f t="shared" si="128"/>
        <v>6.5441532530598299E-5</v>
      </c>
      <c r="AF192" s="3">
        <f t="shared" si="128"/>
        <v>6.5441532530584922E-5</v>
      </c>
      <c r="AG192" s="3"/>
      <c r="AH192" s="3"/>
    </row>
    <row r="193" spans="1:34" x14ac:dyDescent="0.25">
      <c r="B193" s="3">
        <f t="shared" ref="B193:AF193" si="129">$C40*EXP(-B$168/$A40/EXP(-$C$126))</f>
        <v>9.072554140189839E-6</v>
      </c>
      <c r="C193" s="3">
        <f t="shared" si="129"/>
        <v>9.072554140189839E-6</v>
      </c>
      <c r="D193" s="3">
        <f t="shared" si="129"/>
        <v>9.072554140189839E-6</v>
      </c>
      <c r="E193" s="3">
        <f t="shared" si="129"/>
        <v>9.072554140189839E-6</v>
      </c>
      <c r="F193" s="3">
        <f t="shared" si="129"/>
        <v>9.072554140189839E-6</v>
      </c>
      <c r="G193" s="3">
        <f t="shared" si="129"/>
        <v>9.072554140189839E-6</v>
      </c>
      <c r="H193" s="3">
        <f t="shared" si="129"/>
        <v>9.072554140189839E-6</v>
      </c>
      <c r="I193" s="3">
        <f t="shared" si="129"/>
        <v>9.072554140189839E-6</v>
      </c>
      <c r="J193" s="3">
        <f t="shared" si="129"/>
        <v>9.072554140189839E-6</v>
      </c>
      <c r="K193" s="3">
        <f t="shared" si="129"/>
        <v>9.072554140189839E-6</v>
      </c>
      <c r="L193" s="3">
        <f t="shared" si="129"/>
        <v>9.072554140189839E-6</v>
      </c>
      <c r="M193" s="3">
        <f t="shared" si="129"/>
        <v>9.072554140189839E-6</v>
      </c>
      <c r="N193" s="3">
        <f t="shared" si="129"/>
        <v>9.072554140189839E-6</v>
      </c>
      <c r="O193" s="3">
        <f t="shared" si="129"/>
        <v>9.072554140189839E-6</v>
      </c>
      <c r="P193" s="3">
        <f t="shared" si="129"/>
        <v>9.072554140189839E-6</v>
      </c>
      <c r="Q193" s="3">
        <f t="shared" si="129"/>
        <v>9.072554140189839E-6</v>
      </c>
      <c r="R193" s="3">
        <f t="shared" si="129"/>
        <v>9.072554140189839E-6</v>
      </c>
      <c r="S193" s="3">
        <f t="shared" si="129"/>
        <v>9.072554140189839E-6</v>
      </c>
      <c r="T193" s="3">
        <f t="shared" si="129"/>
        <v>9.072554140189839E-6</v>
      </c>
      <c r="U193" s="3">
        <f t="shared" si="129"/>
        <v>9.072554140189839E-6</v>
      </c>
      <c r="V193" s="3">
        <f t="shared" si="129"/>
        <v>9.072554140189839E-6</v>
      </c>
      <c r="W193" s="3">
        <f t="shared" si="129"/>
        <v>9.072554140189839E-6</v>
      </c>
      <c r="X193" s="3">
        <f t="shared" si="129"/>
        <v>9.072554140189839E-6</v>
      </c>
      <c r="Y193" s="3">
        <f t="shared" si="129"/>
        <v>9.072554140189839E-6</v>
      </c>
      <c r="Z193" s="3">
        <f t="shared" si="129"/>
        <v>9.072554140189839E-6</v>
      </c>
      <c r="AA193" s="3">
        <f t="shared" si="129"/>
        <v>9.072554140189839E-6</v>
      </c>
      <c r="AB193" s="3">
        <f t="shared" si="129"/>
        <v>9.072554140189839E-6</v>
      </c>
      <c r="AC193" s="3">
        <f t="shared" si="129"/>
        <v>9.072554140189839E-6</v>
      </c>
      <c r="AD193" s="3">
        <f t="shared" si="129"/>
        <v>9.0725541401898373E-6</v>
      </c>
      <c r="AE193" s="3">
        <f t="shared" si="129"/>
        <v>9.0725541401898187E-6</v>
      </c>
      <c r="AF193" s="3">
        <f t="shared" si="129"/>
        <v>9.072554140189634E-6</v>
      </c>
      <c r="AG193" s="3"/>
      <c r="AH193" s="3"/>
    </row>
    <row r="194" spans="1:34" x14ac:dyDescent="0.25">
      <c r="B194" s="3">
        <f t="shared" ref="B194:AF194" si="130">$C41*EXP(-B$168/$A41/EXP(-$C$126))</f>
        <v>3.4648583404177175E-7</v>
      </c>
      <c r="C194" s="3">
        <f t="shared" si="130"/>
        <v>3.4648583404177175E-7</v>
      </c>
      <c r="D194" s="3">
        <f t="shared" si="130"/>
        <v>3.4648583404177175E-7</v>
      </c>
      <c r="E194" s="3">
        <f t="shared" si="130"/>
        <v>3.4648583404177175E-7</v>
      </c>
      <c r="F194" s="3">
        <f t="shared" si="130"/>
        <v>3.4648583404177175E-7</v>
      </c>
      <c r="G194" s="3">
        <f t="shared" si="130"/>
        <v>3.4648583404177175E-7</v>
      </c>
      <c r="H194" s="3">
        <f t="shared" si="130"/>
        <v>3.4648583404177175E-7</v>
      </c>
      <c r="I194" s="3">
        <f t="shared" si="130"/>
        <v>3.4648583404177175E-7</v>
      </c>
      <c r="J194" s="3">
        <f t="shared" si="130"/>
        <v>3.4648583404177175E-7</v>
      </c>
      <c r="K194" s="3">
        <f t="shared" si="130"/>
        <v>3.4648583404177175E-7</v>
      </c>
      <c r="L194" s="3">
        <f t="shared" si="130"/>
        <v>3.4648583404177175E-7</v>
      </c>
      <c r="M194" s="3">
        <f t="shared" si="130"/>
        <v>3.4648583404177175E-7</v>
      </c>
      <c r="N194" s="3">
        <f t="shared" si="130"/>
        <v>3.4648583404177175E-7</v>
      </c>
      <c r="O194" s="3">
        <f t="shared" si="130"/>
        <v>3.4648583404177175E-7</v>
      </c>
      <c r="P194" s="3">
        <f t="shared" si="130"/>
        <v>3.4648583404177175E-7</v>
      </c>
      <c r="Q194" s="3">
        <f t="shared" si="130"/>
        <v>3.4648583404177175E-7</v>
      </c>
      <c r="R194" s="3">
        <f t="shared" si="130"/>
        <v>3.4648583404177175E-7</v>
      </c>
      <c r="S194" s="3">
        <f t="shared" si="130"/>
        <v>3.4648583404177175E-7</v>
      </c>
      <c r="T194" s="3">
        <f t="shared" si="130"/>
        <v>3.4648583404177175E-7</v>
      </c>
      <c r="U194" s="3">
        <f t="shared" si="130"/>
        <v>3.4648583404177175E-7</v>
      </c>
      <c r="V194" s="3">
        <f t="shared" si="130"/>
        <v>3.4648583404177175E-7</v>
      </c>
      <c r="W194" s="3">
        <f t="shared" si="130"/>
        <v>3.4648583404177175E-7</v>
      </c>
      <c r="X194" s="3">
        <f t="shared" si="130"/>
        <v>3.4648583404177175E-7</v>
      </c>
      <c r="Y194" s="3">
        <f t="shared" si="130"/>
        <v>3.4648583404177175E-7</v>
      </c>
      <c r="Z194" s="3">
        <f t="shared" si="130"/>
        <v>3.4648583404177175E-7</v>
      </c>
      <c r="AA194" s="3">
        <f t="shared" si="130"/>
        <v>3.4648583404177175E-7</v>
      </c>
      <c r="AB194" s="3">
        <f t="shared" si="130"/>
        <v>3.4648583404177175E-7</v>
      </c>
      <c r="AC194" s="3">
        <f t="shared" si="130"/>
        <v>3.4648583404177175E-7</v>
      </c>
      <c r="AD194" s="3">
        <f t="shared" si="130"/>
        <v>3.4648583404177175E-7</v>
      </c>
      <c r="AE194" s="3">
        <f t="shared" si="130"/>
        <v>3.464858340417717E-7</v>
      </c>
      <c r="AF194" s="3">
        <f t="shared" si="130"/>
        <v>3.4648583404177096E-7</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2.6390969703261771E-3</v>
      </c>
      <c r="C201" s="3">
        <f t="shared" si="137"/>
        <v>2.6390969703261771E-3</v>
      </c>
      <c r="D201" s="3">
        <f t="shared" si="137"/>
        <v>2.6390969703261771E-3</v>
      </c>
      <c r="E201" s="3">
        <f t="shared" si="137"/>
        <v>2.6390969703261771E-3</v>
      </c>
      <c r="F201" s="3">
        <f t="shared" si="137"/>
        <v>2.6390969703261771E-3</v>
      </c>
      <c r="G201" s="3">
        <f t="shared" si="137"/>
        <v>2.6390969703261771E-3</v>
      </c>
      <c r="H201" s="3">
        <f t="shared" si="137"/>
        <v>2.6390969703261771E-3</v>
      </c>
      <c r="I201" s="3">
        <f t="shared" si="137"/>
        <v>2.6390969703261771E-3</v>
      </c>
      <c r="J201" s="3">
        <f t="shared" si="137"/>
        <v>2.6390969703261771E-3</v>
      </c>
      <c r="K201" s="3">
        <f t="shared" si="137"/>
        <v>2.6390969703261771E-3</v>
      </c>
      <c r="L201" s="3">
        <f t="shared" si="137"/>
        <v>2.6390969703261771E-3</v>
      </c>
      <c r="M201" s="3">
        <f t="shared" si="137"/>
        <v>2.6390969703261771E-3</v>
      </c>
      <c r="N201" s="3">
        <f t="shared" si="137"/>
        <v>2.6390969703261771E-3</v>
      </c>
      <c r="O201" s="3">
        <f t="shared" si="137"/>
        <v>2.6390969703261771E-3</v>
      </c>
      <c r="P201" s="3">
        <f t="shared" si="137"/>
        <v>2.6390969703261771E-3</v>
      </c>
      <c r="Q201" s="3">
        <f t="shared" si="137"/>
        <v>2.6390969703261771E-3</v>
      </c>
      <c r="R201" s="3">
        <f t="shared" si="137"/>
        <v>2.6390969703261771E-3</v>
      </c>
      <c r="S201" s="3">
        <f t="shared" si="137"/>
        <v>2.6390969703261771E-3</v>
      </c>
      <c r="T201" s="3">
        <f t="shared" si="137"/>
        <v>2.6390969703261771E-3</v>
      </c>
      <c r="U201" s="3">
        <f t="shared" si="137"/>
        <v>2.6390969703261771E-3</v>
      </c>
      <c r="V201" s="3">
        <f t="shared" si="137"/>
        <v>2.6390969703261771E-3</v>
      </c>
      <c r="W201" s="3">
        <f t="shared" si="137"/>
        <v>2.6390969703261771E-3</v>
      </c>
      <c r="X201" s="3">
        <f t="shared" si="137"/>
        <v>2.6390969703261771E-3</v>
      </c>
      <c r="Y201" s="3">
        <f t="shared" si="137"/>
        <v>2.6390969703261771E-3</v>
      </c>
      <c r="Z201" s="3">
        <f t="shared" si="137"/>
        <v>2.6390969703261771E-3</v>
      </c>
      <c r="AA201" s="3">
        <f t="shared" si="137"/>
        <v>2.6390969703261771E-3</v>
      </c>
      <c r="AB201" s="3">
        <f t="shared" si="137"/>
        <v>2.6390969703261771E-3</v>
      </c>
      <c r="AC201" s="3">
        <f t="shared" si="137"/>
        <v>2.6390969703261771E-3</v>
      </c>
      <c r="AD201" s="3">
        <f t="shared" si="137"/>
        <v>2.6390969703261771E-3</v>
      </c>
      <c r="AE201" s="3">
        <f t="shared" si="137"/>
        <v>2.6390969703261771E-3</v>
      </c>
      <c r="AF201" s="3">
        <f t="shared" si="137"/>
        <v>2.6390969703261771E-3</v>
      </c>
      <c r="AG201" s="3"/>
      <c r="AH201" s="3"/>
    </row>
    <row r="202" spans="1:34" x14ac:dyDescent="0.25">
      <c r="A202" s="79">
        <f>AVERAGE(B202:AF202)</f>
        <v>3.2926910869832696E-2</v>
      </c>
      <c r="B202" s="80">
        <f>IF($A$64&lt;=B168,IF($B$64&gt;=B168,ABS((B170-B169)/B169),0),0)</f>
        <v>9.9984364963378366E-4</v>
      </c>
      <c r="C202" s="80">
        <f t="shared" ref="C202:AF202" si="138">IF($A$64&lt;=C168,IF($B$64&gt;=C168,ABS((C170-C169)/C169),0),0)</f>
        <v>1.0060688835267471E-3</v>
      </c>
      <c r="D202" s="80">
        <f t="shared" si="138"/>
        <v>1.0022869776922995E-3</v>
      </c>
      <c r="E202" s="80">
        <f t="shared" si="138"/>
        <v>1.00114156180206E-3</v>
      </c>
      <c r="F202" s="80">
        <f t="shared" si="138"/>
        <v>1.0007925152916526E-3</v>
      </c>
      <c r="G202" s="80">
        <f t="shared" si="138"/>
        <v>1.0006908547011461E-3</v>
      </c>
      <c r="H202" s="80">
        <f t="shared" si="138"/>
        <v>1.0006434468897158E-3</v>
      </c>
      <c r="I202" s="80">
        <f t="shared" si="138"/>
        <v>1.0006404126031211E-3</v>
      </c>
      <c r="J202" s="80">
        <f t="shared" si="138"/>
        <v>1.0006066809302352E-3</v>
      </c>
      <c r="K202" s="80">
        <f t="shared" si="138"/>
        <v>1.0006421326932437E-3</v>
      </c>
      <c r="L202" s="80">
        <f t="shared" si="138"/>
        <v>1.0009458178775045E-3</v>
      </c>
      <c r="M202" s="80">
        <f t="shared" si="138"/>
        <v>1.0041046283750109E-3</v>
      </c>
      <c r="N202" s="80">
        <f t="shared" si="138"/>
        <v>1.035326315269255E-3</v>
      </c>
      <c r="O202" s="80">
        <f t="shared" si="138"/>
        <v>1.3473176759767232E-3</v>
      </c>
      <c r="P202" s="80">
        <f t="shared" si="138"/>
        <v>4.4327413032617955E-3</v>
      </c>
      <c r="Q202" s="80">
        <f t="shared" si="138"/>
        <v>3.2066400501631891E-2</v>
      </c>
      <c r="R202" s="80">
        <f t="shared" si="138"/>
        <v>0.13513770854497811</v>
      </c>
      <c r="S202" s="80">
        <f t="shared" si="138"/>
        <v>0.13206849092024925</v>
      </c>
      <c r="T202" s="80">
        <f t="shared" si="138"/>
        <v>0.10540658571428095</v>
      </c>
      <c r="U202" s="80">
        <f t="shared" si="138"/>
        <v>6.5525500299879538E-2</v>
      </c>
      <c r="V202" s="80">
        <f t="shared" si="138"/>
        <v>1.422472078705197E-2</v>
      </c>
      <c r="W202" s="80">
        <f t="shared" si="138"/>
        <v>4.3960708710000761E-2</v>
      </c>
      <c r="X202" s="80">
        <f t="shared" si="138"/>
        <v>7.0071940276228872E-2</v>
      </c>
      <c r="Y202" s="80">
        <f t="shared" si="138"/>
        <v>5.331100420115497E-2</v>
      </c>
      <c r="Z202" s="80">
        <f t="shared" si="138"/>
        <v>7.0302053618206392E-2</v>
      </c>
      <c r="AA202" s="80">
        <f t="shared" si="138"/>
        <v>6.9018042624474404E-2</v>
      </c>
      <c r="AB202" s="80">
        <f t="shared" si="138"/>
        <v>6.8219417457854814E-2</v>
      </c>
      <c r="AC202" s="80">
        <f t="shared" si="138"/>
        <v>5.8131298845327792E-2</v>
      </c>
      <c r="AD202" s="80">
        <f t="shared" si="138"/>
        <v>4.2404017946846201E-2</v>
      </c>
      <c r="AE202" s="80">
        <f t="shared" si="138"/>
        <v>1.6292844147814272E-2</v>
      </c>
      <c r="AF202" s="80">
        <f t="shared" si="138"/>
        <v>2.575970951230902E-2</v>
      </c>
    </row>
    <row r="203" spans="1:34" x14ac:dyDescent="0.25">
      <c r="B203" s="21">
        <f>(B170-B169)^2</f>
        <v>35.229153189392534</v>
      </c>
      <c r="C203" s="21">
        <f t="shared" ref="C203:AF203" si="139">(C170-C169)^2</f>
        <v>35.669651443584542</v>
      </c>
      <c r="D203" s="21">
        <f t="shared" si="139"/>
        <v>35.401716414234109</v>
      </c>
      <c r="E203" s="21">
        <f t="shared" si="139"/>
        <v>35.320767325826942</v>
      </c>
      <c r="F203" s="21">
        <f t="shared" si="139"/>
        <v>35.296117889015136</v>
      </c>
      <c r="G203" s="21">
        <f t="shared" si="139"/>
        <v>35.288940305357798</v>
      </c>
      <c r="H203" s="21">
        <f t="shared" si="139"/>
        <v>35.28559340018834</v>
      </c>
      <c r="I203" s="21">
        <f t="shared" si="139"/>
        <v>35.28537916561141</v>
      </c>
      <c r="J203" s="21">
        <f t="shared" si="139"/>
        <v>35.282997626367631</v>
      </c>
      <c r="K203" s="21">
        <f t="shared" si="139"/>
        <v>35.285497842791912</v>
      </c>
      <c r="L203" s="21">
        <f t="shared" si="139"/>
        <v>35.306915112647317</v>
      </c>
      <c r="M203" s="21">
        <f t="shared" si="139"/>
        <v>35.530084200264</v>
      </c>
      <c r="N203" s="21">
        <f t="shared" si="139"/>
        <v>37.773665501118032</v>
      </c>
      <c r="O203" s="21">
        <f t="shared" si="139"/>
        <v>63.964356358599218</v>
      </c>
      <c r="P203" s="21">
        <f t="shared" si="139"/>
        <v>691.79873158438113</v>
      </c>
      <c r="Q203" s="21">
        <f t="shared" si="139"/>
        <v>35923.896594735241</v>
      </c>
      <c r="R203" s="21">
        <f t="shared" si="139"/>
        <v>611928.62642348686</v>
      </c>
      <c r="S203" s="21">
        <f t="shared" si="139"/>
        <v>555868.69168170216</v>
      </c>
      <c r="T203" s="21">
        <f t="shared" si="139"/>
        <v>333291.01735071681</v>
      </c>
      <c r="U203" s="21">
        <f t="shared" si="139"/>
        <v>118024.85470829345</v>
      </c>
      <c r="V203" s="21">
        <f t="shared" si="139"/>
        <v>4992.3203139844045</v>
      </c>
      <c r="W203" s="21">
        <f t="shared" si="139"/>
        <v>42023.08123995037</v>
      </c>
      <c r="X203" s="21">
        <f t="shared" si="139"/>
        <v>92751.367983821299</v>
      </c>
      <c r="Y203" s="21">
        <f t="shared" si="139"/>
        <v>46679.613199637024</v>
      </c>
      <c r="Z203" s="21">
        <f t="shared" si="139"/>
        <v>70301.42714363907</v>
      </c>
      <c r="AA203" s="21">
        <f t="shared" si="139"/>
        <v>57929.818871784591</v>
      </c>
      <c r="AB203" s="21">
        <f t="shared" si="139"/>
        <v>46804.665539057343</v>
      </c>
      <c r="AC203" s="21">
        <f t="shared" si="139"/>
        <v>25960.92668698289</v>
      </c>
      <c r="AD203" s="21">
        <f t="shared" si="139"/>
        <v>9468.0764003011009</v>
      </c>
      <c r="AE203" s="21">
        <f t="shared" si="139"/>
        <v>807.56697530271379</v>
      </c>
      <c r="AF203" s="21">
        <f t="shared" si="139"/>
        <v>877.29955183278298</v>
      </c>
      <c r="AG203" s="3"/>
      <c r="AH203" s="3"/>
    </row>
    <row r="204" spans="1:34" x14ac:dyDescent="0.25">
      <c r="A204" s="71">
        <f>SUM(B204:AF204)</f>
        <v>2054850.9702325873</v>
      </c>
      <c r="B204" s="60">
        <f>IF($A$64&lt;=B168,IF($B$64&gt;=B168,ABS(B203),0),0)</f>
        <v>35.229153189392534</v>
      </c>
      <c r="C204" s="60">
        <f t="shared" ref="C204" si="140">IF($A$64&lt;=C168,IF($B$64&gt;=C168,ABS(C203),0),0)</f>
        <v>35.669651443584542</v>
      </c>
      <c r="D204" s="60">
        <f t="shared" ref="D204" si="141">IF($A$64&lt;=D168,IF($B$64&gt;=D168,ABS(D203),0),0)</f>
        <v>35.401716414234109</v>
      </c>
      <c r="E204" s="60">
        <f t="shared" ref="E204" si="142">IF($A$64&lt;=E168,IF($B$64&gt;=E168,ABS(E203),0),0)</f>
        <v>35.320767325826942</v>
      </c>
      <c r="F204" s="60">
        <f t="shared" ref="F204" si="143">IF($A$64&lt;=F168,IF($B$64&gt;=F168,ABS(F203),0),0)</f>
        <v>35.296117889015136</v>
      </c>
      <c r="G204" s="60">
        <f t="shared" ref="G204" si="144">IF($A$64&lt;=G168,IF($B$64&gt;=G168,ABS(G203),0),0)</f>
        <v>35.288940305357798</v>
      </c>
      <c r="H204" s="60">
        <f t="shared" ref="H204" si="145">IF($A$64&lt;=H168,IF($B$64&gt;=H168,ABS(H203),0),0)</f>
        <v>35.28559340018834</v>
      </c>
      <c r="I204" s="60">
        <f t="shared" ref="I204" si="146">IF($A$64&lt;=I168,IF($B$64&gt;=I168,ABS(I203),0),0)</f>
        <v>35.28537916561141</v>
      </c>
      <c r="J204" s="60">
        <f t="shared" ref="J204" si="147">IF($A$64&lt;=J168,IF($B$64&gt;=J168,ABS(J203),0),0)</f>
        <v>35.282997626367631</v>
      </c>
      <c r="K204" s="60">
        <f t="shared" ref="K204" si="148">IF($A$64&lt;=K168,IF($B$64&gt;=K168,ABS(K203),0),0)</f>
        <v>35.285497842791912</v>
      </c>
      <c r="L204" s="60">
        <f t="shared" ref="L204" si="149">IF($A$64&lt;=L168,IF($B$64&gt;=L168,ABS(L203),0),0)</f>
        <v>35.306915112647317</v>
      </c>
      <c r="M204" s="60">
        <f t="shared" ref="M204" si="150">IF($A$64&lt;=M168,IF($B$64&gt;=M168,ABS(M203),0),0)</f>
        <v>35.530084200264</v>
      </c>
      <c r="N204" s="60">
        <f t="shared" ref="N204" si="151">IF($A$64&lt;=N168,IF($B$64&gt;=N168,ABS(N203),0),0)</f>
        <v>37.773665501118032</v>
      </c>
      <c r="O204" s="60">
        <f t="shared" ref="O204" si="152">IF($A$64&lt;=O168,IF($B$64&gt;=O168,ABS(O203),0),0)</f>
        <v>63.964356358599218</v>
      </c>
      <c r="P204" s="60">
        <f t="shared" ref="P204" si="153">IF($A$64&lt;=P168,IF($B$64&gt;=P168,ABS(P203),0),0)</f>
        <v>691.79873158438113</v>
      </c>
      <c r="Q204" s="60">
        <f t="shared" ref="Q204" si="154">IF($A$64&lt;=Q168,IF($B$64&gt;=Q168,ABS(Q203),0),0)</f>
        <v>35923.896594735241</v>
      </c>
      <c r="R204" s="60">
        <f t="shared" ref="R204" si="155">IF($A$64&lt;=R168,IF($B$64&gt;=R168,ABS(R203),0),0)</f>
        <v>611928.62642348686</v>
      </c>
      <c r="S204" s="60">
        <f t="shared" ref="S204" si="156">IF($A$64&lt;=S168,IF($B$64&gt;=S168,ABS(S203),0),0)</f>
        <v>555868.69168170216</v>
      </c>
      <c r="T204" s="60">
        <f t="shared" ref="T204" si="157">IF($A$64&lt;=T168,IF($B$64&gt;=T168,ABS(T203),0),0)</f>
        <v>333291.01735071681</v>
      </c>
      <c r="U204" s="60">
        <f t="shared" ref="U204" si="158">IF($A$64&lt;=U168,IF($B$64&gt;=U168,ABS(U203),0),0)</f>
        <v>118024.85470829345</v>
      </c>
      <c r="V204" s="60">
        <f t="shared" ref="V204" si="159">IF($A$64&lt;=V168,IF($B$64&gt;=V168,ABS(V203),0),0)</f>
        <v>4992.3203139844045</v>
      </c>
      <c r="W204" s="60">
        <f t="shared" ref="W204" si="160">IF($A$64&lt;=W168,IF($B$64&gt;=W168,ABS(W203),0),0)</f>
        <v>42023.08123995037</v>
      </c>
      <c r="X204" s="60">
        <f t="shared" ref="X204" si="161">IF($A$64&lt;=X168,IF($B$64&gt;=X168,ABS(X203),0),0)</f>
        <v>92751.367983821299</v>
      </c>
      <c r="Y204" s="60">
        <f t="shared" ref="Y204" si="162">IF($A$64&lt;=Y168,IF($B$64&gt;=Y168,ABS(Y203),0),0)</f>
        <v>46679.613199637024</v>
      </c>
      <c r="Z204" s="60">
        <f t="shared" ref="Z204" si="163">IF($A$64&lt;=Z168,IF($B$64&gt;=Z168,ABS(Z203),0),0)</f>
        <v>70301.42714363907</v>
      </c>
      <c r="AA204" s="60">
        <f t="shared" ref="AA204" si="164">IF($A$64&lt;=AA168,IF($B$64&gt;=AA168,ABS(AA203),0),0)</f>
        <v>57929.818871784591</v>
      </c>
      <c r="AB204" s="60">
        <f t="shared" ref="AB204" si="165">IF($A$64&lt;=AB168,IF($B$64&gt;=AB168,ABS(AB203),0),0)</f>
        <v>46804.665539057343</v>
      </c>
      <c r="AC204" s="60">
        <f t="shared" ref="AC204" si="166">IF($A$64&lt;=AC168,IF($B$64&gt;=AC168,ABS(AC203),0),0)</f>
        <v>25960.92668698289</v>
      </c>
      <c r="AD204" s="60">
        <f t="shared" ref="AD204" si="167">IF($A$64&lt;=AD168,IF($B$64&gt;=AD168,ABS(AD203),0),0)</f>
        <v>9468.0764003011009</v>
      </c>
      <c r="AE204" s="60">
        <f t="shared" ref="AE204" si="168">IF($A$64&lt;=AE168,IF($B$64&gt;=AE168,ABS(AE203),0),0)</f>
        <v>807.56697530271379</v>
      </c>
      <c r="AF204" s="60">
        <f t="shared" ref="AF204" si="169">IF($A$64&lt;=AF168,IF($B$64&gt;=AF168,ABS(AF203),0),0)</f>
        <v>877.29955183278298</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0" t="s">
        <v>22</v>
      </c>
      <c r="B209" s="27">
        <f>($C$17+SUM(B210:B240))*$B$51</f>
        <v>5930.407899999982</v>
      </c>
      <c r="C209" s="27">
        <f t="shared" ref="C209:AF209" si="170">($C$17+SUM(C210:C240))*$B$51</f>
        <v>5930.4078999998173</v>
      </c>
      <c r="D209" s="27">
        <f t="shared" si="170"/>
        <v>5930.4078999981648</v>
      </c>
      <c r="E209" s="27">
        <f t="shared" si="170"/>
        <v>5930.4078999816493</v>
      </c>
      <c r="F209" s="27">
        <f t="shared" si="170"/>
        <v>5930.4078998164914</v>
      </c>
      <c r="G209" s="27">
        <f t="shared" si="170"/>
        <v>5930.4078981649054</v>
      </c>
      <c r="H209" s="27">
        <f t="shared" si="170"/>
        <v>5930.4078816490546</v>
      </c>
      <c r="I209" s="27">
        <f t="shared" si="170"/>
        <v>5930.4077164905611</v>
      </c>
      <c r="J209" s="27">
        <f t="shared" si="170"/>
        <v>5930.4060649070852</v>
      </c>
      <c r="K209" s="27">
        <f t="shared" si="170"/>
        <v>5930.3895492178835</v>
      </c>
      <c r="L209" s="27">
        <f t="shared" si="170"/>
        <v>5930.2244068809632</v>
      </c>
      <c r="M209" s="27">
        <f t="shared" si="170"/>
        <v>5928.5744381592176</v>
      </c>
      <c r="N209" s="27">
        <f t="shared" si="170"/>
        <v>5912.2193569107803</v>
      </c>
      <c r="O209" s="27">
        <f t="shared" si="170"/>
        <v>5762.3073002008214</v>
      </c>
      <c r="P209" s="27">
        <f t="shared" si="170"/>
        <v>5073.4620544638983</v>
      </c>
      <c r="Q209" s="27">
        <f t="shared" si="170"/>
        <v>4899.7329496785751</v>
      </c>
      <c r="R209" s="27">
        <f t="shared" si="170"/>
        <v>4899.7099856766254</v>
      </c>
      <c r="S209" s="27">
        <f t="shared" si="170"/>
        <v>4899.4805865497046</v>
      </c>
      <c r="T209" s="27">
        <f t="shared" si="170"/>
        <v>4897.1915967548784</v>
      </c>
      <c r="U209" s="27">
        <f t="shared" si="170"/>
        <v>4874.7943527347998</v>
      </c>
      <c r="V209" s="27">
        <f t="shared" si="170"/>
        <v>4693.3774250118258</v>
      </c>
      <c r="W209" s="27">
        <f t="shared" si="170"/>
        <v>4289.6291466988469</v>
      </c>
      <c r="X209" s="27">
        <f t="shared" si="170"/>
        <v>4063.3329832899121</v>
      </c>
      <c r="Y209" s="27">
        <f t="shared" si="170"/>
        <v>3756.0959326140096</v>
      </c>
      <c r="Z209" s="27">
        <f t="shared" si="170"/>
        <v>3424.4486500244698</v>
      </c>
      <c r="AA209" s="27">
        <f t="shared" si="170"/>
        <v>2979.0559999653433</v>
      </c>
      <c r="AB209" s="27">
        <f t="shared" si="170"/>
        <v>2447.0252802865307</v>
      </c>
      <c r="AC209" s="27">
        <f t="shared" si="170"/>
        <v>1836.7275998273722</v>
      </c>
      <c r="AD209" s="27">
        <f t="shared" si="170"/>
        <v>1181.3598042395938</v>
      </c>
      <c r="AE209" s="27">
        <f t="shared" si="170"/>
        <v>695.05853180859515</v>
      </c>
      <c r="AF209" s="27">
        <f t="shared" si="170"/>
        <v>389.64589548861278</v>
      </c>
      <c r="AG209" s="27"/>
      <c r="AH209" s="27"/>
    </row>
    <row r="210" spans="1:34" x14ac:dyDescent="0.25">
      <c r="B210" s="3">
        <f t="shared" ref="B210:AF210" si="171">$C18*EXP(-B$207/$A18/EXP(-$D$126))</f>
        <v>0.17379452430407627</v>
      </c>
      <c r="C210" s="3">
        <f t="shared" si="171"/>
        <v>0.1737945243040484</v>
      </c>
      <c r="D210" s="3">
        <f t="shared" si="171"/>
        <v>0.1737945243037699</v>
      </c>
      <c r="E210" s="3">
        <f t="shared" si="171"/>
        <v>0.17379452430098496</v>
      </c>
      <c r="F210" s="3">
        <f t="shared" si="171"/>
        <v>0.17379452427313555</v>
      </c>
      <c r="G210" s="3">
        <f t="shared" si="171"/>
        <v>0.17379452399464124</v>
      </c>
      <c r="H210" s="3">
        <f t="shared" si="171"/>
        <v>0.17379452120969813</v>
      </c>
      <c r="I210" s="3">
        <f t="shared" si="171"/>
        <v>0.17379449336026973</v>
      </c>
      <c r="J210" s="3">
        <f t="shared" si="171"/>
        <v>0.17379421486623112</v>
      </c>
      <c r="K210" s="3">
        <f t="shared" si="171"/>
        <v>0.17379142995038957</v>
      </c>
      <c r="L210" s="3">
        <f t="shared" si="171"/>
        <v>0.17376358324629099</v>
      </c>
      <c r="M210" s="3">
        <f t="shared" si="171"/>
        <v>0.17348536149154628</v>
      </c>
      <c r="N210" s="3">
        <f t="shared" si="171"/>
        <v>0.17072752775908254</v>
      </c>
      <c r="O210" s="3">
        <f t="shared" si="171"/>
        <v>0.14544899105598633</v>
      </c>
      <c r="P210" s="3">
        <f t="shared" si="171"/>
        <v>2.9294246239496481E-2</v>
      </c>
      <c r="Q210" s="3">
        <f t="shared" si="171"/>
        <v>3.2173512411638725E-9</v>
      </c>
      <c r="R210" s="3">
        <f t="shared" si="171"/>
        <v>8.2159910207724279E-79</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9.0899647473980161E-2</v>
      </c>
      <c r="C211" s="3">
        <f t="shared" si="172"/>
        <v>9.0899647473980161E-2</v>
      </c>
      <c r="D211" s="3">
        <f t="shared" si="172"/>
        <v>9.0899647473980161E-2</v>
      </c>
      <c r="E211" s="3">
        <f t="shared" si="172"/>
        <v>9.0899647473980161E-2</v>
      </c>
      <c r="F211" s="3">
        <f t="shared" si="172"/>
        <v>9.0899647473980161E-2</v>
      </c>
      <c r="G211" s="3">
        <f t="shared" si="172"/>
        <v>9.0899647473980119E-2</v>
      </c>
      <c r="H211" s="3">
        <f t="shared" si="172"/>
        <v>9.0899647473979744E-2</v>
      </c>
      <c r="I211" s="3">
        <f t="shared" si="172"/>
        <v>9.0899647473976011E-2</v>
      </c>
      <c r="J211" s="3">
        <f t="shared" si="172"/>
        <v>9.0899647473938708E-2</v>
      </c>
      <c r="K211" s="3">
        <f t="shared" si="172"/>
        <v>9.089964747356559E-2</v>
      </c>
      <c r="L211" s="3">
        <f t="shared" si="172"/>
        <v>9.0899647469834421E-2</v>
      </c>
      <c r="M211" s="3">
        <f t="shared" si="172"/>
        <v>9.0899647432522782E-2</v>
      </c>
      <c r="N211" s="3">
        <f t="shared" si="172"/>
        <v>9.0899647059406369E-2</v>
      </c>
      <c r="O211" s="3">
        <f t="shared" si="172"/>
        <v>9.089964332824238E-2</v>
      </c>
      <c r="P211" s="3">
        <f t="shared" si="172"/>
        <v>9.0899606016610845E-2</v>
      </c>
      <c r="Q211" s="3">
        <f t="shared" si="172"/>
        <v>9.0899232901137841E-2</v>
      </c>
      <c r="R211" s="3">
        <f t="shared" si="172"/>
        <v>9.0895501830640713E-2</v>
      </c>
      <c r="S211" s="3">
        <f t="shared" si="172"/>
        <v>9.0858199547682317E-2</v>
      </c>
      <c r="T211" s="3">
        <f t="shared" si="172"/>
        <v>9.0486017641708466E-2</v>
      </c>
      <c r="U211" s="3">
        <f t="shared" si="172"/>
        <v>8.6847027698501958E-2</v>
      </c>
      <c r="V211" s="3">
        <f t="shared" si="172"/>
        <v>5.7608929405571913E-2</v>
      </c>
      <c r="W211" s="3">
        <f t="shared" si="172"/>
        <v>9.5025082195409195E-4</v>
      </c>
      <c r="X211" s="3">
        <f t="shared" si="172"/>
        <v>1.4168463274679368E-21</v>
      </c>
      <c r="Y211" s="3">
        <f t="shared" si="172"/>
        <v>7.694274878570695E-200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3.1881256705136286E-2</v>
      </c>
      <c r="C212" s="3">
        <f t="shared" si="173"/>
        <v>3.1881256705136286E-2</v>
      </c>
      <c r="D212" s="3">
        <f t="shared" si="173"/>
        <v>3.1881256705136286E-2</v>
      </c>
      <c r="E212" s="3">
        <f t="shared" si="173"/>
        <v>3.1881256705136286E-2</v>
      </c>
      <c r="F212" s="3">
        <f t="shared" si="173"/>
        <v>3.1881256705136286E-2</v>
      </c>
      <c r="G212" s="3">
        <f t="shared" si="173"/>
        <v>3.1881256705136286E-2</v>
      </c>
      <c r="H212" s="3">
        <f t="shared" si="173"/>
        <v>3.1881256705136272E-2</v>
      </c>
      <c r="I212" s="3">
        <f t="shared" si="173"/>
        <v>3.1881256705136155E-2</v>
      </c>
      <c r="J212" s="3">
        <f t="shared" si="173"/>
        <v>3.1881256705134975E-2</v>
      </c>
      <c r="K212" s="3">
        <f t="shared" si="173"/>
        <v>3.1881256705123172E-2</v>
      </c>
      <c r="L212" s="3">
        <f t="shared" si="173"/>
        <v>3.188125670500512E-2</v>
      </c>
      <c r="M212" s="3">
        <f t="shared" si="173"/>
        <v>3.1881256703824627E-2</v>
      </c>
      <c r="N212" s="3">
        <f t="shared" si="173"/>
        <v>3.1881256692019674E-2</v>
      </c>
      <c r="O212" s="3">
        <f t="shared" si="173"/>
        <v>3.1881256573970167E-2</v>
      </c>
      <c r="P212" s="3">
        <f t="shared" si="173"/>
        <v>3.1881255393475139E-2</v>
      </c>
      <c r="Q212" s="3">
        <f t="shared" si="173"/>
        <v>3.1881243588527237E-2</v>
      </c>
      <c r="R212" s="3">
        <f t="shared" si="173"/>
        <v>3.1881125539288617E-2</v>
      </c>
      <c r="S212" s="3">
        <f t="shared" si="173"/>
        <v>3.1879945070943223E-2</v>
      </c>
      <c r="T212" s="3">
        <f t="shared" si="173"/>
        <v>3.1868142791240388E-2</v>
      </c>
      <c r="U212" s="3">
        <f t="shared" si="173"/>
        <v>3.1750360040325755E-2</v>
      </c>
      <c r="V212" s="3">
        <f t="shared" si="173"/>
        <v>3.0596211503741737E-2</v>
      </c>
      <c r="W212" s="3">
        <f t="shared" si="173"/>
        <v>2.1127964298423958E-2</v>
      </c>
      <c r="X212" s="3">
        <f t="shared" si="173"/>
        <v>5.209039533151591E-4</v>
      </c>
      <c r="Y212" s="3">
        <f t="shared" si="173"/>
        <v>4.3227253664005115E-20</v>
      </c>
      <c r="Z212" s="3">
        <f t="shared" si="173"/>
        <v>6.6951075204458014E-181</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5.4295186308030693E-2</v>
      </c>
      <c r="C213" s="3">
        <f t="shared" si="174"/>
        <v>5.4295186308030693E-2</v>
      </c>
      <c r="D213" s="3">
        <f t="shared" si="174"/>
        <v>5.4295186308030693E-2</v>
      </c>
      <c r="E213" s="3">
        <f t="shared" si="174"/>
        <v>5.4295186308030693E-2</v>
      </c>
      <c r="F213" s="3">
        <f t="shared" si="174"/>
        <v>5.4295186308030693E-2</v>
      </c>
      <c r="G213" s="3">
        <f t="shared" si="174"/>
        <v>5.4295186308030693E-2</v>
      </c>
      <c r="H213" s="3">
        <f t="shared" si="174"/>
        <v>5.4295186308030693E-2</v>
      </c>
      <c r="I213" s="3">
        <f t="shared" si="174"/>
        <v>5.4295186308030673E-2</v>
      </c>
      <c r="J213" s="3">
        <f t="shared" si="174"/>
        <v>5.4295186308030492E-2</v>
      </c>
      <c r="K213" s="3">
        <f t="shared" si="174"/>
        <v>5.4295186308028681E-2</v>
      </c>
      <c r="L213" s="3">
        <f t="shared" si="174"/>
        <v>5.4295186308010543E-2</v>
      </c>
      <c r="M213" s="3">
        <f t="shared" si="174"/>
        <v>5.4295186307829181E-2</v>
      </c>
      <c r="N213" s="3">
        <f t="shared" si="174"/>
        <v>5.4295186306015604E-2</v>
      </c>
      <c r="O213" s="3">
        <f t="shared" si="174"/>
        <v>5.4295186287879806E-2</v>
      </c>
      <c r="P213" s="3">
        <f t="shared" si="174"/>
        <v>5.4295186106521828E-2</v>
      </c>
      <c r="Q213" s="3">
        <f t="shared" si="174"/>
        <v>5.4295184292942111E-2</v>
      </c>
      <c r="R213" s="3">
        <f t="shared" si="174"/>
        <v>5.4295166157148252E-2</v>
      </c>
      <c r="S213" s="3">
        <f t="shared" si="174"/>
        <v>5.4294984799542784E-2</v>
      </c>
      <c r="T213" s="3">
        <f t="shared" si="174"/>
        <v>5.4293171256805335E-2</v>
      </c>
      <c r="U213" s="3">
        <f t="shared" si="174"/>
        <v>5.4275039160740793E-2</v>
      </c>
      <c r="V213" s="3">
        <f t="shared" si="174"/>
        <v>5.4094050919749614E-2</v>
      </c>
      <c r="W213" s="3">
        <f t="shared" si="174"/>
        <v>5.2317032921057535E-2</v>
      </c>
      <c r="X213" s="3">
        <f t="shared" si="174"/>
        <v>3.746097766457912E-2</v>
      </c>
      <c r="Y213" s="3">
        <f t="shared" si="174"/>
        <v>1.3272084120958864E-3</v>
      </c>
      <c r="Z213" s="3">
        <f t="shared" si="174"/>
        <v>4.1356074341754485E-18</v>
      </c>
      <c r="AA213" s="3">
        <f t="shared" si="174"/>
        <v>3.5689554276663196E-163</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5.1307510130975835E-2</v>
      </c>
      <c r="C214" s="3">
        <f t="shared" si="175"/>
        <v>5.1307510130975835E-2</v>
      </c>
      <c r="D214" s="3">
        <f t="shared" si="175"/>
        <v>5.1307510130975835E-2</v>
      </c>
      <c r="E214" s="3">
        <f t="shared" si="175"/>
        <v>5.1307510130975835E-2</v>
      </c>
      <c r="F214" s="3">
        <f t="shared" si="175"/>
        <v>5.1307510130975835E-2</v>
      </c>
      <c r="G214" s="3">
        <f t="shared" si="175"/>
        <v>5.1307510130975835E-2</v>
      </c>
      <c r="H214" s="3">
        <f t="shared" si="175"/>
        <v>5.1307510130975835E-2</v>
      </c>
      <c r="I214" s="3">
        <f t="shared" si="175"/>
        <v>5.1307510130975835E-2</v>
      </c>
      <c r="J214" s="3">
        <f t="shared" si="175"/>
        <v>5.1307510130975821E-2</v>
      </c>
      <c r="K214" s="3">
        <f t="shared" si="175"/>
        <v>5.1307510130975661E-2</v>
      </c>
      <c r="L214" s="3">
        <f t="shared" si="175"/>
        <v>5.1307510130974114E-2</v>
      </c>
      <c r="M214" s="3">
        <f t="shared" si="175"/>
        <v>5.1307510130958654E-2</v>
      </c>
      <c r="N214" s="3">
        <f t="shared" si="175"/>
        <v>5.1307510130804056E-2</v>
      </c>
      <c r="O214" s="3">
        <f t="shared" si="175"/>
        <v>5.1307510129258084E-2</v>
      </c>
      <c r="P214" s="3">
        <f t="shared" si="175"/>
        <v>5.1307510113798319E-2</v>
      </c>
      <c r="Q214" s="3">
        <f t="shared" si="175"/>
        <v>5.1307509959200678E-2</v>
      </c>
      <c r="R214" s="3">
        <f t="shared" si="175"/>
        <v>5.1307508413224297E-2</v>
      </c>
      <c r="S214" s="3">
        <f t="shared" si="175"/>
        <v>5.1307492953463062E-2</v>
      </c>
      <c r="T214" s="3">
        <f t="shared" si="175"/>
        <v>5.1307338356106895E-2</v>
      </c>
      <c r="U214" s="3">
        <f t="shared" si="175"/>
        <v>5.1305792408165372E-2</v>
      </c>
      <c r="V214" s="3">
        <f t="shared" si="175"/>
        <v>5.1290335490482133E-2</v>
      </c>
      <c r="W214" s="3">
        <f t="shared" si="175"/>
        <v>5.1136022201471162E-2</v>
      </c>
      <c r="X214" s="3">
        <f t="shared" si="175"/>
        <v>4.9618195096944789E-2</v>
      </c>
      <c r="Y214" s="3">
        <f t="shared" si="175"/>
        <v>3.6709728106343244E-2</v>
      </c>
      <c r="Z214" s="3">
        <f t="shared" si="175"/>
        <v>1.8037785687927217E-3</v>
      </c>
      <c r="AA214" s="3">
        <f t="shared" si="175"/>
        <v>1.4798025463966576E-16</v>
      </c>
      <c r="AB214" s="3">
        <f t="shared" si="175"/>
        <v>2.043662833970357E-147</v>
      </c>
      <c r="AC214" s="3">
        <f t="shared" si="175"/>
        <v>0</v>
      </c>
      <c r="AD214" s="3">
        <f t="shared" si="175"/>
        <v>0</v>
      </c>
      <c r="AE214" s="3">
        <f t="shared" si="175"/>
        <v>0</v>
      </c>
      <c r="AF214" s="3">
        <f t="shared" si="175"/>
        <v>0</v>
      </c>
      <c r="AG214" s="3"/>
      <c r="AH214" s="3"/>
    </row>
    <row r="215" spans="1:34" x14ac:dyDescent="0.25">
      <c r="B215" s="3">
        <f t="shared" ref="B215:AF215" si="176">$C23*EXP(-B$207/$A23/EXP(-$D$126))</f>
        <v>7.4663981933644916E-2</v>
      </c>
      <c r="C215" s="3">
        <f t="shared" si="176"/>
        <v>7.4663981933644916E-2</v>
      </c>
      <c r="D215" s="3">
        <f t="shared" si="176"/>
        <v>7.4663981933644916E-2</v>
      </c>
      <c r="E215" s="3">
        <f t="shared" si="176"/>
        <v>7.4663981933644916E-2</v>
      </c>
      <c r="F215" s="3">
        <f t="shared" si="176"/>
        <v>7.4663981933644916E-2</v>
      </c>
      <c r="G215" s="3">
        <f t="shared" si="176"/>
        <v>7.4663981933644916E-2</v>
      </c>
      <c r="H215" s="3">
        <f t="shared" si="176"/>
        <v>7.4663981933644916E-2</v>
      </c>
      <c r="I215" s="3">
        <f t="shared" si="176"/>
        <v>7.4663981933644916E-2</v>
      </c>
      <c r="J215" s="3">
        <f t="shared" si="176"/>
        <v>7.4663981933644916E-2</v>
      </c>
      <c r="K215" s="3">
        <f t="shared" si="176"/>
        <v>7.4663981933644888E-2</v>
      </c>
      <c r="L215" s="3">
        <f t="shared" si="176"/>
        <v>7.4663981933644694E-2</v>
      </c>
      <c r="M215" s="3">
        <f t="shared" si="176"/>
        <v>7.4663981933642667E-2</v>
      </c>
      <c r="N215" s="3">
        <f t="shared" si="176"/>
        <v>7.4663981933622364E-2</v>
      </c>
      <c r="O215" s="3">
        <f t="shared" si="176"/>
        <v>7.4663981933419415E-2</v>
      </c>
      <c r="P215" s="3">
        <f t="shared" si="176"/>
        <v>7.4663981931389969E-2</v>
      </c>
      <c r="Q215" s="3">
        <f t="shared" si="176"/>
        <v>7.4663981911095398E-2</v>
      </c>
      <c r="R215" s="3">
        <f t="shared" si="176"/>
        <v>7.4663981708149793E-2</v>
      </c>
      <c r="S215" s="3">
        <f t="shared" si="176"/>
        <v>7.4663979678693718E-2</v>
      </c>
      <c r="T215" s="3">
        <f t="shared" si="176"/>
        <v>7.46639593841361E-2</v>
      </c>
      <c r="U215" s="3">
        <f t="shared" si="176"/>
        <v>7.466375643886318E-2</v>
      </c>
      <c r="V215" s="3">
        <f t="shared" si="176"/>
        <v>7.4661727016473389E-2</v>
      </c>
      <c r="W215" s="3">
        <f t="shared" si="176"/>
        <v>7.4641435826203542E-2</v>
      </c>
      <c r="X215" s="3">
        <f t="shared" si="176"/>
        <v>7.4438826981441358E-2</v>
      </c>
      <c r="Y215" s="3">
        <f t="shared" si="176"/>
        <v>7.2442741744119979E-2</v>
      </c>
      <c r="Z215" s="3">
        <f t="shared" si="176"/>
        <v>5.5201192216200845E-2</v>
      </c>
      <c r="AA215" s="3">
        <f t="shared" si="176"/>
        <v>3.6432103420198829E-3</v>
      </c>
      <c r="AB215" s="3">
        <f t="shared" si="176"/>
        <v>5.7127093868197023E-15</v>
      </c>
      <c r="AC215" s="3">
        <f t="shared" si="176"/>
        <v>5.1335876937427359E-133</v>
      </c>
      <c r="AD215" s="3">
        <f t="shared" si="176"/>
        <v>0</v>
      </c>
      <c r="AE215" s="3">
        <f t="shared" si="176"/>
        <v>0</v>
      </c>
      <c r="AF215" s="3">
        <f t="shared" si="176"/>
        <v>0</v>
      </c>
      <c r="AG215" s="3"/>
      <c r="AH215" s="3"/>
    </row>
    <row r="216" spans="1:34" x14ac:dyDescent="0.25">
      <c r="B216" s="3">
        <f t="shared" ref="B216:AF216" si="177">$C24*EXP(-B$207/$A24/EXP(-$D$126))</f>
        <v>9.0647969973627479E-2</v>
      </c>
      <c r="C216" s="3">
        <f t="shared" si="177"/>
        <v>9.0647969973627479E-2</v>
      </c>
      <c r="D216" s="3">
        <f t="shared" si="177"/>
        <v>9.0647969973627479E-2</v>
      </c>
      <c r="E216" s="3">
        <f t="shared" si="177"/>
        <v>9.0647969973627479E-2</v>
      </c>
      <c r="F216" s="3">
        <f t="shared" si="177"/>
        <v>9.0647969973627479E-2</v>
      </c>
      <c r="G216" s="3">
        <f t="shared" si="177"/>
        <v>9.0647969973627479E-2</v>
      </c>
      <c r="H216" s="3">
        <f t="shared" si="177"/>
        <v>9.0647969973627479E-2</v>
      </c>
      <c r="I216" s="3">
        <f t="shared" si="177"/>
        <v>9.0647969973627479E-2</v>
      </c>
      <c r="J216" s="3">
        <f t="shared" si="177"/>
        <v>9.0647969973627479E-2</v>
      </c>
      <c r="K216" s="3">
        <f t="shared" si="177"/>
        <v>9.0647969973627479E-2</v>
      </c>
      <c r="L216" s="3">
        <f t="shared" si="177"/>
        <v>9.0647969973627465E-2</v>
      </c>
      <c r="M216" s="3">
        <f t="shared" si="177"/>
        <v>9.0647969973627229E-2</v>
      </c>
      <c r="N216" s="3">
        <f t="shared" si="177"/>
        <v>9.0647969973625009E-2</v>
      </c>
      <c r="O216" s="3">
        <f t="shared" si="177"/>
        <v>9.0647969973602777E-2</v>
      </c>
      <c r="P216" s="3">
        <f t="shared" si="177"/>
        <v>9.0647969973380524E-2</v>
      </c>
      <c r="Q216" s="3">
        <f t="shared" si="177"/>
        <v>9.0647969971157857E-2</v>
      </c>
      <c r="R216" s="3">
        <f t="shared" si="177"/>
        <v>9.0647969948931248E-2</v>
      </c>
      <c r="S216" s="3">
        <f t="shared" si="177"/>
        <v>9.0647969726665167E-2</v>
      </c>
      <c r="T216" s="3">
        <f t="shared" si="177"/>
        <v>9.0647967504004417E-2</v>
      </c>
      <c r="U216" s="3">
        <f t="shared" si="177"/>
        <v>9.0647945277399902E-2</v>
      </c>
      <c r="V216" s="3">
        <f t="shared" si="177"/>
        <v>9.0647723011654413E-2</v>
      </c>
      <c r="W216" s="3">
        <f t="shared" si="177"/>
        <v>9.0645500384173641E-2</v>
      </c>
      <c r="X216" s="3">
        <f t="shared" si="177"/>
        <v>9.0623277106507222E-2</v>
      </c>
      <c r="Y216" s="3">
        <f t="shared" si="177"/>
        <v>9.0401343772232093E-2</v>
      </c>
      <c r="Z216" s="3">
        <f t="shared" si="177"/>
        <v>8.8211684778182073E-2</v>
      </c>
      <c r="AA216" s="3">
        <f t="shared" si="177"/>
        <v>6.9030087593319953E-2</v>
      </c>
      <c r="AB216" s="3">
        <f t="shared" si="177"/>
        <v>5.9451319842638095E-3</v>
      </c>
      <c r="AC216" s="3">
        <f t="shared" si="177"/>
        <v>1.3347264336331136E-13</v>
      </c>
      <c r="AD216" s="3">
        <f t="shared" si="177"/>
        <v>4.3421005018680893E-120</v>
      </c>
      <c r="AE216" s="3">
        <f t="shared" si="177"/>
        <v>0</v>
      </c>
      <c r="AF216" s="3">
        <f t="shared" si="177"/>
        <v>0</v>
      </c>
      <c r="AG216" s="3"/>
      <c r="AH216" s="3"/>
    </row>
    <row r="217" spans="1:34" x14ac:dyDescent="0.25">
      <c r="B217" s="3">
        <f t="shared" ref="B217:AF217" si="178">$C25*EXP(-B$207/$A25/EXP(-$D$126))</f>
        <v>0.10513898706376987</v>
      </c>
      <c r="C217" s="3">
        <f t="shared" si="178"/>
        <v>0.10513898706376987</v>
      </c>
      <c r="D217" s="3">
        <f t="shared" si="178"/>
        <v>0.10513898706376987</v>
      </c>
      <c r="E217" s="3">
        <f t="shared" si="178"/>
        <v>0.10513898706376987</v>
      </c>
      <c r="F217" s="3">
        <f t="shared" si="178"/>
        <v>0.10513898706376987</v>
      </c>
      <c r="G217" s="3">
        <f t="shared" si="178"/>
        <v>0.10513898706376987</v>
      </c>
      <c r="H217" s="3">
        <f t="shared" si="178"/>
        <v>0.10513898706376987</v>
      </c>
      <c r="I217" s="3">
        <f t="shared" si="178"/>
        <v>0.10513898706376987</v>
      </c>
      <c r="J217" s="3">
        <f t="shared" si="178"/>
        <v>0.10513898706376987</v>
      </c>
      <c r="K217" s="3">
        <f t="shared" si="178"/>
        <v>0.10513898706376987</v>
      </c>
      <c r="L217" s="3">
        <f t="shared" si="178"/>
        <v>0.10513898706376987</v>
      </c>
      <c r="M217" s="3">
        <f t="shared" si="178"/>
        <v>0.10513898706376984</v>
      </c>
      <c r="N217" s="3">
        <f t="shared" si="178"/>
        <v>0.1051389870637696</v>
      </c>
      <c r="O217" s="3">
        <f t="shared" si="178"/>
        <v>0.10513898706376729</v>
      </c>
      <c r="P217" s="3">
        <f t="shared" si="178"/>
        <v>0.10513898706374403</v>
      </c>
      <c r="Q217" s="3">
        <f t="shared" si="178"/>
        <v>0.10513898706351148</v>
      </c>
      <c r="R217" s="3">
        <f t="shared" si="178"/>
        <v>0.10513898706118592</v>
      </c>
      <c r="S217" s="3">
        <f t="shared" si="178"/>
        <v>0.10513898703793044</v>
      </c>
      <c r="T217" s="3">
        <f t="shared" si="178"/>
        <v>0.10513898680537555</v>
      </c>
      <c r="U217" s="3">
        <f t="shared" si="178"/>
        <v>0.10513898447982663</v>
      </c>
      <c r="V217" s="3">
        <f t="shared" si="178"/>
        <v>0.10513896122434034</v>
      </c>
      <c r="W217" s="3">
        <f t="shared" si="178"/>
        <v>0.10513872866976032</v>
      </c>
      <c r="X217" s="3">
        <f t="shared" si="178"/>
        <v>0.10513640315225108</v>
      </c>
      <c r="Y217" s="3">
        <f t="shared" si="178"/>
        <v>0.10511315080601161</v>
      </c>
      <c r="Z217" s="3">
        <f t="shared" si="178"/>
        <v>0.10488090999754035</v>
      </c>
      <c r="AA217" s="3">
        <f t="shared" si="178"/>
        <v>0.10258653734462177</v>
      </c>
      <c r="AB217" s="3">
        <f t="shared" si="178"/>
        <v>8.2229871888549758E-2</v>
      </c>
      <c r="AC217" s="3">
        <f t="shared" si="178"/>
        <v>9.003721209090508E-3</v>
      </c>
      <c r="AD217" s="3">
        <f t="shared" si="178"/>
        <v>2.2302127442379031E-12</v>
      </c>
      <c r="AE217" s="3">
        <f t="shared" si="178"/>
        <v>1.9390492265868505E-108</v>
      </c>
      <c r="AF217" s="3">
        <f t="shared" si="178"/>
        <v>0</v>
      </c>
      <c r="AG217" s="3"/>
      <c r="AH217" s="3"/>
    </row>
    <row r="218" spans="1:34" x14ac:dyDescent="0.25">
      <c r="B218" s="3">
        <f t="shared" ref="B218:AF218" si="179">$C26*EXP(-B$207/$A26/EXP(-$D$126))</f>
        <v>0.12480864845095105</v>
      </c>
      <c r="C218" s="3">
        <f t="shared" si="179"/>
        <v>0.12480864845095105</v>
      </c>
      <c r="D218" s="3">
        <f t="shared" si="179"/>
        <v>0.12480864845095105</v>
      </c>
      <c r="E218" s="3">
        <f t="shared" si="179"/>
        <v>0.12480864845095105</v>
      </c>
      <c r="F218" s="3">
        <f t="shared" si="179"/>
        <v>0.12480864845095105</v>
      </c>
      <c r="G218" s="3">
        <f t="shared" si="179"/>
        <v>0.12480864845095105</v>
      </c>
      <c r="H218" s="3">
        <f t="shared" si="179"/>
        <v>0.12480864845095105</v>
      </c>
      <c r="I218" s="3">
        <f t="shared" si="179"/>
        <v>0.12480864845095105</v>
      </c>
      <c r="J218" s="3">
        <f t="shared" si="179"/>
        <v>0.12480864845095105</v>
      </c>
      <c r="K218" s="3">
        <f t="shared" si="179"/>
        <v>0.12480864845095105</v>
      </c>
      <c r="L218" s="3">
        <f t="shared" si="179"/>
        <v>0.12480864845095105</v>
      </c>
      <c r="M218" s="3">
        <f t="shared" si="179"/>
        <v>0.12480864845095105</v>
      </c>
      <c r="N218" s="3">
        <f t="shared" si="179"/>
        <v>0.12480864845095102</v>
      </c>
      <c r="O218" s="3">
        <f t="shared" si="179"/>
        <v>0.12480864845095077</v>
      </c>
      <c r="P218" s="3">
        <f t="shared" si="179"/>
        <v>0.12480864845094827</v>
      </c>
      <c r="Q218" s="3">
        <f t="shared" si="179"/>
        <v>0.12480864845092338</v>
      </c>
      <c r="R218" s="3">
        <f t="shared" si="179"/>
        <v>0.12480864845067435</v>
      </c>
      <c r="S218" s="3">
        <f t="shared" si="179"/>
        <v>0.12480864844818404</v>
      </c>
      <c r="T218" s="3">
        <f t="shared" si="179"/>
        <v>0.12480864842328097</v>
      </c>
      <c r="U218" s="3">
        <f t="shared" si="179"/>
        <v>0.12480864817425022</v>
      </c>
      <c r="V218" s="3">
        <f t="shared" si="179"/>
        <v>0.1248086456839428</v>
      </c>
      <c r="W218" s="3">
        <f t="shared" si="179"/>
        <v>0.12480862078087142</v>
      </c>
      <c r="X218" s="3">
        <f t="shared" si="179"/>
        <v>0.12480837175043072</v>
      </c>
      <c r="Y218" s="3">
        <f t="shared" si="179"/>
        <v>0.12480588147335246</v>
      </c>
      <c r="Z218" s="3">
        <f t="shared" si="179"/>
        <v>0.1247809814352472</v>
      </c>
      <c r="AA218" s="3">
        <f t="shared" si="179"/>
        <v>0.12453225412026975</v>
      </c>
      <c r="AB218" s="3">
        <f t="shared" si="179"/>
        <v>0.12207208705538269</v>
      </c>
      <c r="AC218" s="3">
        <f t="shared" si="179"/>
        <v>9.9991152712068487E-2</v>
      </c>
      <c r="AD218" s="3">
        <f t="shared" si="179"/>
        <v>1.3596077387822718E-2</v>
      </c>
      <c r="AE218" s="3">
        <f t="shared" si="179"/>
        <v>2.9372043086120082E-11</v>
      </c>
      <c r="AF218" s="3">
        <f t="shared" si="179"/>
        <v>6.5033846827136689E-98</v>
      </c>
      <c r="AG218" s="3"/>
      <c r="AH218" s="3"/>
    </row>
    <row r="219" spans="1:34" x14ac:dyDescent="0.25">
      <c r="B219" s="3">
        <f t="shared" ref="B219:AF219" si="180">$C27*EXP(-B$207/$A27/EXP(-$D$126))</f>
        <v>8.8034867704118849E-2</v>
      </c>
      <c r="C219" s="3">
        <f t="shared" si="180"/>
        <v>8.8034867704118849E-2</v>
      </c>
      <c r="D219" s="3">
        <f t="shared" si="180"/>
        <v>8.8034867704118849E-2</v>
      </c>
      <c r="E219" s="3">
        <f t="shared" si="180"/>
        <v>8.8034867704118849E-2</v>
      </c>
      <c r="F219" s="3">
        <f t="shared" si="180"/>
        <v>8.8034867704118849E-2</v>
      </c>
      <c r="G219" s="3">
        <f t="shared" si="180"/>
        <v>8.8034867704118849E-2</v>
      </c>
      <c r="H219" s="3">
        <f t="shared" si="180"/>
        <v>8.8034867704118849E-2</v>
      </c>
      <c r="I219" s="3">
        <f t="shared" si="180"/>
        <v>8.8034867704118849E-2</v>
      </c>
      <c r="J219" s="3">
        <f t="shared" si="180"/>
        <v>8.8034867704118849E-2</v>
      </c>
      <c r="K219" s="3">
        <f t="shared" si="180"/>
        <v>8.8034867704118849E-2</v>
      </c>
      <c r="L219" s="3">
        <f t="shared" si="180"/>
        <v>8.8034867704118849E-2</v>
      </c>
      <c r="M219" s="3">
        <f t="shared" si="180"/>
        <v>8.8034867704118849E-2</v>
      </c>
      <c r="N219" s="3">
        <f t="shared" si="180"/>
        <v>8.8034867704118849E-2</v>
      </c>
      <c r="O219" s="3">
        <f t="shared" si="180"/>
        <v>8.8034867704118835E-2</v>
      </c>
      <c r="P219" s="3">
        <f t="shared" si="180"/>
        <v>8.8034867704118669E-2</v>
      </c>
      <c r="Q219" s="3">
        <f t="shared" si="180"/>
        <v>8.8034867704117087E-2</v>
      </c>
      <c r="R219" s="3">
        <f t="shared" si="180"/>
        <v>8.8034867704101252E-2</v>
      </c>
      <c r="S219" s="3">
        <f t="shared" si="180"/>
        <v>8.8034867703942782E-2</v>
      </c>
      <c r="T219" s="3">
        <f t="shared" si="180"/>
        <v>8.8034867702358216E-2</v>
      </c>
      <c r="U219" s="3">
        <f t="shared" si="180"/>
        <v>8.8034867686512586E-2</v>
      </c>
      <c r="V219" s="3">
        <f t="shared" si="180"/>
        <v>8.8034867528056268E-2</v>
      </c>
      <c r="W219" s="3">
        <f t="shared" si="180"/>
        <v>8.8034865943492968E-2</v>
      </c>
      <c r="X219" s="3">
        <f t="shared" si="180"/>
        <v>8.8034850097861717E-2</v>
      </c>
      <c r="Y219" s="3">
        <f t="shared" si="180"/>
        <v>8.8034691641705909E-2</v>
      </c>
      <c r="Z219" s="3">
        <f t="shared" si="180"/>
        <v>8.8033107095834312E-2</v>
      </c>
      <c r="AA219" s="3">
        <f t="shared" si="180"/>
        <v>8.8017263205656199E-2</v>
      </c>
      <c r="AB219" s="3">
        <f t="shared" si="180"/>
        <v>8.785898105325772E-2</v>
      </c>
      <c r="AC219" s="3">
        <f t="shared" si="180"/>
        <v>8.6291730577368275E-2</v>
      </c>
      <c r="AD219" s="3">
        <f t="shared" si="180"/>
        <v>7.2077438633543087E-2</v>
      </c>
      <c r="AE219" s="3">
        <f t="shared" si="180"/>
        <v>1.1915190956262298E-2</v>
      </c>
      <c r="AF219" s="3">
        <f t="shared" si="180"/>
        <v>1.8160074478306959E-10</v>
      </c>
      <c r="AG219" s="3"/>
      <c r="AH219" s="3"/>
    </row>
    <row r="220" spans="1:34" x14ac:dyDescent="0.25">
      <c r="B220" s="3">
        <f t="shared" ref="B220:AF220" si="181">$C28*EXP(-B$207/$A28/EXP(-$D$126))</f>
        <v>5.3040160566801761E-2</v>
      </c>
      <c r="C220" s="3">
        <f t="shared" si="181"/>
        <v>5.3040160566801761E-2</v>
      </c>
      <c r="D220" s="3">
        <f t="shared" si="181"/>
        <v>5.3040160566801761E-2</v>
      </c>
      <c r="E220" s="3">
        <f t="shared" si="181"/>
        <v>5.3040160566801761E-2</v>
      </c>
      <c r="F220" s="3">
        <f t="shared" si="181"/>
        <v>5.3040160566801761E-2</v>
      </c>
      <c r="G220" s="3">
        <f t="shared" si="181"/>
        <v>5.3040160566801761E-2</v>
      </c>
      <c r="H220" s="3">
        <f t="shared" si="181"/>
        <v>5.3040160566801761E-2</v>
      </c>
      <c r="I220" s="3">
        <f t="shared" si="181"/>
        <v>5.3040160566801761E-2</v>
      </c>
      <c r="J220" s="3">
        <f t="shared" si="181"/>
        <v>5.3040160566801761E-2</v>
      </c>
      <c r="K220" s="3">
        <f t="shared" si="181"/>
        <v>5.3040160566801761E-2</v>
      </c>
      <c r="L220" s="3">
        <f t="shared" si="181"/>
        <v>5.3040160566801761E-2</v>
      </c>
      <c r="M220" s="3">
        <f t="shared" si="181"/>
        <v>5.3040160566801761E-2</v>
      </c>
      <c r="N220" s="3">
        <f t="shared" si="181"/>
        <v>5.3040160566801761E-2</v>
      </c>
      <c r="O220" s="3">
        <f t="shared" si="181"/>
        <v>5.3040160566801761E-2</v>
      </c>
      <c r="P220" s="3">
        <f t="shared" si="181"/>
        <v>5.3040160566801747E-2</v>
      </c>
      <c r="Q220" s="3">
        <f t="shared" si="181"/>
        <v>5.3040160566801664E-2</v>
      </c>
      <c r="R220" s="3">
        <f t="shared" si="181"/>
        <v>5.3040160566800811E-2</v>
      </c>
      <c r="S220" s="3">
        <f t="shared" si="181"/>
        <v>5.3040160566792192E-2</v>
      </c>
      <c r="T220" s="3">
        <f t="shared" si="181"/>
        <v>5.3040160566706074E-2</v>
      </c>
      <c r="U220" s="3">
        <f t="shared" si="181"/>
        <v>5.3040160565844867E-2</v>
      </c>
      <c r="V220" s="3">
        <f t="shared" si="181"/>
        <v>5.3040160557232818E-2</v>
      </c>
      <c r="W220" s="3">
        <f t="shared" si="181"/>
        <v>5.3040160471112367E-2</v>
      </c>
      <c r="X220" s="3">
        <f t="shared" si="181"/>
        <v>5.3040159609907864E-2</v>
      </c>
      <c r="Y220" s="3">
        <f t="shared" si="181"/>
        <v>5.3040150997863557E-2</v>
      </c>
      <c r="Z220" s="3">
        <f t="shared" si="181"/>
        <v>5.3040064877497427E-2</v>
      </c>
      <c r="AA220" s="3">
        <f t="shared" si="181"/>
        <v>5.3039203681526877E-2</v>
      </c>
      <c r="AB220" s="3">
        <f t="shared" si="181"/>
        <v>5.303059249084812E-2</v>
      </c>
      <c r="AC220" s="3">
        <f t="shared" si="181"/>
        <v>5.2944557440558877E-2</v>
      </c>
      <c r="AD220" s="3">
        <f t="shared" si="181"/>
        <v>5.2091846614808576E-2</v>
      </c>
      <c r="AE220" s="3">
        <f t="shared" si="181"/>
        <v>4.4284735988554966E-2</v>
      </c>
      <c r="AF220" s="3">
        <f t="shared" si="181"/>
        <v>8.7316662601314467E-3</v>
      </c>
      <c r="AG220" s="3"/>
      <c r="AH220" s="3"/>
    </row>
    <row r="221" spans="1:34" x14ac:dyDescent="0.25">
      <c r="B221" s="3">
        <f t="shared" ref="B221:AF221" si="182">$C29*EXP(-B$207/$A29/EXP(-$D$126))</f>
        <v>2.9418988584786216E-2</v>
      </c>
      <c r="C221" s="3">
        <f t="shared" si="182"/>
        <v>2.9418988584786216E-2</v>
      </c>
      <c r="D221" s="3">
        <f t="shared" si="182"/>
        <v>2.9418988584786216E-2</v>
      </c>
      <c r="E221" s="3">
        <f t="shared" si="182"/>
        <v>2.9418988584786216E-2</v>
      </c>
      <c r="F221" s="3">
        <f t="shared" si="182"/>
        <v>2.9418988584786216E-2</v>
      </c>
      <c r="G221" s="3">
        <f t="shared" si="182"/>
        <v>2.9418988584786216E-2</v>
      </c>
      <c r="H221" s="3">
        <f t="shared" si="182"/>
        <v>2.9418988584786216E-2</v>
      </c>
      <c r="I221" s="3">
        <f t="shared" si="182"/>
        <v>2.9418988584786216E-2</v>
      </c>
      <c r="J221" s="3">
        <f t="shared" si="182"/>
        <v>2.9418988584786216E-2</v>
      </c>
      <c r="K221" s="3">
        <f t="shared" si="182"/>
        <v>2.9418988584786216E-2</v>
      </c>
      <c r="L221" s="3">
        <f t="shared" si="182"/>
        <v>2.9418988584786216E-2</v>
      </c>
      <c r="M221" s="3">
        <f t="shared" si="182"/>
        <v>2.9418988584786216E-2</v>
      </c>
      <c r="N221" s="3">
        <f t="shared" si="182"/>
        <v>2.9418988584786216E-2</v>
      </c>
      <c r="O221" s="3">
        <f t="shared" si="182"/>
        <v>2.9418988584786216E-2</v>
      </c>
      <c r="P221" s="3">
        <f t="shared" si="182"/>
        <v>2.9418988584786216E-2</v>
      </c>
      <c r="Q221" s="3">
        <f t="shared" si="182"/>
        <v>2.9418988584786213E-2</v>
      </c>
      <c r="R221" s="3">
        <f t="shared" si="182"/>
        <v>2.9418988584786167E-2</v>
      </c>
      <c r="S221" s="3">
        <f t="shared" si="182"/>
        <v>2.9418988584785737E-2</v>
      </c>
      <c r="T221" s="3">
        <f t="shared" si="182"/>
        <v>2.9418988584781428E-2</v>
      </c>
      <c r="U221" s="3">
        <f t="shared" si="182"/>
        <v>2.9418988584738338E-2</v>
      </c>
      <c r="V221" s="3">
        <f t="shared" si="182"/>
        <v>2.9418988584307439E-2</v>
      </c>
      <c r="W221" s="3">
        <f t="shared" si="182"/>
        <v>2.9418988579998445E-2</v>
      </c>
      <c r="X221" s="3">
        <f t="shared" si="182"/>
        <v>2.9418988536908518E-2</v>
      </c>
      <c r="Y221" s="3">
        <f t="shared" si="182"/>
        <v>2.9418988106009208E-2</v>
      </c>
      <c r="Z221" s="3">
        <f t="shared" si="182"/>
        <v>2.9418983797016511E-2</v>
      </c>
      <c r="AA221" s="3">
        <f t="shared" si="182"/>
        <v>2.9418940707124249E-2</v>
      </c>
      <c r="AB221" s="3">
        <f t="shared" si="182"/>
        <v>2.9418509811672842E-2</v>
      </c>
      <c r="AC221" s="3">
        <f t="shared" si="182"/>
        <v>2.9414201204263399E-2</v>
      </c>
      <c r="AD221" s="3">
        <f t="shared" si="182"/>
        <v>2.9371149821827432E-2</v>
      </c>
      <c r="AE221" s="3">
        <f t="shared" si="182"/>
        <v>2.8944086436013487E-2</v>
      </c>
      <c r="AF221" s="3">
        <f t="shared" si="182"/>
        <v>2.5000507504799239E-2</v>
      </c>
      <c r="AG221" s="3"/>
      <c r="AH221" s="3"/>
    </row>
    <row r="222" spans="1:34" x14ac:dyDescent="0.25">
      <c r="B222" s="3">
        <f t="shared" ref="B222:AF222" si="183">$C30*EXP(-B$207/$A30/EXP(-$D$126))</f>
        <v>6.3753391533418529E-3</v>
      </c>
      <c r="C222" s="3">
        <f t="shared" si="183"/>
        <v>6.3753391533418529E-3</v>
      </c>
      <c r="D222" s="3">
        <f t="shared" si="183"/>
        <v>6.3753391533418529E-3</v>
      </c>
      <c r="E222" s="3">
        <f t="shared" si="183"/>
        <v>6.3753391533418529E-3</v>
      </c>
      <c r="F222" s="3">
        <f t="shared" si="183"/>
        <v>6.3753391533418529E-3</v>
      </c>
      <c r="G222" s="3">
        <f t="shared" si="183"/>
        <v>6.3753391533418529E-3</v>
      </c>
      <c r="H222" s="3">
        <f t="shared" si="183"/>
        <v>6.3753391533418529E-3</v>
      </c>
      <c r="I222" s="3">
        <f t="shared" si="183"/>
        <v>6.3753391533418529E-3</v>
      </c>
      <c r="J222" s="3">
        <f t="shared" si="183"/>
        <v>6.3753391533418529E-3</v>
      </c>
      <c r="K222" s="3">
        <f t="shared" si="183"/>
        <v>6.3753391533418529E-3</v>
      </c>
      <c r="L222" s="3">
        <f t="shared" si="183"/>
        <v>6.3753391533418529E-3</v>
      </c>
      <c r="M222" s="3">
        <f t="shared" si="183"/>
        <v>6.3753391533418529E-3</v>
      </c>
      <c r="N222" s="3">
        <f t="shared" si="183"/>
        <v>6.3753391533418529E-3</v>
      </c>
      <c r="O222" s="3">
        <f t="shared" si="183"/>
        <v>6.3753391533418529E-3</v>
      </c>
      <c r="P222" s="3">
        <f t="shared" si="183"/>
        <v>6.3753391533418529E-3</v>
      </c>
      <c r="Q222" s="3">
        <f t="shared" si="183"/>
        <v>6.3753391533418529E-3</v>
      </c>
      <c r="R222" s="3">
        <f t="shared" si="183"/>
        <v>6.3753391533418521E-3</v>
      </c>
      <c r="S222" s="3">
        <f t="shared" si="183"/>
        <v>6.3753391533418434E-3</v>
      </c>
      <c r="T222" s="3">
        <f t="shared" si="183"/>
        <v>6.3753391533417593E-3</v>
      </c>
      <c r="U222" s="3">
        <f t="shared" si="183"/>
        <v>6.3753391533409171E-3</v>
      </c>
      <c r="V222" s="3">
        <f t="shared" si="183"/>
        <v>6.3753391533324932E-3</v>
      </c>
      <c r="W222" s="3">
        <f t="shared" si="183"/>
        <v>6.3753391532482568E-3</v>
      </c>
      <c r="X222" s="3">
        <f t="shared" si="183"/>
        <v>6.3753391524058968E-3</v>
      </c>
      <c r="Y222" s="3">
        <f t="shared" si="183"/>
        <v>6.3753391439822929E-3</v>
      </c>
      <c r="Z222" s="3">
        <f t="shared" si="183"/>
        <v>6.3753390597462538E-3</v>
      </c>
      <c r="AA222" s="3">
        <f t="shared" si="183"/>
        <v>6.3753382173859187E-3</v>
      </c>
      <c r="AB222" s="3">
        <f t="shared" si="183"/>
        <v>6.375329793788697E-3</v>
      </c>
      <c r="AC222" s="3">
        <f t="shared" si="183"/>
        <v>6.3752455584286244E-3</v>
      </c>
      <c r="AD222" s="3">
        <f t="shared" si="183"/>
        <v>6.374403266039207E-3</v>
      </c>
      <c r="AE222" s="3">
        <f t="shared" si="183"/>
        <v>6.3659864602848898E-3</v>
      </c>
      <c r="AF222" s="3">
        <f t="shared" si="183"/>
        <v>6.2824272362739762E-3</v>
      </c>
      <c r="AG222" s="3"/>
      <c r="AH222" s="3"/>
    </row>
    <row r="223" spans="1:34" x14ac:dyDescent="0.25">
      <c r="B223" s="3">
        <f t="shared" ref="B223:AF223" si="184">$C31*EXP(-B$207/$A31/EXP(-$D$126))</f>
        <v>3.2709514210797811E-3</v>
      </c>
      <c r="C223" s="3">
        <f t="shared" si="184"/>
        <v>3.2709514210797811E-3</v>
      </c>
      <c r="D223" s="3">
        <f t="shared" si="184"/>
        <v>3.2709514210797811E-3</v>
      </c>
      <c r="E223" s="3">
        <f t="shared" si="184"/>
        <v>3.2709514210797811E-3</v>
      </c>
      <c r="F223" s="3">
        <f t="shared" si="184"/>
        <v>3.2709514210797811E-3</v>
      </c>
      <c r="G223" s="3">
        <f t="shared" si="184"/>
        <v>3.2709514210797811E-3</v>
      </c>
      <c r="H223" s="3">
        <f t="shared" si="184"/>
        <v>3.2709514210797811E-3</v>
      </c>
      <c r="I223" s="3">
        <f t="shared" si="184"/>
        <v>3.2709514210797811E-3</v>
      </c>
      <c r="J223" s="3">
        <f t="shared" si="184"/>
        <v>3.2709514210797811E-3</v>
      </c>
      <c r="K223" s="3">
        <f t="shared" si="184"/>
        <v>3.2709514210797811E-3</v>
      </c>
      <c r="L223" s="3">
        <f t="shared" si="184"/>
        <v>3.2709514210797811E-3</v>
      </c>
      <c r="M223" s="3">
        <f t="shared" si="184"/>
        <v>3.2709514210797811E-3</v>
      </c>
      <c r="N223" s="3">
        <f t="shared" si="184"/>
        <v>3.2709514210797811E-3</v>
      </c>
      <c r="O223" s="3">
        <f t="shared" si="184"/>
        <v>3.2709514210797811E-3</v>
      </c>
      <c r="P223" s="3">
        <f t="shared" si="184"/>
        <v>3.2709514210797811E-3</v>
      </c>
      <c r="Q223" s="3">
        <f t="shared" si="184"/>
        <v>3.2709514210797811E-3</v>
      </c>
      <c r="R223" s="3">
        <f t="shared" si="184"/>
        <v>3.2709514210797811E-3</v>
      </c>
      <c r="S223" s="3">
        <f t="shared" si="184"/>
        <v>3.2709514210797807E-3</v>
      </c>
      <c r="T223" s="3">
        <f t="shared" si="184"/>
        <v>3.2709514210797768E-3</v>
      </c>
      <c r="U223" s="3">
        <f t="shared" si="184"/>
        <v>3.2709514210797377E-3</v>
      </c>
      <c r="V223" s="3">
        <f t="shared" si="184"/>
        <v>3.2709514210793478E-3</v>
      </c>
      <c r="W223" s="3">
        <f t="shared" si="184"/>
        <v>3.2709514210754491E-3</v>
      </c>
      <c r="X223" s="3">
        <f t="shared" si="184"/>
        <v>3.2709514210364624E-3</v>
      </c>
      <c r="Y223" s="3">
        <f t="shared" si="184"/>
        <v>3.2709514206465968E-3</v>
      </c>
      <c r="Z223" s="3">
        <f t="shared" si="184"/>
        <v>3.2709514167479372E-3</v>
      </c>
      <c r="AA223" s="3">
        <f t="shared" si="184"/>
        <v>3.2709513777613394E-3</v>
      </c>
      <c r="AB223" s="3">
        <f t="shared" si="184"/>
        <v>3.2709509878953921E-3</v>
      </c>
      <c r="AC223" s="3">
        <f t="shared" si="184"/>
        <v>3.270947089238474E-3</v>
      </c>
      <c r="AD223" s="3">
        <f t="shared" si="184"/>
        <v>3.2709081029248673E-3</v>
      </c>
      <c r="AE223" s="3">
        <f t="shared" si="184"/>
        <v>3.2705182653450966E-3</v>
      </c>
      <c r="AF223" s="3">
        <f t="shared" si="184"/>
        <v>3.2666224440507539E-3</v>
      </c>
      <c r="AG223" s="3"/>
      <c r="AH223" s="3"/>
    </row>
    <row r="224" spans="1:34" x14ac:dyDescent="0.25">
      <c r="B224" s="3">
        <f t="shared" ref="B224:AF224" si="185">$C32*EXP(-B$207/$A32/EXP(-$D$126))</f>
        <v>1.2755053961347703E-3</v>
      </c>
      <c r="C224" s="3">
        <f t="shared" si="185"/>
        <v>1.2755053961347703E-3</v>
      </c>
      <c r="D224" s="3">
        <f t="shared" si="185"/>
        <v>1.2755053961347703E-3</v>
      </c>
      <c r="E224" s="3">
        <f t="shared" si="185"/>
        <v>1.2755053961347703E-3</v>
      </c>
      <c r="F224" s="3">
        <f t="shared" si="185"/>
        <v>1.2755053961347703E-3</v>
      </c>
      <c r="G224" s="3">
        <f t="shared" si="185"/>
        <v>1.2755053961347703E-3</v>
      </c>
      <c r="H224" s="3">
        <f t="shared" si="185"/>
        <v>1.2755053961347703E-3</v>
      </c>
      <c r="I224" s="3">
        <f t="shared" si="185"/>
        <v>1.2755053961347703E-3</v>
      </c>
      <c r="J224" s="3">
        <f t="shared" si="185"/>
        <v>1.2755053961347703E-3</v>
      </c>
      <c r="K224" s="3">
        <f t="shared" si="185"/>
        <v>1.2755053961347703E-3</v>
      </c>
      <c r="L224" s="3">
        <f t="shared" si="185"/>
        <v>1.2755053961347703E-3</v>
      </c>
      <c r="M224" s="3">
        <f t="shared" si="185"/>
        <v>1.2755053961347703E-3</v>
      </c>
      <c r="N224" s="3">
        <f t="shared" si="185"/>
        <v>1.2755053961347703E-3</v>
      </c>
      <c r="O224" s="3">
        <f t="shared" si="185"/>
        <v>1.2755053961347703E-3</v>
      </c>
      <c r="P224" s="3">
        <f t="shared" si="185"/>
        <v>1.2755053961347703E-3</v>
      </c>
      <c r="Q224" s="3">
        <f t="shared" si="185"/>
        <v>1.2755053961347703E-3</v>
      </c>
      <c r="R224" s="3">
        <f t="shared" si="185"/>
        <v>1.2755053961347703E-3</v>
      </c>
      <c r="S224" s="3">
        <f t="shared" si="185"/>
        <v>1.2755053961347703E-3</v>
      </c>
      <c r="T224" s="3">
        <f t="shared" si="185"/>
        <v>1.2755053961347701E-3</v>
      </c>
      <c r="U224" s="3">
        <f t="shared" si="185"/>
        <v>1.2755053961347688E-3</v>
      </c>
      <c r="V224" s="3">
        <f t="shared" si="185"/>
        <v>1.2755053961347549E-3</v>
      </c>
      <c r="W224" s="3">
        <f t="shared" si="185"/>
        <v>1.2755053961346179E-3</v>
      </c>
      <c r="X224" s="3">
        <f t="shared" si="185"/>
        <v>1.2755053961332463E-3</v>
      </c>
      <c r="Y224" s="3">
        <f t="shared" si="185"/>
        <v>1.2755053961195323E-3</v>
      </c>
      <c r="Z224" s="3">
        <f t="shared" si="185"/>
        <v>1.2755053959823905E-3</v>
      </c>
      <c r="AA224" s="3">
        <f t="shared" si="185"/>
        <v>1.2755053946109716E-3</v>
      </c>
      <c r="AB224" s="3">
        <f t="shared" si="185"/>
        <v>1.2755053808967826E-3</v>
      </c>
      <c r="AC224" s="3">
        <f t="shared" si="185"/>
        <v>1.2755052437549009E-3</v>
      </c>
      <c r="AD224" s="3">
        <f t="shared" si="185"/>
        <v>1.275503872336896E-3</v>
      </c>
      <c r="AE224" s="3">
        <f t="shared" si="185"/>
        <v>1.2754901582379451E-3</v>
      </c>
      <c r="AF224" s="3">
        <f t="shared" si="185"/>
        <v>1.2753530253580743E-3</v>
      </c>
      <c r="AG224" s="3"/>
      <c r="AH224" s="3"/>
    </row>
    <row r="225" spans="2:34" x14ac:dyDescent="0.25">
      <c r="B225" s="3">
        <f t="shared" ref="B225:AF225" si="186">$C33*EXP(-B$207/$A33/EXP(-$D$126))</f>
        <v>0</v>
      </c>
      <c r="C225" s="3">
        <f t="shared" si="186"/>
        <v>0</v>
      </c>
      <c r="D225" s="3">
        <f t="shared" si="186"/>
        <v>0</v>
      </c>
      <c r="E225" s="3">
        <f t="shared" si="186"/>
        <v>0</v>
      </c>
      <c r="F225" s="3">
        <f t="shared" si="186"/>
        <v>0</v>
      </c>
      <c r="G225" s="3">
        <f t="shared" si="186"/>
        <v>0</v>
      </c>
      <c r="H225" s="3">
        <f t="shared" si="186"/>
        <v>0</v>
      </c>
      <c r="I225" s="3">
        <f t="shared" si="186"/>
        <v>0</v>
      </c>
      <c r="J225" s="3">
        <f t="shared" si="186"/>
        <v>0</v>
      </c>
      <c r="K225" s="3">
        <f t="shared" si="186"/>
        <v>0</v>
      </c>
      <c r="L225" s="3">
        <f t="shared" si="186"/>
        <v>0</v>
      </c>
      <c r="M225" s="3">
        <f t="shared" si="186"/>
        <v>0</v>
      </c>
      <c r="N225" s="3">
        <f t="shared" si="186"/>
        <v>0</v>
      </c>
      <c r="O225" s="3">
        <f t="shared" si="186"/>
        <v>0</v>
      </c>
      <c r="P225" s="3">
        <f t="shared" si="186"/>
        <v>0</v>
      </c>
      <c r="Q225" s="3">
        <f t="shared" si="186"/>
        <v>0</v>
      </c>
      <c r="R225" s="3">
        <f t="shared" si="186"/>
        <v>0</v>
      </c>
      <c r="S225" s="3">
        <f t="shared" si="186"/>
        <v>0</v>
      </c>
      <c r="T225" s="3">
        <f t="shared" si="186"/>
        <v>0</v>
      </c>
      <c r="U225" s="3">
        <f t="shared" si="186"/>
        <v>0</v>
      </c>
      <c r="V225" s="3">
        <f t="shared" si="186"/>
        <v>0</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1.0163894385292978E-5</v>
      </c>
      <c r="C226" s="3">
        <f t="shared" si="187"/>
        <v>1.0163894385292978E-5</v>
      </c>
      <c r="D226" s="3">
        <f t="shared" si="187"/>
        <v>1.0163894385292978E-5</v>
      </c>
      <c r="E226" s="3">
        <f t="shared" si="187"/>
        <v>1.0163894385292978E-5</v>
      </c>
      <c r="F226" s="3">
        <f t="shared" si="187"/>
        <v>1.0163894385292978E-5</v>
      </c>
      <c r="G226" s="3">
        <f t="shared" si="187"/>
        <v>1.0163894385292978E-5</v>
      </c>
      <c r="H226" s="3">
        <f t="shared" si="187"/>
        <v>1.0163894385292978E-5</v>
      </c>
      <c r="I226" s="3">
        <f t="shared" si="187"/>
        <v>1.0163894385292978E-5</v>
      </c>
      <c r="J226" s="3">
        <f t="shared" si="187"/>
        <v>1.0163894385292978E-5</v>
      </c>
      <c r="K226" s="3">
        <f t="shared" si="187"/>
        <v>1.0163894385292978E-5</v>
      </c>
      <c r="L226" s="3">
        <f t="shared" si="187"/>
        <v>1.0163894385292978E-5</v>
      </c>
      <c r="M226" s="3">
        <f t="shared" si="187"/>
        <v>1.0163894385292978E-5</v>
      </c>
      <c r="N226" s="3">
        <f t="shared" si="187"/>
        <v>1.0163894385292978E-5</v>
      </c>
      <c r="O226" s="3">
        <f t="shared" si="187"/>
        <v>1.0163894385292978E-5</v>
      </c>
      <c r="P226" s="3">
        <f t="shared" si="187"/>
        <v>1.0163894385292978E-5</v>
      </c>
      <c r="Q226" s="3">
        <f t="shared" si="187"/>
        <v>1.0163894385292978E-5</v>
      </c>
      <c r="R226" s="3">
        <f t="shared" si="187"/>
        <v>1.0163894385292978E-5</v>
      </c>
      <c r="S226" s="3">
        <f t="shared" si="187"/>
        <v>1.0163894385292978E-5</v>
      </c>
      <c r="T226" s="3">
        <f t="shared" si="187"/>
        <v>1.0163894385292978E-5</v>
      </c>
      <c r="U226" s="3">
        <f t="shared" si="187"/>
        <v>1.0163894385292978E-5</v>
      </c>
      <c r="V226" s="3">
        <f t="shared" si="187"/>
        <v>1.0163894385292976E-5</v>
      </c>
      <c r="W226" s="3">
        <f t="shared" si="187"/>
        <v>1.0163894385292968E-5</v>
      </c>
      <c r="X226" s="3">
        <f t="shared" si="187"/>
        <v>1.0163894385292878E-5</v>
      </c>
      <c r="Y226" s="3">
        <f t="shared" si="187"/>
        <v>1.0163894385291989E-5</v>
      </c>
      <c r="Z226" s="3">
        <f t="shared" si="187"/>
        <v>1.0163894385283098E-5</v>
      </c>
      <c r="AA226" s="3">
        <f t="shared" si="187"/>
        <v>1.0163894385194168E-5</v>
      </c>
      <c r="AB226" s="3">
        <f t="shared" si="187"/>
        <v>1.0163894384304884E-5</v>
      </c>
      <c r="AC226" s="3">
        <f t="shared" si="187"/>
        <v>1.0163894375412029E-5</v>
      </c>
      <c r="AD226" s="3">
        <f t="shared" si="187"/>
        <v>1.0163894286483492E-5</v>
      </c>
      <c r="AE226" s="3">
        <f t="shared" si="187"/>
        <v>1.0163893397198147E-5</v>
      </c>
      <c r="AF226" s="3">
        <f t="shared" si="187"/>
        <v>1.0163884504349001E-5</v>
      </c>
      <c r="AG226" s="3"/>
      <c r="AH226" s="3"/>
    </row>
    <row r="227" spans="2:34" x14ac:dyDescent="0.25">
      <c r="B227" s="3">
        <f t="shared" ref="B227:AF227" si="188">$C35*EXP(-B$207/$A35/EXP(-$D$126))</f>
        <v>2.5019775067814324E-5</v>
      </c>
      <c r="C227" s="3">
        <f t="shared" si="188"/>
        <v>2.5019775067814324E-5</v>
      </c>
      <c r="D227" s="3">
        <f t="shared" si="188"/>
        <v>2.5019775067814324E-5</v>
      </c>
      <c r="E227" s="3">
        <f t="shared" si="188"/>
        <v>2.5019775067814324E-5</v>
      </c>
      <c r="F227" s="3">
        <f t="shared" si="188"/>
        <v>2.5019775067814324E-5</v>
      </c>
      <c r="G227" s="3">
        <f t="shared" si="188"/>
        <v>2.5019775067814324E-5</v>
      </c>
      <c r="H227" s="3">
        <f t="shared" si="188"/>
        <v>2.5019775067814324E-5</v>
      </c>
      <c r="I227" s="3">
        <f t="shared" si="188"/>
        <v>2.5019775067814324E-5</v>
      </c>
      <c r="J227" s="3">
        <f t="shared" si="188"/>
        <v>2.5019775067814324E-5</v>
      </c>
      <c r="K227" s="3">
        <f t="shared" si="188"/>
        <v>2.5019775067814324E-5</v>
      </c>
      <c r="L227" s="3">
        <f t="shared" si="188"/>
        <v>2.5019775067814324E-5</v>
      </c>
      <c r="M227" s="3">
        <f t="shared" si="188"/>
        <v>2.5019775067814324E-5</v>
      </c>
      <c r="N227" s="3">
        <f t="shared" si="188"/>
        <v>2.5019775067814324E-5</v>
      </c>
      <c r="O227" s="3">
        <f t="shared" si="188"/>
        <v>2.5019775067814324E-5</v>
      </c>
      <c r="P227" s="3">
        <f t="shared" si="188"/>
        <v>2.5019775067814324E-5</v>
      </c>
      <c r="Q227" s="3">
        <f t="shared" si="188"/>
        <v>2.5019775067814324E-5</v>
      </c>
      <c r="R227" s="3">
        <f t="shared" si="188"/>
        <v>2.5019775067814324E-5</v>
      </c>
      <c r="S227" s="3">
        <f t="shared" si="188"/>
        <v>2.5019775067814324E-5</v>
      </c>
      <c r="T227" s="3">
        <f t="shared" si="188"/>
        <v>2.5019775067814324E-5</v>
      </c>
      <c r="U227" s="3">
        <f t="shared" si="188"/>
        <v>2.5019775067814324E-5</v>
      </c>
      <c r="V227" s="3">
        <f t="shared" si="188"/>
        <v>2.5019775067814324E-5</v>
      </c>
      <c r="W227" s="3">
        <f t="shared" si="188"/>
        <v>2.5019775067814321E-5</v>
      </c>
      <c r="X227" s="3">
        <f t="shared" si="188"/>
        <v>2.50197750678143E-5</v>
      </c>
      <c r="Y227" s="3">
        <f t="shared" si="188"/>
        <v>2.5019775067814104E-5</v>
      </c>
      <c r="Z227" s="3">
        <f t="shared" si="188"/>
        <v>2.5019775067812128E-5</v>
      </c>
      <c r="AA227" s="3">
        <f t="shared" si="188"/>
        <v>2.5019775067792382E-5</v>
      </c>
      <c r="AB227" s="3">
        <f t="shared" si="188"/>
        <v>2.5019775067594905E-5</v>
      </c>
      <c r="AC227" s="3">
        <f t="shared" si="188"/>
        <v>2.5019775065620163E-5</v>
      </c>
      <c r="AD227" s="3">
        <f t="shared" si="188"/>
        <v>2.5019775045872715E-5</v>
      </c>
      <c r="AE227" s="3">
        <f t="shared" si="188"/>
        <v>2.5019774848398221E-5</v>
      </c>
      <c r="AF227" s="3">
        <f t="shared" si="188"/>
        <v>2.5019772873653398E-5</v>
      </c>
      <c r="AG227" s="3"/>
      <c r="AH227" s="3"/>
    </row>
    <row r="228" spans="2:34" x14ac:dyDescent="0.25">
      <c r="B228" s="3">
        <f t="shared" ref="B228:AF228" si="189">$C36*EXP(-B$207/$A36/EXP(-$D$126))</f>
        <v>2.3706614690246962E-5</v>
      </c>
      <c r="C228" s="3">
        <f t="shared" si="189"/>
        <v>2.3706614690246962E-5</v>
      </c>
      <c r="D228" s="3">
        <f t="shared" si="189"/>
        <v>2.3706614690246962E-5</v>
      </c>
      <c r="E228" s="3">
        <f t="shared" si="189"/>
        <v>2.3706614690246962E-5</v>
      </c>
      <c r="F228" s="3">
        <f t="shared" si="189"/>
        <v>2.3706614690246962E-5</v>
      </c>
      <c r="G228" s="3">
        <f t="shared" si="189"/>
        <v>2.3706614690246962E-5</v>
      </c>
      <c r="H228" s="3">
        <f t="shared" si="189"/>
        <v>2.3706614690246962E-5</v>
      </c>
      <c r="I228" s="3">
        <f t="shared" si="189"/>
        <v>2.3706614690246962E-5</v>
      </c>
      <c r="J228" s="3">
        <f t="shared" si="189"/>
        <v>2.3706614690246962E-5</v>
      </c>
      <c r="K228" s="3">
        <f t="shared" si="189"/>
        <v>2.3706614690246962E-5</v>
      </c>
      <c r="L228" s="3">
        <f t="shared" si="189"/>
        <v>2.3706614690246962E-5</v>
      </c>
      <c r="M228" s="3">
        <f t="shared" si="189"/>
        <v>2.3706614690246962E-5</v>
      </c>
      <c r="N228" s="3">
        <f t="shared" si="189"/>
        <v>2.3706614690246962E-5</v>
      </c>
      <c r="O228" s="3">
        <f t="shared" si="189"/>
        <v>2.3706614690246962E-5</v>
      </c>
      <c r="P228" s="3">
        <f t="shared" si="189"/>
        <v>2.3706614690246962E-5</v>
      </c>
      <c r="Q228" s="3">
        <f t="shared" si="189"/>
        <v>2.3706614690246962E-5</v>
      </c>
      <c r="R228" s="3">
        <f t="shared" si="189"/>
        <v>2.3706614690246962E-5</v>
      </c>
      <c r="S228" s="3">
        <f t="shared" si="189"/>
        <v>2.3706614690246962E-5</v>
      </c>
      <c r="T228" s="3">
        <f t="shared" si="189"/>
        <v>2.3706614690246962E-5</v>
      </c>
      <c r="U228" s="3">
        <f t="shared" si="189"/>
        <v>2.3706614690246962E-5</v>
      </c>
      <c r="V228" s="3">
        <f t="shared" si="189"/>
        <v>2.3706614690246962E-5</v>
      </c>
      <c r="W228" s="3">
        <f t="shared" si="189"/>
        <v>2.3706614690246962E-5</v>
      </c>
      <c r="X228" s="3">
        <f t="shared" si="189"/>
        <v>2.3706614690246958E-5</v>
      </c>
      <c r="Y228" s="3">
        <f t="shared" si="189"/>
        <v>2.3706614690246945E-5</v>
      </c>
      <c r="Z228" s="3">
        <f t="shared" si="189"/>
        <v>2.3706614690246775E-5</v>
      </c>
      <c r="AA228" s="3">
        <f t="shared" si="189"/>
        <v>2.3706614690245085E-5</v>
      </c>
      <c r="AB228" s="3">
        <f t="shared" si="189"/>
        <v>2.3706614690228205E-5</v>
      </c>
      <c r="AC228" s="3">
        <f t="shared" si="189"/>
        <v>2.3706614690059418E-5</v>
      </c>
      <c r="AD228" s="3">
        <f t="shared" si="189"/>
        <v>2.3706614688371529E-5</v>
      </c>
      <c r="AE228" s="3">
        <f t="shared" si="189"/>
        <v>2.3706614671492646E-5</v>
      </c>
      <c r="AF228" s="3">
        <f t="shared" si="189"/>
        <v>2.3706614502703801E-5</v>
      </c>
      <c r="AG228" s="3"/>
      <c r="AH228" s="3"/>
    </row>
    <row r="229" spans="2:34" x14ac:dyDescent="0.25">
      <c r="B229" s="3">
        <f t="shared" ref="B229:AF229" si="190">$C37*EXP(-B$207/$A37/EXP(-$D$126))</f>
        <v>3.9478614411466939E-5</v>
      </c>
      <c r="C229" s="3">
        <f t="shared" si="190"/>
        <v>3.9478614411466939E-5</v>
      </c>
      <c r="D229" s="3">
        <f t="shared" si="190"/>
        <v>3.9478614411466939E-5</v>
      </c>
      <c r="E229" s="3">
        <f t="shared" si="190"/>
        <v>3.9478614411466939E-5</v>
      </c>
      <c r="F229" s="3">
        <f t="shared" si="190"/>
        <v>3.9478614411466939E-5</v>
      </c>
      <c r="G229" s="3">
        <f t="shared" si="190"/>
        <v>3.9478614411466939E-5</v>
      </c>
      <c r="H229" s="3">
        <f t="shared" si="190"/>
        <v>3.9478614411466939E-5</v>
      </c>
      <c r="I229" s="3">
        <f t="shared" si="190"/>
        <v>3.9478614411466939E-5</v>
      </c>
      <c r="J229" s="3">
        <f t="shared" si="190"/>
        <v>3.9478614411466939E-5</v>
      </c>
      <c r="K229" s="3">
        <f t="shared" si="190"/>
        <v>3.9478614411466939E-5</v>
      </c>
      <c r="L229" s="3">
        <f t="shared" si="190"/>
        <v>3.9478614411466939E-5</v>
      </c>
      <c r="M229" s="3">
        <f t="shared" si="190"/>
        <v>3.9478614411466939E-5</v>
      </c>
      <c r="N229" s="3">
        <f t="shared" si="190"/>
        <v>3.9478614411466939E-5</v>
      </c>
      <c r="O229" s="3">
        <f t="shared" si="190"/>
        <v>3.9478614411466939E-5</v>
      </c>
      <c r="P229" s="3">
        <f t="shared" si="190"/>
        <v>3.9478614411466939E-5</v>
      </c>
      <c r="Q229" s="3">
        <f t="shared" si="190"/>
        <v>3.9478614411466939E-5</v>
      </c>
      <c r="R229" s="3">
        <f t="shared" si="190"/>
        <v>3.9478614411466939E-5</v>
      </c>
      <c r="S229" s="3">
        <f t="shared" si="190"/>
        <v>3.9478614411466939E-5</v>
      </c>
      <c r="T229" s="3">
        <f t="shared" si="190"/>
        <v>3.9478614411466939E-5</v>
      </c>
      <c r="U229" s="3">
        <f t="shared" si="190"/>
        <v>3.9478614411466939E-5</v>
      </c>
      <c r="V229" s="3">
        <f t="shared" si="190"/>
        <v>3.9478614411466939E-5</v>
      </c>
      <c r="W229" s="3">
        <f t="shared" si="190"/>
        <v>3.9478614411466939E-5</v>
      </c>
      <c r="X229" s="3">
        <f t="shared" si="190"/>
        <v>3.9478614411466939E-5</v>
      </c>
      <c r="Y229" s="3">
        <f t="shared" si="190"/>
        <v>3.9478614411466932E-5</v>
      </c>
      <c r="Z229" s="3">
        <f t="shared" si="190"/>
        <v>3.9478614411466912E-5</v>
      </c>
      <c r="AA229" s="3">
        <f t="shared" si="190"/>
        <v>3.9478614411466661E-5</v>
      </c>
      <c r="AB229" s="3">
        <f t="shared" si="190"/>
        <v>3.947861441146412E-5</v>
      </c>
      <c r="AC229" s="3">
        <f t="shared" si="190"/>
        <v>3.9478614411438763E-5</v>
      </c>
      <c r="AD229" s="3">
        <f t="shared" si="190"/>
        <v>3.9478614411185202E-5</v>
      </c>
      <c r="AE229" s="3">
        <f t="shared" si="190"/>
        <v>3.9478614408649592E-5</v>
      </c>
      <c r="AF229" s="3">
        <f t="shared" si="190"/>
        <v>3.9478614383293478E-5</v>
      </c>
      <c r="AG229" s="3"/>
      <c r="AH229" s="3"/>
    </row>
    <row r="230" spans="2:34" x14ac:dyDescent="0.25">
      <c r="B230" s="3">
        <f t="shared" ref="B230:AF230" si="191">$C38*EXP(-B$207/$A38/EXP(-$D$126))</f>
        <v>0</v>
      </c>
      <c r="C230" s="3">
        <f t="shared" si="191"/>
        <v>0</v>
      </c>
      <c r="D230" s="3">
        <f t="shared" si="191"/>
        <v>0</v>
      </c>
      <c r="E230" s="3">
        <f t="shared" si="191"/>
        <v>0</v>
      </c>
      <c r="F230" s="3">
        <f t="shared" si="191"/>
        <v>0</v>
      </c>
      <c r="G230" s="3">
        <f t="shared" si="191"/>
        <v>0</v>
      </c>
      <c r="H230" s="3">
        <f t="shared" si="191"/>
        <v>0</v>
      </c>
      <c r="I230" s="3">
        <f t="shared" si="191"/>
        <v>0</v>
      </c>
      <c r="J230" s="3">
        <f t="shared" si="191"/>
        <v>0</v>
      </c>
      <c r="K230" s="3">
        <f t="shared" si="191"/>
        <v>0</v>
      </c>
      <c r="L230" s="3">
        <f t="shared" si="191"/>
        <v>0</v>
      </c>
      <c r="M230" s="3">
        <f t="shared" si="191"/>
        <v>0</v>
      </c>
      <c r="N230" s="3">
        <f t="shared" si="191"/>
        <v>0</v>
      </c>
      <c r="O230" s="3">
        <f t="shared" si="191"/>
        <v>0</v>
      </c>
      <c r="P230" s="3">
        <f t="shared" si="191"/>
        <v>0</v>
      </c>
      <c r="Q230" s="3">
        <f t="shared" si="191"/>
        <v>0</v>
      </c>
      <c r="R230" s="3">
        <f t="shared" si="191"/>
        <v>0</v>
      </c>
      <c r="S230" s="3">
        <f t="shared" si="191"/>
        <v>0</v>
      </c>
      <c r="T230" s="3">
        <f t="shared" si="191"/>
        <v>0</v>
      </c>
      <c r="U230" s="3">
        <f t="shared" si="191"/>
        <v>0</v>
      </c>
      <c r="V230" s="3">
        <f t="shared" si="191"/>
        <v>0</v>
      </c>
      <c r="W230" s="3">
        <f t="shared" si="191"/>
        <v>0</v>
      </c>
      <c r="X230" s="3">
        <f t="shared" si="191"/>
        <v>0</v>
      </c>
      <c r="Y230" s="3">
        <f t="shared" si="191"/>
        <v>0</v>
      </c>
      <c r="Z230" s="3">
        <f t="shared" si="191"/>
        <v>0</v>
      </c>
      <c r="AA230" s="3">
        <f t="shared" si="191"/>
        <v>0</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6.5441532530599776E-5</v>
      </c>
      <c r="C231" s="3">
        <f t="shared" si="192"/>
        <v>6.5441532530599776E-5</v>
      </c>
      <c r="D231" s="3">
        <f t="shared" si="192"/>
        <v>6.5441532530599776E-5</v>
      </c>
      <c r="E231" s="3">
        <f t="shared" si="192"/>
        <v>6.5441532530599776E-5</v>
      </c>
      <c r="F231" s="3">
        <f t="shared" si="192"/>
        <v>6.5441532530599776E-5</v>
      </c>
      <c r="G231" s="3">
        <f t="shared" si="192"/>
        <v>6.5441532530599776E-5</v>
      </c>
      <c r="H231" s="3">
        <f t="shared" si="192"/>
        <v>6.5441532530599776E-5</v>
      </c>
      <c r="I231" s="3">
        <f t="shared" si="192"/>
        <v>6.5441532530599776E-5</v>
      </c>
      <c r="J231" s="3">
        <f t="shared" si="192"/>
        <v>6.5441532530599776E-5</v>
      </c>
      <c r="K231" s="3">
        <f t="shared" si="192"/>
        <v>6.5441532530599776E-5</v>
      </c>
      <c r="L231" s="3">
        <f t="shared" si="192"/>
        <v>6.5441532530599776E-5</v>
      </c>
      <c r="M231" s="3">
        <f t="shared" si="192"/>
        <v>6.5441532530599776E-5</v>
      </c>
      <c r="N231" s="3">
        <f t="shared" si="192"/>
        <v>6.5441532530599776E-5</v>
      </c>
      <c r="O231" s="3">
        <f t="shared" si="192"/>
        <v>6.5441532530599776E-5</v>
      </c>
      <c r="P231" s="3">
        <f t="shared" si="192"/>
        <v>6.5441532530599776E-5</v>
      </c>
      <c r="Q231" s="3">
        <f t="shared" si="192"/>
        <v>6.5441532530599776E-5</v>
      </c>
      <c r="R231" s="3">
        <f t="shared" si="192"/>
        <v>6.5441532530599776E-5</v>
      </c>
      <c r="S231" s="3">
        <f t="shared" si="192"/>
        <v>6.5441532530599776E-5</v>
      </c>
      <c r="T231" s="3">
        <f t="shared" si="192"/>
        <v>6.5441532530599776E-5</v>
      </c>
      <c r="U231" s="3">
        <f t="shared" si="192"/>
        <v>6.5441532530599776E-5</v>
      </c>
      <c r="V231" s="3">
        <f t="shared" si="192"/>
        <v>6.5441532530599776E-5</v>
      </c>
      <c r="W231" s="3">
        <f t="shared" si="192"/>
        <v>6.5441532530599776E-5</v>
      </c>
      <c r="X231" s="3">
        <f t="shared" si="192"/>
        <v>6.5441532530599776E-5</v>
      </c>
      <c r="Y231" s="3">
        <f t="shared" si="192"/>
        <v>6.5441532530599776E-5</v>
      </c>
      <c r="Z231" s="3">
        <f t="shared" si="192"/>
        <v>6.5441532530599776E-5</v>
      </c>
      <c r="AA231" s="3">
        <f t="shared" si="192"/>
        <v>6.5441532530599762E-5</v>
      </c>
      <c r="AB231" s="3">
        <f t="shared" si="192"/>
        <v>6.5441532530599654E-5</v>
      </c>
      <c r="AC231" s="3">
        <f t="shared" si="192"/>
        <v>6.544153253059861E-5</v>
      </c>
      <c r="AD231" s="3">
        <f t="shared" si="192"/>
        <v>6.5441532530588121E-5</v>
      </c>
      <c r="AE231" s="3">
        <f t="shared" si="192"/>
        <v>6.5441532530483265E-5</v>
      </c>
      <c r="AF231" s="3">
        <f t="shared" si="192"/>
        <v>6.5441532529434597E-5</v>
      </c>
      <c r="AG231" s="3"/>
      <c r="AH231" s="3"/>
    </row>
    <row r="232" spans="2:34" x14ac:dyDescent="0.25">
      <c r="B232" s="3">
        <f t="shared" ref="B232:AF232" si="193">$C40*EXP(-B$207/$A40/EXP(-$D$126))</f>
        <v>9.072554140189839E-6</v>
      </c>
      <c r="C232" s="3">
        <f t="shared" si="193"/>
        <v>9.072554140189839E-6</v>
      </c>
      <c r="D232" s="3">
        <f t="shared" si="193"/>
        <v>9.072554140189839E-6</v>
      </c>
      <c r="E232" s="3">
        <f t="shared" si="193"/>
        <v>9.072554140189839E-6</v>
      </c>
      <c r="F232" s="3">
        <f t="shared" si="193"/>
        <v>9.072554140189839E-6</v>
      </c>
      <c r="G232" s="3">
        <f t="shared" si="193"/>
        <v>9.072554140189839E-6</v>
      </c>
      <c r="H232" s="3">
        <f t="shared" si="193"/>
        <v>9.072554140189839E-6</v>
      </c>
      <c r="I232" s="3">
        <f t="shared" si="193"/>
        <v>9.072554140189839E-6</v>
      </c>
      <c r="J232" s="3">
        <f t="shared" si="193"/>
        <v>9.072554140189839E-6</v>
      </c>
      <c r="K232" s="3">
        <f t="shared" si="193"/>
        <v>9.072554140189839E-6</v>
      </c>
      <c r="L232" s="3">
        <f t="shared" si="193"/>
        <v>9.072554140189839E-6</v>
      </c>
      <c r="M232" s="3">
        <f t="shared" si="193"/>
        <v>9.072554140189839E-6</v>
      </c>
      <c r="N232" s="3">
        <f t="shared" si="193"/>
        <v>9.072554140189839E-6</v>
      </c>
      <c r="O232" s="3">
        <f t="shared" si="193"/>
        <v>9.072554140189839E-6</v>
      </c>
      <c r="P232" s="3">
        <f t="shared" si="193"/>
        <v>9.072554140189839E-6</v>
      </c>
      <c r="Q232" s="3">
        <f t="shared" si="193"/>
        <v>9.072554140189839E-6</v>
      </c>
      <c r="R232" s="3">
        <f t="shared" si="193"/>
        <v>9.072554140189839E-6</v>
      </c>
      <c r="S232" s="3">
        <f t="shared" si="193"/>
        <v>9.072554140189839E-6</v>
      </c>
      <c r="T232" s="3">
        <f t="shared" si="193"/>
        <v>9.072554140189839E-6</v>
      </c>
      <c r="U232" s="3">
        <f t="shared" si="193"/>
        <v>9.072554140189839E-6</v>
      </c>
      <c r="V232" s="3">
        <f t="shared" si="193"/>
        <v>9.072554140189839E-6</v>
      </c>
      <c r="W232" s="3">
        <f t="shared" si="193"/>
        <v>9.072554140189839E-6</v>
      </c>
      <c r="X232" s="3">
        <f t="shared" si="193"/>
        <v>9.072554140189839E-6</v>
      </c>
      <c r="Y232" s="3">
        <f t="shared" si="193"/>
        <v>9.072554140189839E-6</v>
      </c>
      <c r="Z232" s="3">
        <f t="shared" si="193"/>
        <v>9.072554140189839E-6</v>
      </c>
      <c r="AA232" s="3">
        <f t="shared" si="193"/>
        <v>9.072554140189839E-6</v>
      </c>
      <c r="AB232" s="3">
        <f t="shared" si="193"/>
        <v>9.0725541401898373E-6</v>
      </c>
      <c r="AC232" s="3">
        <f t="shared" si="193"/>
        <v>9.072554140189822E-6</v>
      </c>
      <c r="AD232" s="3">
        <f t="shared" si="193"/>
        <v>9.072554140189678E-6</v>
      </c>
      <c r="AE232" s="3">
        <f t="shared" si="193"/>
        <v>9.0725541401882228E-6</v>
      </c>
      <c r="AF232" s="3">
        <f t="shared" si="193"/>
        <v>9.0725541401736861E-6</v>
      </c>
      <c r="AG232" s="3"/>
      <c r="AH232" s="3"/>
    </row>
    <row r="233" spans="2:34" x14ac:dyDescent="0.25">
      <c r="B233" s="3">
        <f t="shared" ref="B233:AF233" si="194">$C41*EXP(-B$207/$A41/EXP(-$D$126))</f>
        <v>3.4648583404177175E-7</v>
      </c>
      <c r="C233" s="3">
        <f t="shared" si="194"/>
        <v>3.4648583404177175E-7</v>
      </c>
      <c r="D233" s="3">
        <f t="shared" si="194"/>
        <v>3.4648583404177175E-7</v>
      </c>
      <c r="E233" s="3">
        <f t="shared" si="194"/>
        <v>3.4648583404177175E-7</v>
      </c>
      <c r="F233" s="3">
        <f t="shared" si="194"/>
        <v>3.4648583404177175E-7</v>
      </c>
      <c r="G233" s="3">
        <f t="shared" si="194"/>
        <v>3.4648583404177175E-7</v>
      </c>
      <c r="H233" s="3">
        <f t="shared" si="194"/>
        <v>3.4648583404177175E-7</v>
      </c>
      <c r="I233" s="3">
        <f t="shared" si="194"/>
        <v>3.4648583404177175E-7</v>
      </c>
      <c r="J233" s="3">
        <f t="shared" si="194"/>
        <v>3.4648583404177175E-7</v>
      </c>
      <c r="K233" s="3">
        <f t="shared" si="194"/>
        <v>3.4648583404177175E-7</v>
      </c>
      <c r="L233" s="3">
        <f t="shared" si="194"/>
        <v>3.4648583404177175E-7</v>
      </c>
      <c r="M233" s="3">
        <f t="shared" si="194"/>
        <v>3.4648583404177175E-7</v>
      </c>
      <c r="N233" s="3">
        <f t="shared" si="194"/>
        <v>3.4648583404177175E-7</v>
      </c>
      <c r="O233" s="3">
        <f t="shared" si="194"/>
        <v>3.4648583404177175E-7</v>
      </c>
      <c r="P233" s="3">
        <f t="shared" si="194"/>
        <v>3.4648583404177175E-7</v>
      </c>
      <c r="Q233" s="3">
        <f t="shared" si="194"/>
        <v>3.4648583404177175E-7</v>
      </c>
      <c r="R233" s="3">
        <f t="shared" si="194"/>
        <v>3.4648583404177175E-7</v>
      </c>
      <c r="S233" s="3">
        <f t="shared" si="194"/>
        <v>3.4648583404177175E-7</v>
      </c>
      <c r="T233" s="3">
        <f t="shared" si="194"/>
        <v>3.4648583404177175E-7</v>
      </c>
      <c r="U233" s="3">
        <f t="shared" si="194"/>
        <v>3.4648583404177175E-7</v>
      </c>
      <c r="V233" s="3">
        <f t="shared" si="194"/>
        <v>3.4648583404177175E-7</v>
      </c>
      <c r="W233" s="3">
        <f t="shared" si="194"/>
        <v>3.4648583404177175E-7</v>
      </c>
      <c r="X233" s="3">
        <f t="shared" si="194"/>
        <v>3.4648583404177175E-7</v>
      </c>
      <c r="Y233" s="3">
        <f t="shared" si="194"/>
        <v>3.4648583404177175E-7</v>
      </c>
      <c r="Z233" s="3">
        <f t="shared" si="194"/>
        <v>3.4648583404177175E-7</v>
      </c>
      <c r="AA233" s="3">
        <f t="shared" si="194"/>
        <v>3.4648583404177175E-7</v>
      </c>
      <c r="AB233" s="3">
        <f t="shared" si="194"/>
        <v>3.4648583404177175E-7</v>
      </c>
      <c r="AC233" s="3">
        <f t="shared" si="194"/>
        <v>3.464858340417717E-7</v>
      </c>
      <c r="AD233" s="3">
        <f t="shared" si="194"/>
        <v>3.4648583404177112E-7</v>
      </c>
      <c r="AE233" s="3">
        <f t="shared" si="194"/>
        <v>3.4648583404176561E-7</v>
      </c>
      <c r="AF233" s="3">
        <f t="shared" si="194"/>
        <v>3.4648583404171002E-7</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2.6390969703261771E-3</v>
      </c>
      <c r="C240" s="3">
        <f t="shared" si="201"/>
        <v>2.6390969703261771E-3</v>
      </c>
      <c r="D240" s="3">
        <f t="shared" si="201"/>
        <v>2.6390969703261771E-3</v>
      </c>
      <c r="E240" s="3">
        <f t="shared" si="201"/>
        <v>2.6390969703261771E-3</v>
      </c>
      <c r="F240" s="3">
        <f t="shared" si="201"/>
        <v>2.6390969703261771E-3</v>
      </c>
      <c r="G240" s="3">
        <f t="shared" si="201"/>
        <v>2.6390969703261771E-3</v>
      </c>
      <c r="H240" s="3">
        <f t="shared" si="201"/>
        <v>2.6390969703261771E-3</v>
      </c>
      <c r="I240" s="3">
        <f t="shared" si="201"/>
        <v>2.6390969703261771E-3</v>
      </c>
      <c r="J240" s="3">
        <f t="shared" si="201"/>
        <v>2.6390969703261771E-3</v>
      </c>
      <c r="K240" s="3">
        <f t="shared" si="201"/>
        <v>2.6390969703261771E-3</v>
      </c>
      <c r="L240" s="3">
        <f t="shared" si="201"/>
        <v>2.6390969703261771E-3</v>
      </c>
      <c r="M240" s="3">
        <f t="shared" si="201"/>
        <v>2.6390969703261771E-3</v>
      </c>
      <c r="N240" s="3">
        <f t="shared" si="201"/>
        <v>2.6390969703261771E-3</v>
      </c>
      <c r="O240" s="3">
        <f t="shared" si="201"/>
        <v>2.6390969703261771E-3</v>
      </c>
      <c r="P240" s="3">
        <f t="shared" si="201"/>
        <v>2.6390969703261771E-3</v>
      </c>
      <c r="Q240" s="3">
        <f t="shared" si="201"/>
        <v>2.6390969703261771E-3</v>
      </c>
      <c r="R240" s="3">
        <f t="shared" si="201"/>
        <v>2.6390969703261771E-3</v>
      </c>
      <c r="S240" s="3">
        <f t="shared" si="201"/>
        <v>2.6390969703261771E-3</v>
      </c>
      <c r="T240" s="3">
        <f t="shared" si="201"/>
        <v>2.6390969703261771E-3</v>
      </c>
      <c r="U240" s="3">
        <f t="shared" si="201"/>
        <v>2.6390969703261771E-3</v>
      </c>
      <c r="V240" s="3">
        <f t="shared" si="201"/>
        <v>2.6390969703261771E-3</v>
      </c>
      <c r="W240" s="3">
        <f t="shared" si="201"/>
        <v>2.6390969703261771E-3</v>
      </c>
      <c r="X240" s="3">
        <f t="shared" si="201"/>
        <v>2.6390969703261771E-3</v>
      </c>
      <c r="Y240" s="3">
        <f t="shared" si="201"/>
        <v>2.6390969703261771E-3</v>
      </c>
      <c r="Z240" s="3">
        <f t="shared" si="201"/>
        <v>2.6390969703261771E-3</v>
      </c>
      <c r="AA240" s="3">
        <f t="shared" si="201"/>
        <v>2.6390969703261771E-3</v>
      </c>
      <c r="AB240" s="3">
        <f t="shared" si="201"/>
        <v>2.6390969703261771E-3</v>
      </c>
      <c r="AC240" s="3">
        <f t="shared" si="201"/>
        <v>2.6390969703261771E-3</v>
      </c>
      <c r="AD240" s="3">
        <f t="shared" si="201"/>
        <v>2.6390969703261771E-3</v>
      </c>
      <c r="AE240" s="3">
        <f t="shared" si="201"/>
        <v>2.6390969703261771E-3</v>
      </c>
      <c r="AF240" s="3">
        <f t="shared" si="201"/>
        <v>2.6390969703261771E-3</v>
      </c>
      <c r="AG240" s="3"/>
      <c r="AH240" s="3"/>
    </row>
    <row r="241" spans="1:34" x14ac:dyDescent="0.25">
      <c r="A241" s="79">
        <f>AVERAGE(B241:AF241)</f>
        <v>3.3072284672820466E-2</v>
      </c>
      <c r="B241" s="80">
        <f>IF($A$64&lt;=B207,IF($B$64&gt;=B207,ABS((B209-B208)/B208),0),0)</f>
        <v>2.569498146091377E-7</v>
      </c>
      <c r="C241" s="80">
        <f t="shared" ref="C241:AF241" si="202">IF($A$64&lt;=C207,IF($B$64&gt;=C207,ABS((C209-C208)/C208),0),0)</f>
        <v>5.9411736696839631E-6</v>
      </c>
      <c r="D241" s="80">
        <f t="shared" si="202"/>
        <v>2.1558793058427065E-6</v>
      </c>
      <c r="E241" s="80">
        <f t="shared" si="202"/>
        <v>1.0104661649980176E-6</v>
      </c>
      <c r="F241" s="80">
        <f t="shared" si="202"/>
        <v>6.614471490994302E-7</v>
      </c>
      <c r="G241" s="80">
        <f t="shared" si="202"/>
        <v>5.2617346314083259E-7</v>
      </c>
      <c r="H241" s="80">
        <f t="shared" si="202"/>
        <v>5.1540318713695992E-7</v>
      </c>
      <c r="I241" s="80">
        <f t="shared" si="202"/>
        <v>5.0258695221766794E-7</v>
      </c>
      <c r="J241" s="80">
        <f t="shared" si="202"/>
        <v>7.3363764959972097E-7</v>
      </c>
      <c r="K241" s="80">
        <f t="shared" si="202"/>
        <v>3.1390077654252089E-6</v>
      </c>
      <c r="L241" s="80">
        <f t="shared" si="202"/>
        <v>2.7027713285498534E-5</v>
      </c>
      <c r="M241" s="80">
        <f t="shared" si="202"/>
        <v>2.6583743266928267E-4</v>
      </c>
      <c r="N241" s="80">
        <f t="shared" si="202"/>
        <v>2.6335845957701034E-3</v>
      </c>
      <c r="O241" s="80">
        <f t="shared" si="202"/>
        <v>2.4386948260363701E-2</v>
      </c>
      <c r="P241" s="80">
        <f t="shared" si="202"/>
        <v>0.1233601560983469</v>
      </c>
      <c r="Q241" s="80">
        <f t="shared" si="202"/>
        <v>0.13214145372560426</v>
      </c>
      <c r="R241" s="80">
        <f t="shared" si="202"/>
        <v>0.10732252926864223</v>
      </c>
      <c r="S241" s="80">
        <f t="shared" si="202"/>
        <v>7.4813616293305574E-2</v>
      </c>
      <c r="T241" s="80">
        <f t="shared" si="202"/>
        <v>3.2683074966342401E-2</v>
      </c>
      <c r="U241" s="80">
        <f t="shared" si="202"/>
        <v>2.3635614220790403E-2</v>
      </c>
      <c r="V241" s="80">
        <f t="shared" si="202"/>
        <v>5.9706531964798679E-2</v>
      </c>
      <c r="W241" s="80">
        <f t="shared" si="202"/>
        <v>4.32697723423442E-2</v>
      </c>
      <c r="X241" s="80">
        <f t="shared" si="202"/>
        <v>6.5309734931661881E-2</v>
      </c>
      <c r="Y241" s="80">
        <f t="shared" si="202"/>
        <v>6.7746013202939007E-2</v>
      </c>
      <c r="Z241" s="80">
        <f t="shared" si="202"/>
        <v>7.1733921966090297E-2</v>
      </c>
      <c r="AA241" s="80">
        <f t="shared" si="202"/>
        <v>6.7220477132544643E-2</v>
      </c>
      <c r="AB241" s="80">
        <f t="shared" si="202"/>
        <v>5.8319472773752691E-2</v>
      </c>
      <c r="AC241" s="80">
        <f t="shared" si="202"/>
        <v>4.2754812185777903E-2</v>
      </c>
      <c r="AD241" s="80">
        <f t="shared" si="202"/>
        <v>1.3964988088373889E-2</v>
      </c>
      <c r="AE241" s="80">
        <f t="shared" si="202"/>
        <v>3.1526391111572115E-3</v>
      </c>
      <c r="AF241" s="80">
        <f t="shared" si="202"/>
        <v>1.0777175857751968E-2</v>
      </c>
    </row>
    <row r="242" spans="1:34" x14ac:dyDescent="0.25">
      <c r="B242" s="21">
        <f>(B209-B208)^2</f>
        <v>2.3220176976146665E-6</v>
      </c>
      <c r="C242" s="21">
        <f t="shared" ref="C242:AF242" si="203">(C209-C208)^2</f>
        <v>1.241420140701153E-3</v>
      </c>
      <c r="D242" s="21">
        <f t="shared" si="203"/>
        <v>1.6346316043269003E-4</v>
      </c>
      <c r="E242" s="21">
        <f t="shared" si="203"/>
        <v>3.59098475047934E-5</v>
      </c>
      <c r="F242" s="21">
        <f t="shared" si="203"/>
        <v>1.5387214348474503E-5</v>
      </c>
      <c r="G242" s="21">
        <f t="shared" si="203"/>
        <v>9.7370515783826851E-6</v>
      </c>
      <c r="H242" s="21">
        <f t="shared" si="203"/>
        <v>9.3425143992032339E-6</v>
      </c>
      <c r="I242" s="21">
        <f t="shared" si="203"/>
        <v>8.8836606434843282E-6</v>
      </c>
      <c r="J242" s="21">
        <f t="shared" si="203"/>
        <v>1.8929220115668396E-5</v>
      </c>
      <c r="K242" s="21">
        <f t="shared" si="203"/>
        <v>3.4654046214683626E-4</v>
      </c>
      <c r="L242" s="21">
        <f t="shared" si="203"/>
        <v>2.5691196952910438E-2</v>
      </c>
      <c r="M242" s="21">
        <f t="shared" si="203"/>
        <v>2.4852138007608828</v>
      </c>
      <c r="N242" s="21">
        <f t="shared" si="203"/>
        <v>243.7171801215141</v>
      </c>
      <c r="O242" s="21">
        <f t="shared" si="203"/>
        <v>20746.867858247409</v>
      </c>
      <c r="P242" s="21">
        <f t="shared" si="203"/>
        <v>509701.88776996266</v>
      </c>
      <c r="Q242" s="21">
        <f t="shared" si="203"/>
        <v>556576.79048474773</v>
      </c>
      <c r="R242" s="21">
        <f t="shared" si="203"/>
        <v>347003.13582806895</v>
      </c>
      <c r="S242" s="21">
        <f t="shared" si="203"/>
        <v>156965.03210592357</v>
      </c>
      <c r="T242" s="21">
        <f t="shared" si="203"/>
        <v>27378.045324175891</v>
      </c>
      <c r="U242" s="21">
        <f t="shared" si="203"/>
        <v>12669.387210435647</v>
      </c>
      <c r="V242" s="21">
        <f t="shared" si="203"/>
        <v>69926.763799300083</v>
      </c>
      <c r="W242" s="21">
        <f t="shared" si="203"/>
        <v>31653.042937434791</v>
      </c>
      <c r="X242" s="21">
        <f t="shared" si="203"/>
        <v>62053.870905243813</v>
      </c>
      <c r="Y242" s="21">
        <f t="shared" si="203"/>
        <v>56794.322015379716</v>
      </c>
      <c r="Z242" s="21">
        <f t="shared" si="203"/>
        <v>52535.940890652237</v>
      </c>
      <c r="AA242" s="21">
        <f t="shared" si="203"/>
        <v>35208.880505679204</v>
      </c>
      <c r="AB242" s="21">
        <f t="shared" si="203"/>
        <v>18183.20840245024</v>
      </c>
      <c r="AC242" s="21">
        <f t="shared" si="203"/>
        <v>5671.463018653516</v>
      </c>
      <c r="AD242" s="21">
        <f t="shared" si="203"/>
        <v>264.72783055593663</v>
      </c>
      <c r="AE242" s="21">
        <f t="shared" si="203"/>
        <v>4.7715253481621573</v>
      </c>
      <c r="AF242" s="21">
        <f t="shared" si="203"/>
        <v>18.020294915744348</v>
      </c>
      <c r="AG242" s="3"/>
      <c r="AH242" s="3"/>
    </row>
    <row r="243" spans="1:34" x14ac:dyDescent="0.25">
      <c r="A243" s="71">
        <f>SUM(B243:AF243)</f>
        <v>1963602.3886442296</v>
      </c>
      <c r="B243" s="60">
        <f>IF($A$64&lt;=B207,IF($B$64&gt;=B207,ABS(B242),0),0)</f>
        <v>2.3220176976146665E-6</v>
      </c>
      <c r="C243" s="60">
        <f t="shared" ref="C243" si="204">IF($A$64&lt;=C207,IF($B$64&gt;=C207,ABS(C242),0),0)</f>
        <v>1.241420140701153E-3</v>
      </c>
      <c r="D243" s="60">
        <f t="shared" ref="D243" si="205">IF($A$64&lt;=D207,IF($B$64&gt;=D207,ABS(D242),0),0)</f>
        <v>1.6346316043269003E-4</v>
      </c>
      <c r="E243" s="60">
        <f t="shared" ref="E243" si="206">IF($A$64&lt;=E207,IF($B$64&gt;=E207,ABS(E242),0),0)</f>
        <v>3.59098475047934E-5</v>
      </c>
      <c r="F243" s="60">
        <f t="shared" ref="F243" si="207">IF($A$64&lt;=F207,IF($B$64&gt;=F207,ABS(F242),0),0)</f>
        <v>1.5387214348474503E-5</v>
      </c>
      <c r="G243" s="60">
        <f t="shared" ref="G243" si="208">IF($A$64&lt;=G207,IF($B$64&gt;=G207,ABS(G242),0),0)</f>
        <v>9.7370515783826851E-6</v>
      </c>
      <c r="H243" s="60">
        <f t="shared" ref="H243" si="209">IF($A$64&lt;=H207,IF($B$64&gt;=H207,ABS(H242),0),0)</f>
        <v>9.3425143992032339E-6</v>
      </c>
      <c r="I243" s="60">
        <f t="shared" ref="I243" si="210">IF($A$64&lt;=I207,IF($B$64&gt;=I207,ABS(I242),0),0)</f>
        <v>8.8836606434843282E-6</v>
      </c>
      <c r="J243" s="60">
        <f t="shared" ref="J243" si="211">IF($A$64&lt;=J207,IF($B$64&gt;=J207,ABS(J242),0),0)</f>
        <v>1.8929220115668396E-5</v>
      </c>
      <c r="K243" s="60">
        <f t="shared" ref="K243" si="212">IF($A$64&lt;=K207,IF($B$64&gt;=K207,ABS(K242),0),0)</f>
        <v>3.4654046214683626E-4</v>
      </c>
      <c r="L243" s="60">
        <f t="shared" ref="L243" si="213">IF($A$64&lt;=L207,IF($B$64&gt;=L207,ABS(L242),0),0)</f>
        <v>2.5691196952910438E-2</v>
      </c>
      <c r="M243" s="60">
        <f t="shared" ref="M243" si="214">IF($A$64&lt;=M207,IF($B$64&gt;=M207,ABS(M242),0),0)</f>
        <v>2.4852138007608828</v>
      </c>
      <c r="N243" s="60">
        <f t="shared" ref="N243" si="215">IF($A$64&lt;=N207,IF($B$64&gt;=N207,ABS(N242),0),0)</f>
        <v>243.7171801215141</v>
      </c>
      <c r="O243" s="60">
        <f t="shared" ref="O243" si="216">IF($A$64&lt;=O207,IF($B$64&gt;=O207,ABS(O242),0),0)</f>
        <v>20746.867858247409</v>
      </c>
      <c r="P243" s="60">
        <f t="shared" ref="P243" si="217">IF($A$64&lt;=P207,IF($B$64&gt;=P207,ABS(P242),0),0)</f>
        <v>509701.88776996266</v>
      </c>
      <c r="Q243" s="60">
        <f t="shared" ref="Q243" si="218">IF($A$64&lt;=Q207,IF($B$64&gt;=Q207,ABS(Q242),0),0)</f>
        <v>556576.79048474773</v>
      </c>
      <c r="R243" s="60">
        <f t="shared" ref="R243" si="219">IF($A$64&lt;=R207,IF($B$64&gt;=R207,ABS(R242),0),0)</f>
        <v>347003.13582806895</v>
      </c>
      <c r="S243" s="60">
        <f t="shared" ref="S243" si="220">IF($A$64&lt;=S207,IF($B$64&gt;=S207,ABS(S242),0),0)</f>
        <v>156965.03210592357</v>
      </c>
      <c r="T243" s="60">
        <f t="shared" ref="T243" si="221">IF($A$64&lt;=T207,IF($B$64&gt;=T207,ABS(T242),0),0)</f>
        <v>27378.045324175891</v>
      </c>
      <c r="U243" s="60">
        <f t="shared" ref="U243" si="222">IF($A$64&lt;=U207,IF($B$64&gt;=U207,ABS(U242),0),0)</f>
        <v>12669.387210435647</v>
      </c>
      <c r="V243" s="60">
        <f t="shared" ref="V243" si="223">IF($A$64&lt;=V207,IF($B$64&gt;=V207,ABS(V242),0),0)</f>
        <v>69926.763799300083</v>
      </c>
      <c r="W243" s="60">
        <f t="shared" ref="W243" si="224">IF($A$64&lt;=W207,IF($B$64&gt;=W207,ABS(W242),0),0)</f>
        <v>31653.042937434791</v>
      </c>
      <c r="X243" s="60">
        <f t="shared" ref="X243" si="225">IF($A$64&lt;=X207,IF($B$64&gt;=X207,ABS(X242),0),0)</f>
        <v>62053.870905243813</v>
      </c>
      <c r="Y243" s="60">
        <f t="shared" ref="Y243" si="226">IF($A$64&lt;=Y207,IF($B$64&gt;=Y207,ABS(Y242),0),0)</f>
        <v>56794.322015379716</v>
      </c>
      <c r="Z243" s="60">
        <f t="shared" ref="Z243" si="227">IF($A$64&lt;=Z207,IF($B$64&gt;=Z207,ABS(Z242),0),0)</f>
        <v>52535.940890652237</v>
      </c>
      <c r="AA243" s="60">
        <f t="shared" ref="AA243" si="228">IF($A$64&lt;=AA207,IF($B$64&gt;=AA207,ABS(AA242),0),0)</f>
        <v>35208.880505679204</v>
      </c>
      <c r="AB243" s="60">
        <f t="shared" ref="AB243" si="229">IF($A$64&lt;=AB207,IF($B$64&gt;=AB207,ABS(AB242),0),0)</f>
        <v>18183.20840245024</v>
      </c>
      <c r="AC243" s="60">
        <f t="shared" ref="AC243" si="230">IF($A$64&lt;=AC207,IF($B$64&gt;=AC207,ABS(AC242),0),0)</f>
        <v>5671.463018653516</v>
      </c>
      <c r="AD243" s="60">
        <f t="shared" ref="AD243" si="231">IF($A$64&lt;=AD207,IF($B$64&gt;=AD207,ABS(AD242),0),0)</f>
        <v>264.72783055593663</v>
      </c>
      <c r="AE243" s="60">
        <f t="shared" ref="AE243" si="232">IF($A$64&lt;=AE207,IF($B$64&gt;=AE207,ABS(AE242),0),0)</f>
        <v>4.7715253481621573</v>
      </c>
      <c r="AF243" s="60">
        <f t="shared" ref="AF243" si="233">IF($A$64&lt;=AF207,IF($B$64&gt;=AF207,ABS(AF242),0),0)</f>
        <v>18.020294915744348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0" t="s">
        <v>22</v>
      </c>
      <c r="B248" s="27">
        <f>($C$17+SUM(B249:B279))*$B$51</f>
        <v>5930.4078999885314</v>
      </c>
      <c r="C248" s="27">
        <f t="shared" ref="C248:AF248" si="234">($C$17+SUM(C249:C279))*$B$51</f>
        <v>5930.4078998853092</v>
      </c>
      <c r="D248" s="27">
        <f t="shared" si="234"/>
        <v>5930.4078988530828</v>
      </c>
      <c r="E248" s="27">
        <f t="shared" si="234"/>
        <v>5930.4078885308254</v>
      </c>
      <c r="F248" s="27">
        <f t="shared" si="234"/>
        <v>5930.4077853082545</v>
      </c>
      <c r="G248" s="27">
        <f t="shared" si="234"/>
        <v>5930.406753083118</v>
      </c>
      <c r="H248" s="27">
        <f t="shared" si="234"/>
        <v>5930.3964308886088</v>
      </c>
      <c r="I248" s="27">
        <f t="shared" si="234"/>
        <v>5930.2932146290868</v>
      </c>
      <c r="J248" s="27">
        <f t="shared" si="234"/>
        <v>5929.2616203794651</v>
      </c>
      <c r="K248" s="27">
        <f t="shared" si="234"/>
        <v>5919.0023024022867</v>
      </c>
      <c r="L248" s="27">
        <f t="shared" si="234"/>
        <v>5821.867251291671</v>
      </c>
      <c r="M248" s="27">
        <f t="shared" si="234"/>
        <v>5238.4578136833561</v>
      </c>
      <c r="N248" s="27">
        <f t="shared" si="234"/>
        <v>4899.7490346509894</v>
      </c>
      <c r="O248" s="27">
        <f t="shared" si="234"/>
        <v>4899.7195461802221</v>
      </c>
      <c r="P248" s="27">
        <f t="shared" si="234"/>
        <v>4899.5761607540571</v>
      </c>
      <c r="Q248" s="27">
        <f t="shared" si="234"/>
        <v>4898.1442613697109</v>
      </c>
      <c r="R248" s="27">
        <f t="shared" si="234"/>
        <v>4884.018917197197</v>
      </c>
      <c r="S248" s="27">
        <f t="shared" si="234"/>
        <v>4760.4163866446943</v>
      </c>
      <c r="T248" s="27">
        <f t="shared" si="234"/>
        <v>4340.8504068335369</v>
      </c>
      <c r="U248" s="27">
        <f t="shared" si="234"/>
        <v>4112.1491822817416</v>
      </c>
      <c r="V248" s="27">
        <f t="shared" si="234"/>
        <v>3814.5105361428937</v>
      </c>
      <c r="W248" s="27">
        <f t="shared" si="234"/>
        <v>3496.5637387000238</v>
      </c>
      <c r="X248" s="27">
        <f t="shared" si="234"/>
        <v>3074.8317753144897</v>
      </c>
      <c r="Y248" s="27">
        <f t="shared" si="234"/>
        <v>2563.2449278366184</v>
      </c>
      <c r="Z248" s="27">
        <f t="shared" si="234"/>
        <v>1973.0210956083508</v>
      </c>
      <c r="AA248" s="27">
        <f t="shared" si="234"/>
        <v>1321.3953080054696</v>
      </c>
      <c r="AB248" s="27">
        <f t="shared" si="234"/>
        <v>793.44223066729853</v>
      </c>
      <c r="AC248" s="27">
        <f t="shared" si="234"/>
        <v>449.27166873415757</v>
      </c>
      <c r="AD248" s="27">
        <f t="shared" si="234"/>
        <v>249.79386395855525</v>
      </c>
      <c r="AE248" s="27">
        <f t="shared" si="234"/>
        <v>165.88347426023736</v>
      </c>
      <c r="AF248" s="27">
        <f t="shared" si="234"/>
        <v>140.90914167077216</v>
      </c>
      <c r="AG248" s="27"/>
      <c r="AH248" s="27"/>
    </row>
    <row r="249" spans="1:34" x14ac:dyDescent="0.25">
      <c r="B249" s="3">
        <f t="shared" ref="B249:AF249" si="235">$C18*EXP(-B$246/$A18/EXP(-$E$126))</f>
        <v>0.1737945243021454</v>
      </c>
      <c r="C249" s="3">
        <f t="shared" si="235"/>
        <v>0.17379452428473974</v>
      </c>
      <c r="D249" s="3">
        <f t="shared" si="235"/>
        <v>0.17379452411068333</v>
      </c>
      <c r="E249" s="3">
        <f t="shared" si="235"/>
        <v>0.17379452237011903</v>
      </c>
      <c r="F249" s="3">
        <f t="shared" si="235"/>
        <v>0.17379450496447715</v>
      </c>
      <c r="G249" s="3">
        <f t="shared" si="235"/>
        <v>0.1737943309081541</v>
      </c>
      <c r="H249" s="3">
        <f t="shared" si="235"/>
        <v>0.17379259035451114</v>
      </c>
      <c r="I249" s="3">
        <f t="shared" si="235"/>
        <v>0.17377518577679532</v>
      </c>
      <c r="J249" s="3">
        <f t="shared" si="235"/>
        <v>0.17360123583547438</v>
      </c>
      <c r="K249" s="3">
        <f t="shared" si="235"/>
        <v>0.17187128458825796</v>
      </c>
      <c r="L249" s="3">
        <f t="shared" si="235"/>
        <v>0.15549213522655925</v>
      </c>
      <c r="M249" s="3">
        <f t="shared" si="235"/>
        <v>5.7116221792144699E-2</v>
      </c>
      <c r="N249" s="3">
        <f t="shared" si="235"/>
        <v>2.5542882847441922E-6</v>
      </c>
      <c r="O249" s="3">
        <f t="shared" si="235"/>
        <v>8.1728647635838349E-50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9.0899647473980161E-2</v>
      </c>
      <c r="C250" s="3">
        <f t="shared" si="236"/>
        <v>9.0899647473980161E-2</v>
      </c>
      <c r="D250" s="3">
        <f t="shared" si="236"/>
        <v>9.0899647473980133E-2</v>
      </c>
      <c r="E250" s="3">
        <f t="shared" si="236"/>
        <v>9.0899647473979897E-2</v>
      </c>
      <c r="F250" s="3">
        <f t="shared" si="236"/>
        <v>9.0899647473977566E-2</v>
      </c>
      <c r="G250" s="3">
        <f t="shared" si="236"/>
        <v>9.0899647473954251E-2</v>
      </c>
      <c r="H250" s="3">
        <f t="shared" si="236"/>
        <v>9.0899647473721049E-2</v>
      </c>
      <c r="I250" s="3">
        <f t="shared" si="236"/>
        <v>9.0899647471389108E-2</v>
      </c>
      <c r="J250" s="3">
        <f t="shared" si="236"/>
        <v>9.0899647448069679E-2</v>
      </c>
      <c r="K250" s="3">
        <f t="shared" si="236"/>
        <v>9.0899647214875298E-2</v>
      </c>
      <c r="L250" s="3">
        <f t="shared" si="236"/>
        <v>9.0899644882931466E-2</v>
      </c>
      <c r="M250" s="3">
        <f t="shared" si="236"/>
        <v>9.0899621563496513E-2</v>
      </c>
      <c r="N250" s="3">
        <f t="shared" si="236"/>
        <v>9.0899388369476045E-2</v>
      </c>
      <c r="O250" s="3">
        <f t="shared" si="236"/>
        <v>9.0897056462174039E-2</v>
      </c>
      <c r="P250" s="3">
        <f t="shared" si="236"/>
        <v>9.0873740679115925E-2</v>
      </c>
      <c r="Q250" s="3">
        <f t="shared" si="236"/>
        <v>9.0640911532656951E-2</v>
      </c>
      <c r="R250" s="3">
        <f t="shared" si="236"/>
        <v>8.834517862270462E-2</v>
      </c>
      <c r="S250" s="3">
        <f t="shared" si="236"/>
        <v>6.8354756590513432E-2</v>
      </c>
      <c r="T250" s="3">
        <f t="shared" si="236"/>
        <v>5.2556643413626449E-3</v>
      </c>
      <c r="U250" s="3">
        <f t="shared" si="236"/>
        <v>3.7950405177857193E-14</v>
      </c>
      <c r="V250" s="3">
        <f t="shared" si="236"/>
        <v>1.4625286403119163E-125</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3.1881256705136286E-2</v>
      </c>
      <c r="C251" s="3">
        <f t="shared" si="237"/>
        <v>3.1881256705136286E-2</v>
      </c>
      <c r="D251" s="3">
        <f t="shared" si="237"/>
        <v>3.1881256705136286E-2</v>
      </c>
      <c r="E251" s="3">
        <f t="shared" si="237"/>
        <v>3.1881256705136279E-2</v>
      </c>
      <c r="F251" s="3">
        <f t="shared" si="237"/>
        <v>3.1881256705136203E-2</v>
      </c>
      <c r="G251" s="3">
        <f t="shared" si="237"/>
        <v>3.1881256705135468E-2</v>
      </c>
      <c r="H251" s="3">
        <f t="shared" si="237"/>
        <v>3.1881256705128092E-2</v>
      </c>
      <c r="I251" s="3">
        <f t="shared" si="237"/>
        <v>3.188125670505431E-2</v>
      </c>
      <c r="J251" s="3">
        <f t="shared" si="237"/>
        <v>3.1881256704316512E-2</v>
      </c>
      <c r="K251" s="3">
        <f t="shared" si="237"/>
        <v>3.1881256696938524E-2</v>
      </c>
      <c r="L251" s="3">
        <f t="shared" si="237"/>
        <v>3.1881256623158646E-2</v>
      </c>
      <c r="M251" s="3">
        <f t="shared" si="237"/>
        <v>3.1881255885359908E-2</v>
      </c>
      <c r="N251" s="3">
        <f t="shared" si="237"/>
        <v>3.188124850737345E-2</v>
      </c>
      <c r="O251" s="3">
        <f t="shared" si="237"/>
        <v>3.1881174727602782E-2</v>
      </c>
      <c r="P251" s="3">
        <f t="shared" si="237"/>
        <v>3.1880436939286792E-2</v>
      </c>
      <c r="Q251" s="3">
        <f t="shared" si="237"/>
        <v>3.1873059995118663E-2</v>
      </c>
      <c r="R251" s="3">
        <f t="shared" si="237"/>
        <v>3.1799384372258786E-2</v>
      </c>
      <c r="S251" s="3">
        <f t="shared" si="237"/>
        <v>3.1071930187621683E-2</v>
      </c>
      <c r="T251" s="3">
        <f t="shared" si="237"/>
        <v>2.4652640047690837E-2</v>
      </c>
      <c r="U251" s="3">
        <f t="shared" si="237"/>
        <v>2.4367751462175055E-3</v>
      </c>
      <c r="V251" s="3">
        <f t="shared" si="237"/>
        <v>2.1693802125852477E-13</v>
      </c>
      <c r="W251" s="3">
        <f t="shared" si="237"/>
        <v>6.7848125802836513E-114</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5.4295186308030693E-2</v>
      </c>
      <c r="C252" s="3">
        <f t="shared" si="238"/>
        <v>5.4295186308030693E-2</v>
      </c>
      <c r="D252" s="3">
        <f t="shared" si="238"/>
        <v>5.4295186308030693E-2</v>
      </c>
      <c r="E252" s="3">
        <f t="shared" si="238"/>
        <v>5.4295186308030693E-2</v>
      </c>
      <c r="F252" s="3">
        <f t="shared" si="238"/>
        <v>5.429518630803068E-2</v>
      </c>
      <c r="G252" s="3">
        <f t="shared" si="238"/>
        <v>5.4295186308030569E-2</v>
      </c>
      <c r="H252" s="3">
        <f t="shared" si="238"/>
        <v>5.4295186308029431E-2</v>
      </c>
      <c r="I252" s="3">
        <f t="shared" si="238"/>
        <v>5.4295186308018099E-2</v>
      </c>
      <c r="J252" s="3">
        <f t="shared" si="238"/>
        <v>5.4295186307904753E-2</v>
      </c>
      <c r="K252" s="3">
        <f t="shared" si="238"/>
        <v>5.4295186306771277E-2</v>
      </c>
      <c r="L252" s="3">
        <f t="shared" si="238"/>
        <v>5.4295186295436573E-2</v>
      </c>
      <c r="M252" s="3">
        <f t="shared" si="238"/>
        <v>5.4295186182089478E-2</v>
      </c>
      <c r="N252" s="3">
        <f t="shared" si="238"/>
        <v>5.4295185048618522E-2</v>
      </c>
      <c r="O252" s="3">
        <f t="shared" si="238"/>
        <v>5.4295173713910266E-2</v>
      </c>
      <c r="P252" s="3">
        <f t="shared" si="238"/>
        <v>5.429506036695788E-2</v>
      </c>
      <c r="Q252" s="3">
        <f t="shared" si="238"/>
        <v>5.4293926910448258E-2</v>
      </c>
      <c r="R252" s="3">
        <f t="shared" si="238"/>
        <v>5.4282593646674364E-2</v>
      </c>
      <c r="S252" s="3">
        <f t="shared" si="238"/>
        <v>5.4169391040711626E-2</v>
      </c>
      <c r="T252" s="3">
        <f t="shared" si="238"/>
        <v>5.3050268278576646E-2</v>
      </c>
      <c r="U252" s="3">
        <f t="shared" si="238"/>
        <v>4.305502994994314E-2</v>
      </c>
      <c r="V252" s="3">
        <f t="shared" si="238"/>
        <v>5.3381037135835285E-3</v>
      </c>
      <c r="W252" s="3">
        <f t="shared" si="238"/>
        <v>4.5816100710686334E-12</v>
      </c>
      <c r="X252" s="3">
        <f t="shared" si="238"/>
        <v>9.9386935144369179E-103</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5.1307510130975835E-2</v>
      </c>
      <c r="C253" s="3">
        <f t="shared" si="239"/>
        <v>5.1307510130975835E-2</v>
      </c>
      <c r="D253" s="3">
        <f t="shared" si="239"/>
        <v>5.1307510130975835E-2</v>
      </c>
      <c r="E253" s="3">
        <f t="shared" si="239"/>
        <v>5.1307510130975835E-2</v>
      </c>
      <c r="F253" s="3">
        <f t="shared" si="239"/>
        <v>5.1307510130975835E-2</v>
      </c>
      <c r="G253" s="3">
        <f t="shared" si="239"/>
        <v>5.1307510130975821E-2</v>
      </c>
      <c r="H253" s="3">
        <f t="shared" si="239"/>
        <v>5.1307510130975724E-2</v>
      </c>
      <c r="I253" s="3">
        <f t="shared" si="239"/>
        <v>5.1307510130974766E-2</v>
      </c>
      <c r="J253" s="3">
        <f t="shared" si="239"/>
        <v>5.13075101309651E-2</v>
      </c>
      <c r="K253" s="3">
        <f t="shared" si="239"/>
        <v>5.1307510130868476E-2</v>
      </c>
      <c r="L253" s="3">
        <f t="shared" si="239"/>
        <v>5.1307510129902256E-2</v>
      </c>
      <c r="M253" s="3">
        <f t="shared" si="239"/>
        <v>5.1307510120240041E-2</v>
      </c>
      <c r="N253" s="3">
        <f t="shared" si="239"/>
        <v>5.1307510023617914E-2</v>
      </c>
      <c r="O253" s="3">
        <f t="shared" si="239"/>
        <v>5.130750905739663E-2</v>
      </c>
      <c r="P253" s="3">
        <f t="shared" si="239"/>
        <v>5.1307499395184801E-2</v>
      </c>
      <c r="Q253" s="3">
        <f t="shared" si="239"/>
        <v>5.1307402773166609E-2</v>
      </c>
      <c r="R253" s="3">
        <f t="shared" si="239"/>
        <v>5.1306436562992302E-2</v>
      </c>
      <c r="S253" s="3">
        <f t="shared" si="239"/>
        <v>5.1296775461943292E-2</v>
      </c>
      <c r="T253" s="3">
        <f t="shared" si="239"/>
        <v>5.1200264451170957E-2</v>
      </c>
      <c r="U253" s="3">
        <f t="shared" si="239"/>
        <v>5.0245084986741531E-2</v>
      </c>
      <c r="V253" s="3">
        <f t="shared" si="239"/>
        <v>4.1620509785796733E-2</v>
      </c>
      <c r="W253" s="3">
        <f t="shared" si="239"/>
        <v>6.3306090925950454E-3</v>
      </c>
      <c r="X253" s="3">
        <f t="shared" si="239"/>
        <v>4.1959133966331197E-11</v>
      </c>
      <c r="Y253" s="3">
        <f t="shared" si="239"/>
        <v>6.8649393059618324E-93</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7.4663981933644916E-2</v>
      </c>
      <c r="C254" s="3">
        <f t="shared" si="240"/>
        <v>7.4663981933644916E-2</v>
      </c>
      <c r="D254" s="3">
        <f t="shared" si="240"/>
        <v>7.4663981933644916E-2</v>
      </c>
      <c r="E254" s="3">
        <f t="shared" si="240"/>
        <v>7.4663981933644916E-2</v>
      </c>
      <c r="F254" s="3">
        <f t="shared" si="240"/>
        <v>7.4663981933644916E-2</v>
      </c>
      <c r="G254" s="3">
        <f t="shared" si="240"/>
        <v>7.4663981933644916E-2</v>
      </c>
      <c r="H254" s="3">
        <f t="shared" si="240"/>
        <v>7.4663981933644902E-2</v>
      </c>
      <c r="I254" s="3">
        <f t="shared" si="240"/>
        <v>7.4663981933644777E-2</v>
      </c>
      <c r="J254" s="3">
        <f t="shared" si="240"/>
        <v>7.46639819336435E-2</v>
      </c>
      <c r="K254" s="3">
        <f t="shared" si="240"/>
        <v>7.466398193363083E-2</v>
      </c>
      <c r="L254" s="3">
        <f t="shared" si="240"/>
        <v>7.4663981933503987E-2</v>
      </c>
      <c r="M254" s="3">
        <f t="shared" si="240"/>
        <v>7.4663981932235585E-2</v>
      </c>
      <c r="N254" s="3">
        <f t="shared" si="240"/>
        <v>7.4663981919551675E-2</v>
      </c>
      <c r="O254" s="3">
        <f t="shared" si="240"/>
        <v>7.4663981792712497E-2</v>
      </c>
      <c r="P254" s="3">
        <f t="shared" si="240"/>
        <v>7.4663980524320772E-2</v>
      </c>
      <c r="Q254" s="3">
        <f t="shared" si="240"/>
        <v>7.4663967840404744E-2</v>
      </c>
      <c r="R254" s="3">
        <f t="shared" si="240"/>
        <v>7.4663841001362904E-2</v>
      </c>
      <c r="S254" s="3">
        <f t="shared" si="240"/>
        <v>7.4662572622795617E-2</v>
      </c>
      <c r="T254" s="3">
        <f t="shared" si="240"/>
        <v>7.4649890022149015E-2</v>
      </c>
      <c r="U254" s="3">
        <f t="shared" si="240"/>
        <v>7.452318244386924E-2</v>
      </c>
      <c r="V254" s="3">
        <f t="shared" si="240"/>
        <v>7.3267875377996589E-2</v>
      </c>
      <c r="W254" s="3">
        <f t="shared" si="240"/>
        <v>6.1820946628855428E-2</v>
      </c>
      <c r="X254" s="3">
        <f t="shared" si="240"/>
        <v>1.1307228775679811E-2</v>
      </c>
      <c r="Y254" s="3">
        <f t="shared" si="240"/>
        <v>4.7376335159921491E-10</v>
      </c>
      <c r="Z254" s="3">
        <f t="shared" si="240"/>
        <v>7.8997672289459076E-84</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9.0647969973627479E-2</v>
      </c>
      <c r="C255" s="3">
        <f t="shared" si="241"/>
        <v>9.0647969973627479E-2</v>
      </c>
      <c r="D255" s="3">
        <f t="shared" si="241"/>
        <v>9.0647969973627479E-2</v>
      </c>
      <c r="E255" s="3">
        <f t="shared" si="241"/>
        <v>9.0647969973627479E-2</v>
      </c>
      <c r="F255" s="3">
        <f t="shared" si="241"/>
        <v>9.0647969973627479E-2</v>
      </c>
      <c r="G255" s="3">
        <f t="shared" si="241"/>
        <v>9.0647969973627479E-2</v>
      </c>
      <c r="H255" s="3">
        <f t="shared" si="241"/>
        <v>9.0647969973627479E-2</v>
      </c>
      <c r="I255" s="3">
        <f t="shared" si="241"/>
        <v>9.0647969973627465E-2</v>
      </c>
      <c r="J255" s="3">
        <f t="shared" si="241"/>
        <v>9.0647969973627326E-2</v>
      </c>
      <c r="K255" s="3">
        <f t="shared" si="241"/>
        <v>9.0647969973625939E-2</v>
      </c>
      <c r="L255" s="3">
        <f t="shared" si="241"/>
        <v>9.0647969973612047E-2</v>
      </c>
      <c r="M255" s="3">
        <f t="shared" si="241"/>
        <v>9.064796997347313E-2</v>
      </c>
      <c r="N255" s="3">
        <f t="shared" si="241"/>
        <v>9.0647969972083992E-2</v>
      </c>
      <c r="O255" s="3">
        <f t="shared" si="241"/>
        <v>9.0647969958192562E-2</v>
      </c>
      <c r="P255" s="3">
        <f t="shared" si="241"/>
        <v>9.0647969819278265E-2</v>
      </c>
      <c r="Q255" s="3">
        <f t="shared" si="241"/>
        <v>9.0647968430135353E-2</v>
      </c>
      <c r="R255" s="3">
        <f t="shared" si="241"/>
        <v>9.0647954538707484E-2</v>
      </c>
      <c r="S255" s="3">
        <f t="shared" si="241"/>
        <v>9.0647815624545713E-2</v>
      </c>
      <c r="T255" s="3">
        <f t="shared" si="241"/>
        <v>9.0646426494636445E-2</v>
      </c>
      <c r="U255" s="3">
        <f t="shared" si="241"/>
        <v>9.0632536366312494E-2</v>
      </c>
      <c r="V255" s="3">
        <f t="shared" si="241"/>
        <v>9.0493752093586954E-2</v>
      </c>
      <c r="W255" s="3">
        <f t="shared" si="241"/>
        <v>8.9117544342698696E-2</v>
      </c>
      <c r="X255" s="3">
        <f t="shared" si="241"/>
        <v>7.6455611258096051E-2</v>
      </c>
      <c r="Y255" s="3">
        <f t="shared" si="241"/>
        <v>1.6514708181805521E-2</v>
      </c>
      <c r="Z255" s="3">
        <f t="shared" si="241"/>
        <v>3.6516260459125066E-9</v>
      </c>
      <c r="AA255" s="3">
        <f t="shared" si="241"/>
        <v>1.020094055815279E-75</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0.10513898706376987</v>
      </c>
      <c r="C256" s="3">
        <f t="shared" si="242"/>
        <v>0.10513898706376987</v>
      </c>
      <c r="D256" s="3">
        <f t="shared" si="242"/>
        <v>0.10513898706376987</v>
      </c>
      <c r="E256" s="3">
        <f t="shared" si="242"/>
        <v>0.10513898706376987</v>
      </c>
      <c r="F256" s="3">
        <f t="shared" si="242"/>
        <v>0.10513898706376987</v>
      </c>
      <c r="G256" s="3">
        <f t="shared" si="242"/>
        <v>0.10513898706376987</v>
      </c>
      <c r="H256" s="3">
        <f t="shared" si="242"/>
        <v>0.10513898706376987</v>
      </c>
      <c r="I256" s="3">
        <f t="shared" si="242"/>
        <v>0.10513898706376987</v>
      </c>
      <c r="J256" s="3">
        <f t="shared" si="242"/>
        <v>0.10513898706376985</v>
      </c>
      <c r="K256" s="3">
        <f t="shared" si="242"/>
        <v>0.1051389870637697</v>
      </c>
      <c r="L256" s="3">
        <f t="shared" si="242"/>
        <v>0.10513898706376826</v>
      </c>
      <c r="M256" s="3">
        <f t="shared" si="242"/>
        <v>0.10513898706375371</v>
      </c>
      <c r="N256" s="3">
        <f t="shared" si="242"/>
        <v>0.10513898706360837</v>
      </c>
      <c r="O256" s="3">
        <f t="shared" si="242"/>
        <v>0.10513898706215492</v>
      </c>
      <c r="P256" s="3">
        <f t="shared" si="242"/>
        <v>0.10513898704762045</v>
      </c>
      <c r="Q256" s="3">
        <f t="shared" si="242"/>
        <v>0.10513898690227574</v>
      </c>
      <c r="R256" s="3">
        <f t="shared" si="242"/>
        <v>0.10513898544882867</v>
      </c>
      <c r="S256" s="3">
        <f t="shared" si="242"/>
        <v>0.10513897091435902</v>
      </c>
      <c r="T256" s="3">
        <f t="shared" si="242"/>
        <v>0.10513882556977298</v>
      </c>
      <c r="U256" s="3">
        <f t="shared" si="242"/>
        <v>0.10513737213496344</v>
      </c>
      <c r="V256" s="3">
        <f t="shared" si="242"/>
        <v>0.10512283889189451</v>
      </c>
      <c r="W256" s="3">
        <f t="shared" si="242"/>
        <v>0.10497761690734961</v>
      </c>
      <c r="X256" s="3">
        <f t="shared" si="242"/>
        <v>0.10353638539253245</v>
      </c>
      <c r="Y256" s="3">
        <f t="shared" si="242"/>
        <v>9.0168717611896987E-2</v>
      </c>
      <c r="Z256" s="3">
        <f t="shared" si="242"/>
        <v>2.2630014594579435E-2</v>
      </c>
      <c r="AA256" s="3">
        <f t="shared" si="242"/>
        <v>2.2437488484565633E-8</v>
      </c>
      <c r="AB256" s="3">
        <f t="shared" si="242"/>
        <v>2.060005277349385E-68</v>
      </c>
      <c r="AC256" s="3">
        <f t="shared" si="242"/>
        <v>0</v>
      </c>
      <c r="AD256" s="3">
        <f t="shared" si="242"/>
        <v>0</v>
      </c>
      <c r="AE256" s="3">
        <f t="shared" si="242"/>
        <v>0</v>
      </c>
      <c r="AF256" s="3">
        <f t="shared" si="242"/>
        <v>0</v>
      </c>
      <c r="AG256" s="3"/>
      <c r="AH256" s="3"/>
    </row>
    <row r="257" spans="2:34" x14ac:dyDescent="0.25">
      <c r="B257" s="3">
        <f t="shared" ref="B257:AF257" si="243">$C26*EXP(-B$246/$A26/EXP(-$E$126))</f>
        <v>0.12480864845095105</v>
      </c>
      <c r="C257" s="3">
        <f t="shared" si="243"/>
        <v>0.12480864845095105</v>
      </c>
      <c r="D257" s="3">
        <f t="shared" si="243"/>
        <v>0.12480864845095105</v>
      </c>
      <c r="E257" s="3">
        <f t="shared" si="243"/>
        <v>0.12480864845095105</v>
      </c>
      <c r="F257" s="3">
        <f t="shared" si="243"/>
        <v>0.12480864845095105</v>
      </c>
      <c r="G257" s="3">
        <f t="shared" si="243"/>
        <v>0.12480864845095105</v>
      </c>
      <c r="H257" s="3">
        <f t="shared" si="243"/>
        <v>0.12480864845095105</v>
      </c>
      <c r="I257" s="3">
        <f t="shared" si="243"/>
        <v>0.12480864845095105</v>
      </c>
      <c r="J257" s="3">
        <f t="shared" si="243"/>
        <v>0.12480864845095105</v>
      </c>
      <c r="K257" s="3">
        <f t="shared" si="243"/>
        <v>0.12480864845095103</v>
      </c>
      <c r="L257" s="3">
        <f t="shared" si="243"/>
        <v>0.12480864845095088</v>
      </c>
      <c r="M257" s="3">
        <f t="shared" si="243"/>
        <v>0.12480864845094931</v>
      </c>
      <c r="N257" s="3">
        <f t="shared" si="243"/>
        <v>0.12480864845093376</v>
      </c>
      <c r="O257" s="3">
        <f t="shared" si="243"/>
        <v>0.12480864845077812</v>
      </c>
      <c r="P257" s="3">
        <f t="shared" si="243"/>
        <v>0.1248086484492217</v>
      </c>
      <c r="Q257" s="3">
        <f t="shared" si="243"/>
        <v>0.12480864843365751</v>
      </c>
      <c r="R257" s="3">
        <f t="shared" si="243"/>
        <v>0.12480864827801552</v>
      </c>
      <c r="S257" s="3">
        <f t="shared" si="243"/>
        <v>0.12480864672159588</v>
      </c>
      <c r="T257" s="3">
        <f t="shared" si="243"/>
        <v>0.12480863115740043</v>
      </c>
      <c r="U257" s="3">
        <f t="shared" si="243"/>
        <v>0.12480847551555276</v>
      </c>
      <c r="V257" s="3">
        <f t="shared" si="243"/>
        <v>0.12480691910775103</v>
      </c>
      <c r="W257" s="3">
        <f t="shared" si="243"/>
        <v>0.12479135609718782</v>
      </c>
      <c r="X257" s="3">
        <f t="shared" si="243"/>
        <v>0.12463583268771726</v>
      </c>
      <c r="Y257" s="3">
        <f t="shared" si="243"/>
        <v>0.12309121914265798</v>
      </c>
      <c r="Z257" s="3">
        <f t="shared" si="243"/>
        <v>0.10865972685629875</v>
      </c>
      <c r="AA257" s="3">
        <f t="shared" si="243"/>
        <v>3.1223671390452453E-2</v>
      </c>
      <c r="AB257" s="3">
        <f t="shared" si="243"/>
        <v>1.1984986630989213E-7</v>
      </c>
      <c r="AC257" s="3">
        <f t="shared" si="243"/>
        <v>8.3209596675801773E-62</v>
      </c>
      <c r="AD257" s="3">
        <f t="shared" si="243"/>
        <v>0</v>
      </c>
      <c r="AE257" s="3">
        <f t="shared" si="243"/>
        <v>0</v>
      </c>
      <c r="AF257" s="3">
        <f t="shared" si="243"/>
        <v>0</v>
      </c>
      <c r="AG257" s="3"/>
      <c r="AH257" s="3"/>
    </row>
    <row r="258" spans="2:34" x14ac:dyDescent="0.25">
      <c r="B258" s="3">
        <f t="shared" ref="B258:AF258" si="244">$C27*EXP(-B$246/$A27/EXP(-$E$126))</f>
        <v>8.8034867704118849E-2</v>
      </c>
      <c r="C258" s="3">
        <f t="shared" si="244"/>
        <v>8.8034867704118849E-2</v>
      </c>
      <c r="D258" s="3">
        <f t="shared" si="244"/>
        <v>8.8034867704118849E-2</v>
      </c>
      <c r="E258" s="3">
        <f t="shared" si="244"/>
        <v>8.8034867704118849E-2</v>
      </c>
      <c r="F258" s="3">
        <f t="shared" si="244"/>
        <v>8.8034867704118849E-2</v>
      </c>
      <c r="G258" s="3">
        <f t="shared" si="244"/>
        <v>8.8034867704118849E-2</v>
      </c>
      <c r="H258" s="3">
        <f t="shared" si="244"/>
        <v>8.8034867704118849E-2</v>
      </c>
      <c r="I258" s="3">
        <f t="shared" si="244"/>
        <v>8.8034867704118849E-2</v>
      </c>
      <c r="J258" s="3">
        <f t="shared" si="244"/>
        <v>8.8034867704118849E-2</v>
      </c>
      <c r="K258" s="3">
        <f t="shared" si="244"/>
        <v>8.8034867704118849E-2</v>
      </c>
      <c r="L258" s="3">
        <f t="shared" si="244"/>
        <v>8.8034867704118835E-2</v>
      </c>
      <c r="M258" s="3">
        <f t="shared" si="244"/>
        <v>8.8034867704118738E-2</v>
      </c>
      <c r="N258" s="3">
        <f t="shared" si="244"/>
        <v>8.8034867704117739E-2</v>
      </c>
      <c r="O258" s="3">
        <f t="shared" si="244"/>
        <v>8.8034867704107844E-2</v>
      </c>
      <c r="P258" s="3">
        <f t="shared" si="244"/>
        <v>8.8034867704008812E-2</v>
      </c>
      <c r="Q258" s="3">
        <f t="shared" si="244"/>
        <v>8.8034867703018466E-2</v>
      </c>
      <c r="R258" s="3">
        <f t="shared" si="244"/>
        <v>8.8034867693115096E-2</v>
      </c>
      <c r="S258" s="3">
        <f t="shared" si="244"/>
        <v>8.8034867594081329E-2</v>
      </c>
      <c r="T258" s="3">
        <f t="shared" si="244"/>
        <v>8.8034866603743572E-2</v>
      </c>
      <c r="U258" s="3">
        <f t="shared" si="244"/>
        <v>8.8034856700366718E-2</v>
      </c>
      <c r="V258" s="3">
        <f t="shared" si="244"/>
        <v>8.8034757666659469E-2</v>
      </c>
      <c r="W258" s="3">
        <f t="shared" si="244"/>
        <v>8.8033767335714344E-2</v>
      </c>
      <c r="X258" s="3">
        <f t="shared" si="244"/>
        <v>8.8023864638972452E-2</v>
      </c>
      <c r="Y258" s="3">
        <f t="shared" si="244"/>
        <v>8.7924898917000893E-2</v>
      </c>
      <c r="Z258" s="3">
        <f t="shared" si="244"/>
        <v>8.6941340826532335E-2</v>
      </c>
      <c r="AA258" s="3">
        <f t="shared" si="244"/>
        <v>7.7691032553154765E-2</v>
      </c>
      <c r="AB258" s="3">
        <f t="shared" si="244"/>
        <v>2.5224147160075833E-2</v>
      </c>
      <c r="AC258" s="3">
        <f t="shared" si="244"/>
        <v>3.2830120085542387E-7</v>
      </c>
      <c r="AD258" s="3">
        <f t="shared" si="244"/>
        <v>4.5796498023169075E-56</v>
      </c>
      <c r="AE258" s="3">
        <f t="shared" si="244"/>
        <v>0</v>
      </c>
      <c r="AF258" s="3">
        <f t="shared" si="244"/>
        <v>0</v>
      </c>
      <c r="AG258" s="3"/>
      <c r="AH258" s="3"/>
    </row>
    <row r="259" spans="2:34" x14ac:dyDescent="0.25">
      <c r="B259" s="3">
        <f t="shared" ref="B259:AF259" si="245">$C28*EXP(-B$246/$A28/EXP(-$E$126))</f>
        <v>5.3040160566801761E-2</v>
      </c>
      <c r="C259" s="3">
        <f t="shared" si="245"/>
        <v>5.3040160566801761E-2</v>
      </c>
      <c r="D259" s="3">
        <f t="shared" si="245"/>
        <v>5.3040160566801761E-2</v>
      </c>
      <c r="E259" s="3">
        <f t="shared" si="245"/>
        <v>5.3040160566801761E-2</v>
      </c>
      <c r="F259" s="3">
        <f t="shared" si="245"/>
        <v>5.3040160566801761E-2</v>
      </c>
      <c r="G259" s="3">
        <f t="shared" si="245"/>
        <v>5.3040160566801761E-2</v>
      </c>
      <c r="H259" s="3">
        <f t="shared" si="245"/>
        <v>5.3040160566801761E-2</v>
      </c>
      <c r="I259" s="3">
        <f t="shared" si="245"/>
        <v>5.3040160566801761E-2</v>
      </c>
      <c r="J259" s="3">
        <f t="shared" si="245"/>
        <v>5.3040160566801761E-2</v>
      </c>
      <c r="K259" s="3">
        <f t="shared" si="245"/>
        <v>5.3040160566801761E-2</v>
      </c>
      <c r="L259" s="3">
        <f t="shared" si="245"/>
        <v>5.3040160566801761E-2</v>
      </c>
      <c r="M259" s="3">
        <f t="shared" si="245"/>
        <v>5.3040160566801754E-2</v>
      </c>
      <c r="N259" s="3">
        <f t="shared" si="245"/>
        <v>5.3040160566801706E-2</v>
      </c>
      <c r="O259" s="3">
        <f t="shared" si="245"/>
        <v>5.3040160566801157E-2</v>
      </c>
      <c r="P259" s="3">
        <f t="shared" si="245"/>
        <v>5.304016056679578E-2</v>
      </c>
      <c r="Q259" s="3">
        <f t="shared" si="245"/>
        <v>5.3040160566741955E-2</v>
      </c>
      <c r="R259" s="3">
        <f t="shared" si="245"/>
        <v>5.3040160566203712E-2</v>
      </c>
      <c r="S259" s="3">
        <f t="shared" si="245"/>
        <v>5.304016056082126E-2</v>
      </c>
      <c r="T259" s="3">
        <f t="shared" si="245"/>
        <v>5.3040160506996753E-2</v>
      </c>
      <c r="U259" s="3">
        <f t="shared" si="245"/>
        <v>5.3040159968751714E-2</v>
      </c>
      <c r="V259" s="3">
        <f t="shared" si="245"/>
        <v>5.3040154586301597E-2</v>
      </c>
      <c r="W259" s="3">
        <f t="shared" si="245"/>
        <v>5.3040100761830467E-2</v>
      </c>
      <c r="X259" s="3">
        <f t="shared" si="245"/>
        <v>5.3039562520123318E-2</v>
      </c>
      <c r="Y259" s="3">
        <f t="shared" si="245"/>
        <v>5.3034180403451738E-2</v>
      </c>
      <c r="Z259" s="3">
        <f t="shared" si="245"/>
        <v>5.298038926545251E-2</v>
      </c>
      <c r="AA259" s="3">
        <f t="shared" si="245"/>
        <v>5.2445469512730061E-2</v>
      </c>
      <c r="AB259" s="3">
        <f t="shared" si="245"/>
        <v>4.7384500434026318E-2</v>
      </c>
      <c r="AC259" s="3">
        <f t="shared" si="245"/>
        <v>1.7175903517625421E-2</v>
      </c>
      <c r="AD259" s="3">
        <f t="shared" si="245"/>
        <v>6.7259316179491903E-7</v>
      </c>
      <c r="AE259" s="3">
        <f t="shared" si="245"/>
        <v>5.7027062908457604E-51</v>
      </c>
      <c r="AF259" s="3">
        <f t="shared" si="245"/>
        <v>0</v>
      </c>
      <c r="AG259" s="3"/>
      <c r="AH259" s="3"/>
    </row>
    <row r="260" spans="2:34" x14ac:dyDescent="0.25">
      <c r="B260" s="3">
        <f t="shared" ref="B260:AF260" si="246">$C29*EXP(-B$246/$A29/EXP(-$E$126))</f>
        <v>2.9418988584786216E-2</v>
      </c>
      <c r="C260" s="3">
        <f t="shared" si="246"/>
        <v>2.9418988584786216E-2</v>
      </c>
      <c r="D260" s="3">
        <f t="shared" si="246"/>
        <v>2.9418988584786216E-2</v>
      </c>
      <c r="E260" s="3">
        <f t="shared" si="246"/>
        <v>2.9418988584786216E-2</v>
      </c>
      <c r="F260" s="3">
        <f t="shared" si="246"/>
        <v>2.9418988584786216E-2</v>
      </c>
      <c r="G260" s="3">
        <f t="shared" si="246"/>
        <v>2.9418988584786216E-2</v>
      </c>
      <c r="H260" s="3">
        <f t="shared" si="246"/>
        <v>2.9418988584786216E-2</v>
      </c>
      <c r="I260" s="3">
        <f t="shared" si="246"/>
        <v>2.9418988584786216E-2</v>
      </c>
      <c r="J260" s="3">
        <f t="shared" si="246"/>
        <v>2.9418988584786216E-2</v>
      </c>
      <c r="K260" s="3">
        <f t="shared" si="246"/>
        <v>2.9418988584786216E-2</v>
      </c>
      <c r="L260" s="3">
        <f t="shared" si="246"/>
        <v>2.9418988584786216E-2</v>
      </c>
      <c r="M260" s="3">
        <f t="shared" si="246"/>
        <v>2.9418988584786216E-2</v>
      </c>
      <c r="N260" s="3">
        <f t="shared" si="246"/>
        <v>2.9418988584786213E-2</v>
      </c>
      <c r="O260" s="3">
        <f t="shared" si="246"/>
        <v>2.9418988584786188E-2</v>
      </c>
      <c r="P260" s="3">
        <f t="shared" si="246"/>
        <v>2.9418988584785914E-2</v>
      </c>
      <c r="Q260" s="3">
        <f t="shared" si="246"/>
        <v>2.9418988584783225E-2</v>
      </c>
      <c r="R260" s="3">
        <f t="shared" si="246"/>
        <v>2.9418988584756292E-2</v>
      </c>
      <c r="S260" s="3">
        <f t="shared" si="246"/>
        <v>2.9418988584486983E-2</v>
      </c>
      <c r="T260" s="3">
        <f t="shared" si="246"/>
        <v>2.9418988581793905E-2</v>
      </c>
      <c r="U260" s="3">
        <f t="shared" si="246"/>
        <v>2.9418988554863086E-2</v>
      </c>
      <c r="V260" s="3">
        <f t="shared" si="246"/>
        <v>2.941898828555491E-2</v>
      </c>
      <c r="W260" s="3">
        <f t="shared" si="246"/>
        <v>2.9418985592473298E-2</v>
      </c>
      <c r="X260" s="3">
        <f t="shared" si="246"/>
        <v>2.9418958661670727E-2</v>
      </c>
      <c r="Y260" s="3">
        <f t="shared" si="246"/>
        <v>2.9418689355000936E-2</v>
      </c>
      <c r="Z260" s="3">
        <f t="shared" si="246"/>
        <v>2.9415996423889926E-2</v>
      </c>
      <c r="AA260" s="3">
        <f t="shared" si="246"/>
        <v>2.9389080666877104E-2</v>
      </c>
      <c r="AB260" s="3">
        <f t="shared" si="246"/>
        <v>2.9121273926836496E-2</v>
      </c>
      <c r="AC260" s="3">
        <f t="shared" si="246"/>
        <v>2.6573824070140632E-2</v>
      </c>
      <c r="AD260" s="3">
        <f t="shared" si="246"/>
        <v>1.0638757628925338E-2</v>
      </c>
      <c r="AE260" s="3">
        <f t="shared" si="246"/>
        <v>1.1252771750533376E-6</v>
      </c>
      <c r="AF260" s="3">
        <f t="shared" si="246"/>
        <v>1.9721750410646127E-46</v>
      </c>
      <c r="AG260" s="3"/>
      <c r="AH260" s="3"/>
    </row>
    <row r="261" spans="2:34" x14ac:dyDescent="0.25">
      <c r="B261" s="3">
        <f t="shared" ref="B261:AF261" si="247">$C30*EXP(-B$246/$A30/EXP(-$E$126))</f>
        <v>6.3753391533418529E-3</v>
      </c>
      <c r="C261" s="3">
        <f t="shared" si="247"/>
        <v>6.3753391533418529E-3</v>
      </c>
      <c r="D261" s="3">
        <f t="shared" si="247"/>
        <v>6.3753391533418529E-3</v>
      </c>
      <c r="E261" s="3">
        <f t="shared" si="247"/>
        <v>6.3753391533418529E-3</v>
      </c>
      <c r="F261" s="3">
        <f t="shared" si="247"/>
        <v>6.3753391533418529E-3</v>
      </c>
      <c r="G261" s="3">
        <f t="shared" si="247"/>
        <v>6.3753391533418529E-3</v>
      </c>
      <c r="H261" s="3">
        <f t="shared" si="247"/>
        <v>6.3753391533418529E-3</v>
      </c>
      <c r="I261" s="3">
        <f t="shared" si="247"/>
        <v>6.3753391533418529E-3</v>
      </c>
      <c r="J261" s="3">
        <f t="shared" si="247"/>
        <v>6.3753391533418529E-3</v>
      </c>
      <c r="K261" s="3">
        <f t="shared" si="247"/>
        <v>6.3753391533418529E-3</v>
      </c>
      <c r="L261" s="3">
        <f t="shared" si="247"/>
        <v>6.3753391533418529E-3</v>
      </c>
      <c r="M261" s="3">
        <f t="shared" si="247"/>
        <v>6.3753391533418529E-3</v>
      </c>
      <c r="N261" s="3">
        <f t="shared" si="247"/>
        <v>6.3753391533418529E-3</v>
      </c>
      <c r="O261" s="3">
        <f t="shared" si="247"/>
        <v>6.3753391533418521E-3</v>
      </c>
      <c r="P261" s="3">
        <f t="shared" si="247"/>
        <v>6.3753391533418469E-3</v>
      </c>
      <c r="Q261" s="3">
        <f t="shared" si="247"/>
        <v>6.375339153341794E-3</v>
      </c>
      <c r="R261" s="3">
        <f t="shared" si="247"/>
        <v>6.3753391533412683E-3</v>
      </c>
      <c r="S261" s="3">
        <f t="shared" si="247"/>
        <v>6.3753391533360034E-3</v>
      </c>
      <c r="T261" s="3">
        <f t="shared" si="247"/>
        <v>6.3753391532833563E-3</v>
      </c>
      <c r="U261" s="3">
        <f t="shared" si="247"/>
        <v>6.3753391527568894E-3</v>
      </c>
      <c r="V261" s="3">
        <f t="shared" si="247"/>
        <v>6.3753391474922127E-3</v>
      </c>
      <c r="W261" s="3">
        <f t="shared" si="247"/>
        <v>6.375339094845449E-3</v>
      </c>
      <c r="X261" s="3">
        <f t="shared" si="247"/>
        <v>6.3753385683778304E-3</v>
      </c>
      <c r="Y261" s="3">
        <f t="shared" si="247"/>
        <v>6.3753333037040441E-3</v>
      </c>
      <c r="Z261" s="3">
        <f t="shared" si="247"/>
        <v>6.3752806572052951E-3</v>
      </c>
      <c r="AA261" s="3">
        <f t="shared" si="247"/>
        <v>6.3747542161282618E-3</v>
      </c>
      <c r="AB261" s="3">
        <f t="shared" si="247"/>
        <v>6.3694921956740343E-3</v>
      </c>
      <c r="AC261" s="3">
        <f t="shared" si="247"/>
        <v>6.3171102940120377E-3</v>
      </c>
      <c r="AD261" s="3">
        <f t="shared" si="247"/>
        <v>5.8164092557770322E-3</v>
      </c>
      <c r="AE261" s="3">
        <f t="shared" si="247"/>
        <v>2.5469471309917408E-3</v>
      </c>
      <c r="AF261" s="3">
        <f t="shared" si="247"/>
        <v>6.6019109484218785E-7</v>
      </c>
      <c r="AG261" s="3"/>
      <c r="AH261" s="3"/>
    </row>
    <row r="262" spans="2:34" x14ac:dyDescent="0.25">
      <c r="B262" s="3">
        <f t="shared" ref="B262:AF262" si="248">$C31*EXP(-B$246/$A31/EXP(-$E$126))</f>
        <v>3.2709514210797811E-3</v>
      </c>
      <c r="C262" s="3">
        <f t="shared" si="248"/>
        <v>3.2709514210797811E-3</v>
      </c>
      <c r="D262" s="3">
        <f t="shared" si="248"/>
        <v>3.2709514210797811E-3</v>
      </c>
      <c r="E262" s="3">
        <f t="shared" si="248"/>
        <v>3.2709514210797811E-3</v>
      </c>
      <c r="F262" s="3">
        <f t="shared" si="248"/>
        <v>3.2709514210797811E-3</v>
      </c>
      <c r="G262" s="3">
        <f t="shared" si="248"/>
        <v>3.2709514210797811E-3</v>
      </c>
      <c r="H262" s="3">
        <f t="shared" si="248"/>
        <v>3.2709514210797811E-3</v>
      </c>
      <c r="I262" s="3">
        <f t="shared" si="248"/>
        <v>3.2709514210797811E-3</v>
      </c>
      <c r="J262" s="3">
        <f t="shared" si="248"/>
        <v>3.2709514210797811E-3</v>
      </c>
      <c r="K262" s="3">
        <f t="shared" si="248"/>
        <v>3.2709514210797811E-3</v>
      </c>
      <c r="L262" s="3">
        <f t="shared" si="248"/>
        <v>3.2709514210797811E-3</v>
      </c>
      <c r="M262" s="3">
        <f t="shared" si="248"/>
        <v>3.2709514210797811E-3</v>
      </c>
      <c r="N262" s="3">
        <f t="shared" si="248"/>
        <v>3.2709514210797811E-3</v>
      </c>
      <c r="O262" s="3">
        <f t="shared" si="248"/>
        <v>3.2709514210797811E-3</v>
      </c>
      <c r="P262" s="3">
        <f t="shared" si="248"/>
        <v>3.2709514210797807E-3</v>
      </c>
      <c r="Q262" s="3">
        <f t="shared" si="248"/>
        <v>3.2709514210797785E-3</v>
      </c>
      <c r="R262" s="3">
        <f t="shared" si="248"/>
        <v>3.2709514210797538E-3</v>
      </c>
      <c r="S262" s="3">
        <f t="shared" si="248"/>
        <v>3.27095142107951E-3</v>
      </c>
      <c r="T262" s="3">
        <f t="shared" si="248"/>
        <v>3.2709514210770736E-3</v>
      </c>
      <c r="U262" s="3">
        <f t="shared" si="248"/>
        <v>3.2709514210527073E-3</v>
      </c>
      <c r="V262" s="3">
        <f t="shared" si="248"/>
        <v>3.270951420809045E-3</v>
      </c>
      <c r="W262" s="3">
        <f t="shared" si="248"/>
        <v>3.2709514183724172E-3</v>
      </c>
      <c r="X262" s="3">
        <f t="shared" si="248"/>
        <v>3.2709513940061465E-3</v>
      </c>
      <c r="Y262" s="3">
        <f t="shared" si="248"/>
        <v>3.2709511503434432E-3</v>
      </c>
      <c r="Z262" s="3">
        <f t="shared" si="248"/>
        <v>3.2709487137174116E-3</v>
      </c>
      <c r="AA262" s="3">
        <f t="shared" si="248"/>
        <v>3.270924347556927E-3</v>
      </c>
      <c r="AB262" s="3">
        <f t="shared" si="248"/>
        <v>3.2706806959349045E-3</v>
      </c>
      <c r="AC262" s="3">
        <f t="shared" si="248"/>
        <v>3.2682451777220661E-3</v>
      </c>
      <c r="AD262" s="3">
        <f t="shared" si="248"/>
        <v>3.2439895218049574E-3</v>
      </c>
      <c r="AE262" s="3">
        <f t="shared" si="248"/>
        <v>3.0111166463207125E-3</v>
      </c>
      <c r="AF262" s="3">
        <f t="shared" si="248"/>
        <v>1.4295816008666957E-3</v>
      </c>
      <c r="AG262" s="3"/>
      <c r="AH262" s="3"/>
    </row>
    <row r="263" spans="2:34" x14ac:dyDescent="0.25">
      <c r="B263" s="3">
        <f t="shared" ref="B263:AF263" si="249">$C32*EXP(-B$246/$A32/EXP(-$E$126))</f>
        <v>1.2755053961347703E-3</v>
      </c>
      <c r="C263" s="3">
        <f t="shared" si="249"/>
        <v>1.2755053961347703E-3</v>
      </c>
      <c r="D263" s="3">
        <f t="shared" si="249"/>
        <v>1.2755053961347703E-3</v>
      </c>
      <c r="E263" s="3">
        <f t="shared" si="249"/>
        <v>1.2755053961347703E-3</v>
      </c>
      <c r="F263" s="3">
        <f t="shared" si="249"/>
        <v>1.2755053961347703E-3</v>
      </c>
      <c r="G263" s="3">
        <f t="shared" si="249"/>
        <v>1.2755053961347703E-3</v>
      </c>
      <c r="H263" s="3">
        <f t="shared" si="249"/>
        <v>1.2755053961347703E-3</v>
      </c>
      <c r="I263" s="3">
        <f t="shared" si="249"/>
        <v>1.2755053961347703E-3</v>
      </c>
      <c r="J263" s="3">
        <f t="shared" si="249"/>
        <v>1.2755053961347703E-3</v>
      </c>
      <c r="K263" s="3">
        <f t="shared" si="249"/>
        <v>1.2755053961347703E-3</v>
      </c>
      <c r="L263" s="3">
        <f t="shared" si="249"/>
        <v>1.2755053961347703E-3</v>
      </c>
      <c r="M263" s="3">
        <f t="shared" si="249"/>
        <v>1.2755053961347703E-3</v>
      </c>
      <c r="N263" s="3">
        <f t="shared" si="249"/>
        <v>1.2755053961347703E-3</v>
      </c>
      <c r="O263" s="3">
        <f t="shared" si="249"/>
        <v>1.2755053961347703E-3</v>
      </c>
      <c r="P263" s="3">
        <f t="shared" si="249"/>
        <v>1.2755053961347703E-3</v>
      </c>
      <c r="Q263" s="3">
        <f t="shared" si="249"/>
        <v>1.2755053961347701E-3</v>
      </c>
      <c r="R263" s="3">
        <f t="shared" si="249"/>
        <v>1.2755053961347692E-3</v>
      </c>
      <c r="S263" s="3">
        <f t="shared" si="249"/>
        <v>1.2755053961347608E-3</v>
      </c>
      <c r="T263" s="3">
        <f t="shared" si="249"/>
        <v>1.2755053961346749E-3</v>
      </c>
      <c r="U263" s="3">
        <f t="shared" si="249"/>
        <v>1.2755053961338179E-3</v>
      </c>
      <c r="V263" s="3">
        <f t="shared" si="249"/>
        <v>1.2755053961252467E-3</v>
      </c>
      <c r="W263" s="3">
        <f t="shared" si="249"/>
        <v>1.2755053960395342E-3</v>
      </c>
      <c r="X263" s="3">
        <f t="shared" si="249"/>
        <v>1.2755053951824099E-3</v>
      </c>
      <c r="Y263" s="3">
        <f t="shared" si="249"/>
        <v>1.2755053866111655E-3</v>
      </c>
      <c r="Z263" s="3">
        <f t="shared" si="249"/>
        <v>1.275505300898726E-3</v>
      </c>
      <c r="AA263" s="3">
        <f t="shared" si="249"/>
        <v>1.2755044437746464E-3</v>
      </c>
      <c r="AB263" s="3">
        <f t="shared" si="249"/>
        <v>1.2754958725655311E-3</v>
      </c>
      <c r="AC263" s="3">
        <f t="shared" si="249"/>
        <v>1.275410163642165E-3</v>
      </c>
      <c r="AD263" s="3">
        <f t="shared" si="249"/>
        <v>1.2745533911085794E-3</v>
      </c>
      <c r="AE263" s="3">
        <f t="shared" si="249"/>
        <v>1.2660172571785707E-3</v>
      </c>
      <c r="AF263" s="3">
        <f t="shared" si="249"/>
        <v>1.1837379029074591E-3</v>
      </c>
      <c r="AG263" s="3"/>
      <c r="AH263" s="3"/>
    </row>
    <row r="264" spans="2:34" x14ac:dyDescent="0.25">
      <c r="B264" s="3">
        <f t="shared" ref="B264:AF264" si="250">$C33*EXP(-B$246/$A33/EXP(-$E$126))</f>
        <v>0</v>
      </c>
      <c r="C264" s="3">
        <f t="shared" si="250"/>
        <v>0</v>
      </c>
      <c r="D264" s="3">
        <f t="shared" si="250"/>
        <v>0</v>
      </c>
      <c r="E264" s="3">
        <f t="shared" si="250"/>
        <v>0</v>
      </c>
      <c r="F264" s="3">
        <f t="shared" si="250"/>
        <v>0</v>
      </c>
      <c r="G264" s="3">
        <f t="shared" si="250"/>
        <v>0</v>
      </c>
      <c r="H264" s="3">
        <f t="shared" si="250"/>
        <v>0</v>
      </c>
      <c r="I264" s="3">
        <f t="shared" si="250"/>
        <v>0</v>
      </c>
      <c r="J264" s="3">
        <f t="shared" si="250"/>
        <v>0</v>
      </c>
      <c r="K264" s="3">
        <f t="shared" si="250"/>
        <v>0</v>
      </c>
      <c r="L264" s="3">
        <f t="shared" si="250"/>
        <v>0</v>
      </c>
      <c r="M264" s="3">
        <f t="shared" si="250"/>
        <v>0</v>
      </c>
      <c r="N264" s="3">
        <f t="shared" si="250"/>
        <v>0</v>
      </c>
      <c r="O264" s="3">
        <f t="shared" si="250"/>
        <v>0</v>
      </c>
      <c r="P264" s="3">
        <f t="shared" si="250"/>
        <v>0</v>
      </c>
      <c r="Q264" s="3">
        <f t="shared" si="250"/>
        <v>0</v>
      </c>
      <c r="R264" s="3">
        <f t="shared" si="250"/>
        <v>0</v>
      </c>
      <c r="S264" s="3">
        <f t="shared" si="250"/>
        <v>0</v>
      </c>
      <c r="T264" s="3">
        <f t="shared" si="250"/>
        <v>0</v>
      </c>
      <c r="U264" s="3">
        <f t="shared" si="250"/>
        <v>0</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1.0163894385292978E-5</v>
      </c>
      <c r="C265" s="3">
        <f t="shared" si="251"/>
        <v>1.0163894385292978E-5</v>
      </c>
      <c r="D265" s="3">
        <f t="shared" si="251"/>
        <v>1.0163894385292978E-5</v>
      </c>
      <c r="E265" s="3">
        <f t="shared" si="251"/>
        <v>1.0163894385292978E-5</v>
      </c>
      <c r="F265" s="3">
        <f t="shared" si="251"/>
        <v>1.0163894385292978E-5</v>
      </c>
      <c r="G265" s="3">
        <f t="shared" si="251"/>
        <v>1.0163894385292978E-5</v>
      </c>
      <c r="H265" s="3">
        <f t="shared" si="251"/>
        <v>1.0163894385292978E-5</v>
      </c>
      <c r="I265" s="3">
        <f t="shared" si="251"/>
        <v>1.0163894385292978E-5</v>
      </c>
      <c r="J265" s="3">
        <f t="shared" si="251"/>
        <v>1.0163894385292978E-5</v>
      </c>
      <c r="K265" s="3">
        <f t="shared" si="251"/>
        <v>1.0163894385292978E-5</v>
      </c>
      <c r="L265" s="3">
        <f t="shared" si="251"/>
        <v>1.0163894385292978E-5</v>
      </c>
      <c r="M265" s="3">
        <f t="shared" si="251"/>
        <v>1.0163894385292978E-5</v>
      </c>
      <c r="N265" s="3">
        <f t="shared" si="251"/>
        <v>1.0163894385292978E-5</v>
      </c>
      <c r="O265" s="3">
        <f t="shared" si="251"/>
        <v>1.0163894385292978E-5</v>
      </c>
      <c r="P265" s="3">
        <f t="shared" si="251"/>
        <v>1.0163894385292978E-5</v>
      </c>
      <c r="Q265" s="3">
        <f t="shared" si="251"/>
        <v>1.0163894385292978E-5</v>
      </c>
      <c r="R265" s="3">
        <f t="shared" si="251"/>
        <v>1.0163894385292978E-5</v>
      </c>
      <c r="S265" s="3">
        <f t="shared" si="251"/>
        <v>1.0163894385292976E-5</v>
      </c>
      <c r="T265" s="3">
        <f t="shared" si="251"/>
        <v>1.0163894385292973E-5</v>
      </c>
      <c r="U265" s="3">
        <f t="shared" si="251"/>
        <v>1.0163894385292915E-5</v>
      </c>
      <c r="V265" s="3">
        <f t="shared" si="251"/>
        <v>1.0163894385292362E-5</v>
      </c>
      <c r="W265" s="3">
        <f t="shared" si="251"/>
        <v>1.0163894385286802E-5</v>
      </c>
      <c r="X265" s="3">
        <f t="shared" si="251"/>
        <v>1.0163894385231223E-5</v>
      </c>
      <c r="Y265" s="3">
        <f t="shared" si="251"/>
        <v>1.0163894384675428E-5</v>
      </c>
      <c r="Z265" s="3">
        <f t="shared" si="251"/>
        <v>1.0163894379117474E-5</v>
      </c>
      <c r="AA265" s="3">
        <f t="shared" si="251"/>
        <v>1.0163894323537941E-5</v>
      </c>
      <c r="AB265" s="3">
        <f t="shared" si="251"/>
        <v>1.0163893767742622E-5</v>
      </c>
      <c r="AC265" s="3">
        <f t="shared" si="251"/>
        <v>1.0163888209791099E-5</v>
      </c>
      <c r="AD265" s="3">
        <f t="shared" si="251"/>
        <v>1.0163832630443041E-5</v>
      </c>
      <c r="AE265" s="3">
        <f t="shared" si="251"/>
        <v>1.0163276853678088E-5</v>
      </c>
      <c r="AF265" s="3">
        <f t="shared" si="251"/>
        <v>1.0157720757252741E-5</v>
      </c>
      <c r="AG265" s="3"/>
      <c r="AH265" s="3"/>
    </row>
    <row r="266" spans="2:34" x14ac:dyDescent="0.25">
      <c r="B266" s="3">
        <f t="shared" ref="B266:AF266" si="252">$C35*EXP(-B$246/$A35/EXP(-$E$126))</f>
        <v>2.5019775067814324E-5</v>
      </c>
      <c r="C266" s="3">
        <f t="shared" si="252"/>
        <v>2.5019775067814324E-5</v>
      </c>
      <c r="D266" s="3">
        <f t="shared" si="252"/>
        <v>2.5019775067814324E-5</v>
      </c>
      <c r="E266" s="3">
        <f t="shared" si="252"/>
        <v>2.5019775067814324E-5</v>
      </c>
      <c r="F266" s="3">
        <f t="shared" si="252"/>
        <v>2.5019775067814324E-5</v>
      </c>
      <c r="G266" s="3">
        <f t="shared" si="252"/>
        <v>2.5019775067814324E-5</v>
      </c>
      <c r="H266" s="3">
        <f t="shared" si="252"/>
        <v>2.5019775067814324E-5</v>
      </c>
      <c r="I266" s="3">
        <f t="shared" si="252"/>
        <v>2.5019775067814324E-5</v>
      </c>
      <c r="J266" s="3">
        <f t="shared" si="252"/>
        <v>2.5019775067814324E-5</v>
      </c>
      <c r="K266" s="3">
        <f t="shared" si="252"/>
        <v>2.5019775067814324E-5</v>
      </c>
      <c r="L266" s="3">
        <f t="shared" si="252"/>
        <v>2.5019775067814324E-5</v>
      </c>
      <c r="M266" s="3">
        <f t="shared" si="252"/>
        <v>2.5019775067814324E-5</v>
      </c>
      <c r="N266" s="3">
        <f t="shared" si="252"/>
        <v>2.5019775067814324E-5</v>
      </c>
      <c r="O266" s="3">
        <f t="shared" si="252"/>
        <v>2.5019775067814324E-5</v>
      </c>
      <c r="P266" s="3">
        <f t="shared" si="252"/>
        <v>2.5019775067814324E-5</v>
      </c>
      <c r="Q266" s="3">
        <f t="shared" si="252"/>
        <v>2.5019775067814324E-5</v>
      </c>
      <c r="R266" s="3">
        <f t="shared" si="252"/>
        <v>2.5019775067814324E-5</v>
      </c>
      <c r="S266" s="3">
        <f t="shared" si="252"/>
        <v>2.5019775067814324E-5</v>
      </c>
      <c r="T266" s="3">
        <f t="shared" si="252"/>
        <v>2.5019775067814324E-5</v>
      </c>
      <c r="U266" s="3">
        <f t="shared" si="252"/>
        <v>2.501977506781431E-5</v>
      </c>
      <c r="V266" s="3">
        <f t="shared" si="252"/>
        <v>2.5019775067814188E-5</v>
      </c>
      <c r="W266" s="3">
        <f t="shared" si="252"/>
        <v>2.5019775067812952E-5</v>
      </c>
      <c r="X266" s="3">
        <f t="shared" si="252"/>
        <v>2.5019775067800609E-5</v>
      </c>
      <c r="Y266" s="3">
        <f t="shared" si="252"/>
        <v>2.5019775067677193E-5</v>
      </c>
      <c r="Z266" s="3">
        <f t="shared" si="252"/>
        <v>2.5019775066442995E-5</v>
      </c>
      <c r="AA266" s="3">
        <f t="shared" si="252"/>
        <v>2.5019775054101016E-5</v>
      </c>
      <c r="AB266" s="3">
        <f t="shared" si="252"/>
        <v>2.5019774930681242E-5</v>
      </c>
      <c r="AC266" s="3">
        <f t="shared" si="252"/>
        <v>2.5019773696483537E-5</v>
      </c>
      <c r="AD266" s="3">
        <f t="shared" si="252"/>
        <v>2.5019761354509828E-5</v>
      </c>
      <c r="AE266" s="3">
        <f t="shared" si="252"/>
        <v>2.501963793510758E-5</v>
      </c>
      <c r="AF266" s="3">
        <f t="shared" si="252"/>
        <v>2.5018403774569325E-5</v>
      </c>
      <c r="AG266" s="3"/>
      <c r="AH266" s="3"/>
    </row>
    <row r="267" spans="2:34" x14ac:dyDescent="0.25">
      <c r="B267" s="3">
        <f t="shared" ref="B267:AF267" si="253">$C36*EXP(-B$246/$A36/EXP(-$E$126))</f>
        <v>2.3706614690246962E-5</v>
      </c>
      <c r="C267" s="3">
        <f t="shared" si="253"/>
        <v>2.3706614690246962E-5</v>
      </c>
      <c r="D267" s="3">
        <f t="shared" si="253"/>
        <v>2.3706614690246962E-5</v>
      </c>
      <c r="E267" s="3">
        <f t="shared" si="253"/>
        <v>2.3706614690246962E-5</v>
      </c>
      <c r="F267" s="3">
        <f t="shared" si="253"/>
        <v>2.3706614690246962E-5</v>
      </c>
      <c r="G267" s="3">
        <f t="shared" si="253"/>
        <v>2.3706614690246962E-5</v>
      </c>
      <c r="H267" s="3">
        <f t="shared" si="253"/>
        <v>2.3706614690246962E-5</v>
      </c>
      <c r="I267" s="3">
        <f t="shared" si="253"/>
        <v>2.3706614690246962E-5</v>
      </c>
      <c r="J267" s="3">
        <f t="shared" si="253"/>
        <v>2.3706614690246962E-5</v>
      </c>
      <c r="K267" s="3">
        <f t="shared" si="253"/>
        <v>2.3706614690246962E-5</v>
      </c>
      <c r="L267" s="3">
        <f t="shared" si="253"/>
        <v>2.3706614690246962E-5</v>
      </c>
      <c r="M267" s="3">
        <f t="shared" si="253"/>
        <v>2.3706614690246962E-5</v>
      </c>
      <c r="N267" s="3">
        <f t="shared" si="253"/>
        <v>2.3706614690246962E-5</v>
      </c>
      <c r="O267" s="3">
        <f t="shared" si="253"/>
        <v>2.3706614690246962E-5</v>
      </c>
      <c r="P267" s="3">
        <f t="shared" si="253"/>
        <v>2.3706614690246962E-5</v>
      </c>
      <c r="Q267" s="3">
        <f t="shared" si="253"/>
        <v>2.3706614690246962E-5</v>
      </c>
      <c r="R267" s="3">
        <f t="shared" si="253"/>
        <v>2.3706614690246962E-5</v>
      </c>
      <c r="S267" s="3">
        <f t="shared" si="253"/>
        <v>2.3706614690246962E-5</v>
      </c>
      <c r="T267" s="3">
        <f t="shared" si="253"/>
        <v>2.3706614690246962E-5</v>
      </c>
      <c r="U267" s="3">
        <f t="shared" si="253"/>
        <v>2.3706614690246962E-5</v>
      </c>
      <c r="V267" s="3">
        <f t="shared" si="253"/>
        <v>2.3706614690246951E-5</v>
      </c>
      <c r="W267" s="3">
        <f t="shared" si="253"/>
        <v>2.3706614690246843E-5</v>
      </c>
      <c r="X267" s="3">
        <f t="shared" si="253"/>
        <v>2.3706614690245789E-5</v>
      </c>
      <c r="Y267" s="3">
        <f t="shared" si="253"/>
        <v>2.3706614690235242E-5</v>
      </c>
      <c r="Z267" s="3">
        <f t="shared" si="253"/>
        <v>2.3706614690129749E-5</v>
      </c>
      <c r="AA267" s="3">
        <f t="shared" si="253"/>
        <v>2.3706614689074834E-5</v>
      </c>
      <c r="AB267" s="3">
        <f t="shared" si="253"/>
        <v>2.3706614678525682E-5</v>
      </c>
      <c r="AC267" s="3">
        <f t="shared" si="253"/>
        <v>2.370661457303418E-5</v>
      </c>
      <c r="AD267" s="3">
        <f t="shared" si="253"/>
        <v>2.3706613518119181E-5</v>
      </c>
      <c r="AE267" s="3">
        <f t="shared" si="253"/>
        <v>2.370660296897178E-5</v>
      </c>
      <c r="AF267" s="3">
        <f t="shared" si="253"/>
        <v>2.3706497477755929E-5</v>
      </c>
      <c r="AG267" s="3"/>
      <c r="AH267" s="3"/>
    </row>
    <row r="268" spans="2:34" x14ac:dyDescent="0.25">
      <c r="B268" s="3">
        <f t="shared" ref="B268:AF268" si="254">$C37*EXP(-B$246/$A37/EXP(-$E$126))</f>
        <v>3.9478614411466939E-5</v>
      </c>
      <c r="C268" s="3">
        <f t="shared" si="254"/>
        <v>3.9478614411466939E-5</v>
      </c>
      <c r="D268" s="3">
        <f t="shared" si="254"/>
        <v>3.9478614411466939E-5</v>
      </c>
      <c r="E268" s="3">
        <f t="shared" si="254"/>
        <v>3.9478614411466939E-5</v>
      </c>
      <c r="F268" s="3">
        <f t="shared" si="254"/>
        <v>3.9478614411466939E-5</v>
      </c>
      <c r="G268" s="3">
        <f t="shared" si="254"/>
        <v>3.9478614411466939E-5</v>
      </c>
      <c r="H268" s="3">
        <f t="shared" si="254"/>
        <v>3.9478614411466939E-5</v>
      </c>
      <c r="I268" s="3">
        <f t="shared" si="254"/>
        <v>3.9478614411466939E-5</v>
      </c>
      <c r="J268" s="3">
        <f t="shared" si="254"/>
        <v>3.9478614411466939E-5</v>
      </c>
      <c r="K268" s="3">
        <f t="shared" si="254"/>
        <v>3.9478614411466939E-5</v>
      </c>
      <c r="L268" s="3">
        <f t="shared" si="254"/>
        <v>3.9478614411466939E-5</v>
      </c>
      <c r="M268" s="3">
        <f t="shared" si="254"/>
        <v>3.9478614411466939E-5</v>
      </c>
      <c r="N268" s="3">
        <f t="shared" si="254"/>
        <v>3.9478614411466939E-5</v>
      </c>
      <c r="O268" s="3">
        <f t="shared" si="254"/>
        <v>3.9478614411466939E-5</v>
      </c>
      <c r="P268" s="3">
        <f t="shared" si="254"/>
        <v>3.9478614411466939E-5</v>
      </c>
      <c r="Q268" s="3">
        <f t="shared" si="254"/>
        <v>3.9478614411466939E-5</v>
      </c>
      <c r="R268" s="3">
        <f t="shared" si="254"/>
        <v>3.9478614411466939E-5</v>
      </c>
      <c r="S268" s="3">
        <f t="shared" si="254"/>
        <v>3.9478614411466939E-5</v>
      </c>
      <c r="T268" s="3">
        <f t="shared" si="254"/>
        <v>3.9478614411466939E-5</v>
      </c>
      <c r="U268" s="3">
        <f t="shared" si="254"/>
        <v>3.9478614411466939E-5</v>
      </c>
      <c r="V268" s="3">
        <f t="shared" si="254"/>
        <v>3.9478614411466939E-5</v>
      </c>
      <c r="W268" s="3">
        <f t="shared" si="254"/>
        <v>3.9478614411466918E-5</v>
      </c>
      <c r="X268" s="3">
        <f t="shared" si="254"/>
        <v>3.9478614411466763E-5</v>
      </c>
      <c r="Y268" s="3">
        <f t="shared" si="254"/>
        <v>3.9478614411465177E-5</v>
      </c>
      <c r="Z268" s="3">
        <f t="shared" si="254"/>
        <v>3.9478614411449334E-5</v>
      </c>
      <c r="AA268" s="3">
        <f t="shared" si="254"/>
        <v>3.9478614411290858E-5</v>
      </c>
      <c r="AB268" s="3">
        <f t="shared" si="254"/>
        <v>3.947861440970612E-5</v>
      </c>
      <c r="AC268" s="3">
        <f t="shared" si="254"/>
        <v>3.9478614393858777E-5</v>
      </c>
      <c r="AD268" s="3">
        <f t="shared" si="254"/>
        <v>3.9478614235385364E-5</v>
      </c>
      <c r="AE268" s="3">
        <f t="shared" si="254"/>
        <v>3.9478612650651196E-5</v>
      </c>
      <c r="AF268" s="3">
        <f t="shared" si="254"/>
        <v>3.9478596803313085E-5</v>
      </c>
      <c r="AG268" s="3"/>
      <c r="AH268" s="3"/>
    </row>
    <row r="269" spans="2:34" x14ac:dyDescent="0.25">
      <c r="B269" s="3">
        <f t="shared" ref="B269:AF269" si="255">$C38*EXP(-B$246/$A38/EXP(-$E$126))</f>
        <v>0</v>
      </c>
      <c r="C269" s="3">
        <f t="shared" si="255"/>
        <v>0</v>
      </c>
      <c r="D269" s="3">
        <f t="shared" si="255"/>
        <v>0</v>
      </c>
      <c r="E269" s="3">
        <f t="shared" si="255"/>
        <v>0</v>
      </c>
      <c r="F269" s="3">
        <f t="shared" si="255"/>
        <v>0</v>
      </c>
      <c r="G269" s="3">
        <f t="shared" si="255"/>
        <v>0</v>
      </c>
      <c r="H269" s="3">
        <f t="shared" si="255"/>
        <v>0</v>
      </c>
      <c r="I269" s="3">
        <f t="shared" si="255"/>
        <v>0</v>
      </c>
      <c r="J269" s="3">
        <f t="shared" si="255"/>
        <v>0</v>
      </c>
      <c r="K269" s="3">
        <f t="shared" si="255"/>
        <v>0</v>
      </c>
      <c r="L269" s="3">
        <f t="shared" si="255"/>
        <v>0</v>
      </c>
      <c r="M269" s="3">
        <f t="shared" si="255"/>
        <v>0</v>
      </c>
      <c r="N269" s="3">
        <f t="shared" si="255"/>
        <v>0</v>
      </c>
      <c r="O269" s="3">
        <f t="shared" si="255"/>
        <v>0</v>
      </c>
      <c r="P269" s="3">
        <f t="shared" si="255"/>
        <v>0</v>
      </c>
      <c r="Q269" s="3">
        <f t="shared" si="255"/>
        <v>0</v>
      </c>
      <c r="R269" s="3">
        <f t="shared" si="255"/>
        <v>0</v>
      </c>
      <c r="S269" s="3">
        <f t="shared" si="255"/>
        <v>0</v>
      </c>
      <c r="T269" s="3">
        <f t="shared" si="255"/>
        <v>0</v>
      </c>
      <c r="U269" s="3">
        <f t="shared" si="255"/>
        <v>0</v>
      </c>
      <c r="V269" s="3">
        <f t="shared" si="255"/>
        <v>0</v>
      </c>
      <c r="W269" s="3">
        <f t="shared" si="255"/>
        <v>0</v>
      </c>
      <c r="X269" s="3">
        <f t="shared" si="255"/>
        <v>0</v>
      </c>
      <c r="Y269" s="3">
        <f t="shared" si="255"/>
        <v>0</v>
      </c>
      <c r="Z269" s="3">
        <f t="shared" si="255"/>
        <v>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6.5441532530599776E-5</v>
      </c>
      <c r="C270" s="3">
        <f t="shared" si="256"/>
        <v>6.5441532530599776E-5</v>
      </c>
      <c r="D270" s="3">
        <f t="shared" si="256"/>
        <v>6.5441532530599776E-5</v>
      </c>
      <c r="E270" s="3">
        <f t="shared" si="256"/>
        <v>6.5441532530599776E-5</v>
      </c>
      <c r="F270" s="3">
        <f t="shared" si="256"/>
        <v>6.5441532530599776E-5</v>
      </c>
      <c r="G270" s="3">
        <f t="shared" si="256"/>
        <v>6.5441532530599776E-5</v>
      </c>
      <c r="H270" s="3">
        <f t="shared" si="256"/>
        <v>6.5441532530599776E-5</v>
      </c>
      <c r="I270" s="3">
        <f t="shared" si="256"/>
        <v>6.5441532530599776E-5</v>
      </c>
      <c r="J270" s="3">
        <f t="shared" si="256"/>
        <v>6.5441532530599776E-5</v>
      </c>
      <c r="K270" s="3">
        <f t="shared" si="256"/>
        <v>6.5441532530599776E-5</v>
      </c>
      <c r="L270" s="3">
        <f t="shared" si="256"/>
        <v>6.5441532530599776E-5</v>
      </c>
      <c r="M270" s="3">
        <f t="shared" si="256"/>
        <v>6.5441532530599776E-5</v>
      </c>
      <c r="N270" s="3">
        <f t="shared" si="256"/>
        <v>6.5441532530599776E-5</v>
      </c>
      <c r="O270" s="3">
        <f t="shared" si="256"/>
        <v>6.5441532530599776E-5</v>
      </c>
      <c r="P270" s="3">
        <f t="shared" si="256"/>
        <v>6.5441532530599776E-5</v>
      </c>
      <c r="Q270" s="3">
        <f t="shared" si="256"/>
        <v>6.5441532530599776E-5</v>
      </c>
      <c r="R270" s="3">
        <f t="shared" si="256"/>
        <v>6.5441532530599776E-5</v>
      </c>
      <c r="S270" s="3">
        <f t="shared" si="256"/>
        <v>6.5441532530599776E-5</v>
      </c>
      <c r="T270" s="3">
        <f t="shared" si="256"/>
        <v>6.5441532530599776E-5</v>
      </c>
      <c r="U270" s="3">
        <f t="shared" si="256"/>
        <v>6.5441532530599776E-5</v>
      </c>
      <c r="V270" s="3">
        <f t="shared" si="256"/>
        <v>6.5441532530599776E-5</v>
      </c>
      <c r="W270" s="3">
        <f t="shared" si="256"/>
        <v>6.5441532530599776E-5</v>
      </c>
      <c r="X270" s="3">
        <f t="shared" si="256"/>
        <v>6.5441532530599762E-5</v>
      </c>
      <c r="Y270" s="3">
        <f t="shared" si="256"/>
        <v>6.5441532530599708E-5</v>
      </c>
      <c r="Z270" s="3">
        <f t="shared" si="256"/>
        <v>6.5441532530599044E-5</v>
      </c>
      <c r="AA270" s="3">
        <f t="shared" si="256"/>
        <v>6.5441532530592498E-5</v>
      </c>
      <c r="AB270" s="3">
        <f t="shared" si="256"/>
        <v>6.5441532530526958E-5</v>
      </c>
      <c r="AC270" s="3">
        <f t="shared" si="256"/>
        <v>6.5441532529871544E-5</v>
      </c>
      <c r="AD270" s="3">
        <f t="shared" si="256"/>
        <v>6.5441532523317542E-5</v>
      </c>
      <c r="AE270" s="3">
        <f t="shared" si="256"/>
        <v>6.5441532457777385E-5</v>
      </c>
      <c r="AF270" s="3">
        <f t="shared" si="256"/>
        <v>6.5441531802375871E-5</v>
      </c>
      <c r="AG270" s="3"/>
      <c r="AH270" s="3"/>
    </row>
    <row r="271" spans="2:34" x14ac:dyDescent="0.25">
      <c r="B271" s="3">
        <f t="shared" ref="B271:AF271" si="257">$C40*EXP(-B$246/$A40/EXP(-$E$126))</f>
        <v>9.072554140189839E-6</v>
      </c>
      <c r="C271" s="3">
        <f t="shared" si="257"/>
        <v>9.072554140189839E-6</v>
      </c>
      <c r="D271" s="3">
        <f t="shared" si="257"/>
        <v>9.072554140189839E-6</v>
      </c>
      <c r="E271" s="3">
        <f t="shared" si="257"/>
        <v>9.072554140189839E-6</v>
      </c>
      <c r="F271" s="3">
        <f t="shared" si="257"/>
        <v>9.072554140189839E-6</v>
      </c>
      <c r="G271" s="3">
        <f t="shared" si="257"/>
        <v>9.072554140189839E-6</v>
      </c>
      <c r="H271" s="3">
        <f t="shared" si="257"/>
        <v>9.072554140189839E-6</v>
      </c>
      <c r="I271" s="3">
        <f t="shared" si="257"/>
        <v>9.072554140189839E-6</v>
      </c>
      <c r="J271" s="3">
        <f t="shared" si="257"/>
        <v>9.072554140189839E-6</v>
      </c>
      <c r="K271" s="3">
        <f t="shared" si="257"/>
        <v>9.072554140189839E-6</v>
      </c>
      <c r="L271" s="3">
        <f t="shared" si="257"/>
        <v>9.072554140189839E-6</v>
      </c>
      <c r="M271" s="3">
        <f t="shared" si="257"/>
        <v>9.072554140189839E-6</v>
      </c>
      <c r="N271" s="3">
        <f t="shared" si="257"/>
        <v>9.072554140189839E-6</v>
      </c>
      <c r="O271" s="3">
        <f t="shared" si="257"/>
        <v>9.072554140189839E-6</v>
      </c>
      <c r="P271" s="3">
        <f t="shared" si="257"/>
        <v>9.072554140189839E-6</v>
      </c>
      <c r="Q271" s="3">
        <f t="shared" si="257"/>
        <v>9.072554140189839E-6</v>
      </c>
      <c r="R271" s="3">
        <f t="shared" si="257"/>
        <v>9.072554140189839E-6</v>
      </c>
      <c r="S271" s="3">
        <f t="shared" si="257"/>
        <v>9.072554140189839E-6</v>
      </c>
      <c r="T271" s="3">
        <f t="shared" si="257"/>
        <v>9.072554140189839E-6</v>
      </c>
      <c r="U271" s="3">
        <f t="shared" si="257"/>
        <v>9.072554140189839E-6</v>
      </c>
      <c r="V271" s="3">
        <f t="shared" si="257"/>
        <v>9.072554140189839E-6</v>
      </c>
      <c r="W271" s="3">
        <f t="shared" si="257"/>
        <v>9.072554140189839E-6</v>
      </c>
      <c r="X271" s="3">
        <f t="shared" si="257"/>
        <v>9.072554140189839E-6</v>
      </c>
      <c r="Y271" s="3">
        <f t="shared" si="257"/>
        <v>9.0725541401898373E-6</v>
      </c>
      <c r="Z271" s="3">
        <f t="shared" si="257"/>
        <v>9.0725541401898288E-6</v>
      </c>
      <c r="AA271" s="3">
        <f t="shared" si="257"/>
        <v>9.072554140189739E-6</v>
      </c>
      <c r="AB271" s="3">
        <f t="shared" si="257"/>
        <v>9.0725541401888293E-6</v>
      </c>
      <c r="AC271" s="3">
        <f t="shared" si="257"/>
        <v>9.072554140179744E-6</v>
      </c>
      <c r="AD271" s="3">
        <f t="shared" si="257"/>
        <v>9.0725541400888811E-6</v>
      </c>
      <c r="AE271" s="3">
        <f t="shared" si="257"/>
        <v>9.0725541391802587E-6</v>
      </c>
      <c r="AF271" s="3">
        <f t="shared" si="257"/>
        <v>9.0725541300940313E-6</v>
      </c>
      <c r="AG271" s="3"/>
      <c r="AH271" s="3"/>
    </row>
    <row r="272" spans="2:34" x14ac:dyDescent="0.25">
      <c r="B272" s="3">
        <f t="shared" ref="B272:AF272" si="258">$C41*EXP(-B$246/$A41/EXP(-$E$126))</f>
        <v>3.4648583404177175E-7</v>
      </c>
      <c r="C272" s="3">
        <f t="shared" si="258"/>
        <v>3.4648583404177175E-7</v>
      </c>
      <c r="D272" s="3">
        <f t="shared" si="258"/>
        <v>3.4648583404177175E-7</v>
      </c>
      <c r="E272" s="3">
        <f t="shared" si="258"/>
        <v>3.4648583404177175E-7</v>
      </c>
      <c r="F272" s="3">
        <f t="shared" si="258"/>
        <v>3.4648583404177175E-7</v>
      </c>
      <c r="G272" s="3">
        <f t="shared" si="258"/>
        <v>3.4648583404177175E-7</v>
      </c>
      <c r="H272" s="3">
        <f t="shared" si="258"/>
        <v>3.4648583404177175E-7</v>
      </c>
      <c r="I272" s="3">
        <f t="shared" si="258"/>
        <v>3.4648583404177175E-7</v>
      </c>
      <c r="J272" s="3">
        <f t="shared" si="258"/>
        <v>3.4648583404177175E-7</v>
      </c>
      <c r="K272" s="3">
        <f t="shared" si="258"/>
        <v>3.4648583404177175E-7</v>
      </c>
      <c r="L272" s="3">
        <f t="shared" si="258"/>
        <v>3.4648583404177175E-7</v>
      </c>
      <c r="M272" s="3">
        <f t="shared" si="258"/>
        <v>3.4648583404177175E-7</v>
      </c>
      <c r="N272" s="3">
        <f t="shared" si="258"/>
        <v>3.4648583404177175E-7</v>
      </c>
      <c r="O272" s="3">
        <f t="shared" si="258"/>
        <v>3.4648583404177175E-7</v>
      </c>
      <c r="P272" s="3">
        <f t="shared" si="258"/>
        <v>3.4648583404177175E-7</v>
      </c>
      <c r="Q272" s="3">
        <f t="shared" si="258"/>
        <v>3.4648583404177175E-7</v>
      </c>
      <c r="R272" s="3">
        <f t="shared" si="258"/>
        <v>3.4648583404177175E-7</v>
      </c>
      <c r="S272" s="3">
        <f t="shared" si="258"/>
        <v>3.4648583404177175E-7</v>
      </c>
      <c r="T272" s="3">
        <f t="shared" si="258"/>
        <v>3.4648583404177175E-7</v>
      </c>
      <c r="U272" s="3">
        <f t="shared" si="258"/>
        <v>3.4648583404177175E-7</v>
      </c>
      <c r="V272" s="3">
        <f t="shared" si="258"/>
        <v>3.4648583404177175E-7</v>
      </c>
      <c r="W272" s="3">
        <f t="shared" si="258"/>
        <v>3.4648583404177175E-7</v>
      </c>
      <c r="X272" s="3">
        <f t="shared" si="258"/>
        <v>3.4648583404177175E-7</v>
      </c>
      <c r="Y272" s="3">
        <f t="shared" si="258"/>
        <v>3.4648583404177175E-7</v>
      </c>
      <c r="Z272" s="3">
        <f t="shared" si="258"/>
        <v>3.464858340417717E-7</v>
      </c>
      <c r="AA272" s="3">
        <f t="shared" si="258"/>
        <v>3.4648583404177138E-7</v>
      </c>
      <c r="AB272" s="3">
        <f t="shared" si="258"/>
        <v>3.4648583404176789E-7</v>
      </c>
      <c r="AC272" s="3">
        <f t="shared" si="258"/>
        <v>3.4648583404173321E-7</v>
      </c>
      <c r="AD272" s="3">
        <f t="shared" si="258"/>
        <v>3.4648583404138619E-7</v>
      </c>
      <c r="AE272" s="3">
        <f t="shared" si="258"/>
        <v>3.4648583403791611E-7</v>
      </c>
      <c r="AF272" s="3">
        <f t="shared" si="258"/>
        <v>3.4648583400321529E-7</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2.6390969703261771E-3</v>
      </c>
      <c r="C279" s="3">
        <f t="shared" si="265"/>
        <v>2.6390969703261771E-3</v>
      </c>
      <c r="D279" s="3">
        <f t="shared" si="265"/>
        <v>2.6390969703261771E-3</v>
      </c>
      <c r="E279" s="3">
        <f t="shared" si="265"/>
        <v>2.6390969703261771E-3</v>
      </c>
      <c r="F279" s="3">
        <f t="shared" si="265"/>
        <v>2.6390969703261771E-3</v>
      </c>
      <c r="G279" s="3">
        <f t="shared" si="265"/>
        <v>2.6390969703261771E-3</v>
      </c>
      <c r="H279" s="3">
        <f t="shared" si="265"/>
        <v>2.6390969703261771E-3</v>
      </c>
      <c r="I279" s="3">
        <f t="shared" si="265"/>
        <v>2.6390969703261771E-3</v>
      </c>
      <c r="J279" s="3">
        <f t="shared" si="265"/>
        <v>2.6390969703261771E-3</v>
      </c>
      <c r="K279" s="3">
        <f t="shared" si="265"/>
        <v>2.6390969703261771E-3</v>
      </c>
      <c r="L279" s="3">
        <f t="shared" si="265"/>
        <v>2.6390969703261771E-3</v>
      </c>
      <c r="M279" s="3">
        <f t="shared" si="265"/>
        <v>2.6390969703261771E-3</v>
      </c>
      <c r="N279" s="3">
        <f t="shared" si="265"/>
        <v>2.6390969703261771E-3</v>
      </c>
      <c r="O279" s="3">
        <f t="shared" si="265"/>
        <v>2.6390969703261771E-3</v>
      </c>
      <c r="P279" s="3">
        <f t="shared" si="265"/>
        <v>2.6390969703261771E-3</v>
      </c>
      <c r="Q279" s="3">
        <f t="shared" si="265"/>
        <v>2.6390969703261771E-3</v>
      </c>
      <c r="R279" s="3">
        <f t="shared" si="265"/>
        <v>2.6390969703261771E-3</v>
      </c>
      <c r="S279" s="3">
        <f t="shared" si="265"/>
        <v>2.6390969703261771E-3</v>
      </c>
      <c r="T279" s="3">
        <f t="shared" si="265"/>
        <v>2.6390969703261771E-3</v>
      </c>
      <c r="U279" s="3">
        <f t="shared" si="265"/>
        <v>2.6390969703261771E-3</v>
      </c>
      <c r="V279" s="3">
        <f t="shared" si="265"/>
        <v>2.6390969703261771E-3</v>
      </c>
      <c r="W279" s="3">
        <f t="shared" si="265"/>
        <v>2.6390969703261771E-3</v>
      </c>
      <c r="X279" s="3">
        <f t="shared" si="265"/>
        <v>2.6390969703261771E-3</v>
      </c>
      <c r="Y279" s="3">
        <f t="shared" si="265"/>
        <v>2.6390969703261771E-3</v>
      </c>
      <c r="Z279" s="3">
        <f t="shared" si="265"/>
        <v>2.6390969703261771E-3</v>
      </c>
      <c r="AA279" s="3">
        <f t="shared" si="265"/>
        <v>2.6390969703261771E-3</v>
      </c>
      <c r="AB279" s="3">
        <f t="shared" si="265"/>
        <v>2.6390969703261771E-3</v>
      </c>
      <c r="AC279" s="3">
        <f t="shared" si="265"/>
        <v>2.6390969703261771E-3</v>
      </c>
      <c r="AD279" s="3">
        <f t="shared" si="265"/>
        <v>2.6390969703261771E-3</v>
      </c>
      <c r="AE279" s="3">
        <f t="shared" si="265"/>
        <v>2.6390969703261771E-3</v>
      </c>
      <c r="AF279" s="3">
        <f t="shared" si="265"/>
        <v>2.6390969703261771E-3</v>
      </c>
      <c r="AG279" s="3"/>
      <c r="AH279" s="3"/>
    </row>
    <row r="280" spans="1:34" x14ac:dyDescent="0.25">
      <c r="A280" s="79">
        <f>AVERAGE(B280:AF280)</f>
        <v>2.825644486184322E-2</v>
      </c>
      <c r="B280" s="80">
        <f>IF($D$61&lt;=B246,IF($E$61&gt;=B246,ABS((B248-B247)/B247),0),0)</f>
        <v>1.0331035653548587E-3</v>
      </c>
      <c r="C280" s="80">
        <f t="shared" ref="C280:AF280" si="266">IF($D$61&lt;=C246,IF($E$61&gt;=C246,ABS((C248-C247)/C247),0),0)</f>
        <v>1.0269020356702388E-3</v>
      </c>
      <c r="D280" s="80">
        <f t="shared" si="266"/>
        <v>1.0306905448811974E-3</v>
      </c>
      <c r="E280" s="80">
        <f t="shared" si="266"/>
        <v>1.0318342184465314E-3</v>
      </c>
      <c r="F280" s="80">
        <f t="shared" si="266"/>
        <v>1.0321658417005428E-3</v>
      </c>
      <c r="G280" s="80">
        <f t="shared" si="266"/>
        <v>1.0321407130645891E-3</v>
      </c>
      <c r="H280" s="80">
        <f t="shared" si="266"/>
        <v>1.0308084068995208E-3</v>
      </c>
      <c r="I280" s="80">
        <f t="shared" si="266"/>
        <v>1.0169304732567791E-3</v>
      </c>
      <c r="J280" s="80">
        <f t="shared" si="266"/>
        <v>8.7821996015614574E-4</v>
      </c>
      <c r="K280" s="80">
        <f t="shared" si="266"/>
        <v>5.0222003906647092E-4</v>
      </c>
      <c r="L280" s="80">
        <f t="shared" si="266"/>
        <v>1.3667670369601074E-2</v>
      </c>
      <c r="M280" s="80">
        <f t="shared" si="266"/>
        <v>9.5065339018314682E-2</v>
      </c>
      <c r="N280" s="80">
        <f t="shared" si="266"/>
        <v>0.13244208115262754</v>
      </c>
      <c r="O280" s="80">
        <f t="shared" si="266"/>
        <v>0.10801975063406204</v>
      </c>
      <c r="P280" s="80">
        <f t="shared" si="266"/>
        <v>7.7322593674591628E-2</v>
      </c>
      <c r="Q280" s="80">
        <f t="shared" si="266"/>
        <v>4.2755045635931035E-2</v>
      </c>
      <c r="R280" s="80">
        <f t="shared" si="266"/>
        <v>1.0203147126870726E-3</v>
      </c>
      <c r="S280" s="80">
        <f t="shared" si="266"/>
        <v>3.506642054285964E-2</v>
      </c>
      <c r="T280" s="80">
        <f t="shared" si="266"/>
        <v>1.6023290976675084E-2</v>
      </c>
      <c r="U280" s="80">
        <f t="shared" si="266"/>
        <v>4.3388935383696807E-2</v>
      </c>
      <c r="V280" s="80">
        <f t="shared" si="266"/>
        <v>5.7091807496377649E-2</v>
      </c>
      <c r="W280" s="80">
        <f t="shared" si="266"/>
        <v>7.1728494749576252E-2</v>
      </c>
      <c r="X280" s="80">
        <f t="shared" si="266"/>
        <v>8.2186322932775904E-2</v>
      </c>
      <c r="Y280" s="80">
        <f t="shared" si="266"/>
        <v>9.0556707638866529E-2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37.459327200295917</v>
      </c>
      <c r="C281" s="21">
        <f t="shared" ref="C281:AF281" si="267">(C248-C247)^2</f>
        <v>37.011412749974021</v>
      </c>
      <c r="D281" s="21">
        <f t="shared" si="267"/>
        <v>37.284723761330589</v>
      </c>
      <c r="E281" s="21">
        <f t="shared" si="267"/>
        <v>37.367427811849097</v>
      </c>
      <c r="F281" s="21">
        <f t="shared" si="267"/>
        <v>37.39142477987582</v>
      </c>
      <c r="G281" s="21">
        <f t="shared" si="267"/>
        <v>37.389593034464447</v>
      </c>
      <c r="H281" s="21">
        <f t="shared" si="267"/>
        <v>37.293098436205014</v>
      </c>
      <c r="I281" s="21">
        <f t="shared" si="267"/>
        <v>36.295435457474618</v>
      </c>
      <c r="J281" s="21">
        <f t="shared" si="267"/>
        <v>27.067326174233362</v>
      </c>
      <c r="K281" s="21">
        <f t="shared" si="267"/>
        <v>8.8454804130945721</v>
      </c>
      <c r="L281" s="21">
        <f t="shared" si="267"/>
        <v>6508.2923400883601</v>
      </c>
      <c r="M281" s="21">
        <f t="shared" si="267"/>
        <v>302842.52482919628</v>
      </c>
      <c r="N281" s="21">
        <f t="shared" si="267"/>
        <v>559503.37228585803</v>
      </c>
      <c r="O281" s="21">
        <f t="shared" si="267"/>
        <v>352077.53018300614</v>
      </c>
      <c r="P281" s="21">
        <f t="shared" si="267"/>
        <v>168589.3282709234</v>
      </c>
      <c r="Q281" s="21">
        <f t="shared" si="267"/>
        <v>47862.09680026304</v>
      </c>
      <c r="R281" s="21">
        <f t="shared" si="267"/>
        <v>24.883396488681694</v>
      </c>
      <c r="S281" s="21">
        <f t="shared" si="267"/>
        <v>26009.758376408128</v>
      </c>
      <c r="T281" s="21">
        <f t="shared" si="267"/>
        <v>4686.4690205944671</v>
      </c>
      <c r="U281" s="21">
        <f t="shared" si="267"/>
        <v>29241.743145605746</v>
      </c>
      <c r="V281" s="21">
        <f t="shared" si="267"/>
        <v>42442.387781862206</v>
      </c>
      <c r="W281" s="21">
        <f t="shared" si="267"/>
        <v>54764.203736338393</v>
      </c>
      <c r="X281" s="21">
        <f t="shared" si="267"/>
        <v>54530.281504891413</v>
      </c>
      <c r="Y281" s="21">
        <f t="shared" si="267"/>
        <v>45302.790695931762</v>
      </c>
      <c r="Z281" s="21">
        <f t="shared" si="267"/>
        <v>31948.45984991761</v>
      </c>
      <c r="AA281" s="21">
        <f t="shared" si="267"/>
        <v>16548.941253011213</v>
      </c>
      <c r="AB281" s="21">
        <f t="shared" si="267"/>
        <v>6541.5998775330227</v>
      </c>
      <c r="AC281" s="21">
        <f t="shared" si="267"/>
        <v>1890.3505528117323</v>
      </c>
      <c r="AD281" s="21">
        <f t="shared" si="267"/>
        <v>485.64515663754139</v>
      </c>
      <c r="AE281" s="21">
        <f t="shared" si="267"/>
        <v>74.108570449175787</v>
      </c>
      <c r="AF281" s="21">
        <f t="shared" si="267"/>
        <v>12.82241236581771</v>
      </c>
      <c r="AG281" s="3"/>
      <c r="AH281" s="3"/>
    </row>
    <row r="282" spans="1:34" s="3" customFormat="1" x14ac:dyDescent="0.25">
      <c r="A282" s="71">
        <f>SUM(B282:AF282)</f>
        <v>1694719.0676172744</v>
      </c>
      <c r="B282" s="21">
        <f>IF($D$61&lt;=B246,IF($E$61&gt;=B246,ABS(B281),0),0)</f>
        <v>37.459327200295917</v>
      </c>
      <c r="C282" s="21">
        <f t="shared" ref="C282:AF282" si="268">IF($D$61&lt;=C246,IF($E$61&gt;=C246,ABS(C281),0),0)</f>
        <v>37.011412749974021</v>
      </c>
      <c r="D282" s="21">
        <f t="shared" si="268"/>
        <v>37.284723761330589</v>
      </c>
      <c r="E282" s="21">
        <f t="shared" si="268"/>
        <v>37.367427811849097</v>
      </c>
      <c r="F282" s="21">
        <f t="shared" si="268"/>
        <v>37.39142477987582</v>
      </c>
      <c r="G282" s="21">
        <f t="shared" si="268"/>
        <v>37.389593034464447</v>
      </c>
      <c r="H282" s="21">
        <f t="shared" si="268"/>
        <v>37.293098436205014</v>
      </c>
      <c r="I282" s="21">
        <f t="shared" si="268"/>
        <v>36.295435457474618</v>
      </c>
      <c r="J282" s="21">
        <f t="shared" si="268"/>
        <v>27.067326174233362</v>
      </c>
      <c r="K282" s="21">
        <f t="shared" si="268"/>
        <v>8.8454804130945721</v>
      </c>
      <c r="L282" s="21">
        <f t="shared" si="268"/>
        <v>6508.2923400883601</v>
      </c>
      <c r="M282" s="21">
        <f t="shared" si="268"/>
        <v>302842.52482919628</v>
      </c>
      <c r="N282" s="21">
        <f t="shared" si="268"/>
        <v>559503.37228585803</v>
      </c>
      <c r="O282" s="21">
        <f t="shared" si="268"/>
        <v>352077.53018300614</v>
      </c>
      <c r="P282" s="21">
        <f t="shared" si="268"/>
        <v>168589.3282709234</v>
      </c>
      <c r="Q282" s="21">
        <f t="shared" si="268"/>
        <v>47862.09680026304</v>
      </c>
      <c r="R282" s="21">
        <f t="shared" si="268"/>
        <v>24.883396488681694</v>
      </c>
      <c r="S282" s="21">
        <f t="shared" si="268"/>
        <v>26009.758376408128</v>
      </c>
      <c r="T282" s="21">
        <f t="shared" si="268"/>
        <v>4686.4690205944671</v>
      </c>
      <c r="U282" s="21">
        <f t="shared" si="268"/>
        <v>29241.743145605746</v>
      </c>
      <c r="V282" s="21">
        <f t="shared" si="268"/>
        <v>42442.387781862206</v>
      </c>
      <c r="W282" s="21">
        <f t="shared" si="268"/>
        <v>54764.203736338393</v>
      </c>
      <c r="X282" s="21">
        <f t="shared" si="268"/>
        <v>54530.281504891413</v>
      </c>
      <c r="Y282" s="21">
        <f t="shared" si="268"/>
        <v>45302.790695931762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0" t="s">
        <v>22</v>
      </c>
      <c r="B287" s="27">
        <f>($C$17+SUM(B288:B318))*$B$51</f>
        <v>5930.4051697913255</v>
      </c>
      <c r="C287" s="27">
        <f t="shared" ref="C287:AF287" si="269">($C$17+SUM(C288:C318))*$B$51</f>
        <v>5930.3805982386993</v>
      </c>
      <c r="D287" s="27">
        <f t="shared" si="269"/>
        <v>5930.134914928848</v>
      </c>
      <c r="E287" s="27">
        <f t="shared" si="269"/>
        <v>5927.6813006317652</v>
      </c>
      <c r="F287" s="27">
        <f t="shared" si="269"/>
        <v>5903.4642165005444</v>
      </c>
      <c r="G287" s="27">
        <f t="shared" si="269"/>
        <v>5690.5555505738212</v>
      </c>
      <c r="H287" s="27">
        <f t="shared" si="269"/>
        <v>4972.6289936477069</v>
      </c>
      <c r="I287" s="27">
        <f t="shared" si="269"/>
        <v>4899.7316870209779</v>
      </c>
      <c r="J287" s="27">
        <f t="shared" si="269"/>
        <v>4899.6975504844968</v>
      </c>
      <c r="K287" s="27">
        <f t="shared" si="269"/>
        <v>4899.3562960173349</v>
      </c>
      <c r="L287" s="27">
        <f t="shared" si="269"/>
        <v>4895.9548129401319</v>
      </c>
      <c r="M287" s="27">
        <f t="shared" si="269"/>
        <v>4863.0216151181021</v>
      </c>
      <c r="N287" s="27">
        <f t="shared" si="269"/>
        <v>4620.9918530855539</v>
      </c>
      <c r="O287" s="27">
        <f t="shared" si="269"/>
        <v>4255.6863039501904</v>
      </c>
      <c r="P287" s="27">
        <f t="shared" si="269"/>
        <v>4018.3755835971751</v>
      </c>
      <c r="Q287" s="27">
        <f t="shared" si="269"/>
        <v>3709.6339360059128</v>
      </c>
      <c r="R287" s="27">
        <f t="shared" si="269"/>
        <v>3363.2625500345989</v>
      </c>
      <c r="S287" s="27">
        <f t="shared" si="269"/>
        <v>2903.3582156574248</v>
      </c>
      <c r="T287" s="27">
        <f t="shared" si="269"/>
        <v>2357.688091711274</v>
      </c>
      <c r="U287" s="27">
        <f t="shared" si="269"/>
        <v>1733.3954190254531</v>
      </c>
      <c r="V287" s="27">
        <f t="shared" si="269"/>
        <v>1085.4962013866545</v>
      </c>
      <c r="W287" s="27">
        <f t="shared" si="269"/>
        <v>627.52713104130385</v>
      </c>
      <c r="X287" s="27">
        <f t="shared" si="269"/>
        <v>347.74873153770886</v>
      </c>
      <c r="Y287" s="27">
        <f t="shared" si="269"/>
        <v>197.86173805423113</v>
      </c>
      <c r="Z287" s="27">
        <f t="shared" si="269"/>
        <v>153.02327932608549</v>
      </c>
      <c r="AA287" s="27">
        <f t="shared" si="269"/>
        <v>134.44395025638727</v>
      </c>
      <c r="AB287" s="27">
        <f t="shared" si="269"/>
        <v>126.68509810399843</v>
      </c>
      <c r="AC287" s="27">
        <f t="shared" si="269"/>
        <v>125.39698995556854</v>
      </c>
      <c r="AD287" s="27">
        <f t="shared" si="269"/>
        <v>125.3410823850831</v>
      </c>
      <c r="AE287" s="27">
        <f t="shared" si="269"/>
        <v>125.22062703012209</v>
      </c>
      <c r="AF287" s="27">
        <f t="shared" si="269"/>
        <v>125.0766845160225</v>
      </c>
      <c r="AG287" s="27"/>
      <c r="AH287" s="27"/>
    </row>
    <row r="288" spans="1:34" x14ac:dyDescent="0.25">
      <c r="B288" s="3">
        <f t="shared" ref="B288:AF288" si="270">$C18*EXP(-B$285/$A18/EXP(-$F$126))</f>
        <v>0.17379406392962593</v>
      </c>
      <c r="C288" s="3">
        <f t="shared" si="270"/>
        <v>0.17378992061442283</v>
      </c>
      <c r="D288" s="3">
        <f t="shared" si="270"/>
        <v>0.17374849289480288</v>
      </c>
      <c r="E288" s="3">
        <f t="shared" si="270"/>
        <v>0.17333475846083504</v>
      </c>
      <c r="F288" s="3">
        <f t="shared" si="270"/>
        <v>0.16925121460924875</v>
      </c>
      <c r="G288" s="3">
        <f t="shared" si="270"/>
        <v>0.13335003624528496</v>
      </c>
      <c r="H288" s="3">
        <f t="shared" si="270"/>
        <v>1.2291547916246969E-2</v>
      </c>
      <c r="I288" s="3">
        <f t="shared" si="270"/>
        <v>5.4417800337889837E-13</v>
      </c>
      <c r="J288" s="3">
        <f t="shared" si="270"/>
        <v>1.5742910498684383E-116</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9.0899647473918474E-2</v>
      </c>
      <c r="C289" s="3">
        <f t="shared" si="271"/>
        <v>9.0899647473363362E-2</v>
      </c>
      <c r="D289" s="3">
        <f t="shared" si="271"/>
        <v>9.089964746781222E-2</v>
      </c>
      <c r="E289" s="3">
        <f t="shared" si="271"/>
        <v>9.0899647412300805E-2</v>
      </c>
      <c r="F289" s="3">
        <f t="shared" si="271"/>
        <v>9.0899646857186628E-2</v>
      </c>
      <c r="G289" s="3">
        <f t="shared" si="271"/>
        <v>9.089964130604504E-2</v>
      </c>
      <c r="H289" s="3">
        <f t="shared" si="271"/>
        <v>9.0899585794647741E-2</v>
      </c>
      <c r="I289" s="3">
        <f t="shared" si="271"/>
        <v>9.0899030682539295E-2</v>
      </c>
      <c r="J289" s="3">
        <f t="shared" si="271"/>
        <v>9.0893479747901365E-2</v>
      </c>
      <c r="K289" s="3">
        <f t="shared" si="271"/>
        <v>9.0837989041959652E-2</v>
      </c>
      <c r="L289" s="3">
        <f t="shared" si="271"/>
        <v>9.0284941821275722E-2</v>
      </c>
      <c r="M289" s="3">
        <f t="shared" si="271"/>
        <v>8.493631885468865E-2</v>
      </c>
      <c r="N289" s="3">
        <f t="shared" si="271"/>
        <v>4.6118434492701803E-2</v>
      </c>
      <c r="O289" s="3">
        <f t="shared" si="271"/>
        <v>1.027272767472401E-4</v>
      </c>
      <c r="P289" s="3">
        <f t="shared" si="271"/>
        <v>3.0888581361847698E-31</v>
      </c>
      <c r="Q289" s="3">
        <f t="shared" si="271"/>
        <v>1.8660352182360652E-296</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3.1881256705134337E-2</v>
      </c>
      <c r="C290" s="3">
        <f t="shared" si="272"/>
        <v>3.1881256705116774E-2</v>
      </c>
      <c r="D290" s="3">
        <f t="shared" si="272"/>
        <v>3.1881256704941144E-2</v>
      </c>
      <c r="E290" s="3">
        <f t="shared" si="272"/>
        <v>3.1881256703184827E-2</v>
      </c>
      <c r="F290" s="3">
        <f t="shared" si="272"/>
        <v>3.1881256685621688E-2</v>
      </c>
      <c r="G290" s="3">
        <f t="shared" si="272"/>
        <v>3.1881256509990297E-2</v>
      </c>
      <c r="H290" s="3">
        <f t="shared" si="272"/>
        <v>3.1881254753676425E-2</v>
      </c>
      <c r="I290" s="3">
        <f t="shared" si="272"/>
        <v>3.1881237190543053E-2</v>
      </c>
      <c r="J290" s="3">
        <f t="shared" si="272"/>
        <v>3.1881061559741485E-2</v>
      </c>
      <c r="K290" s="3">
        <f t="shared" si="272"/>
        <v>3.1879305304939293E-2</v>
      </c>
      <c r="L290" s="3">
        <f t="shared" si="272"/>
        <v>3.1861748077181513E-2</v>
      </c>
      <c r="M290" s="3">
        <f t="shared" si="272"/>
        <v>3.168670674318308E-2</v>
      </c>
      <c r="N290" s="3">
        <f t="shared" si="272"/>
        <v>2.9988321300266123E-2</v>
      </c>
      <c r="O290" s="3">
        <f t="shared" si="272"/>
        <v>1.7286324571968676E-2</v>
      </c>
      <c r="P290" s="3">
        <f t="shared" si="272"/>
        <v>7.0017684039678244E-5</v>
      </c>
      <c r="Q290" s="3">
        <f t="shared" si="272"/>
        <v>8.3225904938125194E-29</v>
      </c>
      <c r="R290" s="3">
        <f t="shared" si="272"/>
        <v>4.6856125112235575E-268</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5.4295186308030395E-2</v>
      </c>
      <c r="C291" s="3">
        <f t="shared" si="273"/>
        <v>5.4295186308027696E-2</v>
      </c>
      <c r="D291" s="3">
        <f t="shared" si="273"/>
        <v>5.4295186308000717E-2</v>
      </c>
      <c r="E291" s="3">
        <f t="shared" si="273"/>
        <v>5.4295186307730892E-2</v>
      </c>
      <c r="F291" s="3">
        <f t="shared" si="273"/>
        <v>5.4295186305032689E-2</v>
      </c>
      <c r="G291" s="3">
        <f t="shared" si="273"/>
        <v>5.4295186278050661E-2</v>
      </c>
      <c r="H291" s="3">
        <f t="shared" si="273"/>
        <v>5.4295186008230349E-2</v>
      </c>
      <c r="I291" s="3">
        <f t="shared" si="273"/>
        <v>5.4295183310027369E-2</v>
      </c>
      <c r="J291" s="3">
        <f t="shared" si="273"/>
        <v>5.429515632800487E-2</v>
      </c>
      <c r="K291" s="3">
        <f t="shared" si="273"/>
        <v>5.4294886508517395E-2</v>
      </c>
      <c r="L291" s="3">
        <f t="shared" si="273"/>
        <v>5.4292188387389223E-2</v>
      </c>
      <c r="M291" s="3">
        <f t="shared" si="273"/>
        <v>5.4265214549407428E-2</v>
      </c>
      <c r="N291" s="3">
        <f t="shared" si="273"/>
        <v>5.3996212145643416E-2</v>
      </c>
      <c r="O291" s="3">
        <f t="shared" si="273"/>
        <v>5.1378450261424791E-2</v>
      </c>
      <c r="P291" s="3">
        <f t="shared" si="273"/>
        <v>3.1257774578478621E-2</v>
      </c>
      <c r="Q291" s="3">
        <f t="shared" si="273"/>
        <v>2.171343831165793E-4</v>
      </c>
      <c r="R291" s="3">
        <f t="shared" si="273"/>
        <v>5.6811210457715666E-26</v>
      </c>
      <c r="S291" s="3">
        <f t="shared" si="273"/>
        <v>8.5406018885681345E-242</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5.1307510130975814E-2</v>
      </c>
      <c r="C292" s="3">
        <f t="shared" si="274"/>
        <v>5.1307510130975578E-2</v>
      </c>
      <c r="D292" s="3">
        <f t="shared" si="274"/>
        <v>5.1307510130973275E-2</v>
      </c>
      <c r="E292" s="3">
        <f t="shared" si="274"/>
        <v>5.1307510130950279E-2</v>
      </c>
      <c r="F292" s="3">
        <f t="shared" si="274"/>
        <v>5.1307510130720269E-2</v>
      </c>
      <c r="G292" s="3">
        <f t="shared" si="274"/>
        <v>5.1307510128420206E-2</v>
      </c>
      <c r="H292" s="3">
        <f t="shared" si="274"/>
        <v>5.1307510105419514E-2</v>
      </c>
      <c r="I292" s="3">
        <f t="shared" si="274"/>
        <v>5.1307509875412625E-2</v>
      </c>
      <c r="J292" s="3">
        <f t="shared" si="274"/>
        <v>5.1307507575343851E-2</v>
      </c>
      <c r="K292" s="3">
        <f t="shared" si="274"/>
        <v>5.1307484574661742E-2</v>
      </c>
      <c r="L292" s="3">
        <f t="shared" si="274"/>
        <v>5.1307254568407706E-2</v>
      </c>
      <c r="M292" s="3">
        <f t="shared" si="274"/>
        <v>5.1304954562576874E-2</v>
      </c>
      <c r="N292" s="3">
        <f t="shared" si="274"/>
        <v>5.1281960174272709E-2</v>
      </c>
      <c r="O292" s="3">
        <f t="shared" si="274"/>
        <v>5.1052582352310465E-2</v>
      </c>
      <c r="P292" s="3">
        <f t="shared" si="274"/>
        <v>4.8814482480871522E-2</v>
      </c>
      <c r="Q292" s="3">
        <f t="shared" si="274"/>
        <v>3.1178731192374427E-2</v>
      </c>
      <c r="R292" s="3">
        <f t="shared" si="274"/>
        <v>3.5233510904103315E-4</v>
      </c>
      <c r="S292" s="3">
        <f t="shared" si="274"/>
        <v>1.1965497420621284E-23</v>
      </c>
      <c r="T292" s="3">
        <f t="shared" si="274"/>
        <v>2.4416258751381551E-218</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7.4663981933644916E-2</v>
      </c>
      <c r="C293" s="3">
        <f t="shared" si="275"/>
        <v>7.4663981933644888E-2</v>
      </c>
      <c r="D293" s="3">
        <f t="shared" si="275"/>
        <v>7.4663981933644583E-2</v>
      </c>
      <c r="E293" s="3">
        <f t="shared" si="275"/>
        <v>7.4663981933641557E-2</v>
      </c>
      <c r="F293" s="3">
        <f t="shared" si="275"/>
        <v>7.4663981933611373E-2</v>
      </c>
      <c r="G293" s="3">
        <f t="shared" si="275"/>
        <v>7.4663981933309434E-2</v>
      </c>
      <c r="H293" s="3">
        <f t="shared" si="275"/>
        <v>7.4663981930290058E-2</v>
      </c>
      <c r="I293" s="3">
        <f t="shared" si="275"/>
        <v>7.4663981900096266E-2</v>
      </c>
      <c r="J293" s="3">
        <f t="shared" si="275"/>
        <v>7.466398159815836E-2</v>
      </c>
      <c r="K293" s="3">
        <f t="shared" si="275"/>
        <v>7.4663978578779405E-2</v>
      </c>
      <c r="L293" s="3">
        <f t="shared" si="275"/>
        <v>7.4663948384996612E-2</v>
      </c>
      <c r="M293" s="3">
        <f t="shared" si="275"/>
        <v>7.4663646447840265E-2</v>
      </c>
      <c r="N293" s="3">
        <f t="shared" si="275"/>
        <v>7.4660627143431968E-2</v>
      </c>
      <c r="O293" s="3">
        <f t="shared" si="275"/>
        <v>7.4630440813863441E-2</v>
      </c>
      <c r="P293" s="3">
        <f t="shared" si="275"/>
        <v>7.4329247966035322E-2</v>
      </c>
      <c r="Q293" s="3">
        <f t="shared" si="275"/>
        <v>7.1383371865314238E-2</v>
      </c>
      <c r="R293" s="3">
        <f t="shared" si="275"/>
        <v>4.7639835675068444E-2</v>
      </c>
      <c r="S293" s="3">
        <f t="shared" si="275"/>
        <v>8.3503026865744932E-4</v>
      </c>
      <c r="T293" s="3">
        <f t="shared" si="275"/>
        <v>2.2857138172916441E-21</v>
      </c>
      <c r="U293" s="3">
        <f t="shared" si="275"/>
        <v>5.397817621741889E-197</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9.0647969973627479E-2</v>
      </c>
      <c r="C294" s="3">
        <f t="shared" si="276"/>
        <v>9.0647969973627479E-2</v>
      </c>
      <c r="D294" s="3">
        <f t="shared" si="276"/>
        <v>9.0647969973627437E-2</v>
      </c>
      <c r="E294" s="3">
        <f t="shared" si="276"/>
        <v>9.0647969973627104E-2</v>
      </c>
      <c r="F294" s="3">
        <f t="shared" si="276"/>
        <v>9.0647969973623801E-2</v>
      </c>
      <c r="G294" s="3">
        <f t="shared" si="276"/>
        <v>9.0647969973590731E-2</v>
      </c>
      <c r="H294" s="3">
        <f t="shared" si="276"/>
        <v>9.0647969973260051E-2</v>
      </c>
      <c r="I294" s="3">
        <f t="shared" si="276"/>
        <v>9.0647969969953238E-2</v>
      </c>
      <c r="J294" s="3">
        <f t="shared" si="276"/>
        <v>9.0647969936884981E-2</v>
      </c>
      <c r="K294" s="3">
        <f t="shared" si="276"/>
        <v>9.0647969606202514E-2</v>
      </c>
      <c r="L294" s="3">
        <f t="shared" si="276"/>
        <v>9.0647966299378005E-2</v>
      </c>
      <c r="M294" s="3">
        <f t="shared" si="276"/>
        <v>9.0647933231139385E-2</v>
      </c>
      <c r="N294" s="3">
        <f t="shared" si="276"/>
        <v>9.0647602549416617E-2</v>
      </c>
      <c r="O294" s="3">
        <f t="shared" si="276"/>
        <v>9.0644295798535973E-2</v>
      </c>
      <c r="P294" s="3">
        <f t="shared" si="276"/>
        <v>9.0611234923520675E-2</v>
      </c>
      <c r="Q294" s="3">
        <f t="shared" si="276"/>
        <v>9.0281288657958286E-2</v>
      </c>
      <c r="R294" s="3">
        <f t="shared" si="276"/>
        <v>8.7047188928117997E-2</v>
      </c>
      <c r="S294" s="3">
        <f t="shared" si="276"/>
        <v>6.0440042783758245E-2</v>
      </c>
      <c r="T294" s="3">
        <f t="shared" si="276"/>
        <v>1.5740730624194241E-3</v>
      </c>
      <c r="U294" s="3">
        <f t="shared" si="276"/>
        <v>2.2595716832781802E-19</v>
      </c>
      <c r="V294" s="3">
        <f t="shared" si="276"/>
        <v>8.3953439111176123E-178</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0.10513898706376987</v>
      </c>
      <c r="C295" s="3">
        <f t="shared" si="277"/>
        <v>0.10513898706376987</v>
      </c>
      <c r="D295" s="3">
        <f t="shared" si="277"/>
        <v>0.10513898706376987</v>
      </c>
      <c r="E295" s="3">
        <f t="shared" si="277"/>
        <v>0.10513898706376983</v>
      </c>
      <c r="F295" s="3">
        <f t="shared" si="277"/>
        <v>0.10513898706376948</v>
      </c>
      <c r="G295" s="3">
        <f t="shared" si="277"/>
        <v>0.10513898706376602</v>
      </c>
      <c r="H295" s="3">
        <f t="shared" si="277"/>
        <v>0.10513898706373143</v>
      </c>
      <c r="I295" s="3">
        <f t="shared" si="277"/>
        <v>0.10513898706338544</v>
      </c>
      <c r="J295" s="3">
        <f t="shared" si="277"/>
        <v>0.10513898705992554</v>
      </c>
      <c r="K295" s="3">
        <f t="shared" si="277"/>
        <v>0.10513898702532654</v>
      </c>
      <c r="L295" s="3">
        <f t="shared" si="277"/>
        <v>0.1051389866793366</v>
      </c>
      <c r="M295" s="3">
        <f t="shared" si="277"/>
        <v>0.1051389832194374</v>
      </c>
      <c r="N295" s="3">
        <f t="shared" si="277"/>
        <v>0.10513894862045155</v>
      </c>
      <c r="O295" s="3">
        <f t="shared" si="277"/>
        <v>0.10513860263121923</v>
      </c>
      <c r="P295" s="3">
        <f t="shared" si="277"/>
        <v>0.10513514280151692</v>
      </c>
      <c r="Q295" s="3">
        <f t="shared" si="277"/>
        <v>0.10510055076583073</v>
      </c>
      <c r="R295" s="3">
        <f t="shared" si="277"/>
        <v>0.10475525578093811</v>
      </c>
      <c r="S295" s="3">
        <f t="shared" si="277"/>
        <v>0.10136408833779989</v>
      </c>
      <c r="T295" s="3">
        <f t="shared" si="277"/>
        <v>7.2940223506687135E-2</v>
      </c>
      <c r="U295" s="3">
        <f t="shared" si="277"/>
        <v>2.7151685858391229E-3</v>
      </c>
      <c r="V295" s="3">
        <f t="shared" si="277"/>
        <v>1.3870557125729711E-17</v>
      </c>
      <c r="W295" s="3">
        <f t="shared" si="277"/>
        <v>1.6790551296285756E-160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0.12480864845095105</v>
      </c>
      <c r="C296" s="3">
        <f t="shared" si="278"/>
        <v>0.12480864845095105</v>
      </c>
      <c r="D296" s="3">
        <f t="shared" si="278"/>
        <v>0.12480864845095105</v>
      </c>
      <c r="E296" s="3">
        <f t="shared" si="278"/>
        <v>0.12480864845095105</v>
      </c>
      <c r="F296" s="3">
        <f t="shared" si="278"/>
        <v>0.12480864845095101</v>
      </c>
      <c r="G296" s="3">
        <f t="shared" si="278"/>
        <v>0.12480864845095063</v>
      </c>
      <c r="H296" s="3">
        <f t="shared" si="278"/>
        <v>0.12480864845094693</v>
      </c>
      <c r="I296" s="3">
        <f t="shared" si="278"/>
        <v>0.12480864845090989</v>
      </c>
      <c r="J296" s="3">
        <f t="shared" si="278"/>
        <v>0.12480864845053938</v>
      </c>
      <c r="K296" s="3">
        <f t="shared" si="278"/>
        <v>0.12480864844683436</v>
      </c>
      <c r="L296" s="3">
        <f t="shared" si="278"/>
        <v>0.12480864840978412</v>
      </c>
      <c r="M296" s="3">
        <f t="shared" si="278"/>
        <v>0.12480864803928179</v>
      </c>
      <c r="N296" s="3">
        <f t="shared" si="278"/>
        <v>0.1248086443342586</v>
      </c>
      <c r="O296" s="3">
        <f t="shared" si="278"/>
        <v>0.12480860728403269</v>
      </c>
      <c r="P296" s="3">
        <f t="shared" si="278"/>
        <v>0.12480823678237858</v>
      </c>
      <c r="Q296" s="3">
        <f t="shared" si="278"/>
        <v>0.12480453182632886</v>
      </c>
      <c r="R296" s="3">
        <f t="shared" si="278"/>
        <v>0.12476748831432058</v>
      </c>
      <c r="S296" s="3">
        <f t="shared" si="278"/>
        <v>0.12439765737930676</v>
      </c>
      <c r="T296" s="3">
        <f t="shared" si="278"/>
        <v>0.12075910815484379</v>
      </c>
      <c r="U296" s="3">
        <f t="shared" si="278"/>
        <v>8.9742227975224784E-2</v>
      </c>
      <c r="V296" s="3">
        <f t="shared" si="278"/>
        <v>4.6106945360895862E-3</v>
      </c>
      <c r="W296" s="3">
        <f t="shared" si="278"/>
        <v>5.9082842913080087E-16</v>
      </c>
      <c r="X296" s="3">
        <f t="shared" si="278"/>
        <v>7.0536144971409048E-145</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8.8034867704118849E-2</v>
      </c>
      <c r="C297" s="3">
        <f t="shared" si="279"/>
        <v>8.8034867704118849E-2</v>
      </c>
      <c r="D297" s="3">
        <f t="shared" si="279"/>
        <v>8.8034867704118849E-2</v>
      </c>
      <c r="E297" s="3">
        <f t="shared" si="279"/>
        <v>8.8034867704118849E-2</v>
      </c>
      <c r="F297" s="3">
        <f t="shared" si="279"/>
        <v>8.8034867704118849E-2</v>
      </c>
      <c r="G297" s="3">
        <f t="shared" si="279"/>
        <v>8.8034867704118822E-2</v>
      </c>
      <c r="H297" s="3">
        <f t="shared" si="279"/>
        <v>8.8034867704118586E-2</v>
      </c>
      <c r="I297" s="3">
        <f t="shared" si="279"/>
        <v>8.8034867704116226E-2</v>
      </c>
      <c r="J297" s="3">
        <f t="shared" si="279"/>
        <v>8.8034867704092662E-2</v>
      </c>
      <c r="K297" s="3">
        <f t="shared" si="279"/>
        <v>8.8034867703856906E-2</v>
      </c>
      <c r="L297" s="3">
        <f t="shared" si="279"/>
        <v>8.8034867701499431E-2</v>
      </c>
      <c r="M297" s="3">
        <f t="shared" si="279"/>
        <v>8.803486767792465E-2</v>
      </c>
      <c r="N297" s="3">
        <f t="shared" si="279"/>
        <v>8.8034867442176895E-2</v>
      </c>
      <c r="O297" s="3">
        <f t="shared" si="279"/>
        <v>8.803486508469939E-2</v>
      </c>
      <c r="P297" s="3">
        <f t="shared" si="279"/>
        <v>8.8034841509927741E-2</v>
      </c>
      <c r="Q297" s="3">
        <f t="shared" si="279"/>
        <v>8.8034605762558532E-2</v>
      </c>
      <c r="R297" s="3">
        <f t="shared" si="279"/>
        <v>8.8032248323587872E-2</v>
      </c>
      <c r="S297" s="3">
        <f t="shared" si="279"/>
        <v>8.8008677405685964E-2</v>
      </c>
      <c r="T297" s="3">
        <f t="shared" si="279"/>
        <v>8.7773315063395793E-2</v>
      </c>
      <c r="U297" s="3">
        <f t="shared" si="279"/>
        <v>8.5454034108461058E-2</v>
      </c>
      <c r="V297" s="3">
        <f t="shared" si="279"/>
        <v>6.5378244282638887E-2</v>
      </c>
      <c r="W297" s="3">
        <f t="shared" si="279"/>
        <v>4.4920035613937011E-3</v>
      </c>
      <c r="X297" s="3">
        <f t="shared" si="279"/>
        <v>1.0531942412678561E-14</v>
      </c>
      <c r="Y297" s="3">
        <f t="shared" si="279"/>
        <v>5.2867930986096424E-131</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5.3040160566801761E-2</v>
      </c>
      <c r="C298" s="3">
        <f t="shared" si="280"/>
        <v>5.3040160566801761E-2</v>
      </c>
      <c r="D298" s="3">
        <f t="shared" si="280"/>
        <v>5.3040160566801761E-2</v>
      </c>
      <c r="E298" s="3">
        <f t="shared" si="280"/>
        <v>5.3040160566801761E-2</v>
      </c>
      <c r="F298" s="3">
        <f t="shared" si="280"/>
        <v>5.3040160566801761E-2</v>
      </c>
      <c r="G298" s="3">
        <f t="shared" si="280"/>
        <v>5.3040160566801761E-2</v>
      </c>
      <c r="H298" s="3">
        <f t="shared" si="280"/>
        <v>5.3040160566801747E-2</v>
      </c>
      <c r="I298" s="3">
        <f t="shared" si="280"/>
        <v>5.3040160566801622E-2</v>
      </c>
      <c r="J298" s="3">
        <f t="shared" si="280"/>
        <v>5.3040160566800339E-2</v>
      </c>
      <c r="K298" s="3">
        <f t="shared" si="280"/>
        <v>5.3040160566787523E-2</v>
      </c>
      <c r="L298" s="3">
        <f t="shared" si="280"/>
        <v>5.3040160566659396E-2</v>
      </c>
      <c r="M298" s="3">
        <f t="shared" si="280"/>
        <v>5.3040160565378115E-2</v>
      </c>
      <c r="N298" s="3">
        <f t="shared" si="280"/>
        <v>5.3040160552565309E-2</v>
      </c>
      <c r="O298" s="3">
        <f t="shared" si="280"/>
        <v>5.3040160424437245E-2</v>
      </c>
      <c r="P298" s="3">
        <f t="shared" si="280"/>
        <v>5.3040159143156601E-2</v>
      </c>
      <c r="Q298" s="3">
        <f t="shared" si="280"/>
        <v>5.3040146330351895E-2</v>
      </c>
      <c r="R298" s="3">
        <f t="shared" si="280"/>
        <v>5.3040018202475045E-2</v>
      </c>
      <c r="S298" s="3">
        <f t="shared" si="280"/>
        <v>5.3038736940729747E-2</v>
      </c>
      <c r="T298" s="3">
        <f t="shared" si="280"/>
        <v>5.3025926025448145E-2</v>
      </c>
      <c r="U298" s="3">
        <f t="shared" si="280"/>
        <v>5.2897986937723074E-2</v>
      </c>
      <c r="V298" s="3">
        <f t="shared" si="280"/>
        <v>5.1635451542304464E-2</v>
      </c>
      <c r="W298" s="3">
        <f t="shared" si="280"/>
        <v>4.0554245029314664E-2</v>
      </c>
      <c r="X298" s="3">
        <f t="shared" si="280"/>
        <v>3.6217605791109132E-3</v>
      </c>
      <c r="Y298" s="3">
        <f t="shared" si="280"/>
        <v>1.1688368697076676E-13</v>
      </c>
      <c r="Z298" s="3">
        <f t="shared" si="280"/>
        <v>1.4325030451560537E-118</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2.9418988584786216E-2</v>
      </c>
      <c r="C299" s="3">
        <f t="shared" si="281"/>
        <v>2.9418988584786216E-2</v>
      </c>
      <c r="D299" s="3">
        <f t="shared" si="281"/>
        <v>2.9418988584786216E-2</v>
      </c>
      <c r="E299" s="3">
        <f t="shared" si="281"/>
        <v>2.9418988584786216E-2</v>
      </c>
      <c r="F299" s="3">
        <f t="shared" si="281"/>
        <v>2.9418988584786216E-2</v>
      </c>
      <c r="G299" s="3">
        <f t="shared" si="281"/>
        <v>2.9418988584786216E-2</v>
      </c>
      <c r="H299" s="3">
        <f t="shared" si="281"/>
        <v>2.9418988584786216E-2</v>
      </c>
      <c r="I299" s="3">
        <f t="shared" si="281"/>
        <v>2.9418988584786209E-2</v>
      </c>
      <c r="J299" s="3">
        <f t="shared" si="281"/>
        <v>2.9418988584786143E-2</v>
      </c>
      <c r="K299" s="3">
        <f t="shared" si="281"/>
        <v>2.9418988584785505E-2</v>
      </c>
      <c r="L299" s="3">
        <f t="shared" si="281"/>
        <v>2.9418988584779093E-2</v>
      </c>
      <c r="M299" s="3">
        <f t="shared" si="281"/>
        <v>2.9418988584714985E-2</v>
      </c>
      <c r="N299" s="3">
        <f t="shared" si="281"/>
        <v>2.94189885840739E-2</v>
      </c>
      <c r="O299" s="3">
        <f t="shared" si="281"/>
        <v>2.9418988577663077E-2</v>
      </c>
      <c r="P299" s="3">
        <f t="shared" si="281"/>
        <v>2.9418988513554855E-2</v>
      </c>
      <c r="Q299" s="3">
        <f t="shared" si="281"/>
        <v>2.9418987872472584E-2</v>
      </c>
      <c r="R299" s="3">
        <f t="shared" si="281"/>
        <v>2.941898146165069E-2</v>
      </c>
      <c r="S299" s="3">
        <f t="shared" si="281"/>
        <v>2.9418917353508569E-2</v>
      </c>
      <c r="T299" s="3">
        <f t="shared" si="281"/>
        <v>2.9418276279770849E-2</v>
      </c>
      <c r="U299" s="3">
        <f t="shared" si="281"/>
        <v>2.9411866310680851E-2</v>
      </c>
      <c r="V299" s="3">
        <f t="shared" si="281"/>
        <v>2.9347843386588787E-2</v>
      </c>
      <c r="W299" s="3">
        <f t="shared" si="281"/>
        <v>2.8715229289785503E-2</v>
      </c>
      <c r="X299" s="3">
        <f t="shared" si="281"/>
        <v>2.3092621899106394E-2</v>
      </c>
      <c r="Y299" s="3">
        <f t="shared" si="281"/>
        <v>2.6126594716352276E-3</v>
      </c>
      <c r="Z299" s="3">
        <f t="shared" si="281"/>
        <v>8.9779760896728064E-13</v>
      </c>
      <c r="AA299" s="3">
        <f t="shared" si="281"/>
        <v>2.0612696308119369E-107</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6.3753391533418529E-3</v>
      </c>
      <c r="C300" s="3">
        <f t="shared" si="282"/>
        <v>6.3753391533418529E-3</v>
      </c>
      <c r="D300" s="3">
        <f t="shared" si="282"/>
        <v>6.3753391533418529E-3</v>
      </c>
      <c r="E300" s="3">
        <f t="shared" si="282"/>
        <v>6.3753391533418529E-3</v>
      </c>
      <c r="F300" s="3">
        <f t="shared" si="282"/>
        <v>6.3753391533418529E-3</v>
      </c>
      <c r="G300" s="3">
        <f t="shared" si="282"/>
        <v>6.3753391533418529E-3</v>
      </c>
      <c r="H300" s="3">
        <f t="shared" si="282"/>
        <v>6.3753391533418529E-3</v>
      </c>
      <c r="I300" s="3">
        <f t="shared" si="282"/>
        <v>6.3753391533418529E-3</v>
      </c>
      <c r="J300" s="3">
        <f t="shared" si="282"/>
        <v>6.3753391533418512E-3</v>
      </c>
      <c r="K300" s="3">
        <f t="shared" si="282"/>
        <v>6.3753391533418391E-3</v>
      </c>
      <c r="L300" s="3">
        <f t="shared" si="282"/>
        <v>6.3753391533417133E-3</v>
      </c>
      <c r="M300" s="3">
        <f t="shared" si="282"/>
        <v>6.3753391533404608E-3</v>
      </c>
      <c r="N300" s="3">
        <f t="shared" si="282"/>
        <v>6.3753391533279283E-3</v>
      </c>
      <c r="O300" s="3">
        <f t="shared" si="282"/>
        <v>6.3753391532026041E-3</v>
      </c>
      <c r="P300" s="3">
        <f t="shared" si="282"/>
        <v>6.3753391519493592E-3</v>
      </c>
      <c r="Q300" s="3">
        <f t="shared" si="282"/>
        <v>6.3753391394169101E-3</v>
      </c>
      <c r="R300" s="3">
        <f t="shared" si="282"/>
        <v>6.375339014092431E-3</v>
      </c>
      <c r="S300" s="3">
        <f t="shared" si="282"/>
        <v>6.3753377608477685E-3</v>
      </c>
      <c r="T300" s="3">
        <f t="shared" si="282"/>
        <v>6.3753252284146954E-3</v>
      </c>
      <c r="U300" s="3">
        <f t="shared" si="282"/>
        <v>6.375199905438925E-3</v>
      </c>
      <c r="V300" s="3">
        <f t="shared" si="282"/>
        <v>6.3739468111677598E-3</v>
      </c>
      <c r="W300" s="3">
        <f t="shared" si="282"/>
        <v>6.3614294072602195E-3</v>
      </c>
      <c r="X300" s="3">
        <f t="shared" si="282"/>
        <v>6.2375994529174431E-3</v>
      </c>
      <c r="Y300" s="3">
        <f t="shared" si="282"/>
        <v>5.1244256050392298E-3</v>
      </c>
      <c r="Z300" s="3">
        <f t="shared" si="282"/>
        <v>7.1766585978154428E-4</v>
      </c>
      <c r="AA300" s="3">
        <f t="shared" si="282"/>
        <v>2.0830189913098969E-12</v>
      </c>
      <c r="AB300" s="3">
        <f t="shared" si="282"/>
        <v>8.8389902837955056E-98</v>
      </c>
      <c r="AC300" s="3">
        <f t="shared" si="282"/>
        <v>0</v>
      </c>
      <c r="AD300" s="3">
        <f t="shared" si="282"/>
        <v>0</v>
      </c>
      <c r="AE300" s="3">
        <f t="shared" si="282"/>
        <v>0</v>
      </c>
      <c r="AF300" s="3">
        <f t="shared" si="282"/>
        <v>0</v>
      </c>
      <c r="AG300" s="3"/>
      <c r="AH300" s="3"/>
    </row>
    <row r="301" spans="2:34" x14ac:dyDescent="0.25">
      <c r="B301" s="3">
        <f t="shared" ref="B301:AF301" si="283">$C31*EXP(-B$285/$A31/EXP(-$F$126))</f>
        <v>3.2709514210797811E-3</v>
      </c>
      <c r="C301" s="3">
        <f t="shared" si="283"/>
        <v>3.2709514210797811E-3</v>
      </c>
      <c r="D301" s="3">
        <f t="shared" si="283"/>
        <v>3.2709514210797811E-3</v>
      </c>
      <c r="E301" s="3">
        <f t="shared" si="283"/>
        <v>3.2709514210797811E-3</v>
      </c>
      <c r="F301" s="3">
        <f t="shared" si="283"/>
        <v>3.2709514210797811E-3</v>
      </c>
      <c r="G301" s="3">
        <f t="shared" si="283"/>
        <v>3.2709514210797811E-3</v>
      </c>
      <c r="H301" s="3">
        <f t="shared" si="283"/>
        <v>3.2709514210797811E-3</v>
      </c>
      <c r="I301" s="3">
        <f t="shared" si="283"/>
        <v>3.2709514210797811E-3</v>
      </c>
      <c r="J301" s="3">
        <f t="shared" si="283"/>
        <v>3.2709514210797811E-3</v>
      </c>
      <c r="K301" s="3">
        <f t="shared" si="283"/>
        <v>3.2709514210797802E-3</v>
      </c>
      <c r="L301" s="3">
        <f t="shared" si="283"/>
        <v>3.2709514210797746E-3</v>
      </c>
      <c r="M301" s="3">
        <f t="shared" si="283"/>
        <v>3.2709514210797169E-3</v>
      </c>
      <c r="N301" s="3">
        <f t="shared" si="283"/>
        <v>3.2709514210791366E-3</v>
      </c>
      <c r="O301" s="3">
        <f t="shared" si="283"/>
        <v>3.2709514210733362E-3</v>
      </c>
      <c r="P301" s="3">
        <f t="shared" si="283"/>
        <v>3.2709514210153326E-3</v>
      </c>
      <c r="Q301" s="3">
        <f t="shared" si="283"/>
        <v>3.2709514204352992E-3</v>
      </c>
      <c r="R301" s="3">
        <f t="shared" si="283"/>
        <v>3.2709514146349612E-3</v>
      </c>
      <c r="S301" s="3">
        <f t="shared" si="283"/>
        <v>3.2709513566315808E-3</v>
      </c>
      <c r="T301" s="3">
        <f t="shared" si="283"/>
        <v>3.2709507765978354E-3</v>
      </c>
      <c r="U301" s="3">
        <f t="shared" si="283"/>
        <v>3.2709449762660416E-3</v>
      </c>
      <c r="V301" s="3">
        <f t="shared" si="283"/>
        <v>3.2708869735138058E-3</v>
      </c>
      <c r="W301" s="3">
        <f t="shared" si="283"/>
        <v>3.2703070025585056E-3</v>
      </c>
      <c r="X301" s="3">
        <f t="shared" si="283"/>
        <v>3.2645129460010559E-3</v>
      </c>
      <c r="Y301" s="3">
        <f t="shared" si="283"/>
        <v>3.2071339884863618E-3</v>
      </c>
      <c r="Z301" s="3">
        <f t="shared" si="283"/>
        <v>2.6859887911433902E-3</v>
      </c>
      <c r="AA301" s="3">
        <f t="shared" si="283"/>
        <v>4.5601078283446589E-4</v>
      </c>
      <c r="AB301" s="3">
        <f t="shared" si="283"/>
        <v>9.0716079594231204E-12</v>
      </c>
      <c r="AC301" s="3">
        <f t="shared" si="283"/>
        <v>8.805943327184073E-89</v>
      </c>
      <c r="AD301" s="3">
        <f t="shared" si="283"/>
        <v>0</v>
      </c>
      <c r="AE301" s="3">
        <f t="shared" si="283"/>
        <v>0</v>
      </c>
      <c r="AF301" s="3">
        <f t="shared" si="283"/>
        <v>0</v>
      </c>
      <c r="AG301" s="3"/>
      <c r="AH301" s="3"/>
    </row>
    <row r="302" spans="2:34" x14ac:dyDescent="0.25">
      <c r="B302" s="3">
        <f t="shared" ref="B302:AF302" si="284">$C32*EXP(-B$285/$A32/EXP(-$F$126))</f>
        <v>1.2755053961347703E-3</v>
      </c>
      <c r="C302" s="3">
        <f t="shared" si="284"/>
        <v>1.2755053961347703E-3</v>
      </c>
      <c r="D302" s="3">
        <f t="shared" si="284"/>
        <v>1.2755053961347703E-3</v>
      </c>
      <c r="E302" s="3">
        <f t="shared" si="284"/>
        <v>1.2755053961347703E-3</v>
      </c>
      <c r="F302" s="3">
        <f t="shared" si="284"/>
        <v>1.2755053961347703E-3</v>
      </c>
      <c r="G302" s="3">
        <f t="shared" si="284"/>
        <v>1.2755053961347703E-3</v>
      </c>
      <c r="H302" s="3">
        <f t="shared" si="284"/>
        <v>1.2755053961347703E-3</v>
      </c>
      <c r="I302" s="3">
        <f t="shared" si="284"/>
        <v>1.2755053961347703E-3</v>
      </c>
      <c r="J302" s="3">
        <f t="shared" si="284"/>
        <v>1.2755053961347703E-3</v>
      </c>
      <c r="K302" s="3">
        <f t="shared" si="284"/>
        <v>1.2755053961347703E-3</v>
      </c>
      <c r="L302" s="3">
        <f t="shared" si="284"/>
        <v>1.2755053961347701E-3</v>
      </c>
      <c r="M302" s="3">
        <f t="shared" si="284"/>
        <v>1.2755053961347681E-3</v>
      </c>
      <c r="N302" s="3">
        <f t="shared" si="284"/>
        <v>1.2755053961347477E-3</v>
      </c>
      <c r="O302" s="3">
        <f t="shared" si="284"/>
        <v>1.2755053961345435E-3</v>
      </c>
      <c r="P302" s="3">
        <f t="shared" si="284"/>
        <v>1.2755053961325032E-3</v>
      </c>
      <c r="Q302" s="3">
        <f t="shared" si="284"/>
        <v>1.2755053961120996E-3</v>
      </c>
      <c r="R302" s="3">
        <f t="shared" si="284"/>
        <v>1.275505395908063E-3</v>
      </c>
      <c r="S302" s="3">
        <f t="shared" si="284"/>
        <v>1.2755053938676968E-3</v>
      </c>
      <c r="T302" s="3">
        <f t="shared" si="284"/>
        <v>1.2755053734640356E-3</v>
      </c>
      <c r="U302" s="3">
        <f t="shared" si="284"/>
        <v>1.2755051694274431E-3</v>
      </c>
      <c r="V302" s="3">
        <f t="shared" si="284"/>
        <v>1.2755031290633122E-3</v>
      </c>
      <c r="W302" s="3">
        <f t="shared" si="284"/>
        <v>1.2754827256015147E-3</v>
      </c>
      <c r="X302" s="3">
        <f t="shared" si="284"/>
        <v>1.2752787089336881E-3</v>
      </c>
      <c r="Y302" s="3">
        <f t="shared" si="284"/>
        <v>1.2732403362082764E-3</v>
      </c>
      <c r="Z302" s="3">
        <f t="shared" si="284"/>
        <v>1.2530349469778278E-3</v>
      </c>
      <c r="AA302" s="3">
        <f t="shared" si="284"/>
        <v>1.0678029918351926E-3</v>
      </c>
      <c r="AB302" s="3">
        <f t="shared" si="284"/>
        <v>2.1566051160326857E-4</v>
      </c>
      <c r="AC302" s="3">
        <f t="shared" si="284"/>
        <v>2.4353736843801046E-11</v>
      </c>
      <c r="AD302" s="3">
        <f t="shared" si="284"/>
        <v>8.213256514215942E-81</v>
      </c>
      <c r="AE302" s="3">
        <f t="shared" si="284"/>
        <v>0</v>
      </c>
      <c r="AF302" s="3">
        <f t="shared" si="284"/>
        <v>0</v>
      </c>
      <c r="AG302" s="3"/>
      <c r="AH302" s="3"/>
    </row>
    <row r="303" spans="2:34" x14ac:dyDescent="0.25">
      <c r="B303" s="3">
        <f t="shared" ref="B303:AF303" si="285">$C33*EXP(-B$285/$A33/EXP(-$F$126))</f>
        <v>0</v>
      </c>
      <c r="C303" s="3">
        <f t="shared" si="285"/>
        <v>0</v>
      </c>
      <c r="D303" s="3">
        <f t="shared" si="285"/>
        <v>0</v>
      </c>
      <c r="E303" s="3">
        <f t="shared" si="285"/>
        <v>0</v>
      </c>
      <c r="F303" s="3">
        <f t="shared" si="285"/>
        <v>0</v>
      </c>
      <c r="G303" s="3">
        <f t="shared" si="285"/>
        <v>0</v>
      </c>
      <c r="H303" s="3">
        <f t="shared" si="285"/>
        <v>0</v>
      </c>
      <c r="I303" s="3">
        <f t="shared" si="285"/>
        <v>0</v>
      </c>
      <c r="J303" s="3">
        <f t="shared" si="285"/>
        <v>0</v>
      </c>
      <c r="K303" s="3">
        <f t="shared" si="285"/>
        <v>0</v>
      </c>
      <c r="L303" s="3">
        <f t="shared" si="285"/>
        <v>0</v>
      </c>
      <c r="M303" s="3">
        <f t="shared" si="285"/>
        <v>0</v>
      </c>
      <c r="N303" s="3">
        <f t="shared" si="285"/>
        <v>0</v>
      </c>
      <c r="O303" s="3">
        <f t="shared" si="285"/>
        <v>0</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1.0163894385292978E-5</v>
      </c>
      <c r="C304" s="3">
        <f t="shared" si="286"/>
        <v>1.0163894385292978E-5</v>
      </c>
      <c r="D304" s="3">
        <f t="shared" si="286"/>
        <v>1.0163894385292978E-5</v>
      </c>
      <c r="E304" s="3">
        <f t="shared" si="286"/>
        <v>1.0163894385292978E-5</v>
      </c>
      <c r="F304" s="3">
        <f t="shared" si="286"/>
        <v>1.0163894385292978E-5</v>
      </c>
      <c r="G304" s="3">
        <f t="shared" si="286"/>
        <v>1.0163894385292978E-5</v>
      </c>
      <c r="H304" s="3">
        <f t="shared" si="286"/>
        <v>1.0163894385292978E-5</v>
      </c>
      <c r="I304" s="3">
        <f t="shared" si="286"/>
        <v>1.0163894385292978E-5</v>
      </c>
      <c r="J304" s="3">
        <f t="shared" si="286"/>
        <v>1.0163894385292978E-5</v>
      </c>
      <c r="K304" s="3">
        <f t="shared" si="286"/>
        <v>1.0163894385292978E-5</v>
      </c>
      <c r="L304" s="3">
        <f t="shared" si="286"/>
        <v>1.0163894385292978E-5</v>
      </c>
      <c r="M304" s="3">
        <f t="shared" si="286"/>
        <v>1.0163894385292978E-5</v>
      </c>
      <c r="N304" s="3">
        <f t="shared" si="286"/>
        <v>1.0163894385292976E-5</v>
      </c>
      <c r="O304" s="3">
        <f t="shared" si="286"/>
        <v>1.0163894385292963E-5</v>
      </c>
      <c r="P304" s="3">
        <f t="shared" si="286"/>
        <v>1.0163894385292831E-5</v>
      </c>
      <c r="Q304" s="3">
        <f t="shared" si="286"/>
        <v>1.0163894385291508E-5</v>
      </c>
      <c r="R304" s="3">
        <f t="shared" si="286"/>
        <v>1.0163894385278277E-5</v>
      </c>
      <c r="S304" s="3">
        <f t="shared" si="286"/>
        <v>1.0163894385145971E-5</v>
      </c>
      <c r="T304" s="3">
        <f t="shared" si="286"/>
        <v>1.0163894383822914E-5</v>
      </c>
      <c r="U304" s="3">
        <f t="shared" si="286"/>
        <v>1.0163894370592325E-5</v>
      </c>
      <c r="V304" s="3">
        <f t="shared" si="286"/>
        <v>1.0163894238286451E-5</v>
      </c>
      <c r="W304" s="3">
        <f t="shared" si="286"/>
        <v>1.0163892915227804E-5</v>
      </c>
      <c r="X304" s="3">
        <f t="shared" si="286"/>
        <v>1.0163879684650812E-5</v>
      </c>
      <c r="Y304" s="3">
        <f t="shared" si="286"/>
        <v>1.0163747379828135E-5</v>
      </c>
      <c r="Z304" s="3">
        <f t="shared" si="286"/>
        <v>1.0162424426320448E-5</v>
      </c>
      <c r="AA304" s="3">
        <f t="shared" si="286"/>
        <v>1.0149204358593167E-5</v>
      </c>
      <c r="AB304" s="3">
        <f t="shared" si="286"/>
        <v>1.001794587227844E-5</v>
      </c>
      <c r="AC304" s="3">
        <f t="shared" si="286"/>
        <v>8.7951958794338292E-6</v>
      </c>
      <c r="AD304" s="3">
        <f t="shared" si="286"/>
        <v>2.3928411535749341E-6</v>
      </c>
      <c r="AE304" s="3">
        <f t="shared" si="286"/>
        <v>5.3161521410343696E-12</v>
      </c>
      <c r="AF304" s="3">
        <f t="shared" si="286"/>
        <v>1.5575167341440487E-68</v>
      </c>
      <c r="AG304" s="3"/>
      <c r="AH304" s="3"/>
    </row>
    <row r="305" spans="1:34" x14ac:dyDescent="0.25">
      <c r="B305" s="3">
        <f t="shared" ref="B305:AF305" si="287">$C35*EXP(-B$285/$A35/EXP(-$F$126))</f>
        <v>2.5019775067814324E-5</v>
      </c>
      <c r="C305" s="3">
        <f t="shared" si="287"/>
        <v>2.5019775067814324E-5</v>
      </c>
      <c r="D305" s="3">
        <f t="shared" si="287"/>
        <v>2.5019775067814324E-5</v>
      </c>
      <c r="E305" s="3">
        <f t="shared" si="287"/>
        <v>2.5019775067814324E-5</v>
      </c>
      <c r="F305" s="3">
        <f t="shared" si="287"/>
        <v>2.5019775067814324E-5</v>
      </c>
      <c r="G305" s="3">
        <f t="shared" si="287"/>
        <v>2.5019775067814324E-5</v>
      </c>
      <c r="H305" s="3">
        <f t="shared" si="287"/>
        <v>2.5019775067814324E-5</v>
      </c>
      <c r="I305" s="3">
        <f t="shared" si="287"/>
        <v>2.5019775067814324E-5</v>
      </c>
      <c r="J305" s="3">
        <f t="shared" si="287"/>
        <v>2.5019775067814324E-5</v>
      </c>
      <c r="K305" s="3">
        <f t="shared" si="287"/>
        <v>2.5019775067814324E-5</v>
      </c>
      <c r="L305" s="3">
        <f t="shared" si="287"/>
        <v>2.5019775067814324E-5</v>
      </c>
      <c r="M305" s="3">
        <f t="shared" si="287"/>
        <v>2.5019775067814324E-5</v>
      </c>
      <c r="N305" s="3">
        <f t="shared" si="287"/>
        <v>2.5019775067814324E-5</v>
      </c>
      <c r="O305" s="3">
        <f t="shared" si="287"/>
        <v>2.5019775067814321E-5</v>
      </c>
      <c r="P305" s="3">
        <f t="shared" si="287"/>
        <v>2.501977506781429E-5</v>
      </c>
      <c r="Q305" s="3">
        <f t="shared" si="287"/>
        <v>2.5019775067813995E-5</v>
      </c>
      <c r="R305" s="3">
        <f t="shared" si="287"/>
        <v>2.5019775067811061E-5</v>
      </c>
      <c r="S305" s="3">
        <f t="shared" si="287"/>
        <v>2.5019775067781679E-5</v>
      </c>
      <c r="T305" s="3">
        <f t="shared" si="287"/>
        <v>2.5019775067487881E-5</v>
      </c>
      <c r="U305" s="3">
        <f t="shared" si="287"/>
        <v>2.50197750645499E-5</v>
      </c>
      <c r="V305" s="3">
        <f t="shared" si="287"/>
        <v>2.5019775035170091E-5</v>
      </c>
      <c r="W305" s="3">
        <f t="shared" si="287"/>
        <v>2.5019774741371997E-5</v>
      </c>
      <c r="X305" s="3">
        <f t="shared" si="287"/>
        <v>2.5019771803391236E-5</v>
      </c>
      <c r="Y305" s="3">
        <f t="shared" si="287"/>
        <v>2.5019742423602636E-5</v>
      </c>
      <c r="Z305" s="3">
        <f t="shared" si="287"/>
        <v>2.5019448627614095E-5</v>
      </c>
      <c r="AA305" s="3">
        <f t="shared" si="287"/>
        <v>2.501651085746752E-5</v>
      </c>
      <c r="AB305" s="3">
        <f t="shared" si="287"/>
        <v>2.4987152121646314E-5</v>
      </c>
      <c r="AC305" s="3">
        <f t="shared" si="287"/>
        <v>2.4695453113560531E-5</v>
      </c>
      <c r="AD305" s="3">
        <f t="shared" si="287"/>
        <v>2.1959344973765175E-5</v>
      </c>
      <c r="AE305" s="3">
        <f t="shared" si="287"/>
        <v>6.7864586130224682E-6</v>
      </c>
      <c r="AF305" s="3">
        <f t="shared" si="287"/>
        <v>5.3936335938425542E-11</v>
      </c>
      <c r="AG305" s="3"/>
      <c r="AH305" s="3"/>
    </row>
    <row r="306" spans="1:34" x14ac:dyDescent="0.25">
      <c r="B306" s="3">
        <f t="shared" ref="B306:AF306" si="288">$C36*EXP(-B$285/$A36/EXP(-$F$126))</f>
        <v>2.3706614690246962E-5</v>
      </c>
      <c r="C306" s="3">
        <f t="shared" si="288"/>
        <v>2.3706614690246962E-5</v>
      </c>
      <c r="D306" s="3">
        <f t="shared" si="288"/>
        <v>2.3706614690246962E-5</v>
      </c>
      <c r="E306" s="3">
        <f t="shared" si="288"/>
        <v>2.3706614690246962E-5</v>
      </c>
      <c r="F306" s="3">
        <f t="shared" si="288"/>
        <v>2.3706614690246962E-5</v>
      </c>
      <c r="G306" s="3">
        <f t="shared" si="288"/>
        <v>2.3706614690246962E-5</v>
      </c>
      <c r="H306" s="3">
        <f t="shared" si="288"/>
        <v>2.3706614690246962E-5</v>
      </c>
      <c r="I306" s="3">
        <f t="shared" si="288"/>
        <v>2.3706614690246962E-5</v>
      </c>
      <c r="J306" s="3">
        <f t="shared" si="288"/>
        <v>2.3706614690246962E-5</v>
      </c>
      <c r="K306" s="3">
        <f t="shared" si="288"/>
        <v>2.3706614690246962E-5</v>
      </c>
      <c r="L306" s="3">
        <f t="shared" si="288"/>
        <v>2.3706614690246962E-5</v>
      </c>
      <c r="M306" s="3">
        <f t="shared" si="288"/>
        <v>2.3706614690246962E-5</v>
      </c>
      <c r="N306" s="3">
        <f t="shared" si="288"/>
        <v>2.3706614690246962E-5</v>
      </c>
      <c r="O306" s="3">
        <f t="shared" si="288"/>
        <v>2.3706614690246962E-5</v>
      </c>
      <c r="P306" s="3">
        <f t="shared" si="288"/>
        <v>2.3706614690246958E-5</v>
      </c>
      <c r="Q306" s="3">
        <f t="shared" si="288"/>
        <v>2.3706614690246931E-5</v>
      </c>
      <c r="R306" s="3">
        <f t="shared" si="288"/>
        <v>2.3706614690246684E-5</v>
      </c>
      <c r="S306" s="3">
        <f t="shared" si="288"/>
        <v>2.3706614690244173E-5</v>
      </c>
      <c r="T306" s="3">
        <f t="shared" si="288"/>
        <v>2.370661469021906E-5</v>
      </c>
      <c r="U306" s="3">
        <f t="shared" si="288"/>
        <v>2.3706614689967939E-5</v>
      </c>
      <c r="V306" s="3">
        <f t="shared" si="288"/>
        <v>2.3706614687456737E-5</v>
      </c>
      <c r="W306" s="3">
        <f t="shared" si="288"/>
        <v>2.3706614662344714E-5</v>
      </c>
      <c r="X306" s="3">
        <f t="shared" si="288"/>
        <v>2.370661441122448E-5</v>
      </c>
      <c r="Y306" s="3">
        <f t="shared" si="288"/>
        <v>2.3706611900022289E-5</v>
      </c>
      <c r="Z306" s="3">
        <f t="shared" si="288"/>
        <v>2.3706586788015042E-5</v>
      </c>
      <c r="AA306" s="3">
        <f t="shared" si="288"/>
        <v>2.3706335669405584E-5</v>
      </c>
      <c r="AB306" s="3">
        <f t="shared" si="288"/>
        <v>2.3703824629608742E-5</v>
      </c>
      <c r="AC306" s="3">
        <f t="shared" si="288"/>
        <v>2.3678728855683255E-5</v>
      </c>
      <c r="AD306" s="3">
        <f t="shared" si="288"/>
        <v>2.3429227805255788E-5</v>
      </c>
      <c r="AE306" s="3">
        <f t="shared" si="288"/>
        <v>2.1074335097832209E-5</v>
      </c>
      <c r="AF306" s="3">
        <f t="shared" si="288"/>
        <v>7.3065598197714756E-6</v>
      </c>
      <c r="AG306" s="3"/>
      <c r="AH306" s="3"/>
    </row>
    <row r="307" spans="1:34" x14ac:dyDescent="0.25">
      <c r="B307" s="3">
        <f t="shared" ref="B307:AF307" si="289">$C37*EXP(-B$285/$A37/EXP(-$F$126))</f>
        <v>3.9478614411466939E-5</v>
      </c>
      <c r="C307" s="3">
        <f t="shared" si="289"/>
        <v>3.9478614411466939E-5</v>
      </c>
      <c r="D307" s="3">
        <f t="shared" si="289"/>
        <v>3.9478614411466939E-5</v>
      </c>
      <c r="E307" s="3">
        <f t="shared" si="289"/>
        <v>3.9478614411466939E-5</v>
      </c>
      <c r="F307" s="3">
        <f t="shared" si="289"/>
        <v>3.9478614411466939E-5</v>
      </c>
      <c r="G307" s="3">
        <f t="shared" si="289"/>
        <v>3.9478614411466939E-5</v>
      </c>
      <c r="H307" s="3">
        <f t="shared" si="289"/>
        <v>3.9478614411466939E-5</v>
      </c>
      <c r="I307" s="3">
        <f t="shared" si="289"/>
        <v>3.9478614411466939E-5</v>
      </c>
      <c r="J307" s="3">
        <f t="shared" si="289"/>
        <v>3.9478614411466939E-5</v>
      </c>
      <c r="K307" s="3">
        <f t="shared" si="289"/>
        <v>3.9478614411466939E-5</v>
      </c>
      <c r="L307" s="3">
        <f t="shared" si="289"/>
        <v>3.9478614411466939E-5</v>
      </c>
      <c r="M307" s="3">
        <f t="shared" si="289"/>
        <v>3.9478614411466939E-5</v>
      </c>
      <c r="N307" s="3">
        <f t="shared" si="289"/>
        <v>3.9478614411466939E-5</v>
      </c>
      <c r="O307" s="3">
        <f t="shared" si="289"/>
        <v>3.9478614411466939E-5</v>
      </c>
      <c r="P307" s="3">
        <f t="shared" si="289"/>
        <v>3.9478614411466939E-5</v>
      </c>
      <c r="Q307" s="3">
        <f t="shared" si="289"/>
        <v>3.9478614411466932E-5</v>
      </c>
      <c r="R307" s="3">
        <f t="shared" si="289"/>
        <v>3.9478614411466898E-5</v>
      </c>
      <c r="S307" s="3">
        <f t="shared" si="289"/>
        <v>3.9478614411466519E-5</v>
      </c>
      <c r="T307" s="3">
        <f t="shared" si="289"/>
        <v>3.9478614411462751E-5</v>
      </c>
      <c r="U307" s="3">
        <f t="shared" si="289"/>
        <v>3.9478614411425021E-5</v>
      </c>
      <c r="V307" s="3">
        <f t="shared" si="289"/>
        <v>3.9478614411047779E-5</v>
      </c>
      <c r="W307" s="3">
        <f t="shared" si="289"/>
        <v>3.9478614407275352E-5</v>
      </c>
      <c r="X307" s="3">
        <f t="shared" si="289"/>
        <v>3.94786143695511E-5</v>
      </c>
      <c r="Y307" s="3">
        <f t="shared" si="289"/>
        <v>3.9478613992308565E-5</v>
      </c>
      <c r="Z307" s="3">
        <f t="shared" si="289"/>
        <v>3.9478610219883376E-5</v>
      </c>
      <c r="AA307" s="3">
        <f t="shared" si="289"/>
        <v>3.947857249565136E-5</v>
      </c>
      <c r="AB307" s="3">
        <f t="shared" si="289"/>
        <v>3.9478195255313854E-5</v>
      </c>
      <c r="AC307" s="3">
        <f t="shared" si="289"/>
        <v>3.9474423050194141E-5</v>
      </c>
      <c r="AD307" s="3">
        <f t="shared" si="289"/>
        <v>3.943672081753042E-5</v>
      </c>
      <c r="AE307" s="3">
        <f t="shared" si="289"/>
        <v>3.9061673355107455E-5</v>
      </c>
      <c r="AF307" s="3">
        <f t="shared" si="289"/>
        <v>3.5501877760243048E-5</v>
      </c>
      <c r="AG307" s="3"/>
      <c r="AH307" s="3"/>
    </row>
    <row r="308" spans="1:34" x14ac:dyDescent="0.25">
      <c r="B308" s="3">
        <f t="shared" ref="B308:AF308" si="290">$C38*EXP(-B$285/$A38/EXP(-$F$126))</f>
        <v>0</v>
      </c>
      <c r="C308" s="3">
        <f t="shared" si="290"/>
        <v>0</v>
      </c>
      <c r="D308" s="3">
        <f t="shared" si="290"/>
        <v>0</v>
      </c>
      <c r="E308" s="3">
        <f t="shared" si="290"/>
        <v>0</v>
      </c>
      <c r="F308" s="3">
        <f t="shared" si="290"/>
        <v>0</v>
      </c>
      <c r="G308" s="3">
        <f t="shared" si="290"/>
        <v>0</v>
      </c>
      <c r="H308" s="3">
        <f t="shared" si="290"/>
        <v>0</v>
      </c>
      <c r="I308" s="3">
        <f t="shared" si="290"/>
        <v>0</v>
      </c>
      <c r="J308" s="3">
        <f t="shared" si="290"/>
        <v>0</v>
      </c>
      <c r="K308" s="3">
        <f t="shared" si="290"/>
        <v>0</v>
      </c>
      <c r="L308" s="3">
        <f t="shared" si="290"/>
        <v>0</v>
      </c>
      <c r="M308" s="3">
        <f t="shared" si="290"/>
        <v>0</v>
      </c>
      <c r="N308" s="3">
        <f t="shared" si="290"/>
        <v>0</v>
      </c>
      <c r="O308" s="3">
        <f t="shared" si="290"/>
        <v>0</v>
      </c>
      <c r="P308" s="3">
        <f t="shared" si="290"/>
        <v>0</v>
      </c>
      <c r="Q308" s="3">
        <f t="shared" si="290"/>
        <v>0</v>
      </c>
      <c r="R308" s="3">
        <f t="shared" si="290"/>
        <v>0</v>
      </c>
      <c r="S308" s="3">
        <f t="shared" si="290"/>
        <v>0</v>
      </c>
      <c r="T308" s="3">
        <f t="shared" si="290"/>
        <v>0</v>
      </c>
      <c r="U308" s="3">
        <f t="shared" si="290"/>
        <v>0</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6.5441532530599776E-5</v>
      </c>
      <c r="C309" s="3">
        <f t="shared" si="291"/>
        <v>6.5441532530599776E-5</v>
      </c>
      <c r="D309" s="3">
        <f t="shared" si="291"/>
        <v>6.5441532530599776E-5</v>
      </c>
      <c r="E309" s="3">
        <f t="shared" si="291"/>
        <v>6.5441532530599776E-5</v>
      </c>
      <c r="F309" s="3">
        <f t="shared" si="291"/>
        <v>6.5441532530599776E-5</v>
      </c>
      <c r="G309" s="3">
        <f t="shared" si="291"/>
        <v>6.5441532530599776E-5</v>
      </c>
      <c r="H309" s="3">
        <f t="shared" si="291"/>
        <v>6.5441532530599776E-5</v>
      </c>
      <c r="I309" s="3">
        <f t="shared" si="291"/>
        <v>6.5441532530599776E-5</v>
      </c>
      <c r="J309" s="3">
        <f t="shared" si="291"/>
        <v>6.5441532530599776E-5</v>
      </c>
      <c r="K309" s="3">
        <f t="shared" si="291"/>
        <v>6.5441532530599776E-5</v>
      </c>
      <c r="L309" s="3">
        <f t="shared" si="291"/>
        <v>6.5441532530599776E-5</v>
      </c>
      <c r="M309" s="3">
        <f t="shared" si="291"/>
        <v>6.5441532530599776E-5</v>
      </c>
      <c r="N309" s="3">
        <f t="shared" si="291"/>
        <v>6.5441532530599776E-5</v>
      </c>
      <c r="O309" s="3">
        <f t="shared" si="291"/>
        <v>6.5441532530599776E-5</v>
      </c>
      <c r="P309" s="3">
        <f t="shared" si="291"/>
        <v>6.5441532530599776E-5</v>
      </c>
      <c r="Q309" s="3">
        <f t="shared" si="291"/>
        <v>6.5441532530599776E-5</v>
      </c>
      <c r="R309" s="3">
        <f t="shared" si="291"/>
        <v>6.5441532530599776E-5</v>
      </c>
      <c r="S309" s="3">
        <f t="shared" si="291"/>
        <v>6.5441532530599762E-5</v>
      </c>
      <c r="T309" s="3">
        <f t="shared" si="291"/>
        <v>6.54415325305996E-5</v>
      </c>
      <c r="U309" s="3">
        <f t="shared" si="291"/>
        <v>6.5441532530598041E-5</v>
      </c>
      <c r="V309" s="3">
        <f t="shared" si="291"/>
        <v>6.5441532530582442E-5</v>
      </c>
      <c r="W309" s="3">
        <f t="shared" si="291"/>
        <v>6.5441532530426425E-5</v>
      </c>
      <c r="X309" s="3">
        <f t="shared" si="291"/>
        <v>6.5441532528866258E-5</v>
      </c>
      <c r="Y309" s="3">
        <f t="shared" si="291"/>
        <v>6.5441532513264562E-5</v>
      </c>
      <c r="Z309" s="3">
        <f t="shared" si="291"/>
        <v>6.5441532357247653E-5</v>
      </c>
      <c r="AA309" s="3">
        <f t="shared" si="291"/>
        <v>6.5441530797078572E-5</v>
      </c>
      <c r="AB309" s="3">
        <f t="shared" si="291"/>
        <v>6.5441515195389821E-5</v>
      </c>
      <c r="AC309" s="3">
        <f t="shared" si="291"/>
        <v>6.5441359178706836E-5</v>
      </c>
      <c r="AD309" s="3">
        <f t="shared" si="291"/>
        <v>6.5439799032334365E-5</v>
      </c>
      <c r="AE309" s="3">
        <f t="shared" si="291"/>
        <v>6.5424199614159175E-5</v>
      </c>
      <c r="AF309" s="3">
        <f t="shared" si="291"/>
        <v>6.5268409807040962E-5</v>
      </c>
      <c r="AG309" s="3"/>
      <c r="AH309" s="3"/>
    </row>
    <row r="310" spans="1:34" x14ac:dyDescent="0.25">
      <c r="B310" s="3">
        <f t="shared" ref="B310:AF310" si="292">$C40*EXP(-B$285/$A40/EXP(-$F$126))</f>
        <v>9.072554140189839E-6</v>
      </c>
      <c r="C310" s="3">
        <f t="shared" si="292"/>
        <v>9.072554140189839E-6</v>
      </c>
      <c r="D310" s="3">
        <f t="shared" si="292"/>
        <v>9.072554140189839E-6</v>
      </c>
      <c r="E310" s="3">
        <f t="shared" si="292"/>
        <v>9.072554140189839E-6</v>
      </c>
      <c r="F310" s="3">
        <f t="shared" si="292"/>
        <v>9.072554140189839E-6</v>
      </c>
      <c r="G310" s="3">
        <f t="shared" si="292"/>
        <v>9.072554140189839E-6</v>
      </c>
      <c r="H310" s="3">
        <f t="shared" si="292"/>
        <v>9.072554140189839E-6</v>
      </c>
      <c r="I310" s="3">
        <f t="shared" si="292"/>
        <v>9.072554140189839E-6</v>
      </c>
      <c r="J310" s="3">
        <f t="shared" si="292"/>
        <v>9.072554140189839E-6</v>
      </c>
      <c r="K310" s="3">
        <f t="shared" si="292"/>
        <v>9.072554140189839E-6</v>
      </c>
      <c r="L310" s="3">
        <f t="shared" si="292"/>
        <v>9.072554140189839E-6</v>
      </c>
      <c r="M310" s="3">
        <f t="shared" si="292"/>
        <v>9.072554140189839E-6</v>
      </c>
      <c r="N310" s="3">
        <f t="shared" si="292"/>
        <v>9.072554140189839E-6</v>
      </c>
      <c r="O310" s="3">
        <f t="shared" si="292"/>
        <v>9.072554140189839E-6</v>
      </c>
      <c r="P310" s="3">
        <f t="shared" si="292"/>
        <v>9.072554140189839E-6</v>
      </c>
      <c r="Q310" s="3">
        <f t="shared" si="292"/>
        <v>9.072554140189839E-6</v>
      </c>
      <c r="R310" s="3">
        <f t="shared" si="292"/>
        <v>9.072554140189839E-6</v>
      </c>
      <c r="S310" s="3">
        <f t="shared" si="292"/>
        <v>9.072554140189839E-6</v>
      </c>
      <c r="T310" s="3">
        <f t="shared" si="292"/>
        <v>9.0725541401898373E-6</v>
      </c>
      <c r="U310" s="3">
        <f t="shared" si="292"/>
        <v>9.0725541401898153E-6</v>
      </c>
      <c r="V310" s="3">
        <f t="shared" si="292"/>
        <v>9.0725541401895984E-6</v>
      </c>
      <c r="W310" s="3">
        <f t="shared" si="292"/>
        <v>9.0725541401874351E-6</v>
      </c>
      <c r="X310" s="3">
        <f t="shared" si="292"/>
        <v>9.0725541401658053E-6</v>
      </c>
      <c r="Y310" s="3">
        <f t="shared" si="292"/>
        <v>9.0725541399495103E-6</v>
      </c>
      <c r="Z310" s="3">
        <f t="shared" si="292"/>
        <v>9.0725541377865541E-6</v>
      </c>
      <c r="AA310" s="3">
        <f t="shared" si="292"/>
        <v>9.0725541161569901E-6</v>
      </c>
      <c r="AB310" s="3">
        <f t="shared" si="292"/>
        <v>9.0725538998613452E-6</v>
      </c>
      <c r="AC310" s="3">
        <f t="shared" si="292"/>
        <v>9.0725517369051839E-6</v>
      </c>
      <c r="AD310" s="3">
        <f t="shared" si="292"/>
        <v>9.0725301073719449E-6</v>
      </c>
      <c r="AE310" s="3">
        <f t="shared" si="292"/>
        <v>9.0723138148756735E-6</v>
      </c>
      <c r="AF310" s="3">
        <f t="shared" si="292"/>
        <v>9.0701511734998212E-6</v>
      </c>
      <c r="AG310" s="3"/>
      <c r="AH310" s="3"/>
    </row>
    <row r="311" spans="1:34" x14ac:dyDescent="0.25">
      <c r="B311" s="3">
        <f t="shared" ref="B311:AF311" si="293">$C41*EXP(-B$285/$A41/EXP(-$F$126))</f>
        <v>3.4648583404177175E-7</v>
      </c>
      <c r="C311" s="3">
        <f t="shared" si="293"/>
        <v>3.4648583404177175E-7</v>
      </c>
      <c r="D311" s="3">
        <f t="shared" si="293"/>
        <v>3.4648583404177175E-7</v>
      </c>
      <c r="E311" s="3">
        <f t="shared" si="293"/>
        <v>3.4648583404177175E-7</v>
      </c>
      <c r="F311" s="3">
        <f t="shared" si="293"/>
        <v>3.4648583404177175E-7</v>
      </c>
      <c r="G311" s="3">
        <f t="shared" si="293"/>
        <v>3.4648583404177175E-7</v>
      </c>
      <c r="H311" s="3">
        <f t="shared" si="293"/>
        <v>3.4648583404177175E-7</v>
      </c>
      <c r="I311" s="3">
        <f t="shared" si="293"/>
        <v>3.4648583404177175E-7</v>
      </c>
      <c r="J311" s="3">
        <f t="shared" si="293"/>
        <v>3.4648583404177175E-7</v>
      </c>
      <c r="K311" s="3">
        <f t="shared" si="293"/>
        <v>3.4648583404177175E-7</v>
      </c>
      <c r="L311" s="3">
        <f t="shared" si="293"/>
        <v>3.4648583404177175E-7</v>
      </c>
      <c r="M311" s="3">
        <f t="shared" si="293"/>
        <v>3.4648583404177175E-7</v>
      </c>
      <c r="N311" s="3">
        <f t="shared" si="293"/>
        <v>3.4648583404177175E-7</v>
      </c>
      <c r="O311" s="3">
        <f t="shared" si="293"/>
        <v>3.4648583404177175E-7</v>
      </c>
      <c r="P311" s="3">
        <f t="shared" si="293"/>
        <v>3.4648583404177175E-7</v>
      </c>
      <c r="Q311" s="3">
        <f t="shared" si="293"/>
        <v>3.4648583404177175E-7</v>
      </c>
      <c r="R311" s="3">
        <f t="shared" si="293"/>
        <v>3.4648583404177175E-7</v>
      </c>
      <c r="S311" s="3">
        <f t="shared" si="293"/>
        <v>3.4648583404177175E-7</v>
      </c>
      <c r="T311" s="3">
        <f t="shared" si="293"/>
        <v>3.4648583404177175E-7</v>
      </c>
      <c r="U311" s="3">
        <f t="shared" si="293"/>
        <v>3.464858340417717E-7</v>
      </c>
      <c r="V311" s="3">
        <f t="shared" si="293"/>
        <v>3.4648583404177085E-7</v>
      </c>
      <c r="W311" s="3">
        <f t="shared" si="293"/>
        <v>3.4648583404176254E-7</v>
      </c>
      <c r="X311" s="3">
        <f t="shared" si="293"/>
        <v>3.4648583404167995E-7</v>
      </c>
      <c r="Y311" s="3">
        <f t="shared" si="293"/>
        <v>3.4648583404085394E-7</v>
      </c>
      <c r="Z311" s="3">
        <f t="shared" si="293"/>
        <v>3.4648583403259346E-7</v>
      </c>
      <c r="AA311" s="3">
        <f t="shared" si="293"/>
        <v>3.4648583394998895E-7</v>
      </c>
      <c r="AB311" s="3">
        <f t="shared" si="293"/>
        <v>3.46485833123944E-7</v>
      </c>
      <c r="AC311" s="3">
        <f t="shared" si="293"/>
        <v>3.4648582486349436E-7</v>
      </c>
      <c r="AD311" s="3">
        <f t="shared" si="293"/>
        <v>3.4648574225900858E-7</v>
      </c>
      <c r="AE311" s="3">
        <f t="shared" si="293"/>
        <v>3.4648491621523431E-7</v>
      </c>
      <c r="AF311" s="3">
        <f t="shared" si="293"/>
        <v>3.4647665588580451E-7</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2.6390969703261771E-3</v>
      </c>
      <c r="C318" s="3">
        <f t="shared" si="300"/>
        <v>2.6390969703261771E-3</v>
      </c>
      <c r="D318" s="3">
        <f t="shared" si="300"/>
        <v>2.6390969703261771E-3</v>
      </c>
      <c r="E318" s="3">
        <f t="shared" si="300"/>
        <v>2.6390969703261771E-3</v>
      </c>
      <c r="F318" s="3">
        <f t="shared" si="300"/>
        <v>2.6390969703261771E-3</v>
      </c>
      <c r="G318" s="3">
        <f t="shared" si="300"/>
        <v>2.6390969703261771E-3</v>
      </c>
      <c r="H318" s="3">
        <f t="shared" si="300"/>
        <v>2.6390969703261771E-3</v>
      </c>
      <c r="I318" s="3">
        <f t="shared" si="300"/>
        <v>2.6390969703261771E-3</v>
      </c>
      <c r="J318" s="3">
        <f t="shared" si="300"/>
        <v>2.6390969703261771E-3</v>
      </c>
      <c r="K318" s="3">
        <f t="shared" si="300"/>
        <v>2.6390969703261771E-3</v>
      </c>
      <c r="L318" s="3">
        <f t="shared" si="300"/>
        <v>2.6390969703261771E-3</v>
      </c>
      <c r="M318" s="3">
        <f t="shared" si="300"/>
        <v>2.6390969703261771E-3</v>
      </c>
      <c r="N318" s="3">
        <f t="shared" si="300"/>
        <v>2.6390969703261771E-3</v>
      </c>
      <c r="O318" s="3">
        <f t="shared" si="300"/>
        <v>2.6390969703261771E-3</v>
      </c>
      <c r="P318" s="3">
        <f t="shared" si="300"/>
        <v>2.6390969703261771E-3</v>
      </c>
      <c r="Q318" s="3">
        <f t="shared" si="300"/>
        <v>2.6390969703261771E-3</v>
      </c>
      <c r="R318" s="3">
        <f t="shared" si="300"/>
        <v>2.6390969703261771E-3</v>
      </c>
      <c r="S318" s="3">
        <f t="shared" si="300"/>
        <v>2.6390969703261771E-3</v>
      </c>
      <c r="T318" s="3">
        <f t="shared" si="300"/>
        <v>2.6390969703261771E-3</v>
      </c>
      <c r="U318" s="3">
        <f t="shared" si="300"/>
        <v>2.6390969703261771E-3</v>
      </c>
      <c r="V318" s="3">
        <f t="shared" si="300"/>
        <v>2.6390969703261771E-3</v>
      </c>
      <c r="W318" s="3">
        <f t="shared" si="300"/>
        <v>2.6390969703261771E-3</v>
      </c>
      <c r="X318" s="3">
        <f t="shared" si="300"/>
        <v>2.6390969703261771E-3</v>
      </c>
      <c r="Y318" s="3">
        <f t="shared" si="300"/>
        <v>2.6390969703261771E-3</v>
      </c>
      <c r="Z318" s="3">
        <f t="shared" si="300"/>
        <v>2.6390969703261771E-3</v>
      </c>
      <c r="AA318" s="3">
        <f t="shared" si="300"/>
        <v>2.6390969703261771E-3</v>
      </c>
      <c r="AB318" s="3">
        <f t="shared" si="300"/>
        <v>2.6390969703261767E-3</v>
      </c>
      <c r="AC318" s="3">
        <f t="shared" si="300"/>
        <v>2.6390969703261702E-3</v>
      </c>
      <c r="AD318" s="3">
        <f t="shared" si="300"/>
        <v>2.6390969703261073E-3</v>
      </c>
      <c r="AE318" s="3">
        <f t="shared" si="300"/>
        <v>2.639096970325478E-3</v>
      </c>
      <c r="AF318" s="3">
        <f t="shared" si="300"/>
        <v>2.6390969703191862E-3</v>
      </c>
      <c r="AG318" s="3"/>
      <c r="AH318" s="3"/>
    </row>
    <row r="319" spans="1:34" x14ac:dyDescent="0.25">
      <c r="A319" s="79">
        <f>AVERAGE(B319:AF319)</f>
        <v>3.9349436712275525E-2</v>
      </c>
      <c r="B319" s="80">
        <f>IF($A$64&lt;=B285,IF($B$64&gt;=B285,ABS((B287-B286)/B286),0),0)</f>
        <v>2.3177818502704717E-3</v>
      </c>
      <c r="C319" s="80">
        <f t="shared" ref="C319:AF319" si="301">IF($A$64&lt;=C285,IF($B$64&gt;=C285,ABS((C287-C286)/C286),0),0)</f>
        <v>2.3083525849397239E-3</v>
      </c>
      <c r="D319" s="80">
        <f t="shared" si="301"/>
        <v>2.2800549337894309E-3</v>
      </c>
      <c r="E319" s="80">
        <f t="shared" si="301"/>
        <v>1.9606006116948075E-3</v>
      </c>
      <c r="F319" s="80">
        <f t="shared" si="301"/>
        <v>1.2115104231156448E-3</v>
      </c>
      <c r="G319" s="80">
        <f t="shared" si="301"/>
        <v>2.9750142934791297E-2</v>
      </c>
      <c r="H319" s="80">
        <f t="shared" si="301"/>
        <v>0.13103528268282952</v>
      </c>
      <c r="I319" s="80">
        <f t="shared" si="301"/>
        <v>0.12143404173026902</v>
      </c>
      <c r="J319" s="80">
        <f t="shared" si="301"/>
        <v>9.4421830511316793E-2</v>
      </c>
      <c r="K319" s="80">
        <f t="shared" si="301"/>
        <v>6.0729227684527563E-2</v>
      </c>
      <c r="L319" s="80">
        <f t="shared" si="301"/>
        <v>2.4413872986972032E-2</v>
      </c>
      <c r="M319" s="80">
        <f t="shared" si="301"/>
        <v>1.922511085473956E-2</v>
      </c>
      <c r="N319" s="80">
        <f t="shared" si="301"/>
        <v>2.6371537140621678E-2</v>
      </c>
      <c r="O319" s="80">
        <f t="shared" si="301"/>
        <v>3.7251120820392968E-3</v>
      </c>
      <c r="P319" s="80">
        <f t="shared" si="301"/>
        <v>1.5128928572176079E-2</v>
      </c>
      <c r="Q319" s="80">
        <f t="shared" si="301"/>
        <v>1.3626248494828531E-2</v>
      </c>
      <c r="R319" s="80">
        <f t="shared" si="301"/>
        <v>2.9110389795945223E-2</v>
      </c>
      <c r="S319" s="80">
        <f t="shared" si="301"/>
        <v>4.8535260486569046E-2</v>
      </c>
      <c r="T319" s="80">
        <f t="shared" si="301"/>
        <v>6.9441538696283361E-2</v>
      </c>
      <c r="U319" s="80">
        <f t="shared" si="301"/>
        <v>9.2622436212445924E-2</v>
      </c>
      <c r="V319" s="80">
        <f t="shared" si="301"/>
        <v>8.5470912426579976E-2</v>
      </c>
      <c r="W319" s="80">
        <f t="shared" si="301"/>
        <v>8.9444329962054273E-2</v>
      </c>
      <c r="X319" s="80">
        <f t="shared" si="301"/>
        <v>8.0635840157719837E-2</v>
      </c>
      <c r="Y319" s="80">
        <f t="shared" si="301"/>
        <v>5.3028649713391607E-2</v>
      </c>
      <c r="Z319" s="80">
        <f t="shared" si="301"/>
        <v>4.57806166849105E-2</v>
      </c>
      <c r="AA319" s="80">
        <f t="shared" si="301"/>
        <v>1.332853724636042E-2</v>
      </c>
      <c r="AB319" s="80">
        <f t="shared" si="301"/>
        <v>2.0891088482185897E-2</v>
      </c>
      <c r="AC319" s="80">
        <f t="shared" si="301"/>
        <v>1.1492778268530752E-2</v>
      </c>
      <c r="AD319" s="80">
        <f t="shared" si="301"/>
        <v>1.1058275915215002E-2</v>
      </c>
      <c r="AE319" s="80">
        <f t="shared" si="301"/>
        <v>1.0100416722541949E-2</v>
      </c>
      <c r="AF319" s="80">
        <f t="shared" si="301"/>
        <v>8.9518312308860953E-3</v>
      </c>
    </row>
    <row r="320" spans="1:34" x14ac:dyDescent="0.25">
      <c r="B320" s="21">
        <f>(B287-B286)^2</f>
        <v>188.06283410252908</v>
      </c>
      <c r="C320" s="21">
        <f t="shared" ref="C320:AF320" si="302">(C287-C286)^2</f>
        <v>186.53774553335995</v>
      </c>
      <c r="D320" s="21">
        <f t="shared" si="302"/>
        <v>181.98751426577942</v>
      </c>
      <c r="E320" s="21">
        <f t="shared" si="302"/>
        <v>134.53852766805628</v>
      </c>
      <c r="F320" s="21">
        <f t="shared" si="302"/>
        <v>51.276824558533328</v>
      </c>
      <c r="G320" s="21">
        <f t="shared" si="302"/>
        <v>30445.301054862706</v>
      </c>
      <c r="H320" s="21">
        <f t="shared" si="302"/>
        <v>562269.24537924095</v>
      </c>
      <c r="I320" s="21">
        <f t="shared" si="302"/>
        <v>458645.09519676841</v>
      </c>
      <c r="J320" s="21">
        <f t="shared" si="302"/>
        <v>260994.57932354879</v>
      </c>
      <c r="K320" s="21">
        <f t="shared" si="302"/>
        <v>100344.12423078039</v>
      </c>
      <c r="L320" s="21">
        <f t="shared" si="302"/>
        <v>15011.252544686235</v>
      </c>
      <c r="M320" s="21">
        <f t="shared" si="302"/>
        <v>8414.1427423365767</v>
      </c>
      <c r="N320" s="21">
        <f t="shared" si="302"/>
        <v>14097.175134987259</v>
      </c>
      <c r="O320" s="21">
        <f t="shared" si="302"/>
        <v>249.45276635255544</v>
      </c>
      <c r="P320" s="21">
        <f t="shared" si="302"/>
        <v>3586.5343039618201</v>
      </c>
      <c r="Q320" s="21">
        <f t="shared" si="302"/>
        <v>2486.9040201358785</v>
      </c>
      <c r="R320" s="21">
        <f t="shared" si="302"/>
        <v>9050.9394361194427</v>
      </c>
      <c r="S320" s="21">
        <f t="shared" si="302"/>
        <v>18061.336952416728</v>
      </c>
      <c r="T320" s="21">
        <f t="shared" si="302"/>
        <v>23436.743841667834</v>
      </c>
      <c r="U320" s="21">
        <f t="shared" si="302"/>
        <v>21591.730971608533</v>
      </c>
      <c r="V320" s="21">
        <f t="shared" si="302"/>
        <v>7305.617267085192</v>
      </c>
      <c r="W320" s="21">
        <f t="shared" si="302"/>
        <v>2654.3644897572135</v>
      </c>
      <c r="X320" s="21">
        <f t="shared" si="302"/>
        <v>673.33099308384908</v>
      </c>
      <c r="Y320" s="21">
        <f t="shared" si="302"/>
        <v>99.280602102083407</v>
      </c>
      <c r="Z320" s="21">
        <f t="shared" si="302"/>
        <v>44.874240432428465</v>
      </c>
      <c r="AA320" s="21">
        <f t="shared" si="302"/>
        <v>3.1271373890362808</v>
      </c>
      <c r="AB320" s="21">
        <f t="shared" si="302"/>
        <v>6.72069792327635</v>
      </c>
      <c r="AC320" s="21">
        <f t="shared" si="302"/>
        <v>2.0300124737509568</v>
      </c>
      <c r="AD320" s="21">
        <f t="shared" si="302"/>
        <v>1.879357270057435</v>
      </c>
      <c r="AE320" s="21">
        <f t="shared" si="302"/>
        <v>1.5678381657622888</v>
      </c>
      <c r="AF320" s="21">
        <f t="shared" si="302"/>
        <v>1.2315034336860449</v>
      </c>
      <c r="AG320" s="3"/>
      <c r="AH320" s="3"/>
    </row>
    <row r="321" spans="1:34" x14ac:dyDescent="0.25">
      <c r="A321" s="71">
        <f>SUM(B321:AF321)</f>
        <v>1540220.9854847188</v>
      </c>
      <c r="B321" s="60">
        <f>IF($A$64&lt;=B285,IF($B$64&gt;=B285,ABS(B320),0),0)</f>
        <v>188.06283410252908</v>
      </c>
      <c r="C321" s="60">
        <f t="shared" ref="C321" si="303">IF($A$64&lt;=C285,IF($B$64&gt;=C285,ABS(C320),0),0)</f>
        <v>186.53774553335995</v>
      </c>
      <c r="D321" s="60">
        <f t="shared" ref="D321" si="304">IF($A$64&lt;=D285,IF($B$64&gt;=D285,ABS(D320),0),0)</f>
        <v>181.98751426577942</v>
      </c>
      <c r="E321" s="60">
        <f t="shared" ref="E321" si="305">IF($A$64&lt;=E285,IF($B$64&gt;=E285,ABS(E320),0),0)</f>
        <v>134.53852766805628</v>
      </c>
      <c r="F321" s="60">
        <f t="shared" ref="F321" si="306">IF($A$64&lt;=F285,IF($B$64&gt;=F285,ABS(F320),0),0)</f>
        <v>51.276824558533328</v>
      </c>
      <c r="G321" s="60">
        <f t="shared" ref="G321" si="307">IF($A$64&lt;=G285,IF($B$64&gt;=G285,ABS(G320),0),0)</f>
        <v>30445.301054862706</v>
      </c>
      <c r="H321" s="60">
        <f t="shared" ref="H321" si="308">IF($A$64&lt;=H285,IF($B$64&gt;=H285,ABS(H320),0),0)</f>
        <v>562269.24537924095</v>
      </c>
      <c r="I321" s="60">
        <f t="shared" ref="I321" si="309">IF($A$64&lt;=I285,IF($B$64&gt;=I285,ABS(I320),0),0)</f>
        <v>458645.09519676841</v>
      </c>
      <c r="J321" s="60">
        <f t="shared" ref="J321" si="310">IF($A$64&lt;=J285,IF($B$64&gt;=J285,ABS(J320),0),0)</f>
        <v>260994.57932354879</v>
      </c>
      <c r="K321" s="60">
        <f t="shared" ref="K321" si="311">IF($A$64&lt;=K285,IF($B$64&gt;=K285,ABS(K320),0),0)</f>
        <v>100344.12423078039</v>
      </c>
      <c r="L321" s="60">
        <f t="shared" ref="L321" si="312">IF($A$64&lt;=L285,IF($B$64&gt;=L285,ABS(L320),0),0)</f>
        <v>15011.252544686235</v>
      </c>
      <c r="M321" s="60">
        <f t="shared" ref="M321" si="313">IF($A$64&lt;=M285,IF($B$64&gt;=M285,ABS(M320),0),0)</f>
        <v>8414.1427423365767</v>
      </c>
      <c r="N321" s="60">
        <f t="shared" ref="N321" si="314">IF($A$64&lt;=N285,IF($B$64&gt;=N285,ABS(N320),0),0)</f>
        <v>14097.175134987259</v>
      </c>
      <c r="O321" s="60">
        <f t="shared" ref="O321" si="315">IF($A$64&lt;=O285,IF($B$64&gt;=O285,ABS(O320),0),0)</f>
        <v>249.45276635255544</v>
      </c>
      <c r="P321" s="60">
        <f t="shared" ref="P321" si="316">IF($A$64&lt;=P285,IF($B$64&gt;=P285,ABS(P320),0),0)</f>
        <v>3586.5343039618201</v>
      </c>
      <c r="Q321" s="60">
        <f t="shared" ref="Q321" si="317">IF($A$64&lt;=Q285,IF($B$64&gt;=Q285,ABS(Q320),0),0)</f>
        <v>2486.9040201358785</v>
      </c>
      <c r="R321" s="60">
        <f t="shared" ref="R321" si="318">IF($A$64&lt;=R285,IF($B$64&gt;=R285,ABS(R320),0),0)</f>
        <v>9050.9394361194427</v>
      </c>
      <c r="S321" s="60">
        <f t="shared" ref="S321" si="319">IF($A$64&lt;=S285,IF($B$64&gt;=S285,ABS(S320),0),0)</f>
        <v>18061.336952416728</v>
      </c>
      <c r="T321" s="60">
        <f t="shared" ref="T321" si="320">IF($A$64&lt;=T285,IF($B$64&gt;=T285,ABS(T320),0),0)</f>
        <v>23436.743841667834</v>
      </c>
      <c r="U321" s="60">
        <f t="shared" ref="U321" si="321">IF($A$64&lt;=U285,IF($B$64&gt;=U285,ABS(U320),0),0)</f>
        <v>21591.730971608533</v>
      </c>
      <c r="V321" s="60">
        <f t="shared" ref="V321" si="322">IF($A$64&lt;=V285,IF($B$64&gt;=V285,ABS(V320),0),0)</f>
        <v>7305.617267085192</v>
      </c>
      <c r="W321" s="60">
        <f t="shared" ref="W321" si="323">IF($A$64&lt;=W285,IF($B$64&gt;=W285,ABS(W320),0),0)</f>
        <v>2654.3644897572135</v>
      </c>
      <c r="X321" s="60">
        <f t="shared" ref="X321" si="324">IF($A$64&lt;=X285,IF($B$64&gt;=X285,ABS(X320),0),0)</f>
        <v>673.33099308384908</v>
      </c>
      <c r="Y321" s="60">
        <f t="shared" ref="Y321" si="325">IF($A$64&lt;=Y285,IF($B$64&gt;=Y285,ABS(Y320),0),0)</f>
        <v>99.280602102083407</v>
      </c>
      <c r="Z321" s="60">
        <f t="shared" ref="Z321" si="326">IF($A$64&lt;=Z285,IF($B$64&gt;=Z285,ABS(Z320),0),0)</f>
        <v>44.874240432428465</v>
      </c>
      <c r="AA321" s="60">
        <f t="shared" ref="AA321" si="327">IF($A$64&lt;=AA285,IF($B$64&gt;=AA285,ABS(AA320),0),0)</f>
        <v>3.1271373890362808</v>
      </c>
      <c r="AB321" s="60">
        <f t="shared" ref="AB321" si="328">IF($A$64&lt;=AB285,IF($B$64&gt;=AB285,ABS(AB320),0),0)</f>
        <v>6.72069792327635</v>
      </c>
      <c r="AC321" s="60">
        <f t="shared" ref="AC321" si="329">IF($A$64&lt;=AC285,IF($B$64&gt;=AC285,ABS(AC320),0),0)</f>
        <v>2.0300124737509568</v>
      </c>
      <c r="AD321" s="60">
        <f t="shared" ref="AD321" si="330">IF($A$64&lt;=AD285,IF($B$64&gt;=AD285,ABS(AD320),0),0)</f>
        <v>1.879357270057435</v>
      </c>
      <c r="AE321" s="60">
        <f t="shared" ref="AE321" si="331">IF($A$64&lt;=AE285,IF($B$64&gt;=AE285,ABS(AE320),0),0)</f>
        <v>1.5678381657622888</v>
      </c>
      <c r="AF321" s="60">
        <f t="shared" ref="AF321" si="332">IF($A$64&lt;=AF285,IF($B$64&gt;=AF285,ABS(AF320),0),0)</f>
        <v>1.2315034336860449</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7" t="s">
        <v>22</v>
      </c>
      <c r="B326" s="27">
        <f>($C$17+SUM(B327:B357))*$B$51</f>
        <v>4899.5051812031998</v>
      </c>
      <c r="C326" s="27">
        <f t="shared" ref="C326:AF326" si="333">($C$17+SUM(C327:C357))*$B$51</f>
        <v>4897.4366158663734</v>
      </c>
      <c r="D326" s="27">
        <f t="shared" si="333"/>
        <v>4877.1537637013162</v>
      </c>
      <c r="E326" s="27">
        <f t="shared" si="333"/>
        <v>4709.5991066463039</v>
      </c>
      <c r="F326" s="27">
        <f t="shared" si="333"/>
        <v>4299.0461375134819</v>
      </c>
      <c r="G326" s="27">
        <f t="shared" si="333"/>
        <v>4074.0370592208587</v>
      </c>
      <c r="H326" s="27">
        <f t="shared" si="333"/>
        <v>3768.0466430689203</v>
      </c>
      <c r="I326" s="27">
        <f t="shared" si="333"/>
        <v>3439.7525754831254</v>
      </c>
      <c r="J326" s="27">
        <f t="shared" si="333"/>
        <v>2998.8871444558717</v>
      </c>
      <c r="K326" s="27">
        <f t="shared" si="333"/>
        <v>2470.9900467619332</v>
      </c>
      <c r="L326" s="27">
        <f t="shared" si="333"/>
        <v>1864.8908266000326</v>
      </c>
      <c r="M326" s="27">
        <f t="shared" si="333"/>
        <v>1209.4927040082462</v>
      </c>
      <c r="N326" s="27">
        <f t="shared" si="333"/>
        <v>714.99022472225704</v>
      </c>
      <c r="O326" s="27">
        <f t="shared" si="333"/>
        <v>401.89673252277282</v>
      </c>
      <c r="P326" s="27">
        <f t="shared" si="333"/>
        <v>225.34162926506656</v>
      </c>
      <c r="Q326" s="27">
        <f t="shared" si="333"/>
        <v>160.13634520294698</v>
      </c>
      <c r="R326" s="27">
        <f t="shared" si="333"/>
        <v>138.06046105048856</v>
      </c>
      <c r="S326" s="27">
        <f t="shared" si="333"/>
        <v>127.97710671813682</v>
      </c>
      <c r="T326" s="27">
        <f t="shared" si="333"/>
        <v>125.40102106042524</v>
      </c>
      <c r="U326" s="27">
        <f t="shared" si="333"/>
        <v>125.35952707615641</v>
      </c>
      <c r="V326" s="27">
        <f t="shared" si="333"/>
        <v>125.25449442346522</v>
      </c>
      <c r="W326" s="27">
        <f t="shared" si="333"/>
        <v>125.11157256993111</v>
      </c>
      <c r="X326" s="27">
        <f t="shared" si="333"/>
        <v>124.94054936159002</v>
      </c>
      <c r="Y326" s="27">
        <f t="shared" si="333"/>
        <v>124.76569451306676</v>
      </c>
      <c r="Z326" s="27">
        <f t="shared" si="333"/>
        <v>124.50541120446772</v>
      </c>
      <c r="AA326" s="27">
        <f t="shared" si="333"/>
        <v>124.39241849792413</v>
      </c>
      <c r="AB326" s="27">
        <f t="shared" si="333"/>
        <v>124.38030873494175</v>
      </c>
      <c r="AC326" s="27">
        <f t="shared" si="333"/>
        <v>124.37987478595876</v>
      </c>
      <c r="AD326" s="27">
        <f t="shared" si="333"/>
        <v>124.37964819609229</v>
      </c>
      <c r="AE326" s="27">
        <f t="shared" si="333"/>
        <v>124.37738247996835</v>
      </c>
      <c r="AF326" s="27">
        <f t="shared" si="333"/>
        <v>124.35474335107156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9.086219882705901E-2</v>
      </c>
      <c r="C328" s="3">
        <f t="shared" si="335"/>
        <v>9.0525854503288664E-2</v>
      </c>
      <c r="D328" s="3">
        <f t="shared" si="335"/>
        <v>8.7230133879543717E-2</v>
      </c>
      <c r="E328" s="3">
        <f t="shared" si="335"/>
        <v>6.0201262587013561E-2</v>
      </c>
      <c r="F328" s="3">
        <f t="shared" si="335"/>
        <v>1.475693643445235E-3</v>
      </c>
      <c r="G328" s="3">
        <f t="shared" si="335"/>
        <v>1.155852123041837E-19</v>
      </c>
      <c r="H328" s="3">
        <f t="shared" si="335"/>
        <v>1.0045301121909295E-180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3.1880071653270663E-2</v>
      </c>
      <c r="C329" s="3">
        <f t="shared" si="336"/>
        <v>3.186940816850331E-2</v>
      </c>
      <c r="D329" s="3">
        <f t="shared" si="336"/>
        <v>3.1762969298225065E-2</v>
      </c>
      <c r="E329" s="3">
        <f t="shared" si="336"/>
        <v>3.0717937907519317E-2</v>
      </c>
      <c r="F329" s="3">
        <f t="shared" si="336"/>
        <v>2.1983745715102487E-2</v>
      </c>
      <c r="G329" s="3">
        <f t="shared" si="336"/>
        <v>7.7481501729402319E-4</v>
      </c>
      <c r="H329" s="3">
        <f t="shared" si="336"/>
        <v>2.2917192109773438E-18</v>
      </c>
      <c r="I329" s="3">
        <f t="shared" si="336"/>
        <v>1.1743435414880332E-163</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5.429500424691984E-2</v>
      </c>
      <c r="C330" s="3">
        <f t="shared" si="337"/>
        <v>5.429336572439359E-2</v>
      </c>
      <c r="D330" s="3">
        <f t="shared" si="337"/>
        <v>5.4276983218501336E-2</v>
      </c>
      <c r="E330" s="3">
        <f t="shared" si="337"/>
        <v>5.4113429793195882E-2</v>
      </c>
      <c r="F330" s="3">
        <f t="shared" si="337"/>
        <v>5.2504758026365367E-2</v>
      </c>
      <c r="G330" s="3">
        <f t="shared" si="337"/>
        <v>3.882707404873291E-2</v>
      </c>
      <c r="H330" s="3">
        <f t="shared" si="337"/>
        <v>1.8988676273997672E-3</v>
      </c>
      <c r="I330" s="3">
        <f t="shared" si="337"/>
        <v>1.4862605695615099E-16</v>
      </c>
      <c r="J330" s="3">
        <f t="shared" si="337"/>
        <v>1.2826188315303772E-147</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5.1307494611249692E-2</v>
      </c>
      <c r="C331" s="3">
        <f t="shared" si="338"/>
        <v>5.1307354933925665E-2</v>
      </c>
      <c r="D331" s="3">
        <f t="shared" si="338"/>
        <v>5.130595818159904E-2</v>
      </c>
      <c r="E331" s="3">
        <f t="shared" si="338"/>
        <v>5.1291992749488681E-2</v>
      </c>
      <c r="F331" s="3">
        <f t="shared" si="338"/>
        <v>5.1152547333487321E-2</v>
      </c>
      <c r="G331" s="3">
        <f t="shared" si="338"/>
        <v>4.9778774782634448E-2</v>
      </c>
      <c r="H331" s="3">
        <f t="shared" si="338"/>
        <v>3.7915219444650171E-2</v>
      </c>
      <c r="I331" s="3">
        <f t="shared" si="338"/>
        <v>2.4917661579496953E-3</v>
      </c>
      <c r="J331" s="3">
        <f t="shared" si="338"/>
        <v>3.7449357857806682E-15</v>
      </c>
      <c r="K331" s="3">
        <f t="shared" si="338"/>
        <v>2.2019897680502184E-133</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7.4663979896317109E-2</v>
      </c>
      <c r="C332" s="3">
        <f t="shared" si="339"/>
        <v>7.4663961560369363E-2</v>
      </c>
      <c r="D332" s="3">
        <f t="shared" si="339"/>
        <v>7.4663778201139591E-2</v>
      </c>
      <c r="E332" s="3">
        <f t="shared" si="339"/>
        <v>7.4661944633607799E-2</v>
      </c>
      <c r="F332" s="3">
        <f t="shared" si="339"/>
        <v>7.4643611434654283E-2</v>
      </c>
      <c r="G332" s="3">
        <f t="shared" si="339"/>
        <v>7.4460526856693035E-2</v>
      </c>
      <c r="H332" s="3">
        <f t="shared" si="339"/>
        <v>7.2654198894424732E-2</v>
      </c>
      <c r="I332" s="3">
        <f t="shared" si="339"/>
        <v>5.6833821012155929E-2</v>
      </c>
      <c r="J332" s="3">
        <f t="shared" si="339"/>
        <v>4.8760508106518424E-3</v>
      </c>
      <c r="K332" s="3">
        <f t="shared" si="339"/>
        <v>1.053614880194296E-13</v>
      </c>
      <c r="L332" s="3">
        <f t="shared" si="339"/>
        <v>2.3378606747386804E-120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9.0647969750499297E-2</v>
      </c>
      <c r="C333" s="3">
        <f t="shared" si="340"/>
        <v>9.0647967742345598E-2</v>
      </c>
      <c r="D333" s="3">
        <f t="shared" si="340"/>
        <v>9.0647947660811135E-2</v>
      </c>
      <c r="E333" s="3">
        <f t="shared" si="340"/>
        <v>9.0647746845711225E-2</v>
      </c>
      <c r="F333" s="3">
        <f t="shared" si="340"/>
        <v>9.0645738719179844E-2</v>
      </c>
      <c r="G333" s="3">
        <f t="shared" si="340"/>
        <v>9.0625659900443578E-2</v>
      </c>
      <c r="H333" s="3">
        <f t="shared" si="340"/>
        <v>9.042511617040129E-2</v>
      </c>
      <c r="I333" s="3">
        <f t="shared" si="340"/>
        <v>8.8443925408803928E-2</v>
      </c>
      <c r="J333" s="3">
        <f t="shared" si="340"/>
        <v>7.0869170940797602E-2</v>
      </c>
      <c r="K333" s="3">
        <f t="shared" si="340"/>
        <v>7.7330492847564559E-3</v>
      </c>
      <c r="L333" s="3">
        <f t="shared" si="340"/>
        <v>1.8504827306090523E-12</v>
      </c>
      <c r="M333" s="3">
        <f t="shared" si="340"/>
        <v>1.1392725156602317E-108</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0.10513898704042417</v>
      </c>
      <c r="C334" s="3">
        <f t="shared" si="341"/>
        <v>0.10513898683031295</v>
      </c>
      <c r="D334" s="3">
        <f t="shared" si="341"/>
        <v>0.10513898472920075</v>
      </c>
      <c r="E334" s="3">
        <f t="shared" si="341"/>
        <v>0.10513896371808103</v>
      </c>
      <c r="F334" s="3">
        <f t="shared" si="341"/>
        <v>0.10513875360711473</v>
      </c>
      <c r="G334" s="3">
        <f t="shared" si="341"/>
        <v>0.10513665252054551</v>
      </c>
      <c r="H334" s="3">
        <f t="shared" si="341"/>
        <v>0.10511564396405415</v>
      </c>
      <c r="I334" s="3">
        <f t="shared" si="341"/>
        <v>0.10490578914857868</v>
      </c>
      <c r="J334" s="3">
        <f t="shared" si="341"/>
        <v>0.10283014622665501</v>
      </c>
      <c r="K334" s="3">
        <f t="shared" si="341"/>
        <v>8.4203556748535982E-2</v>
      </c>
      <c r="L334" s="3">
        <f t="shared" si="341"/>
        <v>1.1413800228543046E-2</v>
      </c>
      <c r="M334" s="3">
        <f t="shared" si="341"/>
        <v>2.3901687969248357E-11</v>
      </c>
      <c r="N334" s="3">
        <f t="shared" si="341"/>
        <v>3.8762486458258221E-98</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0.12480864844845108</v>
      </c>
      <c r="C335" s="3">
        <f t="shared" si="342"/>
        <v>0.12480864842595138</v>
      </c>
      <c r="D335" s="3">
        <f t="shared" si="342"/>
        <v>0.12480864820095439</v>
      </c>
      <c r="E335" s="3">
        <f t="shared" si="342"/>
        <v>0.12480864595098438</v>
      </c>
      <c r="F335" s="3">
        <f t="shared" si="342"/>
        <v>0.12480862345128656</v>
      </c>
      <c r="G335" s="3">
        <f t="shared" si="342"/>
        <v>0.12480839845453155</v>
      </c>
      <c r="H335" s="3">
        <f t="shared" si="342"/>
        <v>0.12480614850928987</v>
      </c>
      <c r="I335" s="3">
        <f t="shared" si="342"/>
        <v>0.12478365128756329</v>
      </c>
      <c r="J335" s="3">
        <f t="shared" si="342"/>
        <v>0.12455890199061483</v>
      </c>
      <c r="K335" s="3">
        <f t="shared" si="342"/>
        <v>0.12233355307656758</v>
      </c>
      <c r="L335" s="3">
        <f t="shared" si="342"/>
        <v>0.10215362302562243</v>
      </c>
      <c r="M335" s="3">
        <f t="shared" si="342"/>
        <v>1.6839749193033212E-2</v>
      </c>
      <c r="N335" s="3">
        <f t="shared" si="342"/>
        <v>2.4954798480073028E-10</v>
      </c>
      <c r="O335" s="3">
        <f t="shared" si="342"/>
        <v>1.2744962115846583E-88</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8.8034867703959782E-2</v>
      </c>
      <c r="C336" s="3">
        <f t="shared" si="343"/>
        <v>8.8034867702528136E-2</v>
      </c>
      <c r="D336" s="3">
        <f t="shared" si="343"/>
        <v>8.8034867688211754E-2</v>
      </c>
      <c r="E336" s="3">
        <f t="shared" si="343"/>
        <v>8.8034867545047912E-2</v>
      </c>
      <c r="F336" s="3">
        <f t="shared" si="343"/>
        <v>8.8034866113409452E-2</v>
      </c>
      <c r="G336" s="3">
        <f t="shared" si="343"/>
        <v>8.8034851797026178E-2</v>
      </c>
      <c r="H336" s="3">
        <f t="shared" si="343"/>
        <v>8.8034708633321565E-2</v>
      </c>
      <c r="I336" s="3">
        <f t="shared" si="343"/>
        <v>8.8033277009080063E-2</v>
      </c>
      <c r="J336" s="3">
        <f t="shared" si="343"/>
        <v>8.8018962047065039E-2</v>
      </c>
      <c r="K336" s="3">
        <f t="shared" si="343"/>
        <v>8.7875940389904469E-2</v>
      </c>
      <c r="L336" s="3">
        <f t="shared" si="343"/>
        <v>8.6458443455647502E-2</v>
      </c>
      <c r="M336" s="3">
        <f t="shared" si="343"/>
        <v>7.3482120710289506E-2</v>
      </c>
      <c r="N336" s="3">
        <f t="shared" si="343"/>
        <v>1.4451880877722461E-2</v>
      </c>
      <c r="O336" s="3">
        <f t="shared" si="343"/>
        <v>1.2512707377177026E-9</v>
      </c>
      <c r="P336" s="3">
        <f t="shared" si="343"/>
        <v>2.9622413445404028E-80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5.3040160566793115E-2</v>
      </c>
      <c r="C337" s="3">
        <f t="shared" si="344"/>
        <v>5.3040160566715303E-2</v>
      </c>
      <c r="D337" s="3">
        <f t="shared" si="344"/>
        <v>5.3040160565937217E-2</v>
      </c>
      <c r="E337" s="3">
        <f t="shared" si="344"/>
        <v>5.3040160558156309E-2</v>
      </c>
      <c r="F337" s="3">
        <f t="shared" si="344"/>
        <v>5.3040160480347272E-2</v>
      </c>
      <c r="G337" s="3">
        <f t="shared" si="344"/>
        <v>5.3040159702256867E-2</v>
      </c>
      <c r="H337" s="3">
        <f t="shared" si="344"/>
        <v>5.3040151921353425E-2</v>
      </c>
      <c r="I337" s="3">
        <f t="shared" si="344"/>
        <v>5.3040074112381798E-2</v>
      </c>
      <c r="J337" s="3">
        <f t="shared" si="344"/>
        <v>5.3039296028943465E-2</v>
      </c>
      <c r="K337" s="3">
        <f t="shared" si="344"/>
        <v>5.3031515822317458E-2</v>
      </c>
      <c r="L337" s="3">
        <f t="shared" si="344"/>
        <v>5.2953776497730844E-2</v>
      </c>
      <c r="M337" s="3">
        <f t="shared" si="344"/>
        <v>5.2182623497254922E-2</v>
      </c>
      <c r="N337" s="3">
        <f t="shared" si="344"/>
        <v>4.5062535570680087E-2</v>
      </c>
      <c r="O337" s="3">
        <f t="shared" si="344"/>
        <v>1.0392326379989205E-2</v>
      </c>
      <c r="P337" s="3">
        <f t="shared" si="344"/>
        <v>4.4226676593224042E-9</v>
      </c>
      <c r="Q337" s="3">
        <f t="shared" si="344"/>
        <v>8.6178629837795081E-73</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2.9418988584785786E-2</v>
      </c>
      <c r="C338" s="3">
        <f t="shared" si="345"/>
        <v>2.9418988584781893E-2</v>
      </c>
      <c r="D338" s="3">
        <f t="shared" si="345"/>
        <v>2.9418988584742959E-2</v>
      </c>
      <c r="E338" s="3">
        <f t="shared" si="345"/>
        <v>2.9418988584353645E-2</v>
      </c>
      <c r="F338" s="3">
        <f t="shared" si="345"/>
        <v>2.941898858046051E-2</v>
      </c>
      <c r="G338" s="3">
        <f t="shared" si="345"/>
        <v>2.9418988541529151E-2</v>
      </c>
      <c r="H338" s="3">
        <f t="shared" si="345"/>
        <v>2.9418988152215563E-2</v>
      </c>
      <c r="I338" s="3">
        <f t="shared" si="345"/>
        <v>2.9418984259079989E-2</v>
      </c>
      <c r="J338" s="3">
        <f t="shared" si="345"/>
        <v>2.9418945327752546E-2</v>
      </c>
      <c r="K338" s="3">
        <f t="shared" si="345"/>
        <v>2.9418556017311696E-2</v>
      </c>
      <c r="L338" s="3">
        <f t="shared" si="345"/>
        <v>2.9414663196244858E-2</v>
      </c>
      <c r="M338" s="3">
        <f t="shared" si="345"/>
        <v>2.9375763305875068E-2</v>
      </c>
      <c r="N338" s="3">
        <f t="shared" si="345"/>
        <v>2.8989582614341789E-2</v>
      </c>
      <c r="O338" s="3">
        <f t="shared" si="345"/>
        <v>2.5396272917947871E-2</v>
      </c>
      <c r="P338" s="3">
        <f t="shared" si="345"/>
        <v>6.7616115229944479E-3</v>
      </c>
      <c r="Q338" s="3">
        <f t="shared" si="345"/>
        <v>1.210187088617433E-8</v>
      </c>
      <c r="R338" s="3">
        <f t="shared" si="345"/>
        <v>4.0820236070930648E-66</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6.3753391533418443E-3</v>
      </c>
      <c r="C339" s="3">
        <f t="shared" si="346"/>
        <v>6.3753391533417688E-3</v>
      </c>
      <c r="D339" s="3">
        <f t="shared" si="346"/>
        <v>6.3753391533410073E-3</v>
      </c>
      <c r="E339" s="3">
        <f t="shared" si="346"/>
        <v>6.375339153333397E-3</v>
      </c>
      <c r="F339" s="3">
        <f t="shared" si="346"/>
        <v>6.3753391532572904E-3</v>
      </c>
      <c r="G339" s="3">
        <f t="shared" si="346"/>
        <v>6.3753391524962247E-3</v>
      </c>
      <c r="H339" s="3">
        <f t="shared" si="346"/>
        <v>6.3753391448855765E-3</v>
      </c>
      <c r="I339" s="3">
        <f t="shared" si="346"/>
        <v>6.375339068779083E-3</v>
      </c>
      <c r="J339" s="3">
        <f t="shared" si="346"/>
        <v>6.3753383077142095E-3</v>
      </c>
      <c r="K339" s="3">
        <f t="shared" si="346"/>
        <v>6.3753306970704684E-3</v>
      </c>
      <c r="L339" s="3">
        <f t="shared" si="346"/>
        <v>6.3752545911327412E-3</v>
      </c>
      <c r="M339" s="3">
        <f t="shared" si="346"/>
        <v>6.3744935817222712E-3</v>
      </c>
      <c r="N339" s="3">
        <f t="shared" si="346"/>
        <v>6.3668884820908735E-3</v>
      </c>
      <c r="O339" s="3">
        <f t="shared" si="346"/>
        <v>6.2913347341120645E-3</v>
      </c>
      <c r="P339" s="3">
        <f t="shared" si="346"/>
        <v>5.5833941632210081E-3</v>
      </c>
      <c r="Q339" s="3">
        <f t="shared" si="346"/>
        <v>1.692206050637779E-3</v>
      </c>
      <c r="R339" s="3">
        <f t="shared" si="346"/>
        <v>1.1066309112762152E-8</v>
      </c>
      <c r="S339" s="3">
        <f t="shared" si="346"/>
        <v>1.5830634877774543E-60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3.2709514210797807E-3</v>
      </c>
      <c r="C340" s="3">
        <f t="shared" si="347"/>
        <v>3.2709514210797772E-3</v>
      </c>
      <c r="D340" s="3">
        <f t="shared" si="347"/>
        <v>3.2709514210797421E-3</v>
      </c>
      <c r="E340" s="3">
        <f t="shared" si="347"/>
        <v>3.2709514210793895E-3</v>
      </c>
      <c r="F340" s="3">
        <f t="shared" si="347"/>
        <v>3.2709514210758676E-3</v>
      </c>
      <c r="G340" s="3">
        <f t="shared" si="347"/>
        <v>3.2709514210406431E-3</v>
      </c>
      <c r="H340" s="3">
        <f t="shared" si="347"/>
        <v>3.2709514206884028E-3</v>
      </c>
      <c r="I340" s="3">
        <f t="shared" si="347"/>
        <v>3.2709514171659995E-3</v>
      </c>
      <c r="J340" s="3">
        <f t="shared" si="347"/>
        <v>3.2709513819419648E-3</v>
      </c>
      <c r="K340" s="3">
        <f t="shared" si="347"/>
        <v>3.2709510297016403E-3</v>
      </c>
      <c r="L340" s="3">
        <f t="shared" si="347"/>
        <v>3.2709475073004774E-3</v>
      </c>
      <c r="M340" s="3">
        <f t="shared" si="347"/>
        <v>3.2709122834974733E-3</v>
      </c>
      <c r="N340" s="3">
        <f t="shared" si="347"/>
        <v>3.2705600663290322E-3</v>
      </c>
      <c r="O340" s="3">
        <f t="shared" si="347"/>
        <v>3.2670399799734429E-3</v>
      </c>
      <c r="P340" s="3">
        <f t="shared" si="347"/>
        <v>3.2320468208018645E-3</v>
      </c>
      <c r="Q340" s="3">
        <f t="shared" si="347"/>
        <v>2.9020813847730411E-3</v>
      </c>
      <c r="R340" s="3">
        <f t="shared" si="347"/>
        <v>9.8861916824700686E-4</v>
      </c>
      <c r="S340" s="3">
        <f t="shared" si="347"/>
        <v>2.0807668453276493E-8</v>
      </c>
      <c r="T340" s="3">
        <f t="shared" si="347"/>
        <v>3.5495013421564027E-55</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1.2755053961347703E-3</v>
      </c>
      <c r="C341" s="3">
        <f t="shared" si="348"/>
        <v>1.2755053961347701E-3</v>
      </c>
      <c r="D341" s="3">
        <f t="shared" si="348"/>
        <v>1.2755053961347688E-3</v>
      </c>
      <c r="E341" s="3">
        <f t="shared" si="348"/>
        <v>1.2755053961347566E-3</v>
      </c>
      <c r="F341" s="3">
        <f t="shared" si="348"/>
        <v>1.2755053961346326E-3</v>
      </c>
      <c r="G341" s="3">
        <f t="shared" si="348"/>
        <v>1.2755053961333936E-3</v>
      </c>
      <c r="H341" s="3">
        <f t="shared" si="348"/>
        <v>1.2755053961210029E-3</v>
      </c>
      <c r="I341" s="3">
        <f t="shared" si="348"/>
        <v>1.2755053959970966E-3</v>
      </c>
      <c r="J341" s="3">
        <f t="shared" si="348"/>
        <v>1.2755053947580319E-3</v>
      </c>
      <c r="K341" s="3">
        <f t="shared" si="348"/>
        <v>1.2755053823673877E-3</v>
      </c>
      <c r="L341" s="3">
        <f t="shared" si="348"/>
        <v>1.2755052584609494E-3</v>
      </c>
      <c r="M341" s="3">
        <f t="shared" si="348"/>
        <v>1.2755040193972297E-3</v>
      </c>
      <c r="N341" s="3">
        <f t="shared" si="348"/>
        <v>1.2754916288262349E-3</v>
      </c>
      <c r="O341" s="3">
        <f t="shared" si="348"/>
        <v>1.2753677297361787E-3</v>
      </c>
      <c r="P341" s="3">
        <f t="shared" si="348"/>
        <v>1.274129400586846E-3</v>
      </c>
      <c r="Q341" s="3">
        <f t="shared" si="348"/>
        <v>1.2618120469805537E-3</v>
      </c>
      <c r="R341" s="3">
        <f t="shared" si="348"/>
        <v>1.1450013326659656E-3</v>
      </c>
      <c r="S341" s="3">
        <f t="shared" si="348"/>
        <v>4.3343025072470245E-4</v>
      </c>
      <c r="T341" s="3">
        <f t="shared" si="348"/>
        <v>2.618493429122993E-8</v>
      </c>
      <c r="U341" s="3">
        <f t="shared" si="348"/>
        <v>1.6957982459909425E-50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v>
      </c>
      <c r="C342" s="3">
        <f t="shared" si="349"/>
        <v>0</v>
      </c>
      <c r="D342" s="3">
        <f t="shared" si="349"/>
        <v>0</v>
      </c>
      <c r="E342" s="3">
        <f t="shared" si="349"/>
        <v>0</v>
      </c>
      <c r="F342" s="3">
        <f t="shared" si="349"/>
        <v>0</v>
      </c>
      <c r="G342" s="3">
        <f t="shared" si="349"/>
        <v>0</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1.0163894385292978E-5</v>
      </c>
      <c r="C343" s="3">
        <f t="shared" si="350"/>
        <v>1.0163894385292978E-5</v>
      </c>
      <c r="D343" s="3">
        <f t="shared" si="350"/>
        <v>1.0163894385292978E-5</v>
      </c>
      <c r="E343" s="3">
        <f t="shared" si="350"/>
        <v>1.0163894385292976E-5</v>
      </c>
      <c r="F343" s="3">
        <f t="shared" si="350"/>
        <v>1.016389438529297E-5</v>
      </c>
      <c r="G343" s="3">
        <f t="shared" si="350"/>
        <v>1.0163894385292888E-5</v>
      </c>
      <c r="H343" s="3">
        <f t="shared" si="350"/>
        <v>1.0163894385292085E-5</v>
      </c>
      <c r="I343" s="3">
        <f t="shared" si="350"/>
        <v>1.016389438528405E-5</v>
      </c>
      <c r="J343" s="3">
        <f t="shared" si="350"/>
        <v>1.0163894385203704E-5</v>
      </c>
      <c r="K343" s="3">
        <f t="shared" si="350"/>
        <v>1.0163894384400243E-5</v>
      </c>
      <c r="L343" s="3">
        <f t="shared" si="350"/>
        <v>1.0163894376365632E-5</v>
      </c>
      <c r="M343" s="3">
        <f t="shared" si="350"/>
        <v>1.0163894296019509E-5</v>
      </c>
      <c r="N343" s="3">
        <f t="shared" si="350"/>
        <v>1.0163893492558321E-5</v>
      </c>
      <c r="O343" s="3">
        <f t="shared" si="350"/>
        <v>1.016388545794993E-5</v>
      </c>
      <c r="P343" s="3">
        <f t="shared" si="350"/>
        <v>1.0163805112215344E-5</v>
      </c>
      <c r="Q343" s="3">
        <f t="shared" si="350"/>
        <v>1.0163001689801083E-5</v>
      </c>
      <c r="R343" s="3">
        <f t="shared" si="350"/>
        <v>1.0154970957795373E-5</v>
      </c>
      <c r="S343" s="3">
        <f t="shared" si="350"/>
        <v>1.0075011832181381E-5</v>
      </c>
      <c r="T343" s="3">
        <f t="shared" si="350"/>
        <v>9.3092427741380174E-6</v>
      </c>
      <c r="U343" s="3">
        <f t="shared" si="350"/>
        <v>4.2228170971732243E-6</v>
      </c>
      <c r="V343" s="3">
        <f t="shared" si="350"/>
        <v>1.5576913929979681E-9</v>
      </c>
      <c r="W343" s="3">
        <f t="shared" si="350"/>
        <v>7.2656238476875115E-44</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2.5019775067814324E-5</v>
      </c>
      <c r="C344" s="3">
        <f t="shared" si="351"/>
        <v>2.5019775067814324E-5</v>
      </c>
      <c r="D344" s="3">
        <f t="shared" si="351"/>
        <v>2.5019775067814324E-5</v>
      </c>
      <c r="E344" s="3">
        <f t="shared" si="351"/>
        <v>2.5019775067814324E-5</v>
      </c>
      <c r="F344" s="3">
        <f t="shared" si="351"/>
        <v>2.5019775067814321E-5</v>
      </c>
      <c r="G344" s="3">
        <f t="shared" si="351"/>
        <v>2.5019775067814304E-5</v>
      </c>
      <c r="H344" s="3">
        <f t="shared" si="351"/>
        <v>2.5019775067814127E-5</v>
      </c>
      <c r="I344" s="3">
        <f t="shared" si="351"/>
        <v>2.5019775067812342E-5</v>
      </c>
      <c r="J344" s="3">
        <f t="shared" si="351"/>
        <v>2.50197750677945E-5</v>
      </c>
      <c r="K344" s="3">
        <f t="shared" si="351"/>
        <v>2.5019775067616084E-5</v>
      </c>
      <c r="L344" s="3">
        <f t="shared" si="351"/>
        <v>2.5019775065831918E-5</v>
      </c>
      <c r="M344" s="3">
        <f t="shared" si="351"/>
        <v>2.5019775047990277E-5</v>
      </c>
      <c r="N344" s="3">
        <f t="shared" si="351"/>
        <v>2.5019774869573883E-5</v>
      </c>
      <c r="O344" s="3">
        <f t="shared" si="351"/>
        <v>2.5019773085409957E-5</v>
      </c>
      <c r="P344" s="3">
        <f t="shared" si="351"/>
        <v>2.5019755243777733E-5</v>
      </c>
      <c r="Q344" s="3">
        <f t="shared" si="351"/>
        <v>2.5019576828155244E-5</v>
      </c>
      <c r="R344" s="3">
        <f t="shared" si="351"/>
        <v>2.5017792741904254E-5</v>
      </c>
      <c r="S344" s="3">
        <f t="shared" si="351"/>
        <v>2.4999958874938769E-5</v>
      </c>
      <c r="T344" s="3">
        <f t="shared" si="351"/>
        <v>2.4822317917486476E-5</v>
      </c>
      <c r="U344" s="3">
        <f t="shared" si="351"/>
        <v>2.31138732544809E-5</v>
      </c>
      <c r="V344" s="3">
        <f t="shared" si="351"/>
        <v>1.1328611041402022E-5</v>
      </c>
      <c r="W344" s="3">
        <f t="shared" si="351"/>
        <v>9.0618329127015866E-9</v>
      </c>
      <c r="X344" s="3">
        <f t="shared" si="351"/>
        <v>9.7187384041296869E-40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2.3706614690246962E-5</v>
      </c>
      <c r="C345" s="3">
        <f t="shared" si="352"/>
        <v>2.3706614690246962E-5</v>
      </c>
      <c r="D345" s="3">
        <f t="shared" si="352"/>
        <v>2.3706614690246962E-5</v>
      </c>
      <c r="E345" s="3">
        <f t="shared" si="352"/>
        <v>2.3706614690246962E-5</v>
      </c>
      <c r="F345" s="3">
        <f t="shared" si="352"/>
        <v>2.3706614690246962E-5</v>
      </c>
      <c r="G345" s="3">
        <f t="shared" si="352"/>
        <v>2.3706614690246958E-5</v>
      </c>
      <c r="H345" s="3">
        <f t="shared" si="352"/>
        <v>2.3706614690246945E-5</v>
      </c>
      <c r="I345" s="3">
        <f t="shared" si="352"/>
        <v>2.3706614690246792E-5</v>
      </c>
      <c r="J345" s="3">
        <f t="shared" si="352"/>
        <v>2.3706614690245268E-5</v>
      </c>
      <c r="K345" s="3">
        <f t="shared" si="352"/>
        <v>2.3706614690230018E-5</v>
      </c>
      <c r="L345" s="3">
        <f t="shared" si="352"/>
        <v>2.3706614690077518E-5</v>
      </c>
      <c r="M345" s="3">
        <f t="shared" si="352"/>
        <v>2.3706614688552526E-5</v>
      </c>
      <c r="N345" s="3">
        <f t="shared" si="352"/>
        <v>2.3706614673302606E-5</v>
      </c>
      <c r="O345" s="3">
        <f t="shared" si="352"/>
        <v>2.3706614520803431E-5</v>
      </c>
      <c r="P345" s="3">
        <f t="shared" si="352"/>
        <v>2.370661299581171E-5</v>
      </c>
      <c r="Q345" s="3">
        <f t="shared" si="352"/>
        <v>2.3706597745899889E-5</v>
      </c>
      <c r="R345" s="3">
        <f t="shared" si="352"/>
        <v>2.3706445247321254E-5</v>
      </c>
      <c r="S345" s="3">
        <f t="shared" si="352"/>
        <v>2.3704920315488021E-5</v>
      </c>
      <c r="T345" s="3">
        <f t="shared" si="352"/>
        <v>2.3689676391185072E-5</v>
      </c>
      <c r="U345" s="3">
        <f t="shared" si="352"/>
        <v>2.3537775269453363E-5</v>
      </c>
      <c r="V345" s="3">
        <f t="shared" si="352"/>
        <v>2.2071317126375306E-5</v>
      </c>
      <c r="W345" s="3">
        <f t="shared" si="352"/>
        <v>1.1599963937915415E-5</v>
      </c>
      <c r="X345" s="3">
        <f t="shared" si="352"/>
        <v>1.865264914978415E-8</v>
      </c>
      <c r="Y345" s="3">
        <f t="shared" si="352"/>
        <v>2.1556554386671498E-36</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3.9478614411466939E-5</v>
      </c>
      <c r="C346" s="3">
        <f t="shared" si="353"/>
        <v>3.9478614411466939E-5</v>
      </c>
      <c r="D346" s="3">
        <f t="shared" si="353"/>
        <v>3.9478614411466939E-5</v>
      </c>
      <c r="E346" s="3">
        <f t="shared" si="353"/>
        <v>3.9478614411466939E-5</v>
      </c>
      <c r="F346" s="3">
        <f t="shared" si="353"/>
        <v>3.9478614411466939E-5</v>
      </c>
      <c r="G346" s="3">
        <f t="shared" si="353"/>
        <v>3.9478614411466939E-5</v>
      </c>
      <c r="H346" s="3">
        <f t="shared" si="353"/>
        <v>3.9478614411466932E-5</v>
      </c>
      <c r="I346" s="3">
        <f t="shared" si="353"/>
        <v>3.9478614411466912E-5</v>
      </c>
      <c r="J346" s="3">
        <f t="shared" si="353"/>
        <v>3.9478614411466681E-5</v>
      </c>
      <c r="K346" s="3">
        <f t="shared" si="353"/>
        <v>3.9478614411464391E-5</v>
      </c>
      <c r="L346" s="3">
        <f t="shared" si="353"/>
        <v>3.947861441144148E-5</v>
      </c>
      <c r="M346" s="3">
        <f t="shared" si="353"/>
        <v>3.9478614411212395E-5</v>
      </c>
      <c r="N346" s="3">
        <f t="shared" si="353"/>
        <v>3.9478614408921496E-5</v>
      </c>
      <c r="O346" s="3">
        <f t="shared" si="353"/>
        <v>3.9478614386012474E-5</v>
      </c>
      <c r="P346" s="3">
        <f t="shared" si="353"/>
        <v>3.9478614156922303E-5</v>
      </c>
      <c r="Q346" s="3">
        <f t="shared" si="353"/>
        <v>3.9478611866020683E-5</v>
      </c>
      <c r="R346" s="3">
        <f t="shared" si="353"/>
        <v>3.9478588957011792E-5</v>
      </c>
      <c r="S346" s="3">
        <f t="shared" si="353"/>
        <v>3.9478359867654072E-5</v>
      </c>
      <c r="T346" s="3">
        <f t="shared" si="353"/>
        <v>3.947606904719127E-5</v>
      </c>
      <c r="U346" s="3">
        <f t="shared" si="353"/>
        <v>3.9453168152440705E-5</v>
      </c>
      <c r="V346" s="3">
        <f t="shared" si="353"/>
        <v>3.9224888625629334E-5</v>
      </c>
      <c r="W346" s="3">
        <f t="shared" si="353"/>
        <v>3.7013493321665059E-5</v>
      </c>
      <c r="X346" s="3">
        <f t="shared" si="353"/>
        <v>2.0717800192231068E-5</v>
      </c>
      <c r="Y346" s="3">
        <f t="shared" si="353"/>
        <v>6.2543083255427447E-8</v>
      </c>
      <c r="Z346" s="3">
        <f t="shared" si="353"/>
        <v>3.9312961183286951E-33</v>
      </c>
      <c r="AA346" s="3">
        <f t="shared" si="353"/>
        <v>3.7853013519762703E-285</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0</v>
      </c>
      <c r="C347" s="3">
        <f t="shared" si="354"/>
        <v>0</v>
      </c>
      <c r="D347" s="3">
        <f t="shared" si="354"/>
        <v>0</v>
      </c>
      <c r="E347" s="3">
        <f t="shared" si="354"/>
        <v>0</v>
      </c>
      <c r="F347" s="3">
        <f t="shared" si="354"/>
        <v>0</v>
      </c>
      <c r="G347" s="3">
        <f t="shared" si="354"/>
        <v>0</v>
      </c>
      <c r="H347" s="3">
        <f t="shared" si="354"/>
        <v>0</v>
      </c>
      <c r="I347" s="3">
        <f t="shared" si="354"/>
        <v>0</v>
      </c>
      <c r="J347" s="3">
        <f t="shared" si="354"/>
        <v>0</v>
      </c>
      <c r="K347" s="3">
        <f t="shared" si="354"/>
        <v>0</v>
      </c>
      <c r="L347" s="3">
        <f t="shared" si="354"/>
        <v>0</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6.5441532530599776E-5</v>
      </c>
      <c r="C348" s="3">
        <f t="shared" si="355"/>
        <v>6.5441532530599776E-5</v>
      </c>
      <c r="D348" s="3">
        <f t="shared" si="355"/>
        <v>6.5441532530599776E-5</v>
      </c>
      <c r="E348" s="3">
        <f t="shared" si="355"/>
        <v>6.5441532530599776E-5</v>
      </c>
      <c r="F348" s="3">
        <f t="shared" si="355"/>
        <v>6.5441532530599776E-5</v>
      </c>
      <c r="G348" s="3">
        <f t="shared" si="355"/>
        <v>6.5441532530599776E-5</v>
      </c>
      <c r="H348" s="3">
        <f t="shared" si="355"/>
        <v>6.5441532530599776E-5</v>
      </c>
      <c r="I348" s="3">
        <f t="shared" si="355"/>
        <v>6.5441532530599776E-5</v>
      </c>
      <c r="J348" s="3">
        <f t="shared" si="355"/>
        <v>6.5441532530599762E-5</v>
      </c>
      <c r="K348" s="3">
        <f t="shared" si="355"/>
        <v>6.5441532530599667E-5</v>
      </c>
      <c r="L348" s="3">
        <f t="shared" si="355"/>
        <v>6.5441532530598719E-5</v>
      </c>
      <c r="M348" s="3">
        <f t="shared" si="355"/>
        <v>6.5441532530589245E-5</v>
      </c>
      <c r="N348" s="3">
        <f t="shared" si="355"/>
        <v>6.54415325304945E-5</v>
      </c>
      <c r="O348" s="3">
        <f t="shared" si="355"/>
        <v>6.5441532529547056E-5</v>
      </c>
      <c r="P348" s="3">
        <f t="shared" si="355"/>
        <v>6.5441532520072525E-5</v>
      </c>
      <c r="Q348" s="3">
        <f t="shared" si="355"/>
        <v>6.5441532425327268E-5</v>
      </c>
      <c r="R348" s="3">
        <f t="shared" si="355"/>
        <v>6.544153147787473E-5</v>
      </c>
      <c r="S348" s="3">
        <f t="shared" si="355"/>
        <v>6.5441522003350117E-5</v>
      </c>
      <c r="T348" s="3">
        <f t="shared" si="355"/>
        <v>6.5441427258179397E-5</v>
      </c>
      <c r="U348" s="3">
        <f t="shared" si="355"/>
        <v>6.5440479814016518E-5</v>
      </c>
      <c r="V348" s="3">
        <f t="shared" si="355"/>
        <v>6.5431006126781907E-5</v>
      </c>
      <c r="W348" s="3">
        <f t="shared" si="355"/>
        <v>6.5336344653455243E-5</v>
      </c>
      <c r="X348" s="3">
        <f t="shared" si="355"/>
        <v>6.4397229588298392E-5</v>
      </c>
      <c r="Y348" s="3">
        <f t="shared" si="355"/>
        <v>5.5717380486519355E-5</v>
      </c>
      <c r="Z348" s="3">
        <f t="shared" si="355"/>
        <v>1.309862626208456E-5</v>
      </c>
      <c r="AA348" s="3">
        <f t="shared" si="355"/>
        <v>6.7542379490251149E-12</v>
      </c>
      <c r="AB348" s="3">
        <f t="shared" si="355"/>
        <v>8.9759911309553994E-75</v>
      </c>
      <c r="AC348" s="3">
        <f t="shared" si="355"/>
        <v>0</v>
      </c>
      <c r="AD348" s="3">
        <f t="shared" si="355"/>
        <v>0</v>
      </c>
      <c r="AE348" s="3">
        <f t="shared" si="355"/>
        <v>0</v>
      </c>
      <c r="AF348" s="3">
        <f t="shared" si="355"/>
        <v>0</v>
      </c>
      <c r="AG348" s="3"/>
      <c r="AH348" s="3"/>
    </row>
    <row r="349" spans="2:34" x14ac:dyDescent="0.25">
      <c r="B349" s="3">
        <f t="shared" ref="B349:AF349" si="356">$C40*EXP(-B$363/$A40/EXP(-$G$126))</f>
        <v>9.072554140189839E-6</v>
      </c>
      <c r="C349" s="3">
        <f t="shared" si="356"/>
        <v>9.072554140189839E-6</v>
      </c>
      <c r="D349" s="3">
        <f t="shared" si="356"/>
        <v>9.072554140189839E-6</v>
      </c>
      <c r="E349" s="3">
        <f t="shared" si="356"/>
        <v>9.072554140189839E-6</v>
      </c>
      <c r="F349" s="3">
        <f t="shared" si="356"/>
        <v>9.072554140189839E-6</v>
      </c>
      <c r="G349" s="3">
        <f t="shared" si="356"/>
        <v>9.072554140189839E-6</v>
      </c>
      <c r="H349" s="3">
        <f t="shared" si="356"/>
        <v>9.072554140189839E-6</v>
      </c>
      <c r="I349" s="3">
        <f t="shared" si="356"/>
        <v>9.072554140189839E-6</v>
      </c>
      <c r="J349" s="3">
        <f t="shared" si="356"/>
        <v>9.072554140189839E-6</v>
      </c>
      <c r="K349" s="3">
        <f t="shared" si="356"/>
        <v>9.0725541401898373E-6</v>
      </c>
      <c r="L349" s="3">
        <f t="shared" si="356"/>
        <v>9.0725541401898254E-6</v>
      </c>
      <c r="M349" s="3">
        <f t="shared" si="356"/>
        <v>9.0725541401896933E-6</v>
      </c>
      <c r="N349" s="3">
        <f t="shared" si="356"/>
        <v>9.0725541401883787E-6</v>
      </c>
      <c r="O349" s="3">
        <f t="shared" si="356"/>
        <v>9.0725541401752446E-6</v>
      </c>
      <c r="P349" s="3">
        <f t="shared" si="356"/>
        <v>9.0725541400438935E-6</v>
      </c>
      <c r="Q349" s="3">
        <f t="shared" si="356"/>
        <v>9.0725541387303826E-6</v>
      </c>
      <c r="R349" s="3">
        <f t="shared" si="356"/>
        <v>9.0725541255952766E-6</v>
      </c>
      <c r="S349" s="3">
        <f t="shared" si="356"/>
        <v>9.0725539942442207E-6</v>
      </c>
      <c r="T349" s="3">
        <f t="shared" si="356"/>
        <v>9.0725526807337597E-6</v>
      </c>
      <c r="U349" s="3">
        <f t="shared" si="356"/>
        <v>9.0725395456396138E-6</v>
      </c>
      <c r="V349" s="3">
        <f t="shared" si="356"/>
        <v>9.0724081957440642E-6</v>
      </c>
      <c r="W349" s="3">
        <f t="shared" si="356"/>
        <v>9.0710948013747752E-6</v>
      </c>
      <c r="X349" s="3">
        <f t="shared" si="356"/>
        <v>9.0579713107024773E-6</v>
      </c>
      <c r="Y349" s="3">
        <f t="shared" si="356"/>
        <v>8.9277761281779914E-6</v>
      </c>
      <c r="Z349" s="3">
        <f t="shared" si="356"/>
        <v>7.7244363245487513E-6</v>
      </c>
      <c r="AA349" s="3">
        <f t="shared" si="356"/>
        <v>1.8159415180154472E-6</v>
      </c>
      <c r="AB349" s="3">
        <f t="shared" si="356"/>
        <v>9.363807218237453E-13</v>
      </c>
      <c r="AC349" s="3">
        <f t="shared" si="356"/>
        <v>1.2443957582958262E-75</v>
      </c>
      <c r="AD349" s="3">
        <f t="shared" si="356"/>
        <v>0</v>
      </c>
      <c r="AE349" s="3">
        <f t="shared" si="356"/>
        <v>0</v>
      </c>
      <c r="AF349" s="3">
        <f t="shared" si="356"/>
        <v>0</v>
      </c>
      <c r="AG349" s="3"/>
      <c r="AH349" s="3"/>
    </row>
    <row r="350" spans="2:34" x14ac:dyDescent="0.25">
      <c r="B350" s="3">
        <f t="shared" ref="B350:AF350" si="357">$C41*EXP(-B$363/$A41/EXP(-$G$126))</f>
        <v>3.4648583404177175E-7</v>
      </c>
      <c r="C350" s="3">
        <f t="shared" si="357"/>
        <v>3.4648583404177175E-7</v>
      </c>
      <c r="D350" s="3">
        <f t="shared" si="357"/>
        <v>3.4648583404177175E-7</v>
      </c>
      <c r="E350" s="3">
        <f t="shared" si="357"/>
        <v>3.4648583404177175E-7</v>
      </c>
      <c r="F350" s="3">
        <f t="shared" si="357"/>
        <v>3.4648583404177175E-7</v>
      </c>
      <c r="G350" s="3">
        <f t="shared" si="357"/>
        <v>3.4648583404177175E-7</v>
      </c>
      <c r="H350" s="3">
        <f t="shared" si="357"/>
        <v>3.4648583404177175E-7</v>
      </c>
      <c r="I350" s="3">
        <f t="shared" si="357"/>
        <v>3.4648583404177175E-7</v>
      </c>
      <c r="J350" s="3">
        <f t="shared" si="357"/>
        <v>3.4648583404177175E-7</v>
      </c>
      <c r="K350" s="3">
        <f t="shared" si="357"/>
        <v>3.4648583404177175E-7</v>
      </c>
      <c r="L350" s="3">
        <f t="shared" si="357"/>
        <v>3.464858340417717E-7</v>
      </c>
      <c r="M350" s="3">
        <f t="shared" si="357"/>
        <v>3.4648583404177122E-7</v>
      </c>
      <c r="N350" s="3">
        <f t="shared" si="357"/>
        <v>3.4648583404176619E-7</v>
      </c>
      <c r="O350" s="3">
        <f t="shared" si="357"/>
        <v>3.4648583404171601E-7</v>
      </c>
      <c r="P350" s="3">
        <f t="shared" si="357"/>
        <v>3.464858340412144E-7</v>
      </c>
      <c r="Q350" s="3">
        <f t="shared" si="357"/>
        <v>3.4648583403619801E-7</v>
      </c>
      <c r="R350" s="3">
        <f t="shared" si="357"/>
        <v>3.4648583398603434E-7</v>
      </c>
      <c r="S350" s="3">
        <f t="shared" si="357"/>
        <v>3.4648583348439739E-7</v>
      </c>
      <c r="T350" s="3">
        <f t="shared" si="357"/>
        <v>3.464858284680283E-7</v>
      </c>
      <c r="U350" s="3">
        <f t="shared" si="357"/>
        <v>3.4648577830434112E-7</v>
      </c>
      <c r="V350" s="3">
        <f t="shared" si="357"/>
        <v>3.4648527666786916E-7</v>
      </c>
      <c r="W350" s="3">
        <f t="shared" si="357"/>
        <v>3.4648026034309367E-7</v>
      </c>
      <c r="X350" s="3">
        <f t="shared" si="357"/>
        <v>3.4643010108954314E-7</v>
      </c>
      <c r="Y350" s="3">
        <f t="shared" si="357"/>
        <v>3.4592890776064494E-7</v>
      </c>
      <c r="Z350" s="3">
        <f t="shared" si="357"/>
        <v>3.4095668211082668E-7</v>
      </c>
      <c r="AA350" s="3">
        <f t="shared" si="357"/>
        <v>2.9500047297131142E-7</v>
      </c>
      <c r="AB350" s="3">
        <f t="shared" si="357"/>
        <v>6.9351805645713973E-8</v>
      </c>
      <c r="AC350" s="3">
        <f t="shared" si="357"/>
        <v>3.5760894933050006E-14</v>
      </c>
      <c r="AD350" s="3">
        <f t="shared" si="357"/>
        <v>4.7524158635899904E-77</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2.6390969703261771E-3</v>
      </c>
      <c r="C357" s="3">
        <f t="shared" si="364"/>
        <v>2.6390969703261771E-3</v>
      </c>
      <c r="D357" s="3">
        <f t="shared" si="364"/>
        <v>2.6390969703261771E-3</v>
      </c>
      <c r="E357" s="3">
        <f t="shared" si="364"/>
        <v>2.6390969703261771E-3</v>
      </c>
      <c r="F357" s="3">
        <f t="shared" si="364"/>
        <v>2.6390969703261771E-3</v>
      </c>
      <c r="G357" s="3">
        <f t="shared" si="364"/>
        <v>2.6390969703261771E-3</v>
      </c>
      <c r="H357" s="3">
        <f t="shared" si="364"/>
        <v>2.6390969703261771E-3</v>
      </c>
      <c r="I357" s="3">
        <f t="shared" si="364"/>
        <v>2.6390969703261771E-3</v>
      </c>
      <c r="J357" s="3">
        <f t="shared" si="364"/>
        <v>2.6390969703261771E-3</v>
      </c>
      <c r="K357" s="3">
        <f t="shared" si="364"/>
        <v>2.6390969703261771E-3</v>
      </c>
      <c r="L357" s="3">
        <f t="shared" si="364"/>
        <v>2.6390969703261771E-3</v>
      </c>
      <c r="M357" s="3">
        <f t="shared" si="364"/>
        <v>2.6390969703261771E-3</v>
      </c>
      <c r="N357" s="3">
        <f t="shared" si="364"/>
        <v>2.6390969703261771E-3</v>
      </c>
      <c r="O357" s="3">
        <f t="shared" si="364"/>
        <v>2.6390969703261771E-3</v>
      </c>
      <c r="P357" s="3">
        <f t="shared" si="364"/>
        <v>2.6390969703261771E-3</v>
      </c>
      <c r="Q357" s="3">
        <f t="shared" si="364"/>
        <v>2.6390969703261771E-3</v>
      </c>
      <c r="R357" s="3">
        <f t="shared" si="364"/>
        <v>2.6390969703261771E-3</v>
      </c>
      <c r="S357" s="3">
        <f t="shared" si="364"/>
        <v>2.6390969703261767E-3</v>
      </c>
      <c r="T357" s="3">
        <f t="shared" si="364"/>
        <v>2.6390969703261732E-3</v>
      </c>
      <c r="U357" s="3">
        <f t="shared" si="364"/>
        <v>2.6390969703261346E-3</v>
      </c>
      <c r="V357" s="3">
        <f t="shared" si="364"/>
        <v>2.6390969703257525E-3</v>
      </c>
      <c r="W357" s="3">
        <f t="shared" si="364"/>
        <v>2.6390969703219318E-3</v>
      </c>
      <c r="X357" s="3">
        <f t="shared" si="364"/>
        <v>2.6390969702837232E-3</v>
      </c>
      <c r="Y357" s="3">
        <f t="shared" si="364"/>
        <v>2.6390969699016387E-3</v>
      </c>
      <c r="Z357" s="3">
        <f t="shared" si="364"/>
        <v>2.6390969660807944E-3</v>
      </c>
      <c r="AA357" s="3">
        <f t="shared" si="364"/>
        <v>2.6390969278723506E-3</v>
      </c>
      <c r="AB357" s="3">
        <f t="shared" si="364"/>
        <v>2.6390965457879427E-3</v>
      </c>
      <c r="AC357" s="3">
        <f t="shared" si="364"/>
        <v>2.6390927249469059E-3</v>
      </c>
      <c r="AD357" s="3">
        <f t="shared" si="364"/>
        <v>2.6390545168407825E-3</v>
      </c>
      <c r="AE357" s="3">
        <f t="shared" si="364"/>
        <v>2.6386724662024207E-3</v>
      </c>
      <c r="AF357" s="3">
        <f t="shared" si="364"/>
        <v>2.6348550004768713E-3</v>
      </c>
      <c r="AG357" s="3"/>
      <c r="AH357" s="3"/>
    </row>
    <row r="358" spans="1:34" x14ac:dyDescent="0.25">
      <c r="A358" s="79">
        <f>AVERAGE(B358:AF358)</f>
        <v>8.0134351989925596E-3</v>
      </c>
      <c r="B358" s="80">
        <f>IF($A$64&lt;=B324,IF($B$64&gt;=B324,ABS((B326-B325)/B325),0),0)</f>
        <v>8.2385505215649815E-2</v>
      </c>
      <c r="C358" s="80">
        <f t="shared" ref="C358:AF358" si="365">IF($A$64&lt;=C324,IF($B$64&gt;=C324,ABS((C326-C325)/C325),0),0)</f>
        <v>3.8312289870077745E-2</v>
      </c>
      <c r="D358" s="80">
        <f t="shared" si="365"/>
        <v>3.0739864922712697E-3</v>
      </c>
      <c r="E358" s="80">
        <f t="shared" si="365"/>
        <v>2.3815928290565055E-2</v>
      </c>
      <c r="F358" s="80">
        <f t="shared" si="365"/>
        <v>8.4010565540349746E-3</v>
      </c>
      <c r="G358" s="80">
        <f t="shared" si="365"/>
        <v>2.4094153139505863E-3</v>
      </c>
      <c r="H358" s="80">
        <f t="shared" si="365"/>
        <v>1.8463175085170673E-3</v>
      </c>
      <c r="I358" s="80">
        <f t="shared" si="365"/>
        <v>3.2745066579558519E-4</v>
      </c>
      <c r="J358" s="80">
        <f t="shared" si="365"/>
        <v>2.7071763282297007E-3</v>
      </c>
      <c r="K358" s="80">
        <f t="shared" si="365"/>
        <v>4.9107046559891884E-3</v>
      </c>
      <c r="L358" s="80">
        <f t="shared" si="365"/>
        <v>6.6120325079013663E-3</v>
      </c>
      <c r="M358" s="80">
        <f t="shared" si="365"/>
        <v>1.3333401634992078E-2</v>
      </c>
      <c r="N358" s="80">
        <f t="shared" si="365"/>
        <v>4.4405429076505801E-3</v>
      </c>
      <c r="O358" s="80">
        <f t="shared" si="365"/>
        <v>2.3054164150908265E-3</v>
      </c>
      <c r="P358" s="80">
        <f t="shared" si="365"/>
        <v>5.1917971309577409E-3</v>
      </c>
      <c r="Q358" s="80">
        <f t="shared" si="365"/>
        <v>1.7864933025000276E-2</v>
      </c>
      <c r="R358" s="80">
        <f t="shared" si="365"/>
        <v>2.9911736722228379E-3</v>
      </c>
      <c r="S358" s="80">
        <f t="shared" si="365"/>
        <v>8.3149356174841704E-3</v>
      </c>
      <c r="T358" s="80">
        <f t="shared" si="365"/>
        <v>6.4304402008879787E-4</v>
      </c>
      <c r="U358" s="80">
        <f t="shared" si="365"/>
        <v>1.3561141473273841E-3</v>
      </c>
      <c r="V358" s="80">
        <f t="shared" si="365"/>
        <v>1.5885463336412519E-3</v>
      </c>
      <c r="W358" s="80">
        <f t="shared" si="365"/>
        <v>1.7566797211769529E-3</v>
      </c>
      <c r="X358" s="80">
        <f t="shared" si="365"/>
        <v>1.8635104394878724E-3</v>
      </c>
      <c r="Y358" s="80">
        <f t="shared" si="365"/>
        <v>2.0064037265657359E-3</v>
      </c>
      <c r="Z358" s="80">
        <f t="shared" si="365"/>
        <v>3.9602015523471968E-4</v>
      </c>
      <c r="AA358" s="80">
        <f t="shared" si="365"/>
        <v>2.2741728011189854E-4</v>
      </c>
      <c r="AB358" s="80">
        <f t="shared" si="365"/>
        <v>1.0521568104032574E-3</v>
      </c>
      <c r="AC358" s="80">
        <f t="shared" si="365"/>
        <v>2.056240741080025E-3</v>
      </c>
      <c r="AD358" s="80">
        <f t="shared" si="365"/>
        <v>2.1163847328757061E-3</v>
      </c>
      <c r="AE358" s="80">
        <f t="shared" si="365"/>
        <v>2.1323089529611643E-3</v>
      </c>
      <c r="AF358" s="80">
        <f t="shared" si="365"/>
        <v>1.9776003014336627E-3</v>
      </c>
    </row>
    <row r="359" spans="1:34" x14ac:dyDescent="0.25">
      <c r="B359" s="21">
        <f>(B326-B325)^2</f>
        <v>193502.03238438175</v>
      </c>
      <c r="C359" s="21">
        <f t="shared" ref="C359:AF359" si="366">(C326-C325)^2</f>
        <v>38066.744365229184</v>
      </c>
      <c r="D359" s="21">
        <f t="shared" si="366"/>
        <v>223.39367372112471</v>
      </c>
      <c r="E359" s="21">
        <f t="shared" si="366"/>
        <v>12002.152620101151</v>
      </c>
      <c r="F359" s="21">
        <f t="shared" si="366"/>
        <v>1326.5997706806804</v>
      </c>
      <c r="G359" s="21">
        <f t="shared" si="366"/>
        <v>95.892139545000688</v>
      </c>
      <c r="H359" s="21">
        <f t="shared" si="366"/>
        <v>48.579214666126546</v>
      </c>
      <c r="I359" s="21">
        <f t="shared" si="366"/>
        <v>1.2694939374637848</v>
      </c>
      <c r="J359" s="21">
        <f t="shared" si="366"/>
        <v>66.268622750597231</v>
      </c>
      <c r="K359" s="21">
        <f t="shared" si="366"/>
        <v>148.6981323392267</v>
      </c>
      <c r="L359" s="21">
        <f t="shared" si="366"/>
        <v>154.07741906479362</v>
      </c>
      <c r="M359" s="21">
        <f t="shared" si="366"/>
        <v>267.14532343264057</v>
      </c>
      <c r="N359" s="21">
        <f t="shared" si="366"/>
        <v>10.170397934268738</v>
      </c>
      <c r="O359" s="21">
        <f t="shared" si="366"/>
        <v>0.86244713523520256</v>
      </c>
      <c r="P359" s="21">
        <f t="shared" si="366"/>
        <v>1.3546291488935782</v>
      </c>
      <c r="Q359" s="21">
        <f t="shared" si="366"/>
        <v>7.8995491298952576</v>
      </c>
      <c r="R359" s="21">
        <f t="shared" si="366"/>
        <v>0.17156310269713093</v>
      </c>
      <c r="S359" s="21">
        <f t="shared" si="366"/>
        <v>1.1137557424522582</v>
      </c>
      <c r="T359" s="21">
        <f t="shared" si="366"/>
        <v>6.4941930084244258E-3</v>
      </c>
      <c r="U359" s="21">
        <f t="shared" si="366"/>
        <v>2.8822395658501754E-2</v>
      </c>
      <c r="V359" s="21">
        <f t="shared" si="366"/>
        <v>3.9464600491191194E-2</v>
      </c>
      <c r="W359" s="21">
        <f t="shared" si="366"/>
        <v>4.8134409420499506E-2</v>
      </c>
      <c r="X359" s="21">
        <f t="shared" si="366"/>
        <v>5.4007411688441274E-2</v>
      </c>
      <c r="Y359" s="21">
        <f t="shared" si="366"/>
        <v>6.2414577402334769E-2</v>
      </c>
      <c r="Z359" s="21">
        <f t="shared" si="366"/>
        <v>2.4292215359873206E-3</v>
      </c>
      <c r="AA359" s="21">
        <f t="shared" si="366"/>
        <v>7.9990283473947352E-4</v>
      </c>
      <c r="AB359" s="21">
        <f t="shared" si="366"/>
        <v>1.7090343466432643E-2</v>
      </c>
      <c r="AC359" s="21">
        <f t="shared" si="366"/>
        <v>6.5142430117269987E-2</v>
      </c>
      <c r="AD359" s="21">
        <f t="shared" si="366"/>
        <v>6.9000392662794938E-2</v>
      </c>
      <c r="AE359" s="21">
        <f t="shared" si="366"/>
        <v>7.0037874595610769E-2</v>
      </c>
      <c r="AF359" s="21">
        <f t="shared" si="366"/>
        <v>6.0240105628455005E-2</v>
      </c>
      <c r="AG359" s="3"/>
      <c r="AH359" s="3"/>
    </row>
    <row r="360" spans="1:34" x14ac:dyDescent="0.25">
      <c r="A360" s="71">
        <f>SUM(B360:AF360)</f>
        <v>245924.94957990167</v>
      </c>
      <c r="B360" s="60">
        <f>IF($A$64&lt;=B324,IF($B$64&gt;=B324,ABS(B359),0),0)</f>
        <v>193502.03238438175</v>
      </c>
      <c r="C360" s="60">
        <f t="shared" ref="C360:AF360" si="367">IF($A$64&lt;=C324,IF($B$64&gt;=C324,ABS(C359),0),0)</f>
        <v>38066.744365229184</v>
      </c>
      <c r="D360" s="60">
        <f t="shared" si="367"/>
        <v>223.39367372112471</v>
      </c>
      <c r="E360" s="60">
        <f t="shared" si="367"/>
        <v>12002.152620101151</v>
      </c>
      <c r="F360" s="60">
        <f t="shared" si="367"/>
        <v>1326.5997706806804</v>
      </c>
      <c r="G360" s="60">
        <f t="shared" si="367"/>
        <v>95.892139545000688</v>
      </c>
      <c r="H360" s="60">
        <f t="shared" si="367"/>
        <v>48.579214666126546</v>
      </c>
      <c r="I360" s="60">
        <f t="shared" si="367"/>
        <v>1.2694939374637848</v>
      </c>
      <c r="J360" s="60">
        <f t="shared" si="367"/>
        <v>66.268622750597231</v>
      </c>
      <c r="K360" s="60">
        <f t="shared" si="367"/>
        <v>148.6981323392267</v>
      </c>
      <c r="L360" s="60">
        <f t="shared" si="367"/>
        <v>154.07741906479362</v>
      </c>
      <c r="M360" s="60">
        <f t="shared" si="367"/>
        <v>267.14532343264057</v>
      </c>
      <c r="N360" s="60">
        <f t="shared" si="367"/>
        <v>10.170397934268738</v>
      </c>
      <c r="O360" s="60">
        <f t="shared" si="367"/>
        <v>0.86244713523520256</v>
      </c>
      <c r="P360" s="60">
        <f t="shared" si="367"/>
        <v>1.3546291488935782</v>
      </c>
      <c r="Q360" s="60">
        <f t="shared" si="367"/>
        <v>7.8995491298952576</v>
      </c>
      <c r="R360" s="60">
        <f t="shared" si="367"/>
        <v>0.17156310269713093</v>
      </c>
      <c r="S360" s="60">
        <f t="shared" si="367"/>
        <v>1.1137557424522582</v>
      </c>
      <c r="T360" s="60">
        <f t="shared" si="367"/>
        <v>6.4941930084244258E-3</v>
      </c>
      <c r="U360" s="60">
        <f t="shared" si="367"/>
        <v>2.8822395658501754E-2</v>
      </c>
      <c r="V360" s="60">
        <f t="shared" si="367"/>
        <v>3.9464600491191194E-2</v>
      </c>
      <c r="W360" s="60">
        <f t="shared" si="367"/>
        <v>4.8134409420499506E-2</v>
      </c>
      <c r="X360" s="60">
        <f t="shared" si="367"/>
        <v>5.4007411688441274E-2</v>
      </c>
      <c r="Y360" s="60">
        <f t="shared" si="367"/>
        <v>6.2414577402334769E-2</v>
      </c>
      <c r="Z360" s="60">
        <f t="shared" si="367"/>
        <v>2.4292215359873206E-3</v>
      </c>
      <c r="AA360" s="60">
        <f t="shared" si="367"/>
        <v>7.9990283473947352E-4</v>
      </c>
      <c r="AB360" s="60">
        <f t="shared" si="367"/>
        <v>1.7090343466432643E-2</v>
      </c>
      <c r="AC360" s="60">
        <f t="shared" si="367"/>
        <v>6.5142430117269987E-2</v>
      </c>
      <c r="AD360" s="60">
        <f t="shared" si="367"/>
        <v>6.9000392662794938E-2</v>
      </c>
      <c r="AE360" s="60">
        <f t="shared" si="367"/>
        <v>7.0037874595610769E-2</v>
      </c>
      <c r="AF360" s="60">
        <f t="shared" si="367"/>
        <v>6.0240105628455005E-2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0" t="s">
        <v>22</v>
      </c>
      <c r="B365" s="27">
        <f>($C$17+SUM(B366:B396))*$B$51</f>
        <v>4885.3649504932264</v>
      </c>
      <c r="C365" s="27">
        <f t="shared" ref="C365:AF365" si="368">($C$17+SUM(C366:C396))*$B$51</f>
        <v>4771.0453983585749</v>
      </c>
      <c r="D365" s="27">
        <f t="shared" si="368"/>
        <v>4353.5859378421446</v>
      </c>
      <c r="E365" s="27">
        <f t="shared" si="368"/>
        <v>4121.5709182645023</v>
      </c>
      <c r="F365" s="27">
        <f t="shared" si="368"/>
        <v>3826.8858605534783</v>
      </c>
      <c r="G365" s="27">
        <f t="shared" si="368"/>
        <v>3510.9593680755447</v>
      </c>
      <c r="H365" s="27">
        <f t="shared" si="368"/>
        <v>3094.4183499100545</v>
      </c>
      <c r="I365" s="27">
        <f t="shared" si="368"/>
        <v>2586.9401233777794</v>
      </c>
      <c r="J365" s="27">
        <f t="shared" si="368"/>
        <v>2000.5278884925476</v>
      </c>
      <c r="K365" s="27">
        <f t="shared" si="368"/>
        <v>1350.3827340077771</v>
      </c>
      <c r="L365" s="27">
        <f t="shared" si="368"/>
        <v>813.48939329906318</v>
      </c>
      <c r="M365" s="27">
        <f t="shared" si="368"/>
        <v>461.1677148255107</v>
      </c>
      <c r="N365" s="27">
        <f t="shared" si="368"/>
        <v>255.90910360003451</v>
      </c>
      <c r="O365" s="27">
        <f t="shared" si="368"/>
        <v>167.27756871301986</v>
      </c>
      <c r="P365" s="27">
        <f t="shared" si="368"/>
        <v>141.59050699308264</v>
      </c>
      <c r="Q365" s="27">
        <f t="shared" si="368"/>
        <v>129.24184959869328</v>
      </c>
      <c r="R365" s="27">
        <f t="shared" si="368"/>
        <v>125.41142026131385</v>
      </c>
      <c r="S365" s="27">
        <f t="shared" si="368"/>
        <v>125.37357465713376</v>
      </c>
      <c r="T365" s="27">
        <f t="shared" si="368"/>
        <v>125.28154858239571</v>
      </c>
      <c r="U365" s="27">
        <f t="shared" si="368"/>
        <v>125.13873279311836</v>
      </c>
      <c r="V365" s="27">
        <f t="shared" si="368"/>
        <v>124.97720396432106</v>
      </c>
      <c r="W365" s="27">
        <f t="shared" si="368"/>
        <v>124.78978940635187</v>
      </c>
      <c r="X365" s="27">
        <f t="shared" si="368"/>
        <v>124.57100639020081</v>
      </c>
      <c r="Y365" s="27">
        <f t="shared" si="368"/>
        <v>124.40124490682096</v>
      </c>
      <c r="Z365" s="27">
        <f t="shared" si="368"/>
        <v>124.38064416648773</v>
      </c>
      <c r="AA365" s="27">
        <f t="shared" si="368"/>
        <v>124.37988413626779</v>
      </c>
      <c r="AB365" s="27">
        <f t="shared" si="368"/>
        <v>124.37974090742222</v>
      </c>
      <c r="AC365" s="27">
        <f t="shared" si="368"/>
        <v>124.37830948376221</v>
      </c>
      <c r="AD365" s="27">
        <f t="shared" si="368"/>
        <v>124.36400244570216</v>
      </c>
      <c r="AE365" s="27">
        <f t="shared" si="368"/>
        <v>124.22164948891896</v>
      </c>
      <c r="AF365" s="27">
        <f t="shared" si="368"/>
        <v>122.86749266803476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8.8563858624381125E-2</v>
      </c>
      <c r="C367" s="3">
        <f t="shared" si="370"/>
        <v>7.0065707115878673E-2</v>
      </c>
      <c r="D367" s="3">
        <f t="shared" si="370"/>
        <v>6.7296937776928798E-3</v>
      </c>
      <c r="E367" s="3">
        <f t="shared" si="370"/>
        <v>4.496693002500851E-13</v>
      </c>
      <c r="F367" s="3">
        <f t="shared" si="370"/>
        <v>7.9776062015325307E-115</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3.1806476931920763E-2</v>
      </c>
      <c r="C368" s="3">
        <f t="shared" si="371"/>
        <v>3.1141302864460516E-2</v>
      </c>
      <c r="D368" s="3">
        <f t="shared" si="371"/>
        <v>2.5208609616562076E-2</v>
      </c>
      <c r="E368" s="3">
        <f t="shared" si="371"/>
        <v>3.0455801825134271E-3</v>
      </c>
      <c r="F368" s="3">
        <f t="shared" si="371"/>
        <v>2.0178156628749021E-12</v>
      </c>
      <c r="G368" s="3">
        <f t="shared" si="371"/>
        <v>3.2884860083665892E-104</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5.4283685708955073E-2</v>
      </c>
      <c r="C369" s="3">
        <f t="shared" si="372"/>
        <v>5.4180289875963572E-2</v>
      </c>
      <c r="D369" s="3">
        <f t="shared" si="372"/>
        <v>5.3157101656503364E-2</v>
      </c>
      <c r="E369" s="3">
        <f t="shared" si="372"/>
        <v>4.3929977888383882E-2</v>
      </c>
      <c r="F369" s="3">
        <f t="shared" si="372"/>
        <v>6.5276655872485208E-3</v>
      </c>
      <c r="G369" s="3">
        <f t="shared" si="372"/>
        <v>3.4255240777796972E-11</v>
      </c>
      <c r="H369" s="3">
        <f t="shared" si="372"/>
        <v>5.425231761492739E-94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5.130652967405544E-2</v>
      </c>
      <c r="C370" s="3">
        <f t="shared" si="373"/>
        <v>5.1297706404847411E-2</v>
      </c>
      <c r="D370" s="3">
        <f t="shared" si="373"/>
        <v>5.1209557124101676E-2</v>
      </c>
      <c r="E370" s="3">
        <f t="shared" si="373"/>
        <v>5.0336352614610676E-2</v>
      </c>
      <c r="F370" s="3">
        <f t="shared" si="373"/>
        <v>4.2382734778532508E-2</v>
      </c>
      <c r="G370" s="3">
        <f t="shared" si="373"/>
        <v>7.5903413717473105E-3</v>
      </c>
      <c r="H370" s="3">
        <f t="shared" si="373"/>
        <v>2.5762299745019163E-10</v>
      </c>
      <c r="I370" s="3">
        <f t="shared" si="373"/>
        <v>5.2265827814946575E-85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7.4663853224593194E-2</v>
      </c>
      <c r="C371" s="3">
        <f t="shared" si="374"/>
        <v>7.4662694853111958E-2</v>
      </c>
      <c r="D371" s="3">
        <f t="shared" si="374"/>
        <v>7.4651112126688401E-2</v>
      </c>
      <c r="E371" s="3">
        <f t="shared" si="374"/>
        <v>7.4535383644613221E-2</v>
      </c>
      <c r="F371" s="3">
        <f t="shared" si="374"/>
        <v>7.3387920569489604E-2</v>
      </c>
      <c r="G371" s="3">
        <f t="shared" si="374"/>
        <v>6.2841348042717238E-2</v>
      </c>
      <c r="H371" s="3">
        <f t="shared" si="374"/>
        <v>1.3318478005977522E-2</v>
      </c>
      <c r="I371" s="3">
        <f t="shared" si="374"/>
        <v>2.4352617582062039E-9</v>
      </c>
      <c r="J371" s="3">
        <f t="shared" si="374"/>
        <v>1.0173166669589022E-76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9.0647955877398129E-2</v>
      </c>
      <c r="C372" s="3">
        <f t="shared" si="375"/>
        <v>9.0647829011432673E-2</v>
      </c>
      <c r="D372" s="3">
        <f t="shared" si="375"/>
        <v>9.0646560361543574E-2</v>
      </c>
      <c r="E372" s="3">
        <f t="shared" si="375"/>
        <v>9.0633874839148851E-2</v>
      </c>
      <c r="F372" s="3">
        <f t="shared" si="375"/>
        <v>9.0507117214288349E-2</v>
      </c>
      <c r="G372" s="3">
        <f t="shared" si="375"/>
        <v>8.9249250523044166E-2</v>
      </c>
      <c r="H372" s="3">
        <f t="shared" si="375"/>
        <v>7.7593087584697268E-2</v>
      </c>
      <c r="I372" s="3">
        <f t="shared" si="375"/>
        <v>1.9142893909061896E-2</v>
      </c>
      <c r="J372" s="3">
        <f t="shared" si="375"/>
        <v>1.599017366435518E-8</v>
      </c>
      <c r="K372" s="3">
        <f t="shared" si="375"/>
        <v>2.6442898681286491E-69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0.10513898558889463</v>
      </c>
      <c r="C373" s="3">
        <f t="shared" si="376"/>
        <v>0.10513897231501841</v>
      </c>
      <c r="D373" s="3">
        <f t="shared" si="376"/>
        <v>0.10513883957634834</v>
      </c>
      <c r="E373" s="3">
        <f t="shared" si="376"/>
        <v>0.10513751219886479</v>
      </c>
      <c r="F373" s="3">
        <f t="shared" si="376"/>
        <v>0.10512423934569178</v>
      </c>
      <c r="G373" s="3">
        <f t="shared" si="376"/>
        <v>0.10499160293718066</v>
      </c>
      <c r="H373" s="3">
        <f t="shared" si="376"/>
        <v>0.10367440828557925</v>
      </c>
      <c r="I373" s="3">
        <f t="shared" si="376"/>
        <v>9.1377980564915737E-2</v>
      </c>
      <c r="J373" s="3">
        <f t="shared" si="376"/>
        <v>2.5854816671573865E-2</v>
      </c>
      <c r="K373" s="3">
        <f t="shared" si="376"/>
        <v>8.5023803563857439E-8</v>
      </c>
      <c r="L373" s="3">
        <f t="shared" si="376"/>
        <v>1.2575671844135957E-62</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0.12480864829301445</v>
      </c>
      <c r="C374" s="3">
        <f t="shared" si="377"/>
        <v>0.12480864687158512</v>
      </c>
      <c r="D374" s="3">
        <f t="shared" si="377"/>
        <v>0.12480863265729257</v>
      </c>
      <c r="E374" s="3">
        <f t="shared" si="377"/>
        <v>0.12480849051445614</v>
      </c>
      <c r="F374" s="3">
        <f t="shared" si="377"/>
        <v>0.12480706909499552</v>
      </c>
      <c r="G374" s="3">
        <f t="shared" si="377"/>
        <v>0.12479285579071366</v>
      </c>
      <c r="H374" s="3">
        <f t="shared" si="377"/>
        <v>0.12465081174282075</v>
      </c>
      <c r="I374" s="3">
        <f t="shared" si="377"/>
        <v>0.12323923336903739</v>
      </c>
      <c r="J374" s="3">
        <f t="shared" si="377"/>
        <v>0.10997342685613094</v>
      </c>
      <c r="K374" s="3">
        <f t="shared" si="377"/>
        <v>3.5210764924188002E-2</v>
      </c>
      <c r="L374" s="3">
        <f t="shared" si="377"/>
        <v>3.9861393434703493E-7</v>
      </c>
      <c r="M374" s="3">
        <f t="shared" si="377"/>
        <v>1.3782329873577772E-56</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8.8034867694069457E-2</v>
      </c>
      <c r="C375" s="3">
        <f t="shared" si="378"/>
        <v>8.8034867603625028E-2</v>
      </c>
      <c r="D375" s="3">
        <f t="shared" si="378"/>
        <v>8.8034866699180564E-2</v>
      </c>
      <c r="E375" s="3">
        <f t="shared" si="378"/>
        <v>8.8034857654736454E-2</v>
      </c>
      <c r="F375" s="3">
        <f t="shared" si="378"/>
        <v>8.8034767210346546E-2</v>
      </c>
      <c r="G375" s="3">
        <f t="shared" si="378"/>
        <v>8.8033862771557933E-2</v>
      </c>
      <c r="H375" s="3">
        <f t="shared" si="378"/>
        <v>8.8024818894710213E-2</v>
      </c>
      <c r="I375" s="3">
        <f t="shared" si="378"/>
        <v>8.7934431210641539E-2</v>
      </c>
      <c r="J375" s="3">
        <f t="shared" si="378"/>
        <v>8.7035643445494831E-2</v>
      </c>
      <c r="K375" s="3">
        <f t="shared" si="378"/>
        <v>7.8537848576960848E-2</v>
      </c>
      <c r="L375" s="3">
        <f t="shared" si="378"/>
        <v>2.8112376423306298E-2</v>
      </c>
      <c r="M375" s="3">
        <f t="shared" si="378"/>
        <v>9.7069579966675256E-7</v>
      </c>
      <c r="N375" s="3">
        <f t="shared" si="378"/>
        <v>2.338509079439618E-51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5.304016056625558E-2</v>
      </c>
      <c r="C376" s="3">
        <f t="shared" si="379"/>
        <v>5.3040160561339957E-2</v>
      </c>
      <c r="D376" s="3">
        <f t="shared" si="379"/>
        <v>5.3040160512183722E-2</v>
      </c>
      <c r="E376" s="3">
        <f t="shared" si="379"/>
        <v>5.3040160020621376E-2</v>
      </c>
      <c r="F376" s="3">
        <f t="shared" si="379"/>
        <v>5.3040155104998161E-2</v>
      </c>
      <c r="G376" s="3">
        <f t="shared" si="379"/>
        <v>5.3040105948791043E-2</v>
      </c>
      <c r="H376" s="3">
        <f t="shared" si="379"/>
        <v>5.3039614389225456E-2</v>
      </c>
      <c r="I376" s="3">
        <f t="shared" si="379"/>
        <v>5.3034699044122037E-2</v>
      </c>
      <c r="J376" s="3">
        <f t="shared" si="379"/>
        <v>5.2985570639736516E-2</v>
      </c>
      <c r="K376" s="3">
        <f t="shared" si="379"/>
        <v>5.2496782693346976E-2</v>
      </c>
      <c r="L376" s="3">
        <f t="shared" si="379"/>
        <v>4.7850161763346714E-2</v>
      </c>
      <c r="M376" s="3">
        <f t="shared" si="379"/>
        <v>1.894046477741854E-2</v>
      </c>
      <c r="N376" s="3">
        <f t="shared" si="379"/>
        <v>1.7883925324476515E-6</v>
      </c>
      <c r="O376" s="3">
        <f t="shared" si="379"/>
        <v>1.0073607065598852E-46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2.9418988584758887E-2</v>
      </c>
      <c r="C377" s="3">
        <f t="shared" si="380"/>
        <v>2.9418988584512935E-2</v>
      </c>
      <c r="D377" s="3">
        <f t="shared" si="380"/>
        <v>2.941898858205343E-2</v>
      </c>
      <c r="E377" s="3">
        <f t="shared" si="380"/>
        <v>2.9418988557458357E-2</v>
      </c>
      <c r="F377" s="3">
        <f t="shared" si="380"/>
        <v>2.9418988311507632E-2</v>
      </c>
      <c r="G377" s="3">
        <f t="shared" si="380"/>
        <v>2.9418985852000493E-2</v>
      </c>
      <c r="H377" s="3">
        <f t="shared" si="380"/>
        <v>2.9418961256940393E-2</v>
      </c>
      <c r="I377" s="3">
        <f t="shared" si="380"/>
        <v>2.9418715307470332E-2</v>
      </c>
      <c r="J377" s="3">
        <f t="shared" si="380"/>
        <v>2.9416255925857664E-2</v>
      </c>
      <c r="K377" s="3">
        <f t="shared" si="380"/>
        <v>2.9391673415026333E-2</v>
      </c>
      <c r="L377" s="3">
        <f t="shared" si="380"/>
        <v>2.9146975346990709E-2</v>
      </c>
      <c r="M377" s="3">
        <f t="shared" si="380"/>
        <v>2.6809289014897372E-2</v>
      </c>
      <c r="N377" s="3">
        <f t="shared" si="380"/>
        <v>1.1619925036406359E-2</v>
      </c>
      <c r="O377" s="3">
        <f t="shared" si="380"/>
        <v>2.7188398283813319E-6</v>
      </c>
      <c r="P377" s="3">
        <f t="shared" si="380"/>
        <v>1.3371699038381904E-42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6.3753391533413186E-3</v>
      </c>
      <c r="C378" s="3">
        <f t="shared" si="381"/>
        <v>6.3753391533365109E-3</v>
      </c>
      <c r="D378" s="3">
        <f t="shared" si="381"/>
        <v>6.3753391532884295E-3</v>
      </c>
      <c r="E378" s="3">
        <f t="shared" si="381"/>
        <v>6.375339152807624E-3</v>
      </c>
      <c r="F378" s="3">
        <f t="shared" si="381"/>
        <v>6.3753391479995595E-3</v>
      </c>
      <c r="G378" s="3">
        <f t="shared" si="381"/>
        <v>6.3753390999189176E-3</v>
      </c>
      <c r="H378" s="3">
        <f t="shared" si="381"/>
        <v>6.375338619112522E-3</v>
      </c>
      <c r="I378" s="3">
        <f t="shared" si="381"/>
        <v>6.3753338110505561E-3</v>
      </c>
      <c r="J378" s="3">
        <f t="shared" si="381"/>
        <v>6.375285730630331E-3</v>
      </c>
      <c r="K378" s="3">
        <f t="shared" si="381"/>
        <v>6.3748049463708961E-3</v>
      </c>
      <c r="L378" s="3">
        <f t="shared" si="381"/>
        <v>6.3699990975015939E-3</v>
      </c>
      <c r="M378" s="3">
        <f t="shared" si="381"/>
        <v>6.3221394261021129E-3</v>
      </c>
      <c r="N378" s="3">
        <f t="shared" si="381"/>
        <v>5.862880673143246E-3</v>
      </c>
      <c r="O378" s="3">
        <f t="shared" si="381"/>
        <v>2.7579152251859989E-3</v>
      </c>
      <c r="P378" s="3">
        <f t="shared" si="381"/>
        <v>1.4631184444287435E-6</v>
      </c>
      <c r="Q378" s="3">
        <f t="shared" si="381"/>
        <v>2.5838375953295863E-39</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3.2709514210797564E-3</v>
      </c>
      <c r="C379" s="3">
        <f t="shared" si="382"/>
        <v>3.2709514210795339E-3</v>
      </c>
      <c r="D379" s="3">
        <f t="shared" si="382"/>
        <v>3.2709514210773082E-3</v>
      </c>
      <c r="E379" s="3">
        <f t="shared" si="382"/>
        <v>3.2709514210550556E-3</v>
      </c>
      <c r="F379" s="3">
        <f t="shared" si="382"/>
        <v>3.2709514208325258E-3</v>
      </c>
      <c r="G379" s="3">
        <f t="shared" si="382"/>
        <v>3.2709514186072307E-3</v>
      </c>
      <c r="H379" s="3">
        <f t="shared" si="382"/>
        <v>3.2709513963542782E-3</v>
      </c>
      <c r="I379" s="3">
        <f t="shared" si="382"/>
        <v>3.2709511738247582E-3</v>
      </c>
      <c r="J379" s="3">
        <f t="shared" si="382"/>
        <v>3.2709489485303958E-3</v>
      </c>
      <c r="K379" s="3">
        <f t="shared" si="382"/>
        <v>3.270926695670035E-3</v>
      </c>
      <c r="L379" s="3">
        <f t="shared" si="382"/>
        <v>3.2707041753927209E-3</v>
      </c>
      <c r="M379" s="3">
        <f t="shared" si="382"/>
        <v>3.2684798050394378E-3</v>
      </c>
      <c r="N379" s="3">
        <f t="shared" si="382"/>
        <v>3.2463191343374944E-3</v>
      </c>
      <c r="O379" s="3">
        <f t="shared" si="382"/>
        <v>3.0328104504126784E-3</v>
      </c>
      <c r="P379" s="3">
        <f t="shared" si="382"/>
        <v>1.5359809567049092E-3</v>
      </c>
      <c r="Q379" s="3">
        <f t="shared" si="382"/>
        <v>1.7052633772118171E-6</v>
      </c>
      <c r="R379" s="3">
        <f t="shared" si="382"/>
        <v>4.8511846263502224E-36</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1.2755053961347694E-3</v>
      </c>
      <c r="C380" s="3">
        <f t="shared" si="383"/>
        <v>1.2755053961347616E-3</v>
      </c>
      <c r="D380" s="3">
        <f t="shared" si="383"/>
        <v>1.2755053961346833E-3</v>
      </c>
      <c r="E380" s="3">
        <f t="shared" si="383"/>
        <v>1.2755053961339005E-3</v>
      </c>
      <c r="F380" s="3">
        <f t="shared" si="383"/>
        <v>1.2755053961260726E-3</v>
      </c>
      <c r="G380" s="3">
        <f t="shared" si="383"/>
        <v>1.2755053960477941E-3</v>
      </c>
      <c r="H380" s="3">
        <f t="shared" si="383"/>
        <v>1.2755053952650092E-3</v>
      </c>
      <c r="I380" s="3">
        <f t="shared" si="383"/>
        <v>1.2755053874371602E-3</v>
      </c>
      <c r="J380" s="3">
        <f t="shared" si="383"/>
        <v>1.2755053091586721E-3</v>
      </c>
      <c r="K380" s="3">
        <f t="shared" si="383"/>
        <v>1.2755045263740552E-3</v>
      </c>
      <c r="L380" s="3">
        <f t="shared" si="383"/>
        <v>1.2754966985543085E-3</v>
      </c>
      <c r="M380" s="3">
        <f t="shared" si="383"/>
        <v>1.275418422998972E-3</v>
      </c>
      <c r="N380" s="3">
        <f t="shared" si="383"/>
        <v>1.2746359315987052E-3</v>
      </c>
      <c r="O380" s="3">
        <f t="shared" si="383"/>
        <v>1.2668373730228446E-3</v>
      </c>
      <c r="P380" s="3">
        <f t="shared" si="383"/>
        <v>1.1914284541128355E-3</v>
      </c>
      <c r="Q380" s="3">
        <f t="shared" si="383"/>
        <v>6.4496920064810903E-4</v>
      </c>
      <c r="R380" s="3">
        <f t="shared" si="383"/>
        <v>1.3939559799856226E-6</v>
      </c>
      <c r="S380" s="3">
        <f t="shared" si="383"/>
        <v>3.0999157497539969E-33</v>
      </c>
      <c r="T380" s="3">
        <f t="shared" si="383"/>
        <v>9.1697649596970033E-300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v>
      </c>
      <c r="C381" s="3">
        <f t="shared" si="384"/>
        <v>0</v>
      </c>
      <c r="D381" s="3">
        <f t="shared" si="384"/>
        <v>0</v>
      </c>
      <c r="E381" s="3">
        <f t="shared" si="384"/>
        <v>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1.0163894385292978E-5</v>
      </c>
      <c r="C382" s="3">
        <f t="shared" si="385"/>
        <v>1.0163894385292978E-5</v>
      </c>
      <c r="D382" s="3">
        <f t="shared" si="385"/>
        <v>1.0163894385292973E-5</v>
      </c>
      <c r="E382" s="3">
        <f t="shared" si="385"/>
        <v>1.0163894385292922E-5</v>
      </c>
      <c r="F382" s="3">
        <f t="shared" si="385"/>
        <v>1.0163894385292414E-5</v>
      </c>
      <c r="G382" s="3">
        <f t="shared" si="385"/>
        <v>1.0163894385287339E-5</v>
      </c>
      <c r="H382" s="3">
        <f t="shared" si="385"/>
        <v>1.0163894385236579E-5</v>
      </c>
      <c r="I382" s="3">
        <f t="shared" si="385"/>
        <v>1.0163894384728988E-5</v>
      </c>
      <c r="J382" s="3">
        <f t="shared" si="385"/>
        <v>1.0163894379653084E-5</v>
      </c>
      <c r="K382" s="3">
        <f t="shared" si="385"/>
        <v>1.0163894328894036E-5</v>
      </c>
      <c r="L382" s="3">
        <f t="shared" si="385"/>
        <v>1.0163893821303568E-5</v>
      </c>
      <c r="M382" s="3">
        <f t="shared" si="385"/>
        <v>1.0163888745400291E-5</v>
      </c>
      <c r="N382" s="3">
        <f t="shared" si="385"/>
        <v>1.0163837986506939E-5</v>
      </c>
      <c r="O382" s="3">
        <f t="shared" si="385"/>
        <v>1.0163330411515286E-5</v>
      </c>
      <c r="P382" s="3">
        <f t="shared" si="385"/>
        <v>1.0158256055526686E-5</v>
      </c>
      <c r="Q382" s="3">
        <f t="shared" si="385"/>
        <v>1.0107651631208806E-5</v>
      </c>
      <c r="R382" s="3">
        <f t="shared" si="385"/>
        <v>9.615267248337108E-6</v>
      </c>
      <c r="S382" s="3">
        <f t="shared" si="385"/>
        <v>5.8354224755700104E-6</v>
      </c>
      <c r="T382" s="3">
        <f t="shared" si="385"/>
        <v>3.9553210949268286E-8</v>
      </c>
      <c r="U382" s="3">
        <f t="shared" si="385"/>
        <v>8.0961055759083591E-30</v>
      </c>
      <c r="V382" s="3">
        <f t="shared" si="385"/>
        <v>1.0452503859610758E-246</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2.5019775067814324E-5</v>
      </c>
      <c r="C383" s="3">
        <f t="shared" si="386"/>
        <v>2.5019775067814324E-5</v>
      </c>
      <c r="D383" s="3">
        <f t="shared" si="386"/>
        <v>2.5019775067814324E-5</v>
      </c>
      <c r="E383" s="3">
        <f t="shared" si="386"/>
        <v>2.501977506781431E-5</v>
      </c>
      <c r="F383" s="3">
        <f t="shared" si="386"/>
        <v>2.5019775067814199E-5</v>
      </c>
      <c r="G383" s="3">
        <f t="shared" si="386"/>
        <v>2.501977506781307E-5</v>
      </c>
      <c r="H383" s="3">
        <f t="shared" si="386"/>
        <v>2.5019775067801798E-5</v>
      </c>
      <c r="I383" s="3">
        <f t="shared" si="386"/>
        <v>2.5019775067689085E-5</v>
      </c>
      <c r="J383" s="3">
        <f t="shared" si="386"/>
        <v>2.5019775066561928E-5</v>
      </c>
      <c r="K383" s="3">
        <f t="shared" si="386"/>
        <v>2.501977505529039E-5</v>
      </c>
      <c r="L383" s="3">
        <f t="shared" si="386"/>
        <v>2.5019774942574973E-5</v>
      </c>
      <c r="M383" s="3">
        <f t="shared" si="386"/>
        <v>2.5019773815420844E-5</v>
      </c>
      <c r="N383" s="3">
        <f t="shared" si="386"/>
        <v>2.5019762543882329E-5</v>
      </c>
      <c r="O383" s="3">
        <f t="shared" si="386"/>
        <v>2.5019649828776501E-5</v>
      </c>
      <c r="P383" s="3">
        <f t="shared" si="386"/>
        <v>2.5018522705646087E-5</v>
      </c>
      <c r="Q383" s="3">
        <f t="shared" si="386"/>
        <v>2.5007254266663903E-5</v>
      </c>
      <c r="R383" s="3">
        <f t="shared" si="386"/>
        <v>2.4894848644156206E-5</v>
      </c>
      <c r="S383" s="3">
        <f t="shared" si="386"/>
        <v>2.3798210028006476E-5</v>
      </c>
      <c r="T383" s="3">
        <f t="shared" si="386"/>
        <v>1.5166742773224917E-5</v>
      </c>
      <c r="U383" s="3">
        <f t="shared" si="386"/>
        <v>1.6763805114747501E-7</v>
      </c>
      <c r="V383" s="3">
        <f t="shared" si="386"/>
        <v>4.5622116028710284E-27</v>
      </c>
      <c r="W383" s="3">
        <f t="shared" si="386"/>
        <v>1.0167253175171157E-222</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2.3706614690246962E-5</v>
      </c>
      <c r="C384" s="3">
        <f t="shared" si="387"/>
        <v>2.3706614690246962E-5</v>
      </c>
      <c r="D384" s="3">
        <f t="shared" si="387"/>
        <v>2.3706614690246962E-5</v>
      </c>
      <c r="E384" s="3">
        <f t="shared" si="387"/>
        <v>2.3706614690246962E-5</v>
      </c>
      <c r="F384" s="3">
        <f t="shared" si="387"/>
        <v>2.3706614690246951E-5</v>
      </c>
      <c r="G384" s="3">
        <f t="shared" si="387"/>
        <v>2.3706614690246853E-5</v>
      </c>
      <c r="H384" s="3">
        <f t="shared" si="387"/>
        <v>2.3706614690245891E-5</v>
      </c>
      <c r="I384" s="3">
        <f t="shared" si="387"/>
        <v>2.3706614690236259E-5</v>
      </c>
      <c r="J384" s="3">
        <f t="shared" si="387"/>
        <v>2.3706614690139914E-5</v>
      </c>
      <c r="K384" s="3">
        <f t="shared" si="387"/>
        <v>2.3706614689176495E-5</v>
      </c>
      <c r="L384" s="3">
        <f t="shared" si="387"/>
        <v>2.3706614679542285E-5</v>
      </c>
      <c r="M384" s="3">
        <f t="shared" si="387"/>
        <v>2.3706614583200198E-5</v>
      </c>
      <c r="N384" s="3">
        <f t="shared" si="387"/>
        <v>2.3706613619779354E-5</v>
      </c>
      <c r="O384" s="3">
        <f t="shared" si="387"/>
        <v>2.3706603985573049E-5</v>
      </c>
      <c r="P384" s="3">
        <f t="shared" si="387"/>
        <v>2.3706507643725351E-5</v>
      </c>
      <c r="Q384" s="3">
        <f t="shared" si="387"/>
        <v>2.3705544246782038E-5</v>
      </c>
      <c r="R384" s="3">
        <f t="shared" si="387"/>
        <v>2.3695912430391827E-5</v>
      </c>
      <c r="S384" s="3">
        <f t="shared" si="387"/>
        <v>2.3599809247391959E-5</v>
      </c>
      <c r="T384" s="3">
        <f t="shared" si="387"/>
        <v>2.2659955734343521E-5</v>
      </c>
      <c r="U384" s="3">
        <f t="shared" si="387"/>
        <v>1.5092622236064769E-5</v>
      </c>
      <c r="V384" s="3">
        <f t="shared" si="387"/>
        <v>2.5931112518668052E-7</v>
      </c>
      <c r="W384" s="3">
        <f t="shared" si="387"/>
        <v>5.8128032973635267E-25</v>
      </c>
      <c r="X384" s="3">
        <f t="shared" si="387"/>
        <v>1.862217481389852E-201</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3.9478614411466939E-5</v>
      </c>
      <c r="C385" s="3">
        <f t="shared" si="388"/>
        <v>3.9478614411466939E-5</v>
      </c>
      <c r="D385" s="3">
        <f t="shared" si="388"/>
        <v>3.9478614411466939E-5</v>
      </c>
      <c r="E385" s="3">
        <f t="shared" si="388"/>
        <v>3.9478614411466939E-5</v>
      </c>
      <c r="F385" s="3">
        <f t="shared" si="388"/>
        <v>3.9478614411466939E-5</v>
      </c>
      <c r="G385" s="3">
        <f t="shared" si="388"/>
        <v>3.9478614411466918E-5</v>
      </c>
      <c r="H385" s="3">
        <f t="shared" si="388"/>
        <v>3.9478614411466776E-5</v>
      </c>
      <c r="I385" s="3">
        <f t="shared" si="388"/>
        <v>3.9478614411465333E-5</v>
      </c>
      <c r="J385" s="3">
        <f t="shared" si="388"/>
        <v>3.9478614411450859E-5</v>
      </c>
      <c r="K385" s="3">
        <f t="shared" si="388"/>
        <v>3.9478614411306131E-5</v>
      </c>
      <c r="L385" s="3">
        <f t="shared" si="388"/>
        <v>3.9478614409858837E-5</v>
      </c>
      <c r="M385" s="3">
        <f t="shared" si="388"/>
        <v>3.9478614395385957E-5</v>
      </c>
      <c r="N385" s="3">
        <f t="shared" si="388"/>
        <v>3.9478614250657144E-5</v>
      </c>
      <c r="O385" s="3">
        <f t="shared" si="388"/>
        <v>3.9478612803369047E-5</v>
      </c>
      <c r="P385" s="3">
        <f t="shared" si="388"/>
        <v>3.9478598330490944E-5</v>
      </c>
      <c r="Q385" s="3">
        <f t="shared" si="388"/>
        <v>3.9478453602001802E-5</v>
      </c>
      <c r="R385" s="3">
        <f t="shared" si="388"/>
        <v>3.9477006346291617E-5</v>
      </c>
      <c r="S385" s="3">
        <f t="shared" si="388"/>
        <v>3.9462536706921381E-5</v>
      </c>
      <c r="T385" s="3">
        <f t="shared" si="388"/>
        <v>3.9318131690998803E-5</v>
      </c>
      <c r="U385" s="3">
        <f t="shared" si="388"/>
        <v>3.7902827924240366E-5</v>
      </c>
      <c r="V385" s="3">
        <f t="shared" si="388"/>
        <v>2.6269936468874264E-5</v>
      </c>
      <c r="W385" s="3">
        <f t="shared" si="388"/>
        <v>6.7194404462039242E-7</v>
      </c>
      <c r="X385" s="3">
        <f t="shared" si="388"/>
        <v>8.0551563794711685E-23</v>
      </c>
      <c r="Y385" s="3">
        <f t="shared" si="388"/>
        <v>4.9372218778345413E-182</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0</v>
      </c>
      <c r="C386" s="3">
        <f t="shared" si="389"/>
        <v>0</v>
      </c>
      <c r="D386" s="3">
        <f t="shared" si="389"/>
        <v>0</v>
      </c>
      <c r="E386" s="3">
        <f t="shared" si="389"/>
        <v>0</v>
      </c>
      <c r="F386" s="3">
        <f t="shared" si="389"/>
        <v>0</v>
      </c>
      <c r="G386" s="3">
        <f t="shared" si="389"/>
        <v>0</v>
      </c>
      <c r="H386" s="3">
        <f t="shared" si="389"/>
        <v>0</v>
      </c>
      <c r="I386" s="3">
        <f t="shared" si="389"/>
        <v>0</v>
      </c>
      <c r="J386" s="3">
        <f t="shared" si="389"/>
        <v>0</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6.5441532530599776E-5</v>
      </c>
      <c r="C387" s="3">
        <f t="shared" si="390"/>
        <v>6.5441532530599776E-5</v>
      </c>
      <c r="D387" s="3">
        <f t="shared" si="390"/>
        <v>6.5441532530599776E-5</v>
      </c>
      <c r="E387" s="3">
        <f t="shared" si="390"/>
        <v>6.5441532530599776E-5</v>
      </c>
      <c r="F387" s="3">
        <f t="shared" si="390"/>
        <v>6.5441532530599776E-5</v>
      </c>
      <c r="G387" s="3">
        <f t="shared" si="390"/>
        <v>6.5441532530599776E-5</v>
      </c>
      <c r="H387" s="3">
        <f t="shared" si="390"/>
        <v>6.5441532530599762E-5</v>
      </c>
      <c r="I387" s="3">
        <f t="shared" si="390"/>
        <v>6.5441532530599708E-5</v>
      </c>
      <c r="J387" s="3">
        <f t="shared" si="390"/>
        <v>6.5441532530599112E-5</v>
      </c>
      <c r="K387" s="3">
        <f t="shared" si="390"/>
        <v>6.5441532530593121E-5</v>
      </c>
      <c r="L387" s="3">
        <f t="shared" si="390"/>
        <v>6.5441532530533274E-5</v>
      </c>
      <c r="M387" s="3">
        <f t="shared" si="390"/>
        <v>6.5441532529934713E-5</v>
      </c>
      <c r="N387" s="3">
        <f t="shared" si="390"/>
        <v>6.5441532523949131E-5</v>
      </c>
      <c r="O387" s="3">
        <f t="shared" si="390"/>
        <v>6.5441532464093364E-5</v>
      </c>
      <c r="P387" s="3">
        <f t="shared" si="390"/>
        <v>6.5441531865535676E-5</v>
      </c>
      <c r="Q387" s="3">
        <f t="shared" si="390"/>
        <v>6.5441525879959126E-5</v>
      </c>
      <c r="R387" s="3">
        <f t="shared" si="390"/>
        <v>6.5441466024223754E-5</v>
      </c>
      <c r="S387" s="3">
        <f t="shared" si="390"/>
        <v>6.5440867469881067E-5</v>
      </c>
      <c r="T387" s="3">
        <f t="shared" si="390"/>
        <v>6.5434882227550072E-5</v>
      </c>
      <c r="U387" s="3">
        <f t="shared" si="390"/>
        <v>6.537505990364879E-5</v>
      </c>
      <c r="V387" s="3">
        <f t="shared" si="390"/>
        <v>6.4779836444171058E-5</v>
      </c>
      <c r="W387" s="3">
        <f t="shared" si="390"/>
        <v>5.9117671598310415E-5</v>
      </c>
      <c r="X387" s="3">
        <f t="shared" si="390"/>
        <v>2.3686018026231156E-5</v>
      </c>
      <c r="Y387" s="3">
        <f t="shared" si="390"/>
        <v>2.5248722174467496E-9</v>
      </c>
      <c r="Z387" s="3">
        <f t="shared" si="390"/>
        <v>4.7831377102748703E-49</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9.072554140189839E-6</v>
      </c>
      <c r="C388" s="3">
        <f t="shared" si="391"/>
        <v>9.072554140189839E-6</v>
      </c>
      <c r="D388" s="3">
        <f t="shared" si="391"/>
        <v>9.072554140189839E-6</v>
      </c>
      <c r="E388" s="3">
        <f t="shared" si="391"/>
        <v>9.072554140189839E-6</v>
      </c>
      <c r="F388" s="3">
        <f t="shared" si="391"/>
        <v>9.072554140189839E-6</v>
      </c>
      <c r="G388" s="3">
        <f t="shared" si="391"/>
        <v>9.072554140189839E-6</v>
      </c>
      <c r="H388" s="3">
        <f t="shared" si="391"/>
        <v>9.072554140189839E-6</v>
      </c>
      <c r="I388" s="3">
        <f t="shared" si="391"/>
        <v>9.0725541401898373E-6</v>
      </c>
      <c r="J388" s="3">
        <f t="shared" si="391"/>
        <v>9.0725541401898305E-6</v>
      </c>
      <c r="K388" s="3">
        <f t="shared" si="391"/>
        <v>9.0725541401897458E-6</v>
      </c>
      <c r="L388" s="3">
        <f t="shared" si="391"/>
        <v>9.0725541401889174E-6</v>
      </c>
      <c r="M388" s="3">
        <f t="shared" si="391"/>
        <v>9.0725541401806182E-6</v>
      </c>
      <c r="N388" s="3">
        <f t="shared" si="391"/>
        <v>9.0725541400976361E-6</v>
      </c>
      <c r="O388" s="3">
        <f t="shared" si="391"/>
        <v>9.0725541392678199E-6</v>
      </c>
      <c r="P388" s="3">
        <f t="shared" si="391"/>
        <v>9.072554130969655E-6</v>
      </c>
      <c r="Q388" s="3">
        <f t="shared" si="391"/>
        <v>9.0725540479879937E-6</v>
      </c>
      <c r="R388" s="3">
        <f t="shared" si="391"/>
        <v>9.0725532181714366E-6</v>
      </c>
      <c r="S388" s="3">
        <f t="shared" si="391"/>
        <v>9.0725449200100266E-6</v>
      </c>
      <c r="T388" s="3">
        <f t="shared" si="391"/>
        <v>9.0724619388133784E-6</v>
      </c>
      <c r="U388" s="3">
        <f t="shared" si="391"/>
        <v>9.0716321685896335E-6</v>
      </c>
      <c r="V388" s="3">
        <f t="shared" si="391"/>
        <v>9.0633386392146527E-6</v>
      </c>
      <c r="W388" s="3">
        <f t="shared" si="391"/>
        <v>8.9808192229846344E-6</v>
      </c>
      <c r="X388" s="3">
        <f t="shared" si="391"/>
        <v>8.1958391785345726E-6</v>
      </c>
      <c r="Y388" s="3">
        <f t="shared" si="391"/>
        <v>3.2837354597099792E-6</v>
      </c>
      <c r="Z388" s="3">
        <f t="shared" si="391"/>
        <v>3.5003825558540693E-10</v>
      </c>
      <c r="AA388" s="3">
        <f t="shared" si="391"/>
        <v>6.63115213815649E-50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3.4648583404177175E-7</v>
      </c>
      <c r="C389" s="3">
        <f t="shared" si="392"/>
        <v>3.4648583404177175E-7</v>
      </c>
      <c r="D389" s="3">
        <f t="shared" si="392"/>
        <v>3.4648583404177175E-7</v>
      </c>
      <c r="E389" s="3">
        <f t="shared" si="392"/>
        <v>3.4648583404177175E-7</v>
      </c>
      <c r="F389" s="3">
        <f t="shared" si="392"/>
        <v>3.4648583404177175E-7</v>
      </c>
      <c r="G389" s="3">
        <f t="shared" si="392"/>
        <v>3.4648583404177175E-7</v>
      </c>
      <c r="H389" s="3">
        <f t="shared" si="392"/>
        <v>3.4648583404177175E-7</v>
      </c>
      <c r="I389" s="3">
        <f t="shared" si="392"/>
        <v>3.4648583404177175E-7</v>
      </c>
      <c r="J389" s="3">
        <f t="shared" si="392"/>
        <v>3.464858340417717E-7</v>
      </c>
      <c r="K389" s="3">
        <f t="shared" si="392"/>
        <v>3.4648583404177138E-7</v>
      </c>
      <c r="L389" s="3">
        <f t="shared" si="392"/>
        <v>3.464858340417682E-7</v>
      </c>
      <c r="M389" s="3">
        <f t="shared" si="392"/>
        <v>3.4648583404173655E-7</v>
      </c>
      <c r="N389" s="3">
        <f t="shared" si="392"/>
        <v>3.464858340414196E-7</v>
      </c>
      <c r="O389" s="3">
        <f t="shared" si="392"/>
        <v>3.4648583403825048E-7</v>
      </c>
      <c r="P389" s="3">
        <f t="shared" si="392"/>
        <v>3.4648583400655932E-7</v>
      </c>
      <c r="Q389" s="3">
        <f t="shared" si="392"/>
        <v>3.4648583368964782E-7</v>
      </c>
      <c r="R389" s="3">
        <f t="shared" si="392"/>
        <v>3.464858305205326E-7</v>
      </c>
      <c r="S389" s="3">
        <f t="shared" si="392"/>
        <v>3.4648579882938166E-7</v>
      </c>
      <c r="T389" s="3">
        <f t="shared" si="392"/>
        <v>3.4648548191803209E-7</v>
      </c>
      <c r="U389" s="3">
        <f t="shared" si="392"/>
        <v>3.4648231282047845E-7</v>
      </c>
      <c r="V389" s="3">
        <f t="shared" si="392"/>
        <v>3.4645062343912074E-7</v>
      </c>
      <c r="W389" s="3">
        <f t="shared" si="392"/>
        <v>3.4613388898945668E-7</v>
      </c>
      <c r="X389" s="3">
        <f t="shared" si="392"/>
        <v>3.4298242708409961E-7</v>
      </c>
      <c r="Y389" s="3">
        <f t="shared" si="392"/>
        <v>3.1300360731574103E-7</v>
      </c>
      <c r="Z389" s="3">
        <f t="shared" si="392"/>
        <v>1.254076638121165E-7</v>
      </c>
      <c r="AA389" s="3">
        <f t="shared" si="392"/>
        <v>1.3368153560613395E-11</v>
      </c>
      <c r="AB389" s="3">
        <f t="shared" si="392"/>
        <v>2.5324734840314252E-51</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2.6390969703261771E-3</v>
      </c>
      <c r="C396" s="3">
        <f t="shared" si="399"/>
        <v>2.6390969703261771E-3</v>
      </c>
      <c r="D396" s="3">
        <f t="shared" si="399"/>
        <v>2.6390969703261771E-3</v>
      </c>
      <c r="E396" s="3">
        <f t="shared" si="399"/>
        <v>2.6390969703261771E-3</v>
      </c>
      <c r="F396" s="3">
        <f t="shared" si="399"/>
        <v>2.6390969703261771E-3</v>
      </c>
      <c r="G396" s="3">
        <f t="shared" si="399"/>
        <v>2.6390969703261771E-3</v>
      </c>
      <c r="H396" s="3">
        <f t="shared" si="399"/>
        <v>2.6390969703261771E-3</v>
      </c>
      <c r="I396" s="3">
        <f t="shared" si="399"/>
        <v>2.6390969703261771E-3</v>
      </c>
      <c r="J396" s="3">
        <f t="shared" si="399"/>
        <v>2.6390969703261771E-3</v>
      </c>
      <c r="K396" s="3">
        <f t="shared" si="399"/>
        <v>2.6390969703261771E-3</v>
      </c>
      <c r="L396" s="3">
        <f t="shared" si="399"/>
        <v>2.6390969703261771E-3</v>
      </c>
      <c r="M396" s="3">
        <f t="shared" si="399"/>
        <v>2.6390969703261771E-3</v>
      </c>
      <c r="N396" s="3">
        <f t="shared" si="399"/>
        <v>2.6390969703261771E-3</v>
      </c>
      <c r="O396" s="3">
        <f t="shared" si="399"/>
        <v>2.6390969703261771E-3</v>
      </c>
      <c r="P396" s="3">
        <f t="shared" si="399"/>
        <v>2.6390969703261771E-3</v>
      </c>
      <c r="Q396" s="3">
        <f t="shared" si="399"/>
        <v>2.6390969703261767E-3</v>
      </c>
      <c r="R396" s="3">
        <f t="shared" si="399"/>
        <v>2.6390969703261745E-3</v>
      </c>
      <c r="S396" s="3">
        <f t="shared" si="399"/>
        <v>2.6390969703261502E-3</v>
      </c>
      <c r="T396" s="3">
        <f t="shared" si="399"/>
        <v>2.6390969703259091E-3</v>
      </c>
      <c r="U396" s="3">
        <f t="shared" si="399"/>
        <v>2.6390969703234948E-3</v>
      </c>
      <c r="V396" s="3">
        <f t="shared" si="399"/>
        <v>2.6390969702993566E-3</v>
      </c>
      <c r="W396" s="3">
        <f t="shared" si="399"/>
        <v>2.6390969700579728E-3</v>
      </c>
      <c r="X396" s="3">
        <f t="shared" si="399"/>
        <v>2.6390969676441363E-3</v>
      </c>
      <c r="Y396" s="3">
        <f t="shared" si="399"/>
        <v>2.6390969435057684E-3</v>
      </c>
      <c r="Z396" s="3">
        <f t="shared" si="399"/>
        <v>2.639096702122104E-3</v>
      </c>
      <c r="AA396" s="3">
        <f t="shared" si="399"/>
        <v>2.639094288286673E-3</v>
      </c>
      <c r="AB396" s="3">
        <f t="shared" si="399"/>
        <v>2.6390701500537909E-3</v>
      </c>
      <c r="AC396" s="3">
        <f t="shared" si="399"/>
        <v>2.6388287798674343E-3</v>
      </c>
      <c r="AD396" s="3">
        <f t="shared" si="399"/>
        <v>2.636416291839408E-3</v>
      </c>
      <c r="AE396" s="3">
        <f t="shared" si="399"/>
        <v>2.6124123853318664E-3</v>
      </c>
      <c r="AF396" s="3">
        <f t="shared" si="399"/>
        <v>2.384071123867505E-3</v>
      </c>
      <c r="AG396" s="3"/>
      <c r="AH396" s="3"/>
    </row>
    <row r="397" spans="1:34" x14ac:dyDescent="0.25">
      <c r="A397" s="79">
        <f>AVERAGE(B397:AF397)</f>
        <v>3.0930696376545203E-3</v>
      </c>
      <c r="B397" s="80">
        <f>IF($A$64&lt;=B363,IF($B$64&gt;=B363,ABS((B365-B364)/B364),0),0)</f>
        <v>1.7654598423112247E-2</v>
      </c>
      <c r="C397" s="80">
        <f t="shared" ref="C397:AF397" si="400">IF($A$64&lt;=C363,IF($B$64&gt;=C363,ABS((C365-C364)/C364),0),0)</f>
        <v>2.3918142409218163E-2</v>
      </c>
      <c r="D397" s="80">
        <f t="shared" si="400"/>
        <v>7.3793959782852293E-3</v>
      </c>
      <c r="E397" s="80">
        <f t="shared" si="400"/>
        <v>7.8039655825223528E-4</v>
      </c>
      <c r="F397" s="80">
        <f t="shared" si="400"/>
        <v>7.6150493209295597E-4</v>
      </c>
      <c r="G397" s="80">
        <f t="shared" si="400"/>
        <v>7.1048384421379732E-4</v>
      </c>
      <c r="H397" s="80">
        <f t="shared" si="400"/>
        <v>1.1286881461381347E-3</v>
      </c>
      <c r="I397" s="80">
        <f t="shared" si="400"/>
        <v>1.6510684365904831E-3</v>
      </c>
      <c r="J397" s="80">
        <f t="shared" si="400"/>
        <v>2.405903115768692E-3</v>
      </c>
      <c r="K397" s="80">
        <f t="shared" si="400"/>
        <v>3.8998295665932693E-3</v>
      </c>
      <c r="L397" s="80">
        <f t="shared" si="400"/>
        <v>4.2384858289214022E-3</v>
      </c>
      <c r="M397" s="80">
        <f t="shared" si="400"/>
        <v>4.7562736498597061E-3</v>
      </c>
      <c r="N397" s="80">
        <f t="shared" si="400"/>
        <v>4.1335692887083299E-3</v>
      </c>
      <c r="O397" s="80">
        <f t="shared" si="400"/>
        <v>1.2975889222592743E-3</v>
      </c>
      <c r="P397" s="80">
        <f t="shared" si="400"/>
        <v>1.5026443242697289E-3</v>
      </c>
      <c r="Q397" s="80">
        <f t="shared" si="400"/>
        <v>3.9108650525655991E-4</v>
      </c>
      <c r="R397" s="80">
        <f t="shared" si="400"/>
        <v>3.5391074810638032E-4</v>
      </c>
      <c r="S397" s="80">
        <f t="shared" si="400"/>
        <v>3.1430066087977581E-5</v>
      </c>
      <c r="T397" s="80">
        <f t="shared" si="400"/>
        <v>1.5276297121790289E-4</v>
      </c>
      <c r="U397" s="80">
        <f t="shared" si="400"/>
        <v>1.4362124152318408E-5</v>
      </c>
      <c r="V397" s="80">
        <f t="shared" si="400"/>
        <v>1.1092383564238974E-5</v>
      </c>
      <c r="W397" s="80">
        <f t="shared" si="400"/>
        <v>4.3451524703429388E-5</v>
      </c>
      <c r="X397" s="80">
        <f t="shared" si="400"/>
        <v>2.3801233963764915E-4</v>
      </c>
      <c r="Y397" s="80">
        <f t="shared" si="400"/>
        <v>1.6203395594821119E-5</v>
      </c>
      <c r="Z397" s="80">
        <f t="shared" si="400"/>
        <v>1.4732865456731415E-4</v>
      </c>
      <c r="AA397" s="80">
        <f t="shared" si="400"/>
        <v>5.905737644609552E-4</v>
      </c>
      <c r="AB397" s="80">
        <f t="shared" si="400"/>
        <v>1.5951845555346878E-3</v>
      </c>
      <c r="AC397" s="80">
        <f t="shared" si="400"/>
        <v>2.6199777767086439E-3</v>
      </c>
      <c r="AD397" s="80">
        <f t="shared" si="400"/>
        <v>2.5647193702842373E-3</v>
      </c>
      <c r="AE397" s="80">
        <f t="shared" si="400"/>
        <v>1.4462181343027878E-3</v>
      </c>
      <c r="AF397" s="80">
        <f t="shared" si="400"/>
        <v>9.4502710288265936E-3</v>
      </c>
    </row>
    <row r="398" spans="1:34" x14ac:dyDescent="0.25">
      <c r="B398" s="21">
        <f>(B365-B364)^2</f>
        <v>7708.7023751981033</v>
      </c>
      <c r="C398" s="21">
        <f t="shared" ref="C398:AF398" si="401">(C365-C364)^2</f>
        <v>12420.855704048228</v>
      </c>
      <c r="D398" s="21">
        <f t="shared" si="401"/>
        <v>1047.5368329571954</v>
      </c>
      <c r="E398" s="21">
        <f t="shared" si="401"/>
        <v>10.329484902808591</v>
      </c>
      <c r="F398" s="21">
        <f t="shared" si="401"/>
        <v>8.5054666559656233</v>
      </c>
      <c r="G398" s="21">
        <f t="shared" si="401"/>
        <v>6.2312813188916714</v>
      </c>
      <c r="H398" s="21">
        <f t="shared" si="401"/>
        <v>12.226070710187221</v>
      </c>
      <c r="I398" s="21">
        <f t="shared" si="401"/>
        <v>18.30367048600143</v>
      </c>
      <c r="J398" s="21">
        <f t="shared" si="401"/>
        <v>23.277575722824476</v>
      </c>
      <c r="K398" s="21">
        <f t="shared" si="401"/>
        <v>27.951104839458424</v>
      </c>
      <c r="L398" s="21">
        <f t="shared" si="401"/>
        <v>11.989873099297336</v>
      </c>
      <c r="M398" s="21">
        <f t="shared" si="401"/>
        <v>4.8572735387720591</v>
      </c>
      <c r="N398" s="21">
        <f t="shared" si="401"/>
        <v>1.1282873748386113</v>
      </c>
      <c r="O398" s="21">
        <f t="shared" si="401"/>
        <v>4.723647455231722E-2</v>
      </c>
      <c r="P398" s="21">
        <f t="shared" si="401"/>
        <v>4.5403237981284192E-2</v>
      </c>
      <c r="Q398" s="21">
        <f t="shared" si="401"/>
        <v>2.5527739731522696E-3</v>
      </c>
      <c r="R398" s="21">
        <f t="shared" si="401"/>
        <v>1.9713744975822225E-3</v>
      </c>
      <c r="S398" s="21">
        <f t="shared" si="401"/>
        <v>1.5528514287676499E-5</v>
      </c>
      <c r="T398" s="21">
        <f t="shared" si="401"/>
        <v>3.6616576858932771E-4</v>
      </c>
      <c r="U398" s="21">
        <f t="shared" si="401"/>
        <v>3.230043597131006E-6</v>
      </c>
      <c r="V398" s="21">
        <f t="shared" si="401"/>
        <v>1.9218566932958192E-6</v>
      </c>
      <c r="W398" s="21">
        <f t="shared" si="401"/>
        <v>2.94039642887724E-5</v>
      </c>
      <c r="X398" s="21">
        <f t="shared" si="401"/>
        <v>8.7950771310990996E-4</v>
      </c>
      <c r="Y398" s="21">
        <f t="shared" si="401"/>
        <v>4.0632692109424661E-6</v>
      </c>
      <c r="Z398" s="21">
        <f t="shared" si="401"/>
        <v>3.3589847063352309E-4</v>
      </c>
      <c r="AA398" s="21">
        <f t="shared" si="401"/>
        <v>5.3893424628007275E-3</v>
      </c>
      <c r="AB398" s="21">
        <f t="shared" si="401"/>
        <v>3.9240696948097786E-2</v>
      </c>
      <c r="AC398" s="21">
        <f t="shared" si="401"/>
        <v>0.105635965639105</v>
      </c>
      <c r="AD398" s="21">
        <f t="shared" si="401"/>
        <v>0.10121485327375397</v>
      </c>
      <c r="AE398" s="21">
        <f t="shared" si="401"/>
        <v>3.2181547774868619E-2</v>
      </c>
      <c r="AF398" s="21">
        <f t="shared" si="401"/>
        <v>1.374073464188593</v>
      </c>
      <c r="AG398" s="3"/>
      <c r="AH398" s="3"/>
    </row>
    <row r="399" spans="1:34" x14ac:dyDescent="0.25">
      <c r="A399" s="71">
        <f>SUM(B399:AF399)</f>
        <v>21303.65153630347</v>
      </c>
      <c r="B399" s="60">
        <f>IF($A$64&lt;=B363,IF($B$64&gt;=B363,ABS(B398),0),0)</f>
        <v>7708.7023751981033</v>
      </c>
      <c r="C399" s="60">
        <f t="shared" ref="C399" si="402">IF($A$64&lt;=C363,IF($B$64&gt;=C363,ABS(C398),0),0)</f>
        <v>12420.855704048228</v>
      </c>
      <c r="D399" s="60">
        <f t="shared" ref="D399" si="403">IF($A$64&lt;=D363,IF($B$64&gt;=D363,ABS(D398),0),0)</f>
        <v>1047.5368329571954</v>
      </c>
      <c r="E399" s="60">
        <f t="shared" ref="E399" si="404">IF($A$64&lt;=E363,IF($B$64&gt;=E363,ABS(E398),0),0)</f>
        <v>10.329484902808591</v>
      </c>
      <c r="F399" s="60">
        <f t="shared" ref="F399" si="405">IF($A$64&lt;=F363,IF($B$64&gt;=F363,ABS(F398),0),0)</f>
        <v>8.5054666559656233</v>
      </c>
      <c r="G399" s="60">
        <f t="shared" ref="G399" si="406">IF($A$64&lt;=G363,IF($B$64&gt;=G363,ABS(G398),0),0)</f>
        <v>6.2312813188916714</v>
      </c>
      <c r="H399" s="60">
        <f t="shared" ref="H399" si="407">IF($A$64&lt;=H363,IF($B$64&gt;=H363,ABS(H398),0),0)</f>
        <v>12.226070710187221</v>
      </c>
      <c r="I399" s="60">
        <f t="shared" ref="I399" si="408">IF($A$64&lt;=I363,IF($B$64&gt;=I363,ABS(I398),0),0)</f>
        <v>18.30367048600143</v>
      </c>
      <c r="J399" s="60">
        <f t="shared" ref="J399" si="409">IF($A$64&lt;=J363,IF($B$64&gt;=J363,ABS(J398),0),0)</f>
        <v>23.277575722824476</v>
      </c>
      <c r="K399" s="60">
        <f t="shared" ref="K399" si="410">IF($A$64&lt;=K363,IF($B$64&gt;=K363,ABS(K398),0),0)</f>
        <v>27.951104839458424</v>
      </c>
      <c r="L399" s="60">
        <f t="shared" ref="L399" si="411">IF($A$64&lt;=L363,IF($B$64&gt;=L363,ABS(L398),0),0)</f>
        <v>11.989873099297336</v>
      </c>
      <c r="M399" s="60">
        <f t="shared" ref="M399" si="412">IF($A$64&lt;=M363,IF($B$64&gt;=M363,ABS(M398),0),0)</f>
        <v>4.8572735387720591</v>
      </c>
      <c r="N399" s="60">
        <f t="shared" ref="N399" si="413">IF($A$64&lt;=N363,IF($B$64&gt;=N363,ABS(N398),0),0)</f>
        <v>1.1282873748386113</v>
      </c>
      <c r="O399" s="60">
        <f t="shared" ref="O399" si="414">IF($A$64&lt;=O363,IF($B$64&gt;=O363,ABS(O398),0),0)</f>
        <v>4.723647455231722E-2</v>
      </c>
      <c r="P399" s="60">
        <f t="shared" ref="P399" si="415">IF($A$64&lt;=P363,IF($B$64&gt;=P363,ABS(P398),0),0)</f>
        <v>4.5403237981284192E-2</v>
      </c>
      <c r="Q399" s="60">
        <f t="shared" ref="Q399" si="416">IF($A$64&lt;=Q363,IF($B$64&gt;=Q363,ABS(Q398),0),0)</f>
        <v>2.5527739731522696E-3</v>
      </c>
      <c r="R399" s="60">
        <f t="shared" ref="R399" si="417">IF($A$64&lt;=R363,IF($B$64&gt;=R363,ABS(R398),0),0)</f>
        <v>1.9713744975822225E-3</v>
      </c>
      <c r="S399" s="60">
        <f t="shared" ref="S399" si="418">IF($A$64&lt;=S363,IF($B$64&gt;=S363,ABS(S398),0),0)</f>
        <v>1.5528514287676499E-5</v>
      </c>
      <c r="T399" s="60">
        <f t="shared" ref="T399" si="419">IF($A$64&lt;=T363,IF($B$64&gt;=T363,ABS(T398),0),0)</f>
        <v>3.6616576858932771E-4</v>
      </c>
      <c r="U399" s="60">
        <f t="shared" ref="U399" si="420">IF($A$64&lt;=U363,IF($B$64&gt;=U363,ABS(U398),0),0)</f>
        <v>3.230043597131006E-6</v>
      </c>
      <c r="V399" s="60">
        <f t="shared" ref="V399" si="421">IF($A$64&lt;=V363,IF($B$64&gt;=V363,ABS(V398),0),0)</f>
        <v>1.9218566932958192E-6</v>
      </c>
      <c r="W399" s="60">
        <f t="shared" ref="W399" si="422">IF($A$64&lt;=W363,IF($B$64&gt;=W363,ABS(W398),0),0)</f>
        <v>2.94039642887724E-5</v>
      </c>
      <c r="X399" s="60">
        <f t="shared" ref="X399" si="423">IF($A$64&lt;=X363,IF($B$64&gt;=X363,ABS(X398),0),0)</f>
        <v>8.7950771310990996E-4</v>
      </c>
      <c r="Y399" s="60">
        <f t="shared" ref="Y399" si="424">IF($A$64&lt;=Y363,IF($B$64&gt;=Y363,ABS(Y398),0),0)</f>
        <v>4.0632692109424661E-6</v>
      </c>
      <c r="Z399" s="60">
        <f t="shared" ref="Z399" si="425">IF($A$64&lt;=Z363,IF($B$64&gt;=Z363,ABS(Z398),0),0)</f>
        <v>3.3589847063352309E-4</v>
      </c>
      <c r="AA399" s="60">
        <f t="shared" ref="AA399" si="426">IF($A$64&lt;=AA363,IF($B$64&gt;=AA363,ABS(AA398),0),0)</f>
        <v>5.3893424628007275E-3</v>
      </c>
      <c r="AB399" s="60">
        <f t="shared" ref="AB399" si="427">IF($A$64&lt;=AB363,IF($B$64&gt;=AB363,ABS(AB398),0),0)</f>
        <v>3.9240696948097786E-2</v>
      </c>
      <c r="AC399" s="60">
        <f t="shared" ref="AC399" si="428">IF($A$64&lt;=AC363,IF($B$64&gt;=AC363,ABS(AC398),0),0)</f>
        <v>0.105635965639105</v>
      </c>
      <c r="AD399" s="60">
        <f t="shared" ref="AD399" si="429">IF($A$64&lt;=AD363,IF($B$64&gt;=AD363,ABS(AD398),0),0)</f>
        <v>0.10121485327375397</v>
      </c>
      <c r="AE399" s="60">
        <f t="shared" ref="AE399" si="430">IF($A$64&lt;=AE363,IF($B$64&gt;=AE363,ABS(AE398),0),0)</f>
        <v>3.2181547774868619E-2</v>
      </c>
      <c r="AF399" s="60">
        <f t="shared" ref="AF399" si="431">IF($A$64&lt;=AF363,IF($B$64&gt;=AF363,ABS(AF398),0),0)</f>
        <v>1.374073464188593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-50.877172842752479</v>
      </c>
      <c r="C403" s="107">
        <f t="shared" ref="C403:H403" si="432">IF(C125=$B$2,0,C126)</f>
        <v>-47.535040976579083</v>
      </c>
      <c r="D403" s="107">
        <f t="shared" si="432"/>
        <v>-43.172232324752386</v>
      </c>
      <c r="E403" s="107">
        <f t="shared" si="432"/>
        <v>-36.734495124334281</v>
      </c>
      <c r="F403" s="107">
        <f t="shared" si="432"/>
        <v>-24.354268217538582</v>
      </c>
      <c r="G403" s="107">
        <f t="shared" si="432"/>
        <v>-4.1297750224271264</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8.0227743911093694E-38</v>
      </c>
      <c r="C404" s="3">
        <f t="shared" ref="C404:H419" si="433">$A404/EXP(-C$403)</f>
        <v>2.2687884721208244E-36</v>
      </c>
      <c r="D404" s="3">
        <f t="shared" si="433"/>
        <v>1.7804825839442181E-34</v>
      </c>
      <c r="E404" s="3">
        <f t="shared" si="433"/>
        <v>1.1127855358565678E-31</v>
      </c>
      <c r="F404" s="3">
        <f t="shared" si="433"/>
        <v>2.6489618417105958E-26</v>
      </c>
      <c r="G404" s="3">
        <f t="shared" si="433"/>
        <v>1.6086497516678004E-17</v>
      </c>
      <c r="H404" s="3">
        <f t="shared" si="433"/>
        <v>1.0000000000000001E-15</v>
      </c>
      <c r="I404" s="10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8.0227743911093692E-37</v>
      </c>
      <c r="C405" s="3">
        <f t="shared" si="433"/>
        <v>2.2687884721208244E-35</v>
      </c>
      <c r="D405" s="3">
        <f t="shared" si="433"/>
        <v>1.7804825839442181E-33</v>
      </c>
      <c r="E405" s="3">
        <f t="shared" si="433"/>
        <v>1.1127855358565677E-30</v>
      </c>
      <c r="F405" s="3">
        <f t="shared" si="433"/>
        <v>2.6489618417105957E-25</v>
      </c>
      <c r="G405" s="3">
        <f t="shared" si="433"/>
        <v>1.6086497516678002E-16</v>
      </c>
      <c r="H405" s="3">
        <f t="shared" si="433"/>
        <v>1E-14</v>
      </c>
      <c r="I405" s="10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8.0227743911093695E-36</v>
      </c>
      <c r="C406" s="3">
        <f t="shared" si="433"/>
        <v>2.2687884721208244E-34</v>
      </c>
      <c r="D406" s="3">
        <f t="shared" si="433"/>
        <v>1.7804825839442181E-32</v>
      </c>
      <c r="E406" s="3">
        <f t="shared" si="433"/>
        <v>1.1127855358565678E-29</v>
      </c>
      <c r="F406" s="3">
        <f t="shared" si="433"/>
        <v>2.6489618417105958E-24</v>
      </c>
      <c r="G406" s="3">
        <f t="shared" si="433"/>
        <v>1.6086497516678001E-15</v>
      </c>
      <c r="H406" s="3">
        <f t="shared" si="433"/>
        <v>1E-13</v>
      </c>
      <c r="I406" s="10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8.0227743911093684E-35</v>
      </c>
      <c r="C407" s="3">
        <f t="shared" si="433"/>
        <v>2.2687884721208244E-33</v>
      </c>
      <c r="D407" s="3">
        <f t="shared" si="433"/>
        <v>1.780482583944218E-31</v>
      </c>
      <c r="E407" s="3">
        <f t="shared" si="433"/>
        <v>1.1127855358565678E-28</v>
      </c>
      <c r="F407" s="3">
        <f t="shared" si="433"/>
        <v>2.6489618417105956E-23</v>
      </c>
      <c r="G407" s="3">
        <f t="shared" si="433"/>
        <v>1.6086497516678E-14</v>
      </c>
      <c r="H407" s="3">
        <f t="shared" si="433"/>
        <v>9.9999999999999998E-13</v>
      </c>
      <c r="I407" s="10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8.0227743911093687E-34</v>
      </c>
      <c r="C408" s="3">
        <f t="shared" si="433"/>
        <v>2.2687884721208241E-32</v>
      </c>
      <c r="D408" s="3">
        <f t="shared" si="433"/>
        <v>1.7804825839442179E-30</v>
      </c>
      <c r="E408" s="3">
        <f t="shared" si="433"/>
        <v>1.1127855358565678E-27</v>
      </c>
      <c r="F408" s="3">
        <f t="shared" si="433"/>
        <v>2.6489618417105955E-22</v>
      </c>
      <c r="G408" s="3">
        <f t="shared" si="433"/>
        <v>1.6086497516677999E-13</v>
      </c>
      <c r="H408" s="3">
        <f t="shared" si="433"/>
        <v>9.9999999999999994E-12</v>
      </c>
      <c r="I408" s="10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8.0227743911093687E-33</v>
      </c>
      <c r="C409" s="3">
        <f t="shared" si="433"/>
        <v>2.2687884721208246E-31</v>
      </c>
      <c r="D409" s="3">
        <f t="shared" si="433"/>
        <v>1.7804825839442181E-29</v>
      </c>
      <c r="E409" s="3">
        <f t="shared" si="433"/>
        <v>1.1127855358565678E-26</v>
      </c>
      <c r="F409" s="3">
        <f t="shared" si="433"/>
        <v>2.6489618417105956E-21</v>
      </c>
      <c r="G409" s="3">
        <f t="shared" si="433"/>
        <v>1.6086497516678002E-12</v>
      </c>
      <c r="H409" s="3">
        <f t="shared" si="433"/>
        <v>1E-10</v>
      </c>
      <c r="I409" s="10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8.0227743911093692E-32</v>
      </c>
      <c r="C410" s="3">
        <f t="shared" si="433"/>
        <v>2.2687884721208243E-30</v>
      </c>
      <c r="D410" s="3">
        <f t="shared" si="433"/>
        <v>1.7804825839442181E-28</v>
      </c>
      <c r="E410" s="3">
        <f t="shared" si="433"/>
        <v>1.1127855358565678E-25</v>
      </c>
      <c r="F410" s="3">
        <f t="shared" si="433"/>
        <v>2.6489618417105958E-20</v>
      </c>
      <c r="G410" s="3">
        <f t="shared" si="433"/>
        <v>1.6086497516678E-11</v>
      </c>
      <c r="H410" s="3">
        <f t="shared" si="433"/>
        <v>1.0000000000000001E-9</v>
      </c>
      <c r="I410" s="10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8.0227743911093696E-31</v>
      </c>
      <c r="C411" s="3">
        <f t="shared" si="433"/>
        <v>2.2687884721208243E-29</v>
      </c>
      <c r="D411" s="3">
        <f t="shared" si="433"/>
        <v>1.780482583944218E-27</v>
      </c>
      <c r="E411" s="3">
        <f t="shared" si="433"/>
        <v>1.1127855358565679E-24</v>
      </c>
      <c r="F411" s="3">
        <f t="shared" si="433"/>
        <v>2.6489618417105957E-19</v>
      </c>
      <c r="G411" s="3">
        <f t="shared" si="433"/>
        <v>1.6086497516678002E-10</v>
      </c>
      <c r="H411" s="3">
        <f t="shared" si="433"/>
        <v>1E-8</v>
      </c>
      <c r="I411" s="10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8.0227743911093682E-30</v>
      </c>
      <c r="C412" s="3">
        <f t="shared" si="433"/>
        <v>2.2687884721208243E-28</v>
      </c>
      <c r="D412" s="3">
        <f t="shared" si="433"/>
        <v>1.7804825839442179E-26</v>
      </c>
      <c r="E412" s="3">
        <f t="shared" si="433"/>
        <v>1.1127855358565677E-23</v>
      </c>
      <c r="F412" s="3">
        <f t="shared" si="433"/>
        <v>2.6489618417105954E-18</v>
      </c>
      <c r="G412" s="3">
        <f t="shared" si="433"/>
        <v>1.6086497516678E-9</v>
      </c>
      <c r="H412" s="3">
        <f t="shared" si="433"/>
        <v>9.9999999999999995E-8</v>
      </c>
      <c r="I412" s="10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8.0227743911093688E-29</v>
      </c>
      <c r="C413" s="3">
        <f t="shared" si="433"/>
        <v>2.2687884721208241E-27</v>
      </c>
      <c r="D413" s="3">
        <f t="shared" si="433"/>
        <v>1.7804825839442181E-25</v>
      </c>
      <c r="E413" s="3">
        <f t="shared" si="433"/>
        <v>1.1127855358565677E-22</v>
      </c>
      <c r="F413" s="3">
        <f t="shared" si="433"/>
        <v>2.6489618417105956E-17</v>
      </c>
      <c r="G413" s="3">
        <f t="shared" si="433"/>
        <v>1.6086497516678E-8</v>
      </c>
      <c r="H413" s="3">
        <f t="shared" si="433"/>
        <v>9.9999999999999995E-7</v>
      </c>
      <c r="I413" s="10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8.0227743911093697E-28</v>
      </c>
      <c r="C414" s="3">
        <f t="shared" si="433"/>
        <v>2.2687884721208245E-26</v>
      </c>
      <c r="D414" s="3">
        <f t="shared" si="433"/>
        <v>1.7804825839442183E-24</v>
      </c>
      <c r="E414" s="3">
        <f t="shared" si="433"/>
        <v>1.1127855358565678E-21</v>
      </c>
      <c r="F414" s="3">
        <f t="shared" si="433"/>
        <v>2.6489618417105956E-16</v>
      </c>
      <c r="G414" s="3">
        <f t="shared" si="433"/>
        <v>1.6086497516678001E-7</v>
      </c>
      <c r="H414" s="3">
        <f t="shared" si="433"/>
        <v>1.0000000000000001E-5</v>
      </c>
      <c r="I414" s="10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8.0227743911093697E-27</v>
      </c>
      <c r="C415" s="3">
        <f t="shared" si="433"/>
        <v>2.2687884721208244E-25</v>
      </c>
      <c r="D415" s="3">
        <f t="shared" si="433"/>
        <v>1.780482583944218E-23</v>
      </c>
      <c r="E415" s="3">
        <f t="shared" si="433"/>
        <v>1.1127855358565678E-20</v>
      </c>
      <c r="F415" s="3">
        <f t="shared" si="433"/>
        <v>2.6489618417105956E-15</v>
      </c>
      <c r="G415" s="3">
        <f t="shared" si="433"/>
        <v>1.6086497516678002E-6</v>
      </c>
      <c r="H415" s="3">
        <f t="shared" si="433"/>
        <v>1E-4</v>
      </c>
      <c r="I415" s="10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8.0227743911093694E-26</v>
      </c>
      <c r="C416" s="3">
        <f t="shared" si="433"/>
        <v>2.2687884721208244E-24</v>
      </c>
      <c r="D416" s="3">
        <f t="shared" si="433"/>
        <v>1.7804825839442181E-22</v>
      </c>
      <c r="E416" s="3">
        <f t="shared" si="433"/>
        <v>1.1127855358565677E-19</v>
      </c>
      <c r="F416" s="3">
        <f t="shared" si="433"/>
        <v>2.6489618417105955E-14</v>
      </c>
      <c r="G416" s="3">
        <f t="shared" si="433"/>
        <v>1.6086497516678E-5</v>
      </c>
      <c r="H416" s="3">
        <f t="shared" si="433"/>
        <v>1E-3</v>
      </c>
      <c r="I416" s="10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8.0227743911093687E-25</v>
      </c>
      <c r="C417" s="3">
        <f t="shared" si="433"/>
        <v>2.2687884721208243E-23</v>
      </c>
      <c r="D417" s="3">
        <f t="shared" si="433"/>
        <v>1.7804825839442179E-21</v>
      </c>
      <c r="E417" s="3">
        <f t="shared" si="433"/>
        <v>1.1127855358565678E-18</v>
      </c>
      <c r="F417" s="3">
        <f t="shared" si="433"/>
        <v>2.6489618417105957E-13</v>
      </c>
      <c r="G417" s="3">
        <f t="shared" si="433"/>
        <v>1.6086497516678002E-4</v>
      </c>
      <c r="H417" s="3">
        <f t="shared" si="433"/>
        <v>0.01</v>
      </c>
      <c r="I417" s="10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8.0227743911093691E-24</v>
      </c>
      <c r="C418" s="3">
        <f t="shared" si="433"/>
        <v>2.2687884721208245E-22</v>
      </c>
      <c r="D418" s="3">
        <f t="shared" si="433"/>
        <v>1.7804825839442181E-20</v>
      </c>
      <c r="E418" s="3">
        <f t="shared" si="433"/>
        <v>1.1127855358565678E-17</v>
      </c>
      <c r="F418" s="3">
        <f t="shared" si="433"/>
        <v>2.6489618417105956E-12</v>
      </c>
      <c r="G418" s="3">
        <f t="shared" si="433"/>
        <v>1.6086497516678002E-3</v>
      </c>
      <c r="H418" s="3">
        <f t="shared" si="433"/>
        <v>0.1</v>
      </c>
      <c r="I418" s="10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8.0227743911093685E-23</v>
      </c>
      <c r="C419" s="3">
        <f t="shared" si="433"/>
        <v>2.2687884721208245E-21</v>
      </c>
      <c r="D419" s="3">
        <f t="shared" si="433"/>
        <v>1.7804825839442181E-19</v>
      </c>
      <c r="E419" s="3">
        <f t="shared" si="433"/>
        <v>1.1127855358565678E-16</v>
      </c>
      <c r="F419" s="3">
        <f t="shared" si="433"/>
        <v>2.6489618417105956E-11</v>
      </c>
      <c r="G419" s="3">
        <f t="shared" si="433"/>
        <v>1.6086497516678001E-2</v>
      </c>
      <c r="H419" s="3">
        <f t="shared" si="433"/>
        <v>1</v>
      </c>
      <c r="I419" s="10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129.19132461504012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8.0227743911093687E-22</v>
      </c>
      <c r="C420" s="3">
        <f t="shared" si="434"/>
        <v>2.2687884721208243E-20</v>
      </c>
      <c r="D420" s="3">
        <f t="shared" si="434"/>
        <v>1.7804825839442181E-18</v>
      </c>
      <c r="E420" s="3">
        <f t="shared" si="434"/>
        <v>1.1127855358565678E-15</v>
      </c>
      <c r="F420" s="3">
        <f t="shared" si="434"/>
        <v>2.6489618417105956E-10</v>
      </c>
      <c r="G420" s="3">
        <f t="shared" si="434"/>
        <v>0.16086497516678</v>
      </c>
      <c r="H420" s="3">
        <f t="shared" si="434"/>
        <v>10</v>
      </c>
      <c r="I420" s="10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138.47466281617423</v>
      </c>
      <c r="P420" s="3">
        <f>Comparison!AS19</f>
        <v>125.45582042457461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8.022774391109368E-21</v>
      </c>
      <c r="C421" s="3">
        <f t="shared" si="434"/>
        <v>2.2687884721208243E-19</v>
      </c>
      <c r="D421" s="3">
        <f t="shared" si="434"/>
        <v>1.7804825839442181E-17</v>
      </c>
      <c r="E421" s="3">
        <f t="shared" si="434"/>
        <v>1.1127855358565678E-14</v>
      </c>
      <c r="F421" s="3">
        <f t="shared" si="434"/>
        <v>2.6489618417105957E-9</v>
      </c>
      <c r="G421" s="3">
        <f t="shared" si="434"/>
        <v>1.6086497516678</v>
      </c>
      <c r="H421" s="3">
        <f t="shared" si="434"/>
        <v>100</v>
      </c>
      <c r="I421" s="10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126.92176045152465</v>
      </c>
      <c r="P421" s="3">
        <f>Comparison!AS20</f>
        <v>125.37751528072498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8.0227743911093683E-20</v>
      </c>
      <c r="C422" s="3">
        <f t="shared" si="434"/>
        <v>2.2687884721208244E-18</v>
      </c>
      <c r="D422" s="3">
        <f t="shared" si="434"/>
        <v>1.7804825839442181E-16</v>
      </c>
      <c r="E422" s="3">
        <f t="shared" si="434"/>
        <v>1.1127855358565678E-13</v>
      </c>
      <c r="F422" s="3">
        <f t="shared" si="434"/>
        <v>2.6489618417105955E-8</v>
      </c>
      <c r="G422" s="3">
        <f t="shared" si="434"/>
        <v>16.086497516678001</v>
      </c>
      <c r="H422" s="3">
        <f t="shared" si="434"/>
        <v>1000</v>
      </c>
      <c r="I422" s="10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125.32043450442224</v>
      </c>
      <c r="P422" s="3">
        <f>Comparison!AS21</f>
        <v>125.26241312398497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8.0227743911093688E-19</v>
      </c>
      <c r="C423" s="3">
        <f t="shared" si="434"/>
        <v>2.2687884721208243E-17</v>
      </c>
      <c r="D423" s="3">
        <f t="shared" si="434"/>
        <v>1.7804825839442182E-15</v>
      </c>
      <c r="E423" s="3">
        <f t="shared" si="434"/>
        <v>1.1127855358565678E-12</v>
      </c>
      <c r="F423" s="3">
        <f t="shared" si="434"/>
        <v>2.6489618417105955E-7</v>
      </c>
      <c r="G423" s="3">
        <f t="shared" si="434"/>
        <v>160.86497516678</v>
      </c>
      <c r="H423" s="3">
        <f t="shared" si="434"/>
        <v>10000</v>
      </c>
      <c r="I423" s="10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125.18975547765271</v>
      </c>
      <c r="P423" s="3">
        <f>Comparison!AS22</f>
        <v>125.1369355609138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8.0227743911093688E-18</v>
      </c>
      <c r="C424" s="3">
        <f t="shared" si="434"/>
        <v>2.2687884721208245E-16</v>
      </c>
      <c r="D424" s="3">
        <f t="shared" si="434"/>
        <v>1.780482583944218E-14</v>
      </c>
      <c r="E424" s="3">
        <f t="shared" si="434"/>
        <v>1.1127855358565677E-11</v>
      </c>
      <c r="F424" s="3">
        <f t="shared" si="434"/>
        <v>2.6489618417105953E-6</v>
      </c>
      <c r="G424" s="3">
        <f t="shared" si="434"/>
        <v>1608.6497516678</v>
      </c>
      <c r="H424" s="3">
        <f t="shared" si="434"/>
        <v>100000</v>
      </c>
      <c r="I424" s="109">
        <f>Comparison!AL23</f>
        <v>100000</v>
      </c>
      <c r="J424" s="3">
        <f>Comparison!AM23</f>
        <v>5399.4936644871386</v>
      </c>
      <c r="K424" s="3">
        <f>Comparison!AN23</f>
        <v>4967.1522364522052</v>
      </c>
      <c r="L424" s="3">
        <f>Comparison!AO23</f>
        <v>4428.9407335348296</v>
      </c>
      <c r="M424" s="3">
        <f>Comparison!AP23</f>
        <v>3608.495032401398</v>
      </c>
      <c r="N424" s="3">
        <f>Comparison!AQ23</f>
        <v>1000.0232976856266</v>
      </c>
      <c r="O424" s="3">
        <f>Comparison!AR23</f>
        <v>125.05583743141311</v>
      </c>
      <c r="P424" s="3">
        <f>Comparison!AS23</f>
        <v>124.97859027478171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8.0227743911093691E-17</v>
      </c>
      <c r="C425" s="3">
        <f t="shared" si="434"/>
        <v>2.2687884721208244E-15</v>
      </c>
      <c r="D425" s="3">
        <f t="shared" si="434"/>
        <v>1.780482583944218E-13</v>
      </c>
      <c r="E425" s="3">
        <f t="shared" si="434"/>
        <v>1.1127855358565677E-10</v>
      </c>
      <c r="F425" s="3">
        <f t="shared" si="434"/>
        <v>2.6489618417105956E-5</v>
      </c>
      <c r="G425" s="3">
        <f t="shared" si="434"/>
        <v>16086.497516678</v>
      </c>
      <c r="H425" s="3">
        <f t="shared" si="434"/>
        <v>1000000</v>
      </c>
      <c r="I425" s="109">
        <f>Comparison!AL24</f>
        <v>1000000</v>
      </c>
      <c r="J425" s="3">
        <f>Comparison!AM24</f>
        <v>5141.8460502498219</v>
      </c>
      <c r="K425" s="3">
        <f>Comparison!AN24</f>
        <v>4663.1486629646943</v>
      </c>
      <c r="L425" s="3">
        <f>Comparison!AO24</f>
        <v>4111.7161259908762</v>
      </c>
      <c r="M425" s="3">
        <f>Comparison!AP24</f>
        <v>3262.5462100054015</v>
      </c>
      <c r="N425" s="3">
        <f>Comparison!AQ24</f>
        <v>576.00660610456418</v>
      </c>
      <c r="O425" s="3">
        <f>Comparison!AR24</f>
        <v>124.89217701523481</v>
      </c>
      <c r="P425" s="3">
        <f>Comparison!AS24</f>
        <v>124.79521194858673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8.0227743911093686E-16</v>
      </c>
      <c r="C426" s="3">
        <f t="shared" si="434"/>
        <v>2.2687884721208243E-14</v>
      </c>
      <c r="D426" s="3">
        <f t="shared" si="434"/>
        <v>1.7804825839442181E-12</v>
      </c>
      <c r="E426" s="3">
        <f t="shared" si="434"/>
        <v>1.1127855358565678E-9</v>
      </c>
      <c r="F426" s="3">
        <f t="shared" si="434"/>
        <v>2.6489618417105957E-4</v>
      </c>
      <c r="G426" s="3">
        <f t="shared" si="434"/>
        <v>160864.97516678</v>
      </c>
      <c r="H426" s="3">
        <f t="shared" si="434"/>
        <v>10000000</v>
      </c>
      <c r="I426" s="109">
        <f>Comparison!AL25</f>
        <v>10000000</v>
      </c>
      <c r="J426" s="3">
        <f>Comparison!AM25</f>
        <v>4855.3493085479013</v>
      </c>
      <c r="K426" s="3">
        <f>Comparison!AN25</f>
        <v>4346.263159926043</v>
      </c>
      <c r="L426" s="3">
        <f>Comparison!AO25</f>
        <v>3814.2268394370481</v>
      </c>
      <c r="M426" s="3">
        <f>Comparison!AP25</f>
        <v>2841.314577864513</v>
      </c>
      <c r="N426" s="3">
        <f>Comparison!AQ25</f>
        <v>321.80010935687142</v>
      </c>
      <c r="O426" s="3">
        <f>Comparison!AR25</f>
        <v>124.70815441395035</v>
      </c>
      <c r="P426" s="3">
        <f>Comparison!AS25</f>
        <v>124.60066288549459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8.022774391109368E-15</v>
      </c>
      <c r="C427" s="3">
        <f t="shared" si="434"/>
        <v>2.2687884721208244E-13</v>
      </c>
      <c r="D427" s="3">
        <f t="shared" si="434"/>
        <v>1.7804825839442182E-11</v>
      </c>
      <c r="E427" s="3">
        <f t="shared" si="434"/>
        <v>1.1127855358565678E-8</v>
      </c>
      <c r="F427" s="3">
        <f t="shared" si="434"/>
        <v>2.6489618417105953E-3</v>
      </c>
      <c r="G427" s="3">
        <f t="shared" si="434"/>
        <v>1608649.7516678001</v>
      </c>
      <c r="H427" s="3">
        <f t="shared" si="434"/>
        <v>100000000</v>
      </c>
      <c r="I427" s="109">
        <f>Comparison!AL26</f>
        <v>100000000</v>
      </c>
      <c r="J427" s="3">
        <f>Comparison!AM26</f>
        <v>4530.5898566513597</v>
      </c>
      <c r="K427" s="3">
        <f>Comparison!AN26</f>
        <v>4052.7215067045913</v>
      </c>
      <c r="L427" s="3">
        <f>Comparison!AO26</f>
        <v>3517.7803393025779</v>
      </c>
      <c r="M427" s="3">
        <f>Comparison!AP26</f>
        <v>2350.4004054830193</v>
      </c>
      <c r="N427" s="3">
        <f>Comparison!AQ26</f>
        <v>187.89777287454069</v>
      </c>
      <c r="O427" s="3">
        <f>Comparison!AR26</f>
        <v>124.51586541667818</v>
      </c>
      <c r="P427" s="3">
        <f>Comparison!AS26</f>
        <v>124.40326066206676</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8.0227743911093689E-14</v>
      </c>
      <c r="C428" s="3">
        <f t="shared" si="434"/>
        <v>2.2687884721208242E-12</v>
      </c>
      <c r="D428" s="3">
        <f t="shared" si="434"/>
        <v>1.780482583944218E-10</v>
      </c>
      <c r="E428" s="3">
        <f t="shared" si="434"/>
        <v>1.1127855358565678E-7</v>
      </c>
      <c r="F428" s="3">
        <f t="shared" si="434"/>
        <v>2.6489618417105957E-2</v>
      </c>
      <c r="G428" s="3">
        <f t="shared" si="434"/>
        <v>16086497.516678002</v>
      </c>
      <c r="H428" s="3">
        <f t="shared" si="434"/>
        <v>1000000000</v>
      </c>
      <c r="I428" s="109">
        <f>Comparison!AL27</f>
        <v>1000000000</v>
      </c>
      <c r="J428" s="3">
        <f>Comparison!AM27</f>
        <v>4215.1902304511941</v>
      </c>
      <c r="K428" s="3">
        <f>Comparison!AN27</f>
        <v>3771.4995408899726</v>
      </c>
      <c r="L428" s="3">
        <f>Comparison!AO27</f>
        <v>3195.2414492417452</v>
      </c>
      <c r="M428" s="3">
        <f>Comparison!AP27</f>
        <v>1794.2797745605371</v>
      </c>
      <c r="N428" s="3">
        <f>Comparison!AQ27</f>
        <v>146.32445551645827</v>
      </c>
      <c r="O428" s="3">
        <f>Comparison!AR27</f>
        <v>124.45612407089325</v>
      </c>
      <c r="P428" s="3">
        <f>Comparison!AS27</f>
        <v>124.39897169961779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8.0227743911093689E-13</v>
      </c>
      <c r="C429" s="3">
        <f t="shared" si="434"/>
        <v>2.2687884721208244E-11</v>
      </c>
      <c r="D429" s="3">
        <f t="shared" si="434"/>
        <v>1.780482583944218E-9</v>
      </c>
      <c r="E429" s="3">
        <f t="shared" si="434"/>
        <v>1.1127855358565677E-6</v>
      </c>
      <c r="F429" s="3">
        <f t="shared" si="434"/>
        <v>0.26489618417105953</v>
      </c>
      <c r="G429" s="3">
        <f t="shared" si="434"/>
        <v>160864975.16677999</v>
      </c>
      <c r="H429" s="3">
        <f t="shared" si="434"/>
        <v>10000000000</v>
      </c>
      <c r="I429" s="109">
        <f>Comparison!AL28</f>
        <v>10000000000</v>
      </c>
      <c r="J429" s="3">
        <f>Comparison!AM28</f>
        <v>3929.081471457625</v>
      </c>
      <c r="K429" s="3">
        <f>Comparison!AN28</f>
        <v>3487.2930712528305</v>
      </c>
      <c r="L429" s="3">
        <f>Comparison!AO28</f>
        <v>2791.4157044377589</v>
      </c>
      <c r="M429" s="3">
        <f>Comparison!AP28</f>
        <v>1192.7526197056241</v>
      </c>
      <c r="N429" s="3">
        <f>Comparison!AQ28</f>
        <v>132.67557886184474</v>
      </c>
      <c r="O429" s="3">
        <f>Comparison!AR28</f>
        <v>124.36413594438419</v>
      </c>
      <c r="P429" s="3">
        <f>Comparison!AS28</f>
        <v>124.30647199515475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8.0227743911093681E-12</v>
      </c>
      <c r="C430" s="3">
        <f t="shared" si="434"/>
        <v>2.2687884721208242E-10</v>
      </c>
      <c r="D430" s="3">
        <f t="shared" si="434"/>
        <v>1.7804825839442179E-8</v>
      </c>
      <c r="E430" s="3">
        <f t="shared" si="434"/>
        <v>1.1127855358565678E-5</v>
      </c>
      <c r="F430" s="3">
        <f t="shared" si="434"/>
        <v>2.6489618417105953</v>
      </c>
      <c r="G430" s="3">
        <f t="shared" si="434"/>
        <v>1608649751.6678002</v>
      </c>
      <c r="H430" s="3">
        <f t="shared" si="434"/>
        <v>100000000000</v>
      </c>
      <c r="I430" s="109">
        <f>Comparison!AL29</f>
        <v>100000000000</v>
      </c>
      <c r="J430" s="3">
        <f>Comparison!AM29</f>
        <v>3641.242030569621</v>
      </c>
      <c r="K430" s="3">
        <f>Comparison!AN29</f>
        <v>3171.2944430186703</v>
      </c>
      <c r="L430" s="3">
        <f>Comparison!AO29</f>
        <v>2312.1801528163464</v>
      </c>
      <c r="M430" s="3">
        <f>Comparison!AP29</f>
        <v>712.56207316539314</v>
      </c>
      <c r="N430" s="3">
        <f>Comparison!AQ29</f>
        <v>124.09266721325585</v>
      </c>
      <c r="O430" s="3">
        <f>Comparison!AR29</f>
        <v>124.24957869452857</v>
      </c>
      <c r="P430" s="3">
        <f>Comparison!AS29</f>
        <v>124.18164826003697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8.0227743911093691E-11</v>
      </c>
      <c r="C431" s="3">
        <f t="shared" si="434"/>
        <v>2.2687884721208245E-9</v>
      </c>
      <c r="D431" s="3">
        <f t="shared" si="434"/>
        <v>1.7804825839442181E-7</v>
      </c>
      <c r="E431" s="3">
        <f t="shared" si="434"/>
        <v>1.1127855358565678E-4</v>
      </c>
      <c r="F431" s="3">
        <f t="shared" si="434"/>
        <v>26.489618417105955</v>
      </c>
      <c r="G431" s="3">
        <f t="shared" si="434"/>
        <v>16086497516.678001</v>
      </c>
      <c r="H431" s="3">
        <f t="shared" si="434"/>
        <v>1000000000000</v>
      </c>
      <c r="I431" s="109">
        <f>Comparison!AL30</f>
        <v>1000000000000</v>
      </c>
      <c r="J431" s="3">
        <f>Comparison!AM30</f>
        <v>3352.5216988135498</v>
      </c>
      <c r="K431" s="3">
        <f>Comparison!AN30</f>
        <v>2771.7245513357993</v>
      </c>
      <c r="L431" s="3">
        <f>Comparison!AO30</f>
        <v>1761.4184833894965</v>
      </c>
      <c r="M431" s="3">
        <f>Comparison!AP30</f>
        <v>405.79350694215293</v>
      </c>
      <c r="N431" s="3">
        <f>Comparison!AQ30</f>
        <v>123.97220489326934</v>
      </c>
      <c r="O431" s="3">
        <f>Comparison!AR30</f>
        <v>124.12464463468883</v>
      </c>
      <c r="P431" s="3">
        <f>Comparison!AS30</f>
        <v>124.05329261398603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8.0227743911093688E-10</v>
      </c>
      <c r="C432" s="3">
        <f t="shared" si="434"/>
        <v>2.2687884721208245E-8</v>
      </c>
      <c r="D432" s="3">
        <f t="shared" si="434"/>
        <v>1.7804825839442181E-6</v>
      </c>
      <c r="E432" s="3">
        <f t="shared" si="434"/>
        <v>1.1127855358565677E-3</v>
      </c>
      <c r="F432" s="3">
        <f t="shared" si="434"/>
        <v>264.89618417105953</v>
      </c>
      <c r="G432" s="3">
        <f t="shared" si="434"/>
        <v>160864975166.78</v>
      </c>
      <c r="H432" s="3">
        <f t="shared" si="434"/>
        <v>10000000000000</v>
      </c>
      <c r="I432" s="109">
        <f>Comparison!AL31</f>
        <v>10000000000000</v>
      </c>
      <c r="J432" s="3">
        <f>Comparison!AM31</f>
        <v>2996.6335305209523</v>
      </c>
      <c r="K432" s="3">
        <f>Comparison!AN31</f>
        <v>2294.6891766146468</v>
      </c>
      <c r="L432" s="3">
        <f>Comparison!AO31</f>
        <v>1165.0893454090649</v>
      </c>
      <c r="M432" s="3">
        <f>Comparison!AP31</f>
        <v>227.75650575396227</v>
      </c>
      <c r="N432" s="3">
        <f>Comparison!AQ31</f>
        <v>123.97018586453261</v>
      </c>
      <c r="O432" s="3">
        <f>Comparison!AR31</f>
        <v>124.11696893794122</v>
      </c>
      <c r="P432" s="3">
        <f>Comparison!AS31</f>
        <v>124.04585962671396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8.0227743911093695E-9</v>
      </c>
      <c r="C433" s="3">
        <f t="shared" si="434"/>
        <v>2.2687884721208244E-7</v>
      </c>
      <c r="D433" s="3">
        <f t="shared" si="434"/>
        <v>1.7804825839442181E-5</v>
      </c>
      <c r="E433" s="3">
        <f t="shared" si="434"/>
        <v>1.1127855358565678E-2</v>
      </c>
      <c r="F433" s="3">
        <f t="shared" si="434"/>
        <v>2648.9618417105958</v>
      </c>
      <c r="G433" s="3">
        <f t="shared" si="434"/>
        <v>1608649751667.8</v>
      </c>
      <c r="H433" s="3">
        <f t="shared" si="434"/>
        <v>100000000000000</v>
      </c>
      <c r="I433" s="109">
        <f>Comparison!AL32</f>
        <v>100000000000000</v>
      </c>
      <c r="J433" s="3">
        <f>Comparison!AM32</f>
        <v>2563.0064610610193</v>
      </c>
      <c r="K433" s="3">
        <f>Comparison!AN32</f>
        <v>1744.1842965326991</v>
      </c>
      <c r="L433" s="3">
        <f>Comparison!AO32</f>
        <v>692.87414966525068</v>
      </c>
      <c r="M433" s="3">
        <f>Comparison!AP32</f>
        <v>157.27484077697326</v>
      </c>
      <c r="N433" s="3">
        <f>Comparison!AQ32</f>
        <v>123.96849358445334</v>
      </c>
      <c r="O433" s="3">
        <f>Comparison!AR32</f>
        <v>124.11273578228328</v>
      </c>
      <c r="P433" s="3">
        <f>Comparison!AS32</f>
        <v>124.04225732695286</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8.0227743911093681E-8</v>
      </c>
      <c r="C434" s="3">
        <f t="shared" si="434"/>
        <v>2.2687884721208245E-6</v>
      </c>
      <c r="D434" s="3">
        <f t="shared" si="434"/>
        <v>1.7804825839442181E-4</v>
      </c>
      <c r="E434" s="3">
        <f t="shared" si="434"/>
        <v>0.11127855358565678</v>
      </c>
      <c r="F434" s="3">
        <f t="shared" si="434"/>
        <v>26489.618417105954</v>
      </c>
      <c r="G434" s="3">
        <f t="shared" si="434"/>
        <v>16086497516678</v>
      </c>
      <c r="H434" s="3">
        <f t="shared" si="434"/>
        <v>1000000000000000</v>
      </c>
      <c r="I434" s="109">
        <f>Comparison!AL33</f>
        <v>1000000000000000</v>
      </c>
      <c r="J434" s="3">
        <f>Comparison!AM33</f>
        <v>2059.5134179476377</v>
      </c>
      <c r="K434" s="3">
        <f>Comparison!AN33</f>
        <v>1149.8282974544306</v>
      </c>
      <c r="L434" s="3">
        <f>Comparison!AO33</f>
        <v>393.89092728068977</v>
      </c>
      <c r="M434" s="3">
        <f>Comparison!AP33</f>
        <v>137.32830205333357</v>
      </c>
      <c r="N434" s="3">
        <f>Comparison!AQ33</f>
        <v>123.96695327212331</v>
      </c>
      <c r="O434" s="3">
        <f>Comparison!AR33</f>
        <v>124.10930475258213</v>
      </c>
      <c r="P434" s="3">
        <f>Comparison!AS33</f>
        <v>124.03970146521578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-50.877172842752479</v>
      </c>
      <c r="M1" s="54">
        <v>1</v>
      </c>
      <c r="N1" s="56">
        <f>INDEX($H$217:$P$217,1,Q1)</f>
        <v>7.3664171987943866E-2</v>
      </c>
      <c r="O1" s="11"/>
      <c r="P1" s="55">
        <v>1</v>
      </c>
      <c r="Q1" s="11">
        <v>2</v>
      </c>
    </row>
    <row r="2" spans="1:17" x14ac:dyDescent="0.25">
      <c r="A2" s="11">
        <f>'Mastercurve bestimmen'!M119</f>
        <v>0</v>
      </c>
      <c r="B2" s="11">
        <f>'Mastercurve bestimmen'!N119</f>
        <v>-47.535040976579083</v>
      </c>
      <c r="M2" s="54">
        <v>2</v>
      </c>
      <c r="N2" s="56">
        <f t="shared" ref="N2:N9" si="0">INDEX($H$217:$P$217,1,Q2)</f>
        <v>4.7076121572752778E-3</v>
      </c>
      <c r="O2" s="11"/>
      <c r="P2" s="55">
        <v>2</v>
      </c>
      <c r="Q2" s="11">
        <f>Q1+1</f>
        <v>3</v>
      </c>
    </row>
    <row r="3" spans="1:17" x14ac:dyDescent="0.25">
      <c r="A3" s="11">
        <f>'Mastercurve bestimmen'!M120</f>
        <v>25</v>
      </c>
      <c r="B3" s="11">
        <f>'Mastercurve bestimmen'!N120</f>
        <v>-43.172232324752386</v>
      </c>
      <c r="M3" s="54">
        <v>3</v>
      </c>
      <c r="N3" s="56">
        <f t="shared" si="0"/>
        <v>2.5480066512980785E-4</v>
      </c>
      <c r="O3" s="11"/>
      <c r="P3" s="55">
        <v>3</v>
      </c>
      <c r="Q3" s="11">
        <f t="shared" ref="Q3:Q8" si="1">Q2+1</f>
        <v>4</v>
      </c>
    </row>
    <row r="4" spans="1:17" x14ac:dyDescent="0.25">
      <c r="A4" s="11">
        <f>'Mastercurve bestimmen'!M121</f>
        <v>50</v>
      </c>
      <c r="B4" s="11">
        <f>'Mastercurve bestimmen'!N121</f>
        <v>-36.734495124334281</v>
      </c>
      <c r="M4" s="54">
        <v>4</v>
      </c>
      <c r="N4" s="56">
        <f t="shared" si="0"/>
        <v>2.5782189490502593E-6</v>
      </c>
      <c r="O4" s="11"/>
      <c r="P4" s="55">
        <v>4</v>
      </c>
      <c r="Q4" s="11">
        <f t="shared" si="1"/>
        <v>5</v>
      </c>
    </row>
    <row r="5" spans="1:17" x14ac:dyDescent="0.25">
      <c r="A5" s="11">
        <f>'Mastercurve bestimmen'!M122</f>
        <v>80</v>
      </c>
      <c r="B5" s="11">
        <f>'Mastercurve bestimmen'!N122</f>
        <v>-24.354268217538582</v>
      </c>
      <c r="M5" s="54">
        <v>5</v>
      </c>
      <c r="N5" s="56">
        <f t="shared" si="0"/>
        <v>3.1582726461424028E-9</v>
      </c>
      <c r="O5" s="11"/>
      <c r="P5" s="55">
        <v>5</v>
      </c>
      <c r="Q5" s="11">
        <f t="shared" si="1"/>
        <v>6</v>
      </c>
    </row>
    <row r="6" spans="1:17" x14ac:dyDescent="0.25">
      <c r="A6" s="11">
        <f>'Mastercurve bestimmen'!M123</f>
        <v>125</v>
      </c>
      <c r="B6" s="11">
        <f>'Mastercurve bestimmen'!N123</f>
        <v>-4.1297750224271264</v>
      </c>
      <c r="M6" s="54">
        <v>6</v>
      </c>
      <c r="N6" s="56">
        <f t="shared" si="0"/>
        <v>-8.3737505399686344E-11</v>
      </c>
      <c r="O6" s="11"/>
      <c r="P6" s="55">
        <v>6</v>
      </c>
      <c r="Q6" s="11">
        <f t="shared" si="1"/>
        <v>7</v>
      </c>
    </row>
    <row r="7" spans="1:17" x14ac:dyDescent="0.25">
      <c r="A7" s="11">
        <f>'Mastercurve bestimmen'!M124</f>
        <v>160</v>
      </c>
      <c r="B7" s="11">
        <f>'Mastercurve bestimmen'!N124</f>
        <v>0</v>
      </c>
      <c r="M7" s="54">
        <v>7</v>
      </c>
      <c r="N7" s="56">
        <f t="shared" si="0"/>
        <v>-4.7106429722878629E-13</v>
      </c>
      <c r="O7" s="11"/>
      <c r="P7" s="55">
        <v>7</v>
      </c>
      <c r="Q7" s="11">
        <f t="shared" si="1"/>
        <v>8</v>
      </c>
    </row>
    <row r="8" spans="1:17" x14ac:dyDescent="0.25">
      <c r="A8" s="11"/>
      <c r="B8" s="11"/>
      <c r="M8" s="54">
        <v>8</v>
      </c>
      <c r="N8" s="56">
        <f t="shared" si="0"/>
        <v>-7.6995195987797403E-16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-50.877172842752486</v>
      </c>
      <c r="E15" s="11">
        <f>A15-'Mastercurve bestimmen'!$B$2</f>
        <v>-200</v>
      </c>
      <c r="F15" s="11">
        <f>B15</f>
        <v>-50.877172842752486</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-50.819457740658962</v>
      </c>
      <c r="E16" s="11">
        <f>A16-'Mastercurve bestimmen'!$B$2</f>
        <v>-199</v>
      </c>
      <c r="F16" s="11">
        <f t="shared" ref="F16:F79" si="4">B16</f>
        <v>-50.819457740658962</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-50.76164568473969</v>
      </c>
      <c r="E17" s="11">
        <f>A17-'Mastercurve bestimmen'!$B$2</f>
        <v>-198</v>
      </c>
      <c r="F17" s="11">
        <f t="shared" si="4"/>
        <v>-50.76164568473969</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-50.70363972116894</v>
      </c>
      <c r="E18" s="11">
        <f>A18-'Mastercurve bestimmen'!$B$2</f>
        <v>-197</v>
      </c>
      <c r="F18" s="11">
        <f t="shared" si="4"/>
        <v>-50.70363972116894</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-50.645342896120965</v>
      </c>
      <c r="E19" s="11">
        <f>A19-'Mastercurve bestimmen'!$B$2</f>
        <v>-196</v>
      </c>
      <c r="F19" s="11">
        <f t="shared" si="4"/>
        <v>-50.645342896120965</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-50.586658255770004</v>
      </c>
      <c r="E20" s="11">
        <f>A20-'Mastercurve bestimmen'!$B$2</f>
        <v>-195</v>
      </c>
      <c r="F20" s="11">
        <f t="shared" si="4"/>
        <v>-50.586658255770004</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-50.527488846290311</v>
      </c>
      <c r="E21" s="11">
        <f>A21-'Mastercurve bestimmen'!$B$2</f>
        <v>-194</v>
      </c>
      <c r="F21" s="11">
        <f t="shared" si="4"/>
        <v>-50.527488846290311</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-50.467737713856167</v>
      </c>
      <c r="E22" s="11">
        <f>A22-'Mastercurve bestimmen'!$B$2</f>
        <v>-193</v>
      </c>
      <c r="F22" s="11">
        <f t="shared" si="4"/>
        <v>-50.467737713856167</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-50.407307904641812</v>
      </c>
      <c r="E23" s="11">
        <f>A23-'Mastercurve bestimmen'!$B$2</f>
        <v>-192</v>
      </c>
      <c r="F23" s="11">
        <f t="shared" si="4"/>
        <v>-50.407307904641812</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-50.346102464821499</v>
      </c>
      <c r="E24" s="11">
        <f>A24-'Mastercurve bestimmen'!$B$2</f>
        <v>-191</v>
      </c>
      <c r="F24" s="11">
        <f t="shared" si="4"/>
        <v>-50.346102464821499</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-50.284024440569496</v>
      </c>
      <c r="E25" s="11">
        <f>A25-'Mastercurve bestimmen'!$B$2</f>
        <v>-190</v>
      </c>
      <c r="F25" s="11">
        <f t="shared" si="4"/>
        <v>-50.284024440569496</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-50.220976878060043</v>
      </c>
      <c r="E26" s="11">
        <f>A26-'Mastercurve bestimmen'!$B$2</f>
        <v>-189</v>
      </c>
      <c r="F26" s="11">
        <f t="shared" si="4"/>
        <v>-50.220976878060043</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-50.156862823467407</v>
      </c>
      <c r="E27" s="11">
        <f>A27-'Mastercurve bestimmen'!$B$2</f>
        <v>-188</v>
      </c>
      <c r="F27" s="11">
        <f t="shared" si="4"/>
        <v>-50.156862823467407</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-50.091585322965841</v>
      </c>
      <c r="E28" s="11">
        <f>A28-'Mastercurve bestimmen'!$B$2</f>
        <v>-187</v>
      </c>
      <c r="F28" s="11">
        <f t="shared" si="4"/>
        <v>-50.091585322965841</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-50.025047422729607</v>
      </c>
      <c r="E29" s="11">
        <f>A29-'Mastercurve bestimmen'!$B$2</f>
        <v>-186</v>
      </c>
      <c r="F29" s="11">
        <f t="shared" si="4"/>
        <v>-50.025047422729607</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-49.95715216893295</v>
      </c>
      <c r="E30" s="11">
        <f>A30-'Mastercurve bestimmen'!$B$2</f>
        <v>-185</v>
      </c>
      <c r="F30" s="11">
        <f t="shared" si="4"/>
        <v>-49.95715216893295</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-49.887802607750132</v>
      </c>
      <c r="E31" s="11">
        <f>A31-'Mastercurve bestimmen'!$B$2</f>
        <v>-184</v>
      </c>
      <c r="F31" s="11">
        <f t="shared" si="4"/>
        <v>-49.887802607750132</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-49.816901785355412</v>
      </c>
      <c r="E32" s="11">
        <f>A32-'Mastercurve bestimmen'!$B$2</f>
        <v>-183</v>
      </c>
      <c r="F32" s="11">
        <f t="shared" si="4"/>
        <v>-49.816901785355412</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-49.744352747923031</v>
      </c>
      <c r="E33" s="11">
        <f>A33-'Mastercurve bestimmen'!$B$2</f>
        <v>-182</v>
      </c>
      <c r="F33" s="11">
        <f t="shared" si="4"/>
        <v>-49.744352747923031</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-49.67005854162727</v>
      </c>
      <c r="E34" s="11">
        <f>A34-'Mastercurve bestimmen'!$B$2</f>
        <v>-181</v>
      </c>
      <c r="F34" s="11">
        <f t="shared" si="4"/>
        <v>-49.67005854162727</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-49.593922212642362</v>
      </c>
      <c r="E35" s="11">
        <f>A35-'Mastercurve bestimmen'!$B$2</f>
        <v>-180</v>
      </c>
      <c r="F35" s="11">
        <f t="shared" si="4"/>
        <v>-49.593922212642362</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-49.515846807142566</v>
      </c>
      <c r="E36" s="11">
        <f>A36-'Mastercurve bestimmen'!$B$2</f>
        <v>-179</v>
      </c>
      <c r="F36" s="11">
        <f t="shared" si="4"/>
        <v>-49.515846807142566</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-49.435735371302151</v>
      </c>
      <c r="E37" s="11">
        <f>A37-'Mastercurve bestimmen'!$B$2</f>
        <v>-178</v>
      </c>
      <c r="F37" s="11">
        <f t="shared" si="4"/>
        <v>-49.435735371302151</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-49.353490951295356</v>
      </c>
      <c r="E38" s="11">
        <f>A38-'Mastercurve bestimmen'!$B$2</f>
        <v>-177</v>
      </c>
      <c r="F38" s="11">
        <f t="shared" si="4"/>
        <v>-49.353490951295356</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-49.269016593296456</v>
      </c>
      <c r="E39" s="11">
        <f>A39-'Mastercurve bestimmen'!$B$2</f>
        <v>-176</v>
      </c>
      <c r="F39" s="11">
        <f t="shared" si="4"/>
        <v>-49.269016593296456</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-49.182215343479697</v>
      </c>
      <c r="E40" s="11">
        <f>A40-'Mastercurve bestimmen'!$B$2</f>
        <v>-175</v>
      </c>
      <c r="F40" s="11">
        <f t="shared" si="4"/>
        <v>-49.182215343479697</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-49.092990248019319</v>
      </c>
      <c r="E41" s="11">
        <f>A41-'Mastercurve bestimmen'!$B$2</f>
        <v>-174</v>
      </c>
      <c r="F41" s="11">
        <f t="shared" si="4"/>
        <v>-49.092990248019319</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-49.001244353089604</v>
      </c>
      <c r="E42" s="11">
        <f>A42-'Mastercurve bestimmen'!$B$2</f>
        <v>-173</v>
      </c>
      <c r="F42" s="11">
        <f t="shared" si="4"/>
        <v>-49.001244353089604</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-48.906880704864804</v>
      </c>
      <c r="E43" s="11">
        <f>A43-'Mastercurve bestimmen'!$B$2</f>
        <v>-172</v>
      </c>
      <c r="F43" s="11">
        <f t="shared" si="4"/>
        <v>-48.906880704864804</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-48.80980234951916</v>
      </c>
      <c r="E44" s="11">
        <f>A44-'Mastercurve bestimmen'!$B$2</f>
        <v>-171</v>
      </c>
      <c r="F44" s="11">
        <f t="shared" si="4"/>
        <v>-48.80980234951916</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-48.709912333226939</v>
      </c>
      <c r="E45" s="11">
        <f>A45-'Mastercurve bestimmen'!$B$2</f>
        <v>-170</v>
      </c>
      <c r="F45" s="11">
        <f t="shared" si="4"/>
        <v>-48.709912333226939</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-48.607113702162387</v>
      </c>
      <c r="E46" s="11">
        <f>A46-'Mastercurve bestimmen'!$B$2</f>
        <v>-169</v>
      </c>
      <c r="F46" s="11">
        <f t="shared" si="4"/>
        <v>-48.607113702162387</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-48.501309502499772</v>
      </c>
      <c r="E47" s="11">
        <f>A47-'Mastercurve bestimmen'!$B$2</f>
        <v>-168</v>
      </c>
      <c r="F47" s="11">
        <f t="shared" si="4"/>
        <v>-48.501309502499772</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-48.392402780413342</v>
      </c>
      <c r="E48" s="11">
        <f>A48-'Mastercurve bestimmen'!$B$2</f>
        <v>-167</v>
      </c>
      <c r="F48" s="11">
        <f t="shared" si="4"/>
        <v>-48.392402780413342</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-48.280296582077355</v>
      </c>
      <c r="E49" s="11">
        <f>A49-'Mastercurve bestimmen'!$B$2</f>
        <v>-166</v>
      </c>
      <c r="F49" s="11">
        <f t="shared" si="4"/>
        <v>-48.280296582077355</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-48.164893953666066</v>
      </c>
      <c r="E50" s="11">
        <f>A50-'Mastercurve bestimmen'!$B$2</f>
        <v>-165</v>
      </c>
      <c r="F50" s="11">
        <f t="shared" si="4"/>
        <v>-48.164893953666066</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-48.046097941353736</v>
      </c>
      <c r="E51" s="11">
        <f>A51-'Mastercurve bestimmen'!$B$2</f>
        <v>-164</v>
      </c>
      <c r="F51" s="11">
        <f t="shared" si="4"/>
        <v>-48.046097941353736</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-47.923811591314617</v>
      </c>
      <c r="E52" s="11">
        <f>A52-'Mastercurve bestimmen'!$B$2</f>
        <v>-163</v>
      </c>
      <c r="F52" s="11">
        <f t="shared" si="4"/>
        <v>-47.923811591314617</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-47.797937949722957</v>
      </c>
      <c r="E53" s="11">
        <f>A53-'Mastercurve bestimmen'!$B$2</f>
        <v>-162</v>
      </c>
      <c r="F53" s="11">
        <f t="shared" si="4"/>
        <v>-47.797937949722957</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-47.66838006275303</v>
      </c>
      <c r="E54" s="11">
        <f>A54-'Mastercurve bestimmen'!$B$2</f>
        <v>-161</v>
      </c>
      <c r="F54" s="11">
        <f t="shared" si="4"/>
        <v>-47.66838006275303</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-47.535040976579076</v>
      </c>
      <c r="E55" s="11">
        <f>A55-'Mastercurve bestimmen'!$B$2</f>
        <v>-160</v>
      </c>
      <c r="F55" s="11">
        <f t="shared" si="4"/>
        <v>-47.535040976579076</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-47.400550080109269</v>
      </c>
      <c r="E56" s="11">
        <f>A56-'Mastercurve bestimmen'!$B$2</f>
        <v>-159</v>
      </c>
      <c r="F56" s="11">
        <f t="shared" si="4"/>
        <v>-47.400550080109269</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-47.262243688174621</v>
      </c>
      <c r="E57" s="11">
        <f>A57-'Mastercurve bestimmen'!$B$2</f>
        <v>-158</v>
      </c>
      <c r="F57" s="11">
        <f t="shared" si="4"/>
        <v>-47.262243688174621</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-47.120184458340098</v>
      </c>
      <c r="E58" s="11">
        <f>A58-'Mastercurve bestimmen'!$B$2</f>
        <v>-157</v>
      </c>
      <c r="F58" s="11">
        <f t="shared" si="4"/>
        <v>-47.120184458340098</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-46.974435048170633</v>
      </c>
      <c r="E59" s="11">
        <f>A59-'Mastercurve bestimmen'!$B$2</f>
        <v>-156</v>
      </c>
      <c r="F59" s="11">
        <f t="shared" si="4"/>
        <v>-46.974435048170633</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-46.825058115231158</v>
      </c>
      <c r="E60" s="11">
        <f>A60-'Mastercurve bestimmen'!$B$2</f>
        <v>-155</v>
      </c>
      <c r="F60" s="11">
        <f t="shared" si="4"/>
        <v>-46.825058115231158</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-46.672116317086648</v>
      </c>
      <c r="E61" s="11">
        <f>A61-'Mastercurve bestimmen'!$B$2</f>
        <v>-154</v>
      </c>
      <c r="F61" s="11">
        <f t="shared" si="4"/>
        <v>-46.672116317086648</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-46.515672311302005</v>
      </c>
      <c r="E62" s="11">
        <f>A62-'Mastercurve bestimmen'!$B$2</f>
        <v>-153</v>
      </c>
      <c r="F62" s="11">
        <f t="shared" si="4"/>
        <v>-46.515672311302005</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-46.355788755442198</v>
      </c>
      <c r="E63" s="11">
        <f>A63-'Mastercurve bestimmen'!$B$2</f>
        <v>-152</v>
      </c>
      <c r="F63" s="11">
        <f t="shared" si="4"/>
        <v>-46.355788755442198</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-46.192528307072152</v>
      </c>
      <c r="E64" s="11">
        <f>A64-'Mastercurve bestimmen'!$B$2</f>
        <v>-151</v>
      </c>
      <c r="F64" s="11">
        <f t="shared" si="4"/>
        <v>-46.192528307072152</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-46.02595362375682</v>
      </c>
      <c r="E65" s="11">
        <f>A65-'Mastercurve bestimmen'!$B$2</f>
        <v>-150</v>
      </c>
      <c r="F65" s="11">
        <f t="shared" si="4"/>
        <v>-46.02595362375682</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-45.856127363061134</v>
      </c>
      <c r="E66" s="11">
        <f>A66-'Mastercurve bestimmen'!$B$2</f>
        <v>-149</v>
      </c>
      <c r="F66" s="11">
        <f t="shared" si="4"/>
        <v>-45.856127363061134</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-45.683112182550047</v>
      </c>
      <c r="E67" s="11">
        <f>A67-'Mastercurve bestimmen'!$B$2</f>
        <v>-148</v>
      </c>
      <c r="F67" s="11">
        <f t="shared" si="4"/>
        <v>-45.683112182550047</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-45.5069707397885</v>
      </c>
      <c r="E68" s="11">
        <f>A68-'Mastercurve bestimmen'!$B$2</f>
        <v>-147</v>
      </c>
      <c r="F68" s="11">
        <f t="shared" si="4"/>
        <v>-45.5069707397885</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-45.327765692341416</v>
      </c>
      <c r="E69" s="11">
        <f>A69-'Mastercurve bestimmen'!$B$2</f>
        <v>-146</v>
      </c>
      <c r="F69" s="11">
        <f t="shared" si="4"/>
        <v>-45.327765692341416</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-45.145559697773763</v>
      </c>
      <c r="E70" s="11">
        <f>A70-'Mastercurve bestimmen'!$B$2</f>
        <v>-145</v>
      </c>
      <c r="F70" s="11">
        <f t="shared" si="4"/>
        <v>-45.145559697773763</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-44.960415413650466</v>
      </c>
      <c r="E71" s="11">
        <f>A71-'Mastercurve bestimmen'!$B$2</f>
        <v>-144</v>
      </c>
      <c r="F71" s="11">
        <f t="shared" si="4"/>
        <v>-44.960415413650466</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-44.772395497536465</v>
      </c>
      <c r="E72" s="11">
        <f>A72-'Mastercurve bestimmen'!$B$2</f>
        <v>-143</v>
      </c>
      <c r="F72" s="11">
        <f t="shared" si="4"/>
        <v>-44.772395497536465</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-44.581562606996719</v>
      </c>
      <c r="E73" s="11">
        <f>A73-'Mastercurve bestimmen'!$B$2</f>
        <v>-142</v>
      </c>
      <c r="F73" s="11">
        <f t="shared" si="4"/>
        <v>-44.581562606996719</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-44.387979399596155</v>
      </c>
      <c r="E74" s="11">
        <f>A74-'Mastercurve bestimmen'!$B$2</f>
        <v>-141</v>
      </c>
      <c r="F74" s="11">
        <f t="shared" si="4"/>
        <v>-44.387979399596155</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-44.19170853289971</v>
      </c>
      <c r="E75" s="11">
        <f>A75-'Mastercurve bestimmen'!$B$2</f>
        <v>-140</v>
      </c>
      <c r="F75" s="11">
        <f t="shared" si="4"/>
        <v>-44.19170853289971</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-43.992812664472339</v>
      </c>
      <c r="E76" s="11">
        <f>A76-'Mastercurve bestimmen'!$B$2</f>
        <v>-139</v>
      </c>
      <c r="F76" s="11">
        <f t="shared" si="4"/>
        <v>-43.992812664472339</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-43.791354451878981</v>
      </c>
      <c r="E77" s="11">
        <f>A77-'Mastercurve bestimmen'!$B$2</f>
        <v>-138</v>
      </c>
      <c r="F77" s="11">
        <f t="shared" si="4"/>
        <v>-43.791354451878981</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-43.587396552684581</v>
      </c>
      <c r="E78" s="11">
        <f>A78-'Mastercurve bestimmen'!$B$2</f>
        <v>-137</v>
      </c>
      <c r="F78" s="11">
        <f t="shared" si="4"/>
        <v>-43.587396552684581</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-43.381001624454058</v>
      </c>
      <c r="E79" s="11">
        <f>A79-'Mastercurve bestimmen'!$B$2</f>
        <v>-136</v>
      </c>
      <c r="F79" s="11">
        <f t="shared" si="4"/>
        <v>-43.381001624454058</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-43.172232324752386</v>
      </c>
      <c r="E80" s="11">
        <f>A80-'Mastercurve bestimmen'!$B$2</f>
        <v>-135</v>
      </c>
      <c r="F80" s="11">
        <f t="shared" ref="F80:F143" si="10">B80</f>
        <v>-43.172232324752386</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-42.961110984273624</v>
      </c>
      <c r="E81" s="11">
        <f>A81-'Mastercurve bestimmen'!$B$2</f>
        <v>-134</v>
      </c>
      <c r="F81" s="11">
        <f t="shared" si="10"/>
        <v>-42.961110984273624</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-42.747498626228428</v>
      </c>
      <c r="E82" s="11">
        <f>A82-'Mastercurve bestimmen'!$B$2</f>
        <v>-133</v>
      </c>
      <c r="F82" s="11">
        <f t="shared" si="10"/>
        <v>-42.747498626228428</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-42.531215946956543</v>
      </c>
      <c r="E83" s="11">
        <f>A83-'Mastercurve bestimmen'!$B$2</f>
        <v>-132</v>
      </c>
      <c r="F83" s="11">
        <f t="shared" si="10"/>
        <v>-42.531215946956543</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-42.312083642797774</v>
      </c>
      <c r="E84" s="11">
        <f>A84-'Mastercurve bestimmen'!$B$2</f>
        <v>-131</v>
      </c>
      <c r="F84" s="11">
        <f t="shared" si="10"/>
        <v>-42.312083642797774</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-42.08992241009188</v>
      </c>
      <c r="E85" s="11">
        <f>A85-'Mastercurve bestimmen'!$B$2</f>
        <v>-130</v>
      </c>
      <c r="F85" s="11">
        <f t="shared" si="10"/>
        <v>-42.08992241009188</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-41.864552945178652</v>
      </c>
      <c r="E86" s="11">
        <f>A86-'Mastercurve bestimmen'!$B$2</f>
        <v>-129</v>
      </c>
      <c r="F86" s="11">
        <f t="shared" si="10"/>
        <v>-41.864552945178652</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-41.635795944397856</v>
      </c>
      <c r="E87" s="11">
        <f>A87-'Mastercurve bestimmen'!$B$2</f>
        <v>-128</v>
      </c>
      <c r="F87" s="11">
        <f t="shared" si="10"/>
        <v>-41.635795944397856</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-41.403472104089261</v>
      </c>
      <c r="E88" s="11">
        <f>A88-'Mastercurve bestimmen'!$B$2</f>
        <v>-127</v>
      </c>
      <c r="F88" s="11">
        <f t="shared" si="10"/>
        <v>-41.403472104089261</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-41.167402120592662</v>
      </c>
      <c r="E89" s="11">
        <f>A89-'Mastercurve bestimmen'!$B$2</f>
        <v>-126</v>
      </c>
      <c r="F89" s="11">
        <f t="shared" si="10"/>
        <v>-41.167402120592662</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-40.927406690247821</v>
      </c>
      <c r="E90" s="11">
        <f>A90-'Mastercurve bestimmen'!$B$2</f>
        <v>-125</v>
      </c>
      <c r="F90" s="11">
        <f t="shared" si="10"/>
        <v>-40.927406690247821</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-40.683306509394512</v>
      </c>
      <c r="E91" s="11">
        <f>A91-'Mastercurve bestimmen'!$B$2</f>
        <v>-124</v>
      </c>
      <c r="F91" s="11">
        <f t="shared" si="10"/>
        <v>-40.683306509394512</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-40.434922274372525</v>
      </c>
      <c r="E92" s="11">
        <f>A92-'Mastercurve bestimmen'!$B$2</f>
        <v>-123</v>
      </c>
      <c r="F92" s="11">
        <f t="shared" si="10"/>
        <v>-40.434922274372525</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-40.182074681521627</v>
      </c>
      <c r="E93" s="11">
        <f>A93-'Mastercurve bestimmen'!$B$2</f>
        <v>-122</v>
      </c>
      <c r="F93" s="11">
        <f t="shared" si="10"/>
        <v>-40.182074681521627</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-39.924584427181593</v>
      </c>
      <c r="E94" s="11">
        <f>A94-'Mastercurve bestimmen'!$B$2</f>
        <v>-121</v>
      </c>
      <c r="F94" s="11">
        <f t="shared" si="10"/>
        <v>-39.924584427181593</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-39.662272207692197</v>
      </c>
      <c r="E95" s="11">
        <f>A95-'Mastercurve bestimmen'!$B$2</f>
        <v>-120</v>
      </c>
      <c r="F95" s="11">
        <f t="shared" si="10"/>
        <v>-39.662272207692197</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-39.39495871939323</v>
      </c>
      <c r="E96" s="11">
        <f>A96-'Mastercurve bestimmen'!$B$2</f>
        <v>-119</v>
      </c>
      <c r="F96" s="11">
        <f t="shared" si="10"/>
        <v>-39.39495871939323</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-39.122464658624445</v>
      </c>
      <c r="E97" s="11">
        <f>A97-'Mastercurve bestimmen'!$B$2</f>
        <v>-118</v>
      </c>
      <c r="F97" s="11">
        <f t="shared" si="10"/>
        <v>-39.122464658624445</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-38.84461072172563</v>
      </c>
      <c r="E98" s="11">
        <f>A98-'Mastercurve bestimmen'!$B$2</f>
        <v>-117</v>
      </c>
      <c r="F98" s="11">
        <f t="shared" si="10"/>
        <v>-38.84461072172563</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-38.56121760503656</v>
      </c>
      <c r="E99" s="11">
        <f>A99-'Mastercurve bestimmen'!$B$2</f>
        <v>-116</v>
      </c>
      <c r="F99" s="11">
        <f t="shared" si="10"/>
        <v>-38.56121760503656</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-38.272106004897019</v>
      </c>
      <c r="E100" s="11">
        <f>A100-'Mastercurve bestimmen'!$B$2</f>
        <v>-115</v>
      </c>
      <c r="F100" s="11">
        <f t="shared" si="10"/>
        <v>-38.272106004897019</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-37.977096617646772</v>
      </c>
      <c r="E101" s="11">
        <f>A101-'Mastercurve bestimmen'!$B$2</f>
        <v>-114</v>
      </c>
      <c r="F101" s="11">
        <f t="shared" si="10"/>
        <v>-37.977096617646772</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-37.676010139625596</v>
      </c>
      <c r="E102" s="11">
        <f>A102-'Mastercurve bestimmen'!$B$2</f>
        <v>-113</v>
      </c>
      <c r="F102" s="11">
        <f t="shared" si="10"/>
        <v>-37.676010139625596</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-37.368667267173279</v>
      </c>
      <c r="E103" s="11">
        <f>A103-'Mastercurve bestimmen'!$B$2</f>
        <v>-112</v>
      </c>
      <c r="F103" s="11">
        <f t="shared" si="10"/>
        <v>-37.368667267173279</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-37.054888696629575</v>
      </c>
      <c r="E104" s="11">
        <f>A104-'Mastercurve bestimmen'!$B$2</f>
        <v>-111</v>
      </c>
      <c r="F104" s="11">
        <f t="shared" si="10"/>
        <v>-37.054888696629575</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-36.734495124334281</v>
      </c>
      <c r="E105" s="11">
        <f>A105-'Mastercurve bestimmen'!$B$2</f>
        <v>-110</v>
      </c>
      <c r="F105" s="11">
        <f t="shared" si="10"/>
        <v>-36.734495124334281</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-36.407351576339437</v>
      </c>
      <c r="E106" s="11">
        <f>A106-'Mastercurve bestimmen'!$B$2</f>
        <v>-109</v>
      </c>
      <c r="F106" s="11">
        <f t="shared" si="10"/>
        <v>-36.407351576339437</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-36.073500397546148</v>
      </c>
      <c r="E107" s="11">
        <f>A107-'Mastercurve bestimmen'!$B$2</f>
        <v>-108</v>
      </c>
      <c r="F107" s="11">
        <f t="shared" si="10"/>
        <v>-36.073500397546148</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-35.733028262567828</v>
      </c>
      <c r="E108" s="11">
        <f>A108-'Mastercurve bestimmen'!$B$2</f>
        <v>-107</v>
      </c>
      <c r="F108" s="11">
        <f t="shared" si="10"/>
        <v>-35.733028262567828</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-35.386021846017861</v>
      </c>
      <c r="E109" s="11">
        <f>A109-'Mastercurve bestimmen'!$B$2</f>
        <v>-106</v>
      </c>
      <c r="F109" s="11">
        <f t="shared" si="10"/>
        <v>-35.386021846017861</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-35.032567822509634</v>
      </c>
      <c r="E110" s="11">
        <f>A110-'Mastercurve bestimmen'!$B$2</f>
        <v>-105</v>
      </c>
      <c r="F110" s="11">
        <f t="shared" si="10"/>
        <v>-35.032567822509634</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-34.672752866656531</v>
      </c>
      <c r="E111" s="11">
        <f>A111-'Mastercurve bestimmen'!$B$2</f>
        <v>-104</v>
      </c>
      <c r="F111" s="11">
        <f t="shared" si="10"/>
        <v>-34.672752866656531</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-34.306663653071958</v>
      </c>
      <c r="E112" s="11">
        <f>A112-'Mastercurve bestimmen'!$B$2</f>
        <v>-103</v>
      </c>
      <c r="F112" s="11">
        <f t="shared" si="10"/>
        <v>-34.306663653071958</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-33.934386856369301</v>
      </c>
      <c r="E113" s="11">
        <f>A113-'Mastercurve bestimmen'!$B$2</f>
        <v>-102</v>
      </c>
      <c r="F113" s="11">
        <f t="shared" si="10"/>
        <v>-33.934386856369301</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-33.556009151161945</v>
      </c>
      <c r="E114" s="11">
        <f>A114-'Mastercurve bestimmen'!$B$2</f>
        <v>-101</v>
      </c>
      <c r="F114" s="11">
        <f t="shared" si="10"/>
        <v>-33.556009151161945</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-33.171617212063289</v>
      </c>
      <c r="E115" s="11">
        <f>A115-'Mastercurve bestimmen'!$B$2</f>
        <v>-100</v>
      </c>
      <c r="F115" s="11">
        <f t="shared" si="10"/>
        <v>-33.171617212063289</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-32.781297713686719</v>
      </c>
      <c r="E116" s="11">
        <f>A116-'Mastercurve bestimmen'!$B$2</f>
        <v>-99</v>
      </c>
      <c r="F116" s="11">
        <f t="shared" si="10"/>
        <v>-32.781297713686719</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-32.385137330645627</v>
      </c>
      <c r="E117" s="11">
        <f>A117-'Mastercurve bestimmen'!$B$2</f>
        <v>-98</v>
      </c>
      <c r="F117" s="11">
        <f t="shared" si="10"/>
        <v>-32.385137330645627</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-31.983222737553412</v>
      </c>
      <c r="E118" s="11">
        <f>A118-'Mastercurve bestimmen'!$B$2</f>
        <v>-97</v>
      </c>
      <c r="F118" s="11">
        <f t="shared" si="10"/>
        <v>-31.983222737553412</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-31.575640609023445</v>
      </c>
      <c r="E119" s="11">
        <f>A119-'Mastercurve bestimmen'!$B$2</f>
        <v>-96</v>
      </c>
      <c r="F119" s="11">
        <f t="shared" si="10"/>
        <v>-31.575640609023445</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-31.16247761966914</v>
      </c>
      <c r="E120" s="11">
        <f>A120-'Mastercurve bestimmen'!$B$2</f>
        <v>-95</v>
      </c>
      <c r="F120" s="11">
        <f t="shared" si="10"/>
        <v>-31.16247761966914</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-30.743820444103871</v>
      </c>
      <c r="E121" s="11">
        <f>A121-'Mastercurve bestimmen'!$B$2</f>
        <v>-94</v>
      </c>
      <c r="F121" s="11">
        <f t="shared" si="10"/>
        <v>-30.743820444103871</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-30.319755756941042</v>
      </c>
      <c r="E122" s="11">
        <f>A122-'Mastercurve bestimmen'!$B$2</f>
        <v>-93</v>
      </c>
      <c r="F122" s="11">
        <f t="shared" si="10"/>
        <v>-30.319755756941042</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-29.890370232794034</v>
      </c>
      <c r="E123" s="11">
        <f>A123-'Mastercurve bestimmen'!$B$2</f>
        <v>-92</v>
      </c>
      <c r="F123" s="11">
        <f t="shared" si="10"/>
        <v>-29.890370232794034</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-29.455750546276242</v>
      </c>
      <c r="E124" s="11">
        <f>A124-'Mastercurve bestimmen'!$B$2</f>
        <v>-91</v>
      </c>
      <c r="F124" s="11">
        <f t="shared" si="10"/>
        <v>-29.455750546276242</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-29.015983372001052</v>
      </c>
      <c r="E125" s="11">
        <f>A125-'Mastercurve bestimmen'!$B$2</f>
        <v>-90</v>
      </c>
      <c r="F125" s="11">
        <f t="shared" si="10"/>
        <v>-29.015983372001052</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-28.571155384581864</v>
      </c>
      <c r="E126" s="11">
        <f>A126-'Mastercurve bestimmen'!$B$2</f>
        <v>-89</v>
      </c>
      <c r="F126" s="11">
        <f t="shared" si="10"/>
        <v>-28.571155384581864</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-28.12135325863207</v>
      </c>
      <c r="E127" s="11">
        <f>A127-'Mastercurve bestimmen'!$B$2</f>
        <v>-88</v>
      </c>
      <c r="F127" s="11">
        <f t="shared" si="10"/>
        <v>-28.12135325863207</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-27.666663668765047</v>
      </c>
      <c r="E128" s="11">
        <f>A128-'Mastercurve bestimmen'!$B$2</f>
        <v>-87</v>
      </c>
      <c r="F128" s="11">
        <f t="shared" si="10"/>
        <v>-27.666663668765047</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-27.207173289594195</v>
      </c>
      <c r="E129" s="11">
        <f>A129-'Mastercurve bestimmen'!$B$2</f>
        <v>-86</v>
      </c>
      <c r="F129" s="11">
        <f t="shared" si="10"/>
        <v>-27.207173289594195</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-26.74296879573291</v>
      </c>
      <c r="E130" s="11">
        <f>A130-'Mastercurve bestimmen'!$B$2</f>
        <v>-85</v>
      </c>
      <c r="F130" s="11">
        <f t="shared" si="10"/>
        <v>-26.74296879573291</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-26.274136861794574</v>
      </c>
      <c r="E131" s="11">
        <f>A131-'Mastercurve bestimmen'!$B$2</f>
        <v>-84</v>
      </c>
      <c r="F131" s="11">
        <f t="shared" si="10"/>
        <v>-26.274136861794574</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-25.800764162392582</v>
      </c>
      <c r="E132" s="11">
        <f>A132-'Mastercurve bestimmen'!$B$2</f>
        <v>-83</v>
      </c>
      <c r="F132" s="11">
        <f t="shared" si="10"/>
        <v>-25.800764162392582</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-25.322937372140323</v>
      </c>
      <c r="E133" s="11">
        <f>A133-'Mastercurve bestimmen'!$B$2</f>
        <v>-82</v>
      </c>
      <c r="F133" s="11">
        <f t="shared" si="10"/>
        <v>-25.322937372140323</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-24.840743165651197</v>
      </c>
      <c r="E134" s="11">
        <f>A134-'Mastercurve bestimmen'!$B$2</f>
        <v>-81</v>
      </c>
      <c r="F134" s="11">
        <f t="shared" si="10"/>
        <v>-24.840743165651197</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-24.354268217538579</v>
      </c>
      <c r="E135" s="11">
        <f>A135-'Mastercurve bestimmen'!$B$2</f>
        <v>-80</v>
      </c>
      <c r="F135" s="11">
        <f t="shared" si="10"/>
        <v>-24.354268217538579</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-23.863650692327475</v>
      </c>
      <c r="E136" s="11">
        <f>A136-'Mastercurve bestimmen'!$B$2</f>
        <v>-79</v>
      </c>
      <c r="F136" s="11">
        <f t="shared" si="10"/>
        <v>-23.863650692327475</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-23.369234714189229</v>
      </c>
      <c r="E137" s="11">
        <f>A137-'Mastercurve bestimmen'!$B$2</f>
        <v>-78</v>
      </c>
      <c r="F137" s="11">
        <f t="shared" si="10"/>
        <v>-23.369234714189229</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-22.871415897206823</v>
      </c>
      <c r="E138" s="11">
        <f>A138-'Mastercurve bestimmen'!$B$2</f>
        <v>-77</v>
      </c>
      <c r="F138" s="11">
        <f t="shared" si="10"/>
        <v>-22.871415897206823</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-22.370589855463212</v>
      </c>
      <c r="E139" s="11">
        <f>A139-'Mastercurve bestimmen'!$B$2</f>
        <v>-76</v>
      </c>
      <c r="F139" s="11">
        <f t="shared" si="10"/>
        <v>-22.370589855463212</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-21.867152203041364</v>
      </c>
      <c r="E140" s="11">
        <f>A140-'Mastercurve bestimmen'!$B$2</f>
        <v>-75</v>
      </c>
      <c r="F140" s="11">
        <f t="shared" si="10"/>
        <v>-21.867152203041364</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-21.361498554024237</v>
      </c>
      <c r="E141" s="11">
        <f>A141-'Mastercurve bestimmen'!$B$2</f>
        <v>-74</v>
      </c>
      <c r="F141" s="11">
        <f t="shared" si="10"/>
        <v>-21.361498554024237</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-20.854024522494797</v>
      </c>
      <c r="E142" s="11">
        <f>A142-'Mastercurve bestimmen'!$B$2</f>
        <v>-73</v>
      </c>
      <c r="F142" s="11">
        <f t="shared" si="10"/>
        <v>-20.854024522494797</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-20.345125722536011</v>
      </c>
      <c r="E143" s="11">
        <f>A143-'Mastercurve bestimmen'!$B$2</f>
        <v>-72</v>
      </c>
      <c r="F143" s="11">
        <f t="shared" si="10"/>
        <v>-20.345125722536011</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-19.835197768230827</v>
      </c>
      <c r="E144" s="11">
        <f>A144-'Mastercurve bestimmen'!$B$2</f>
        <v>-71</v>
      </c>
      <c r="F144" s="11">
        <f t="shared" ref="F144:F207" si="15">B144</f>
        <v>-19.835197768230827</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-19.324636273662225</v>
      </c>
      <c r="E145" s="11">
        <f>A145-'Mastercurve bestimmen'!$B$2</f>
        <v>-70</v>
      </c>
      <c r="F145" s="11">
        <f t="shared" si="15"/>
        <v>-19.324636273662225</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-18.813836852913159</v>
      </c>
      <c r="E146" s="11">
        <f>A146-'Mastercurve bestimmen'!$B$2</f>
        <v>-69</v>
      </c>
      <c r="F146" s="11">
        <f t="shared" si="15"/>
        <v>-18.813836852913159</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-18.303195120066601</v>
      </c>
      <c r="E147" s="11">
        <f>A147-'Mastercurve bestimmen'!$B$2</f>
        <v>-68</v>
      </c>
      <c r="F147" s="11">
        <f t="shared" si="15"/>
        <v>-18.303195120066601</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-17.793106689205501</v>
      </c>
      <c r="E148" s="11">
        <f>A148-'Mastercurve bestimmen'!$B$2</f>
        <v>-67</v>
      </c>
      <c r="F148" s="11">
        <f t="shared" si="15"/>
        <v>-17.793106689205501</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-17.283967174412833</v>
      </c>
      <c r="E149" s="11">
        <f>A149-'Mastercurve bestimmen'!$B$2</f>
        <v>-66</v>
      </c>
      <c r="F149" s="11">
        <f t="shared" si="15"/>
        <v>-17.283967174412833</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-16.776172189771557</v>
      </c>
      <c r="E150" s="11">
        <f>A150-'Mastercurve bestimmen'!$B$2</f>
        <v>-65</v>
      </c>
      <c r="F150" s="11">
        <f t="shared" si="15"/>
        <v>-16.776172189771557</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-16.270117349364632</v>
      </c>
      <c r="E151" s="11">
        <f>A151-'Mastercurve bestimmen'!$B$2</f>
        <v>-64</v>
      </c>
      <c r="F151" s="11">
        <f t="shared" si="15"/>
        <v>-16.270117349364632</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-15.766198267275028</v>
      </c>
      <c r="E152" s="11">
        <f>A152-'Mastercurve bestimmen'!$B$2</f>
        <v>-63</v>
      </c>
      <c r="F152" s="11">
        <f t="shared" si="15"/>
        <v>-15.766198267275028</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-15.264810557585701</v>
      </c>
      <c r="E153" s="11">
        <f>A153-'Mastercurve bestimmen'!$B$2</f>
        <v>-62</v>
      </c>
      <c r="F153" s="11">
        <f t="shared" si="15"/>
        <v>-15.264810557585701</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-14.766349834379618</v>
      </c>
      <c r="E154" s="11">
        <f>A154-'Mastercurve bestimmen'!$B$2</f>
        <v>-61</v>
      </c>
      <c r="F154" s="11">
        <f t="shared" si="15"/>
        <v>-14.766349834379618</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-14.271211711739742</v>
      </c>
      <c r="E155" s="11">
        <f>A155-'Mastercurve bestimmen'!$B$2</f>
        <v>-60</v>
      </c>
      <c r="F155" s="11">
        <f t="shared" si="15"/>
        <v>-14.271211711739742</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-13.779791803749037</v>
      </c>
      <c r="E156" s="11">
        <f>A156-'Mastercurve bestimmen'!$B$2</f>
        <v>-59</v>
      </c>
      <c r="F156" s="11">
        <f t="shared" si="15"/>
        <v>-13.779791803749037</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-13.292485724490463</v>
      </c>
      <c r="E157" s="11">
        <f>A157-'Mastercurve bestimmen'!$B$2</f>
        <v>-58</v>
      </c>
      <c r="F157" s="11">
        <f t="shared" si="15"/>
        <v>-13.292485724490463</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-12.809689088046987</v>
      </c>
      <c r="E158" s="11">
        <f>A158-'Mastercurve bestimmen'!$B$2</f>
        <v>-57</v>
      </c>
      <c r="F158" s="11">
        <f t="shared" si="15"/>
        <v>-12.809689088046987</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-12.33179750850157</v>
      </c>
      <c r="E159" s="11">
        <f>A159-'Mastercurve bestimmen'!$B$2</f>
        <v>-56</v>
      </c>
      <c r="F159" s="11">
        <f t="shared" si="15"/>
        <v>-12.33179750850157</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-11.859206599937174</v>
      </c>
      <c r="E160" s="11">
        <f>A160-'Mastercurve bestimmen'!$B$2</f>
        <v>-55</v>
      </c>
      <c r="F160" s="11">
        <f t="shared" si="15"/>
        <v>-11.859206599937174</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-11.392311976436766</v>
      </c>
      <c r="E161" s="11">
        <f>A161-'Mastercurve bestimmen'!$B$2</f>
        <v>-54</v>
      </c>
      <c r="F161" s="11">
        <f t="shared" si="15"/>
        <v>-11.392311976436766</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-10.931509252083302</v>
      </c>
      <c r="E162" s="11">
        <f>A162-'Mastercurve bestimmen'!$B$2</f>
        <v>-53</v>
      </c>
      <c r="F162" s="11">
        <f t="shared" si="15"/>
        <v>-10.931509252083302</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-10.477194040959752</v>
      </c>
      <c r="E163" s="11">
        <f>A163-'Mastercurve bestimmen'!$B$2</f>
        <v>-52</v>
      </c>
      <c r="F163" s="11">
        <f t="shared" si="15"/>
        <v>-10.477194040959752</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-10.029761957149077</v>
      </c>
      <c r="E164" s="11">
        <f>A164-'Mastercurve bestimmen'!$B$2</f>
        <v>-51</v>
      </c>
      <c r="F164" s="11">
        <f t="shared" si="15"/>
        <v>-10.029761957149077</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-9.5896086147342388</v>
      </c>
      <c r="E165" s="11">
        <f>A165-'Mastercurve bestimmen'!$B$2</f>
        <v>-50</v>
      </c>
      <c r="F165" s="11">
        <f t="shared" si="15"/>
        <v>-9.5896086147342388</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-9.1571296277982057</v>
      </c>
      <c r="E166" s="11">
        <f>A166-'Mastercurve bestimmen'!$B$2</f>
        <v>-49</v>
      </c>
      <c r="F166" s="11">
        <f t="shared" si="15"/>
        <v>-9.1571296277982057</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-8.7327206104239306</v>
      </c>
      <c r="E167" s="11">
        <f>A167-'Mastercurve bestimmen'!$B$2</f>
        <v>-48</v>
      </c>
      <c r="F167" s="11">
        <f t="shared" si="15"/>
        <v>-8.7327206104239306</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-8.3167771766943854</v>
      </c>
      <c r="E168" s="11">
        <f>A168-'Mastercurve bestimmen'!$B$2</f>
        <v>-47</v>
      </c>
      <c r="F168" s="11">
        <f t="shared" si="15"/>
        <v>-8.3167771766943854</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-7.9096949406925301</v>
      </c>
      <c r="E169" s="11">
        <f>A169-'Mastercurve bestimmen'!$B$2</f>
        <v>-46</v>
      </c>
      <c r="F169" s="11">
        <f t="shared" si="15"/>
        <v>-7.9096949406925301</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-7.5118695165013278</v>
      </c>
      <c r="E170" s="11">
        <f>A170-'Mastercurve bestimmen'!$B$2</f>
        <v>-45</v>
      </c>
      <c r="F170" s="11">
        <f t="shared" si="15"/>
        <v>-7.5118695165013278</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-7.1236965182037428</v>
      </c>
      <c r="E171" s="11">
        <f>A171-'Mastercurve bestimmen'!$B$2</f>
        <v>-44</v>
      </c>
      <c r="F171" s="11">
        <f t="shared" si="15"/>
        <v>-7.1236965182037428</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-6.7455715598827366</v>
      </c>
      <c r="E172" s="11">
        <f>A172-'Mastercurve bestimmen'!$B$2</f>
        <v>-43</v>
      </c>
      <c r="F172" s="11">
        <f t="shared" si="15"/>
        <v>-6.7455715598827366</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-6.3778902556212733</v>
      </c>
      <c r="E173" s="11">
        <f>A173-'Mastercurve bestimmen'!$B$2</f>
        <v>-42</v>
      </c>
      <c r="F173" s="11">
        <f t="shared" si="15"/>
        <v>-6.3778902556212733</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-6.0210482195023154</v>
      </c>
      <c r="E174" s="11">
        <f>A174-'Mastercurve bestimmen'!$B$2</f>
        <v>-41</v>
      </c>
      <c r="F174" s="11">
        <f t="shared" si="15"/>
        <v>-6.0210482195023154</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-5.6754410656088279</v>
      </c>
      <c r="E175" s="11">
        <f>A175-'Mastercurve bestimmen'!$B$2</f>
        <v>-40</v>
      </c>
      <c r="F175" s="11">
        <f t="shared" si="15"/>
        <v>-5.6754410656088279</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-5.3414644080237705</v>
      </c>
      <c r="E176" s="11">
        <f>A176-'Mastercurve bestimmen'!$B$2</f>
        <v>-39</v>
      </c>
      <c r="F176" s="11">
        <f t="shared" si="15"/>
        <v>-5.3414644080237705</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-5.0195138608301093</v>
      </c>
      <c r="E177" s="11">
        <f>A177-'Mastercurve bestimmen'!$B$2</f>
        <v>-38</v>
      </c>
      <c r="F177" s="11">
        <f t="shared" si="15"/>
        <v>-5.0195138608301093</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-4.7099850381108057</v>
      </c>
      <c r="E178" s="11">
        <f>A178-'Mastercurve bestimmen'!$B$2</f>
        <v>-37</v>
      </c>
      <c r="F178" s="11">
        <f t="shared" si="15"/>
        <v>-4.7099850381108057</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-4.4132735539488239</v>
      </c>
      <c r="E179" s="11">
        <f>A179-'Mastercurve bestimmen'!$B$2</f>
        <v>-36</v>
      </c>
      <c r="F179" s="11">
        <f t="shared" si="15"/>
        <v>-4.4132735539488239</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-4.1297750224271255</v>
      </c>
      <c r="E180" s="11">
        <f>A180-'Mastercurve bestimmen'!$B$2</f>
        <v>-35</v>
      </c>
      <c r="F180" s="11">
        <f t="shared" si="15"/>
        <v>-4.1297750224271255</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-3.8597543192495003</v>
      </c>
      <c r="E181" s="11">
        <f>A181-'Mastercurve bestimmen'!$B$2</f>
        <v>-34</v>
      </c>
      <c r="F181" s="11">
        <f t="shared" si="15"/>
        <v>-3.8597543192495003</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-3.6029533666030291</v>
      </c>
      <c r="E182" s="11">
        <f>A182-'Mastercurve bestimmen'!$B$2</f>
        <v>-33</v>
      </c>
      <c r="F182" s="11">
        <f t="shared" si="15"/>
        <v>-3.6029533666030291</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-3.3589833482956197</v>
      </c>
      <c r="E183" s="11">
        <f>A183-'Mastercurve bestimmen'!$B$2</f>
        <v>-32</v>
      </c>
      <c r="F183" s="11">
        <f t="shared" si="15"/>
        <v>-3.3589833482956197</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-3.1274554481351795</v>
      </c>
      <c r="E184" s="11">
        <f>A184-'Mastercurve bestimmen'!$B$2</f>
        <v>-31</v>
      </c>
      <c r="F184" s="11">
        <f t="shared" si="15"/>
        <v>-3.1274554481351795</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-2.9079808499296158</v>
      </c>
      <c r="E185" s="11">
        <f>A185-'Mastercurve bestimmen'!$B$2</f>
        <v>-30</v>
      </c>
      <c r="F185" s="11">
        <f t="shared" si="15"/>
        <v>-2.9079808499296158</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-2.7001707374868356</v>
      </c>
      <c r="E186" s="11">
        <f>A186-'Mastercurve bestimmen'!$B$2</f>
        <v>-29</v>
      </c>
      <c r="F186" s="11">
        <f t="shared" si="15"/>
        <v>-2.7001707374868356</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-2.5036362946147461</v>
      </c>
      <c r="E187" s="11">
        <f>A187-'Mastercurve bestimmen'!$B$2</f>
        <v>-28</v>
      </c>
      <c r="F187" s="11">
        <f t="shared" si="15"/>
        <v>-2.5036362946147461</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-2.3179887051212549</v>
      </c>
      <c r="E188" s="11">
        <f>A188-'Mastercurve bestimmen'!$B$2</f>
        <v>-27</v>
      </c>
      <c r="F188" s="11">
        <f t="shared" si="15"/>
        <v>-2.3179887051212549</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-2.1428391528142692</v>
      </c>
      <c r="E189" s="11">
        <f>A189-'Mastercurve bestimmen'!$B$2</f>
        <v>-26</v>
      </c>
      <c r="F189" s="11">
        <f t="shared" si="15"/>
        <v>-2.1428391528142692</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-1.9777988215016953</v>
      </c>
      <c r="E190" s="11">
        <f>A190-'Mastercurve bestimmen'!$B$2</f>
        <v>-25</v>
      </c>
      <c r="F190" s="11">
        <f t="shared" si="15"/>
        <v>-1.9777988215016953</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-1.8224788949914412</v>
      </c>
      <c r="E191" s="11">
        <f>A191-'Mastercurve bestimmen'!$B$2</f>
        <v>-24</v>
      </c>
      <c r="F191" s="11">
        <f t="shared" si="15"/>
        <v>-1.8224788949914412</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-1.6764905570914141</v>
      </c>
      <c r="E192" s="11">
        <f>A192-'Mastercurve bestimmen'!$B$2</f>
        <v>-23</v>
      </c>
      <c r="F192" s="11">
        <f t="shared" si="15"/>
        <v>-1.6764905570914141</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-1.5394449916095212</v>
      </c>
      <c r="E193" s="11">
        <f>A193-'Mastercurve bestimmen'!$B$2</f>
        <v>-22</v>
      </c>
      <c r="F193" s="11">
        <f t="shared" si="15"/>
        <v>-1.5394449916095212</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-1.4109533823536695</v>
      </c>
      <c r="E194" s="11">
        <f>A194-'Mastercurve bestimmen'!$B$2</f>
        <v>-21</v>
      </c>
      <c r="F194" s="11">
        <f t="shared" si="15"/>
        <v>-1.4109533823536695</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-1.2906269131317663</v>
      </c>
      <c r="E195" s="11">
        <f>A195-'Mastercurve bestimmen'!$B$2</f>
        <v>-20</v>
      </c>
      <c r="F195" s="11">
        <f t="shared" si="15"/>
        <v>-1.2906269131317663</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-1.1780767677517188</v>
      </c>
      <c r="E196" s="11">
        <f>A196-'Mastercurve bestimmen'!$B$2</f>
        <v>-19</v>
      </c>
      <c r="F196" s="11">
        <f t="shared" si="15"/>
        <v>-1.1780767677517188</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-1.0729141300214344</v>
      </c>
      <c r="E197" s="11">
        <f>A197-'Mastercurve bestimmen'!$B$2</f>
        <v>-18</v>
      </c>
      <c r="F197" s="11">
        <f t="shared" si="15"/>
        <v>-1.0729141300214344</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-0.97475018374881994</v>
      </c>
      <c r="E198" s="11">
        <f>A198-'Mastercurve bestimmen'!$B$2</f>
        <v>-17</v>
      </c>
      <c r="F198" s="11">
        <f t="shared" si="15"/>
        <v>-0.97475018374881994</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-0.883196112741783</v>
      </c>
      <c r="E199" s="11">
        <f>A199-'Mastercurve bestimmen'!$B$2</f>
        <v>-16</v>
      </c>
      <c r="F199" s="11">
        <f t="shared" si="15"/>
        <v>-0.883196112741783</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-0.79786310080823064</v>
      </c>
      <c r="E200" s="11">
        <f>A200-'Mastercurve bestimmen'!$B$2</f>
        <v>-15</v>
      </c>
      <c r="F200" s="11">
        <f t="shared" si="15"/>
        <v>-0.79786310080823064</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-0.71836233175607001</v>
      </c>
      <c r="E201" s="11">
        <f>A201-'Mastercurve bestimmen'!$B$2</f>
        <v>-14</v>
      </c>
      <c r="F201" s="11">
        <f t="shared" si="15"/>
        <v>-0.71836233175607001</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-0.64430498939320846</v>
      </c>
      <c r="E202" s="11">
        <f>A202-'Mastercurve bestimmen'!$B$2</f>
        <v>-13</v>
      </c>
      <c r="F202" s="11">
        <f t="shared" si="15"/>
        <v>-0.64430498939320846</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-0.57530225752755304</v>
      </c>
      <c r="E203" s="11">
        <f>A203-'Mastercurve bestimmen'!$B$2</f>
        <v>-12</v>
      </c>
      <c r="F203" s="11">
        <f t="shared" si="15"/>
        <v>-0.57530225752755304</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-0.51096531996701111</v>
      </c>
      <c r="E204" s="11">
        <f>A204-'Mastercurve bestimmen'!$B$2</f>
        <v>-11</v>
      </c>
      <c r="F204" s="11">
        <f t="shared" si="15"/>
        <v>-0.51096531996701111</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-0.45090536051948982</v>
      </c>
      <c r="E205" s="11">
        <f>A205-'Mastercurve bestimmen'!$B$2</f>
        <v>-10</v>
      </c>
      <c r="F205" s="11">
        <f t="shared" si="15"/>
        <v>-0.45090536051948982</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-0.39473356299289647</v>
      </c>
      <c r="E206" s="11">
        <f>A206-'Mastercurve bestimmen'!$B$2</f>
        <v>-9</v>
      </c>
      <c r="F206" s="11">
        <f t="shared" si="15"/>
        <v>-0.39473356299289647</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-0.34206111119513816</v>
      </c>
      <c r="E207" s="11">
        <f>A207-'Mastercurve bestimmen'!$B$2</f>
        <v>-8</v>
      </c>
      <c r="F207" s="11">
        <f t="shared" si="15"/>
        <v>-0.34206111119513816</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-0.29249918893412213</v>
      </c>
      <c r="E208" s="11">
        <f>A208-'Mastercurve bestimmen'!$B$2</f>
        <v>-7</v>
      </c>
      <c r="F208" s="11">
        <f t="shared" ref="F208:F215" si="21">B208</f>
        <v>-0.29249918893412213</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-0.24565898001775557</v>
      </c>
      <c r="E209" s="11">
        <f>A209-'Mastercurve bestimmen'!$B$2</f>
        <v>-6</v>
      </c>
      <c r="F209" s="11">
        <f t="shared" si="21"/>
        <v>-0.24565898001775557</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-0.20115166825394576</v>
      </c>
      <c r="E210" s="11">
        <f>A210-'Mastercurve bestimmen'!$B$2</f>
        <v>-5</v>
      </c>
      <c r="F210" s="11">
        <f t="shared" si="21"/>
        <v>-0.20115166825394576</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-0.15858843745059989</v>
      </c>
      <c r="E211" s="11">
        <f>A211-'Mastercurve bestimmen'!$B$2</f>
        <v>-4</v>
      </c>
      <c r="F211" s="11">
        <f t="shared" si="21"/>
        <v>-0.15858843745059989</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-0.11758047141562518</v>
      </c>
      <c r="E212" s="11">
        <f>A212-'Mastercurve bestimmen'!$B$2</f>
        <v>-3</v>
      </c>
      <c r="F212" s="11">
        <f t="shared" si="21"/>
        <v>-0.11758047141562518</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-7.77389539569288E-2</v>
      </c>
      <c r="E213" s="11">
        <f>A213-'Mastercurve bestimmen'!$B$2</f>
        <v>-2</v>
      </c>
      <c r="F213" s="11">
        <f t="shared" si="21"/>
        <v>-7.77389539569288E-2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-3.8675068882418007E-2</v>
      </c>
      <c r="E214" s="11">
        <f>A214-'Mastercurve bestimmen'!$B$2</f>
        <v>-1</v>
      </c>
      <c r="F214" s="11">
        <f t="shared" si="21"/>
        <v>-3.8675068882418007E-2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7.3664171987943866E-2</v>
      </c>
      <c r="J217" s="98">
        <v>4.7076121572752778E-3</v>
      </c>
      <c r="K217" s="98">
        <v>2.5480066512980785E-4</v>
      </c>
      <c r="L217" s="98">
        <v>2.5782189490502593E-6</v>
      </c>
      <c r="M217" s="98">
        <v>3.1582726461424028E-9</v>
      </c>
      <c r="N217" s="98">
        <v>-8.3737505399686344E-11</v>
      </c>
      <c r="O217" s="98">
        <v>-4.7106429722878629E-13</v>
      </c>
      <c r="P217" s="98">
        <v>-7.6995195987797403E-16</v>
      </c>
    </row>
    <row r="218" spans="1:16" x14ac:dyDescent="0.25">
      <c r="G218" s="11"/>
      <c r="H218" s="11">
        <v>0</v>
      </c>
      <c r="I218" s="11">
        <v>2.3739703113345276E-3</v>
      </c>
      <c r="J218" s="11">
        <v>2.354366101783341E-4</v>
      </c>
      <c r="K218" s="3">
        <v>8.933140791098678E-6</v>
      </c>
      <c r="L218" s="3">
        <v>1.7029579041953996E-7</v>
      </c>
      <c r="M218" s="3">
        <v>1.7928901763868511E-9</v>
      </c>
      <c r="N218" s="3">
        <v>1.0577160959359907E-11</v>
      </c>
      <c r="O218" s="11">
        <v>3.2745256977335295E-14</v>
      </c>
      <c r="P218" s="11">
        <v>4.1401936652687412E-17</v>
      </c>
    </row>
    <row r="219" spans="1:16" x14ac:dyDescent="0.25">
      <c r="G219" s="11"/>
      <c r="H219" s="11">
        <v>0.99999912462269236</v>
      </c>
      <c r="I219" s="11">
        <v>3.2418860440090097E-2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-50.984955769269391</v>
      </c>
      <c r="G222">
        <f>F15</f>
        <v>-50.877172842752486</v>
      </c>
    </row>
    <row r="223" spans="1:16" x14ac:dyDescent="0.25">
      <c r="E223" s="11">
        <f t="shared" ref="E223:E286" si="25">E16</f>
        <v>-199</v>
      </c>
      <c r="F223" s="11">
        <f t="shared" ref="F223:F286" si="26">$H$217*0+E223*$I$217+E223^2*$J$217+E223^3*$K$217+E223^4*$L$217+E223^5*$M$217+E223^6*$N$217+E223^7*$O$217+E223^8*$P$217</f>
        <v>-50.878493592500263</v>
      </c>
      <c r="G223" s="11">
        <f t="shared" ref="G223:G286" si="27">F16</f>
        <v>-50.819457740658962</v>
      </c>
    </row>
    <row r="224" spans="1:16" x14ac:dyDescent="0.25">
      <c r="E224" s="11">
        <f t="shared" si="25"/>
        <v>-198</v>
      </c>
      <c r="F224" s="11">
        <f t="shared" si="26"/>
        <v>-50.78240126208425</v>
      </c>
      <c r="G224" s="11">
        <f t="shared" si="27"/>
        <v>-50.76164568473969</v>
      </c>
    </row>
    <row r="225" spans="5:7" x14ac:dyDescent="0.25">
      <c r="E225" s="11">
        <f t="shared" si="25"/>
        <v>-197</v>
      </c>
      <c r="F225" s="11">
        <f t="shared" si="26"/>
        <v>-50.695227885055829</v>
      </c>
      <c r="G225" s="11">
        <f t="shared" si="27"/>
        <v>-50.70363972116894</v>
      </c>
    </row>
    <row r="226" spans="5:7" x14ac:dyDescent="0.25">
      <c r="E226" s="11">
        <f t="shared" si="25"/>
        <v>-196</v>
      </c>
      <c r="F226" s="11">
        <f t="shared" si="26"/>
        <v>-50.615634136278231</v>
      </c>
      <c r="G226" s="11">
        <f t="shared" si="27"/>
        <v>-50.645342896120965</v>
      </c>
    </row>
    <row r="227" spans="5:7" x14ac:dyDescent="0.25">
      <c r="E227" s="11">
        <f t="shared" si="25"/>
        <v>-195</v>
      </c>
      <c r="F227" s="11">
        <f t="shared" si="26"/>
        <v>-50.542386415091414</v>
      </c>
      <c r="G227" s="11">
        <f t="shared" si="27"/>
        <v>-50.586658255770004</v>
      </c>
    </row>
    <row r="228" spans="5:7" x14ac:dyDescent="0.25">
      <c r="E228" s="11">
        <f t="shared" si="25"/>
        <v>-194</v>
      </c>
      <c r="F228" s="11">
        <f t="shared" si="26"/>
        <v>-50.474351196958196</v>
      </c>
      <c r="G228" s="11">
        <f t="shared" si="27"/>
        <v>-50.527488846290311</v>
      </c>
    </row>
    <row r="229" spans="5:7" x14ac:dyDescent="0.25">
      <c r="E229" s="11">
        <f t="shared" si="25"/>
        <v>-193</v>
      </c>
      <c r="F229" s="11">
        <f t="shared" si="26"/>
        <v>-50.410489576369855</v>
      </c>
      <c r="G229" s="11">
        <f t="shared" si="27"/>
        <v>-50.467737713856167</v>
      </c>
    </row>
    <row r="230" spans="5:7" x14ac:dyDescent="0.25">
      <c r="E230" s="11">
        <f t="shared" si="25"/>
        <v>-192</v>
      </c>
      <c r="F230" s="11">
        <f t="shared" si="26"/>
        <v>-50.349851997327733</v>
      </c>
      <c r="G230" s="11">
        <f t="shared" si="27"/>
        <v>-50.407307904641812</v>
      </c>
    </row>
    <row r="231" spans="5:7" x14ac:dyDescent="0.25">
      <c r="E231" s="11">
        <f t="shared" si="25"/>
        <v>-191</v>
      </c>
      <c r="F231" s="11">
        <f t="shared" si="26"/>
        <v>-50.291573167728529</v>
      </c>
      <c r="G231" s="11">
        <f t="shared" si="27"/>
        <v>-50.346102464821499</v>
      </c>
    </row>
    <row r="232" spans="5:7" x14ac:dyDescent="0.25">
      <c r="E232" s="11">
        <f t="shared" si="25"/>
        <v>-190</v>
      </c>
      <c r="F232" s="11">
        <f t="shared" si="26"/>
        <v>-50.234867154018957</v>
      </c>
      <c r="G232" s="11">
        <f t="shared" si="27"/>
        <v>-50.284024440569496</v>
      </c>
    </row>
    <row r="233" spans="5:7" x14ac:dyDescent="0.25">
      <c r="E233" s="11">
        <f t="shared" si="25"/>
        <v>-189</v>
      </c>
      <c r="F233" s="11">
        <f t="shared" si="26"/>
        <v>-50.17902265252269</v>
      </c>
      <c r="G233" s="11">
        <f t="shared" si="27"/>
        <v>-50.220976878060043</v>
      </c>
    </row>
    <row r="234" spans="5:7" x14ac:dyDescent="0.25">
      <c r="E234" s="11">
        <f t="shared" si="25"/>
        <v>-188</v>
      </c>
      <c r="F234" s="11">
        <f t="shared" si="26"/>
        <v>-50.123398433868715</v>
      </c>
      <c r="G234" s="11">
        <f t="shared" si="27"/>
        <v>-50.156862823467407</v>
      </c>
    </row>
    <row r="235" spans="5:7" x14ac:dyDescent="0.25">
      <c r="E235" s="11">
        <f t="shared" si="25"/>
        <v>-187</v>
      </c>
      <c r="F235" s="11">
        <f t="shared" si="26"/>
        <v>-50.06741895698201</v>
      </c>
      <c r="G235" s="11">
        <f t="shared" si="27"/>
        <v>-50.091585322965841</v>
      </c>
    </row>
    <row r="236" spans="5:7" x14ac:dyDescent="0.25">
      <c r="E236" s="11">
        <f t="shared" si="25"/>
        <v>-186</v>
      </c>
      <c r="F236" s="11">
        <f t="shared" si="26"/>
        <v>-50.010570149119303</v>
      </c>
      <c r="G236" s="11">
        <f t="shared" si="27"/>
        <v>-50.025047422729607</v>
      </c>
    </row>
    <row r="237" spans="5:7" x14ac:dyDescent="0.25">
      <c r="E237" s="11">
        <f t="shared" si="25"/>
        <v>-185</v>
      </c>
      <c r="F237" s="11">
        <f t="shared" si="26"/>
        <v>-49.952395348482014</v>
      </c>
      <c r="G237" s="11">
        <f t="shared" si="27"/>
        <v>-49.95715216893295</v>
      </c>
    </row>
    <row r="238" spans="5:7" x14ac:dyDescent="0.25">
      <c r="E238" s="11">
        <f t="shared" si="25"/>
        <v>-184</v>
      </c>
      <c r="F238" s="11">
        <f t="shared" si="26"/>
        <v>-49.892491405958481</v>
      </c>
      <c r="G238" s="11">
        <f t="shared" si="27"/>
        <v>-49.887802607750132</v>
      </c>
    </row>
    <row r="239" spans="5:7" x14ac:dyDescent="0.25">
      <c r="E239" s="11">
        <f t="shared" si="25"/>
        <v>-183</v>
      </c>
      <c r="F239" s="11">
        <f t="shared" si="26"/>
        <v>-49.830504942572134</v>
      </c>
      <c r="G239" s="11">
        <f t="shared" si="27"/>
        <v>-49.816901785355412</v>
      </c>
    </row>
    <row r="240" spans="5:7" x14ac:dyDescent="0.25">
      <c r="E240" s="11">
        <f t="shared" si="25"/>
        <v>-182</v>
      </c>
      <c r="F240" s="11">
        <f t="shared" si="26"/>
        <v>-49.766128759262415</v>
      </c>
      <c r="G240" s="11">
        <f t="shared" si="27"/>
        <v>-49.744352747923031</v>
      </c>
    </row>
    <row r="241" spans="5:7" x14ac:dyDescent="0.25">
      <c r="E241" s="11">
        <f t="shared" si="25"/>
        <v>-181</v>
      </c>
      <c r="F241" s="11">
        <f t="shared" si="26"/>
        <v>-49.699098395635133</v>
      </c>
      <c r="G241" s="11">
        <f t="shared" si="27"/>
        <v>-49.67005854162727</v>
      </c>
    </row>
    <row r="242" spans="5:7" x14ac:dyDescent="0.25">
      <c r="E242" s="11">
        <f t="shared" si="25"/>
        <v>-180</v>
      </c>
      <c r="F242" s="11">
        <f t="shared" si="26"/>
        <v>-49.629188834362935</v>
      </c>
      <c r="G242" s="11">
        <f t="shared" si="27"/>
        <v>-49.593922212642362</v>
      </c>
    </row>
    <row r="243" spans="5:7" x14ac:dyDescent="0.25">
      <c r="E243" s="11">
        <f t="shared" si="25"/>
        <v>-179</v>
      </c>
      <c r="F243" s="11">
        <f t="shared" si="26"/>
        <v>-49.556211347947624</v>
      </c>
      <c r="G243" s="11">
        <f t="shared" si="27"/>
        <v>-49.515846807142566</v>
      </c>
    </row>
    <row r="244" spans="5:7" x14ac:dyDescent="0.25">
      <c r="E244" s="11">
        <f t="shared" si="25"/>
        <v>-178</v>
      </c>
      <c r="F244" s="11">
        <f t="shared" si="26"/>
        <v>-49.480010484582522</v>
      </c>
      <c r="G244" s="11">
        <f t="shared" si="27"/>
        <v>-49.435735371302151</v>
      </c>
    </row>
    <row r="245" spans="5:7" x14ac:dyDescent="0.25">
      <c r="E245" s="11">
        <f t="shared" si="25"/>
        <v>-177</v>
      </c>
      <c r="F245" s="11">
        <f t="shared" si="26"/>
        <v>-49.400461189878342</v>
      </c>
      <c r="G245" s="11">
        <f t="shared" si="27"/>
        <v>-49.353490951295356</v>
      </c>
    </row>
    <row r="246" spans="5:7" x14ac:dyDescent="0.25">
      <c r="E246" s="11">
        <f t="shared" si="25"/>
        <v>-176</v>
      </c>
      <c r="F246" s="11">
        <f t="shared" si="26"/>
        <v>-49.317466061266941</v>
      </c>
      <c r="G246" s="11">
        <f t="shared" si="27"/>
        <v>-49.269016593296456</v>
      </c>
    </row>
    <row r="247" spans="5:7" x14ac:dyDescent="0.25">
      <c r="E247" s="11">
        <f t="shared" si="25"/>
        <v>-175</v>
      </c>
      <c r="F247" s="11">
        <f t="shared" si="26"/>
        <v>-49.230952731905063</v>
      </c>
      <c r="G247" s="11">
        <f t="shared" si="27"/>
        <v>-49.182215343479697</v>
      </c>
    </row>
    <row r="248" spans="5:7" x14ac:dyDescent="0.25">
      <c r="E248" s="11">
        <f t="shared" si="25"/>
        <v>-174</v>
      </c>
      <c r="F248" s="11">
        <f t="shared" si="26"/>
        <v>-49.140871380947146</v>
      </c>
      <c r="G248" s="11">
        <f t="shared" si="27"/>
        <v>-49.092990248019319</v>
      </c>
    </row>
    <row r="249" spans="5:7" x14ac:dyDescent="0.25">
      <c r="E249" s="11">
        <f t="shared" si="25"/>
        <v>-173</v>
      </c>
      <c r="F249" s="11">
        <f t="shared" si="26"/>
        <v>-49.047192367081834</v>
      </c>
      <c r="G249" s="11">
        <f t="shared" si="27"/>
        <v>-49.001244353089604</v>
      </c>
    </row>
    <row r="250" spans="5:7" x14ac:dyDescent="0.25">
      <c r="E250" s="11">
        <f t="shared" si="25"/>
        <v>-172</v>
      </c>
      <c r="F250" s="11">
        <f t="shared" si="26"/>
        <v>-48.949903982252977</v>
      </c>
      <c r="G250" s="11">
        <f t="shared" si="27"/>
        <v>-48.906880704864804</v>
      </c>
    </row>
    <row r="251" spans="5:7" x14ac:dyDescent="0.25">
      <c r="E251" s="11">
        <f t="shared" si="25"/>
        <v>-171</v>
      </c>
      <c r="F251" s="11">
        <f t="shared" si="26"/>
        <v>-48.849010322530376</v>
      </c>
      <c r="G251" s="11">
        <f t="shared" si="27"/>
        <v>-48.80980234951916</v>
      </c>
    </row>
    <row r="252" spans="5:7" x14ac:dyDescent="0.25">
      <c r="E252" s="11">
        <f t="shared" si="25"/>
        <v>-170</v>
      </c>
      <c r="F252" s="11">
        <f t="shared" si="26"/>
        <v>-48.744529273110857</v>
      </c>
      <c r="G252" s="11">
        <f t="shared" si="27"/>
        <v>-48.709912333226939</v>
      </c>
    </row>
    <row r="253" spans="5:7" x14ac:dyDescent="0.25">
      <c r="E253" s="11">
        <f t="shared" si="25"/>
        <v>-169</v>
      </c>
      <c r="F253" s="11">
        <f t="shared" si="26"/>
        <v>-48.636490604474147</v>
      </c>
      <c r="G253" s="11">
        <f t="shared" si="27"/>
        <v>-48.607113702162387</v>
      </c>
    </row>
    <row r="254" spans="5:7" x14ac:dyDescent="0.25">
      <c r="E254" s="11">
        <f t="shared" si="25"/>
        <v>-168</v>
      </c>
      <c r="F254" s="11">
        <f t="shared" si="26"/>
        <v>-48.524934176737133</v>
      </c>
      <c r="G254" s="11">
        <f t="shared" si="27"/>
        <v>-48.501309502499772</v>
      </c>
    </row>
    <row r="255" spans="5:7" x14ac:dyDescent="0.25">
      <c r="E255" s="11">
        <f t="shared" si="25"/>
        <v>-167</v>
      </c>
      <c r="F255" s="11">
        <f t="shared" si="26"/>
        <v>-48.4099082492977</v>
      </c>
      <c r="G255" s="11">
        <f t="shared" si="27"/>
        <v>-48.392402780413342</v>
      </c>
    </row>
    <row r="256" spans="5:7" x14ac:dyDescent="0.25">
      <c r="E256" s="11">
        <f t="shared" si="25"/>
        <v>-166</v>
      </c>
      <c r="F256" s="11">
        <f t="shared" si="26"/>
        <v>-48.291467892865228</v>
      </c>
      <c r="G256" s="11">
        <f t="shared" si="27"/>
        <v>-48.280296582077355</v>
      </c>
    </row>
    <row r="257" spans="5:7" x14ac:dyDescent="0.25">
      <c r="E257" s="11">
        <f t="shared" si="25"/>
        <v>-165</v>
      </c>
      <c r="F257" s="11">
        <f t="shared" si="26"/>
        <v>-48.169673501038233</v>
      </c>
      <c r="G257" s="11">
        <f t="shared" si="27"/>
        <v>-48.164893953666066</v>
      </c>
    </row>
    <row r="258" spans="5:7" x14ac:dyDescent="0.25">
      <c r="E258" s="11">
        <f t="shared" si="25"/>
        <v>-164</v>
      </c>
      <c r="F258" s="11">
        <f t="shared" si="26"/>
        <v>-48.044589398591199</v>
      </c>
      <c r="G258" s="11">
        <f t="shared" si="27"/>
        <v>-48.046097941353736</v>
      </c>
    </row>
    <row r="259" spans="5:7" x14ac:dyDescent="0.25">
      <c r="E259" s="11">
        <f t="shared" si="25"/>
        <v>-163</v>
      </c>
      <c r="F259" s="11">
        <f t="shared" si="26"/>
        <v>-47.916282543678108</v>
      </c>
      <c r="G259" s="11">
        <f t="shared" si="27"/>
        <v>-47.923811591314617</v>
      </c>
    </row>
    <row r="260" spans="5:7" x14ac:dyDescent="0.25">
      <c r="E260" s="11">
        <f t="shared" si="25"/>
        <v>-162</v>
      </c>
      <c r="F260" s="11">
        <f t="shared" si="26"/>
        <v>-47.78482132119359</v>
      </c>
      <c r="G260" s="11">
        <f t="shared" si="27"/>
        <v>-47.797937949722957</v>
      </c>
    </row>
    <row r="261" spans="5:7" x14ac:dyDescent="0.25">
      <c r="E261" s="11">
        <f t="shared" si="25"/>
        <v>-161</v>
      </c>
      <c r="F261" s="11">
        <f t="shared" si="26"/>
        <v>-47.650274424553459</v>
      </c>
      <c r="G261" s="11">
        <f t="shared" si="27"/>
        <v>-47.66838006275303</v>
      </c>
    </row>
    <row r="262" spans="5:7" x14ac:dyDescent="0.25">
      <c r="E262" s="11">
        <f t="shared" si="25"/>
        <v>-160</v>
      </c>
      <c r="F262" s="11">
        <f t="shared" si="26"/>
        <v>-47.512709823196985</v>
      </c>
      <c r="G262" s="11">
        <f t="shared" si="27"/>
        <v>-47.535040976579076</v>
      </c>
    </row>
    <row r="263" spans="5:7" x14ac:dyDescent="0.25">
      <c r="E263" s="11">
        <f t="shared" si="25"/>
        <v>-159</v>
      </c>
      <c r="F263" s="11">
        <f t="shared" si="26"/>
        <v>-47.372193813137812</v>
      </c>
      <c r="G263" s="11">
        <f t="shared" si="27"/>
        <v>-47.400550080109269</v>
      </c>
    </row>
    <row r="264" spans="5:7" x14ac:dyDescent="0.25">
      <c r="E264" s="11">
        <f t="shared" si="25"/>
        <v>-158</v>
      </c>
      <c r="F264" s="11">
        <f t="shared" si="26"/>
        <v>-47.228790147925508</v>
      </c>
      <c r="G264" s="11">
        <f t="shared" si="27"/>
        <v>-47.262243688174621</v>
      </c>
    </row>
    <row r="265" spans="5:7" x14ac:dyDescent="0.25">
      <c r="E265" s="11">
        <f t="shared" si="25"/>
        <v>-157</v>
      </c>
      <c r="F265" s="11">
        <f t="shared" si="26"/>
        <v>-47.08255924740763</v>
      </c>
      <c r="G265" s="11">
        <f t="shared" si="27"/>
        <v>-47.120184458340098</v>
      </c>
    </row>
    <row r="266" spans="5:7" x14ac:dyDescent="0.25">
      <c r="E266" s="11">
        <f t="shared" si="25"/>
        <v>-156</v>
      </c>
      <c r="F266" s="11">
        <f t="shared" si="26"/>
        <v>-46.933557481718935</v>
      </c>
      <c r="G266" s="11">
        <f t="shared" si="27"/>
        <v>-46.974435048170633</v>
      </c>
    </row>
    <row r="267" spans="5:7" x14ac:dyDescent="0.25">
      <c r="E267" s="11">
        <f t="shared" si="25"/>
        <v>-155</v>
      </c>
      <c r="F267" s="11">
        <f t="shared" si="26"/>
        <v>-46.781836527945075</v>
      </c>
      <c r="G267" s="11">
        <f t="shared" si="27"/>
        <v>-46.825058115231158</v>
      </c>
    </row>
    <row r="268" spans="5:7" x14ac:dyDescent="0.25">
      <c r="E268" s="11">
        <f t="shared" si="25"/>
        <v>-154</v>
      </c>
      <c r="F268" s="11">
        <f t="shared" si="26"/>
        <v>-46.627442796949737</v>
      </c>
      <c r="G268" s="11">
        <f t="shared" si="27"/>
        <v>-46.672116317086648</v>
      </c>
    </row>
    <row r="269" spans="5:7" x14ac:dyDescent="0.25">
      <c r="E269" s="11">
        <f t="shared" si="25"/>
        <v>-153</v>
      </c>
      <c r="F269" s="11">
        <f t="shared" si="26"/>
        <v>-46.470416927881445</v>
      </c>
      <c r="G269" s="11">
        <f t="shared" si="27"/>
        <v>-46.515672311302005</v>
      </c>
    </row>
    <row r="270" spans="5:7" x14ac:dyDescent="0.25">
      <c r="E270" s="11">
        <f t="shared" si="25"/>
        <v>-152</v>
      </c>
      <c r="F270" s="11">
        <f t="shared" si="26"/>
        <v>-46.310793347903854</v>
      </c>
      <c r="G270" s="11">
        <f t="shared" si="27"/>
        <v>-46.355788755442198</v>
      </c>
    </row>
    <row r="271" spans="5:7" x14ac:dyDescent="0.25">
      <c r="E271" s="11">
        <f t="shared" si="25"/>
        <v>-151</v>
      </c>
      <c r="F271" s="11">
        <f t="shared" si="26"/>
        <v>-46.148599894729358</v>
      </c>
      <c r="G271" s="11">
        <f t="shared" si="27"/>
        <v>-46.192528307072152</v>
      </c>
    </row>
    <row r="272" spans="5:7" x14ac:dyDescent="0.25">
      <c r="E272" s="11">
        <f t="shared" si="25"/>
        <v>-150</v>
      </c>
      <c r="F272" s="11">
        <f t="shared" si="26"/>
        <v>-45.983857499563584</v>
      </c>
      <c r="G272" s="11">
        <f t="shared" si="27"/>
        <v>-46.02595362375682</v>
      </c>
    </row>
    <row r="273" spans="5:7" x14ac:dyDescent="0.25">
      <c r="E273" s="11">
        <f t="shared" si="25"/>
        <v>-149</v>
      </c>
      <c r="F273" s="11">
        <f t="shared" si="26"/>
        <v>-45.816579928102442</v>
      </c>
      <c r="G273" s="11">
        <f t="shared" si="27"/>
        <v>-45.856127363061134</v>
      </c>
    </row>
    <row r="274" spans="5:7" x14ac:dyDescent="0.25">
      <c r="E274" s="11">
        <f t="shared" si="25"/>
        <v>-148</v>
      </c>
      <c r="F274" s="11">
        <f t="shared" si="26"/>
        <v>-45.646773577250855</v>
      </c>
      <c r="G274" s="11">
        <f t="shared" si="27"/>
        <v>-45.683112182550047</v>
      </c>
    </row>
    <row r="275" spans="5:7" x14ac:dyDescent="0.25">
      <c r="E275" s="11">
        <f t="shared" si="25"/>
        <v>-147</v>
      </c>
      <c r="F275" s="11">
        <f t="shared" si="26"/>
        <v>-45.474437325266109</v>
      </c>
      <c r="G275" s="11">
        <f t="shared" si="27"/>
        <v>-45.5069707397885</v>
      </c>
    </row>
    <row r="276" spans="5:7" x14ac:dyDescent="0.25">
      <c r="E276" s="11">
        <f t="shared" si="25"/>
        <v>-146</v>
      </c>
      <c r="F276" s="11">
        <f t="shared" si="26"/>
        <v>-45.299562433057986</v>
      </c>
      <c r="G276" s="11">
        <f t="shared" si="27"/>
        <v>-45.327765692341416</v>
      </c>
    </row>
    <row r="277" spans="5:7" x14ac:dyDescent="0.25">
      <c r="E277" s="11">
        <f t="shared" si="25"/>
        <v>-145</v>
      </c>
      <c r="F277" s="11">
        <f t="shared" si="26"/>
        <v>-45.122132494411375</v>
      </c>
      <c r="G277" s="11">
        <f t="shared" si="27"/>
        <v>-45.145559697773763</v>
      </c>
    </row>
    <row r="278" spans="5:7" x14ac:dyDescent="0.25">
      <c r="E278" s="11">
        <f t="shared" si="25"/>
        <v>-144</v>
      </c>
      <c r="F278" s="11">
        <f t="shared" si="26"/>
        <v>-44.942123432925143</v>
      </c>
      <c r="G278" s="11">
        <f t="shared" si="27"/>
        <v>-44.960415413650466</v>
      </c>
    </row>
    <row r="279" spans="5:7" x14ac:dyDescent="0.25">
      <c r="E279" s="11">
        <f t="shared" si="25"/>
        <v>-143</v>
      </c>
      <c r="F279" s="11">
        <f t="shared" si="26"/>
        <v>-44.759503543491832</v>
      </c>
      <c r="G279" s="11">
        <f t="shared" si="27"/>
        <v>-44.772395497536465</v>
      </c>
    </row>
    <row r="280" spans="5:7" x14ac:dyDescent="0.25">
      <c r="E280" s="11">
        <f t="shared" si="25"/>
        <v>-142</v>
      </c>
      <c r="F280" s="11">
        <f t="shared" si="26"/>
        <v>-44.574233576181641</v>
      </c>
      <c r="G280" s="11">
        <f t="shared" si="27"/>
        <v>-44.581562606996719</v>
      </c>
    </row>
    <row r="281" spans="5:7" x14ac:dyDescent="0.25">
      <c r="E281" s="11">
        <f t="shared" si="25"/>
        <v>-141</v>
      </c>
      <c r="F281" s="11">
        <f t="shared" si="26"/>
        <v>-44.386266860409151</v>
      </c>
      <c r="G281" s="11">
        <f t="shared" si="27"/>
        <v>-44.387979399596155</v>
      </c>
    </row>
    <row r="282" spans="5:7" x14ac:dyDescent="0.25">
      <c r="E282" s="11">
        <f t="shared" si="25"/>
        <v>-140</v>
      </c>
      <c r="F282" s="11">
        <f t="shared" si="26"/>
        <v>-44.195549467311821</v>
      </c>
      <c r="G282" s="11">
        <f t="shared" si="27"/>
        <v>-44.19170853289971</v>
      </c>
    </row>
    <row r="283" spans="5:7" x14ac:dyDescent="0.25">
      <c r="E283" s="11">
        <f t="shared" si="25"/>
        <v>-139</v>
      </c>
      <c r="F283" s="11">
        <f t="shared" si="26"/>
        <v>-44.00202040828286</v>
      </c>
      <c r="G283" s="11">
        <f t="shared" si="27"/>
        <v>-43.992812664472339</v>
      </c>
    </row>
    <row r="284" spans="5:7" x14ac:dyDescent="0.25">
      <c r="E284" s="11">
        <f t="shared" si="25"/>
        <v>-138</v>
      </c>
      <c r="F284" s="11">
        <f t="shared" si="26"/>
        <v>-43.805611867647315</v>
      </c>
      <c r="G284" s="11">
        <f t="shared" si="27"/>
        <v>-43.791354451878981</v>
      </c>
    </row>
    <row r="285" spans="5:7" x14ac:dyDescent="0.25">
      <c r="E285" s="11">
        <f t="shared" si="25"/>
        <v>-137</v>
      </c>
      <c r="F285" s="11">
        <f t="shared" si="26"/>
        <v>-43.606249467484233</v>
      </c>
      <c r="G285" s="11">
        <f t="shared" si="27"/>
        <v>-43.587396552684581</v>
      </c>
    </row>
    <row r="286" spans="5:7" x14ac:dyDescent="0.25">
      <c r="E286" s="11">
        <f t="shared" si="25"/>
        <v>-136</v>
      </c>
      <c r="F286" s="11">
        <f t="shared" si="26"/>
        <v>-43.403852562649533</v>
      </c>
      <c r="G286" s="11">
        <f t="shared" si="27"/>
        <v>-43.381001624454058</v>
      </c>
    </row>
    <row r="287" spans="5:7" x14ac:dyDescent="0.25">
      <c r="E287" s="11">
        <f t="shared" ref="E287:E350" si="28">E80</f>
        <v>-135</v>
      </c>
      <c r="F287" s="11">
        <f t="shared" ref="F287:F350" si="29">$H$217*0+E287*$I$217+E287^2*$J$217+E287^3*$K$217+E287^4*$L$217+E287^5*$M$217+E287^6*$N$217+E287^7*$O$217+E287^8*$P$217</f>
        <v>-43.198334564063828</v>
      </c>
      <c r="G287" s="11">
        <f t="shared" ref="G287:G350" si="30">F80</f>
        <v>-43.172232324752386</v>
      </c>
    </row>
    <row r="288" spans="5:7" x14ac:dyDescent="0.25">
      <c r="E288" s="11">
        <f t="shared" si="28"/>
        <v>-134</v>
      </c>
      <c r="F288" s="11">
        <f t="shared" si="29"/>
        <v>-42.989603288378063</v>
      </c>
      <c r="G288" s="11">
        <f t="shared" si="30"/>
        <v>-42.961110984273624</v>
      </c>
    </row>
    <row r="289" spans="5:7" x14ac:dyDescent="0.25">
      <c r="E289" s="11">
        <f t="shared" si="28"/>
        <v>-133</v>
      </c>
      <c r="F289" s="11">
        <f t="shared" si="29"/>
        <v>-42.777561332149318</v>
      </c>
      <c r="G289" s="11">
        <f t="shared" si="30"/>
        <v>-42.747498626228428</v>
      </c>
    </row>
    <row r="290" spans="5:7" x14ac:dyDescent="0.25">
      <c r="E290" s="11">
        <f t="shared" si="28"/>
        <v>-132</v>
      </c>
      <c r="F290" s="11">
        <f t="shared" si="29"/>
        <v>-42.562106468697351</v>
      </c>
      <c r="G290" s="11">
        <f t="shared" si="30"/>
        <v>-42.531215946956543</v>
      </c>
    </row>
    <row r="291" spans="5:7" x14ac:dyDescent="0.25">
      <c r="E291" s="11">
        <f t="shared" si="28"/>
        <v>-131</v>
      </c>
      <c r="F291" s="11">
        <f t="shared" si="29"/>
        <v>-42.34313206583694</v>
      </c>
      <c r="G291" s="11">
        <f t="shared" si="30"/>
        <v>-42.312083642797774</v>
      </c>
    </row>
    <row r="292" spans="5:7" x14ac:dyDescent="0.25">
      <c r="E292" s="11">
        <f t="shared" si="28"/>
        <v>-130</v>
      </c>
      <c r="F292" s="11">
        <f t="shared" si="29"/>
        <v>-42.120527522720295</v>
      </c>
      <c r="G292" s="11">
        <f t="shared" si="30"/>
        <v>-42.08992241009188</v>
      </c>
    </row>
    <row r="293" spans="5:7" x14ac:dyDescent="0.25">
      <c r="E293" s="11">
        <f t="shared" si="28"/>
        <v>-129</v>
      </c>
      <c r="F293" s="11">
        <f t="shared" si="29"/>
        <v>-41.894178724046391</v>
      </c>
      <c r="G293" s="11">
        <f t="shared" si="30"/>
        <v>-41.864552945178652</v>
      </c>
    </row>
    <row r="294" spans="5:7" x14ac:dyDescent="0.25">
      <c r="E294" s="11">
        <f t="shared" si="28"/>
        <v>-128</v>
      </c>
      <c r="F294" s="11">
        <f t="shared" si="29"/>
        <v>-41.663968509930974</v>
      </c>
      <c r="G294" s="11">
        <f t="shared" si="30"/>
        <v>-41.635795944397856</v>
      </c>
    </row>
    <row r="295" spans="5:7" x14ac:dyDescent="0.25">
      <c r="E295" s="11">
        <f t="shared" si="28"/>
        <v>-127</v>
      </c>
      <c r="F295" s="11">
        <f t="shared" si="29"/>
        <v>-41.429777159759801</v>
      </c>
      <c r="G295" s="11">
        <f t="shared" si="30"/>
        <v>-41.403472104089261</v>
      </c>
    </row>
    <row r="296" spans="5:7" x14ac:dyDescent="0.25">
      <c r="E296" s="11">
        <f t="shared" si="28"/>
        <v>-126</v>
      </c>
      <c r="F296" s="11">
        <f t="shared" si="29"/>
        <v>-41.191482888379355</v>
      </c>
      <c r="G296" s="11">
        <f t="shared" si="30"/>
        <v>-41.167402120592662</v>
      </c>
    </row>
    <row r="297" spans="5:7" x14ac:dyDescent="0.25">
      <c r="E297" s="11">
        <f t="shared" si="28"/>
        <v>-125</v>
      </c>
      <c r="F297" s="11">
        <f t="shared" si="29"/>
        <v>-40.94896235300854</v>
      </c>
      <c r="G297" s="11">
        <f t="shared" si="30"/>
        <v>-40.927406690247821</v>
      </c>
    </row>
    <row r="298" spans="5:7" x14ac:dyDescent="0.25">
      <c r="E298" s="11">
        <f t="shared" si="28"/>
        <v>-124</v>
      </c>
      <c r="F298" s="11">
        <f t="shared" si="29"/>
        <v>-40.70209116928919</v>
      </c>
      <c r="G298" s="11">
        <f t="shared" si="30"/>
        <v>-40.683306509394512</v>
      </c>
    </row>
    <row r="299" spans="5:7" x14ac:dyDescent="0.25">
      <c r="E299" s="11">
        <f t="shared" si="28"/>
        <v>-123</v>
      </c>
      <c r="F299" s="11">
        <f t="shared" si="29"/>
        <v>-40.450744434921646</v>
      </c>
      <c r="G299" s="11">
        <f t="shared" si="30"/>
        <v>-40.434922274372525</v>
      </c>
    </row>
    <row r="300" spans="5:7" x14ac:dyDescent="0.25">
      <c r="E300" s="11">
        <f t="shared" si="28"/>
        <v>-122</v>
      </c>
      <c r="F300" s="11">
        <f t="shared" si="29"/>
        <v>-40.194797259363042</v>
      </c>
      <c r="G300" s="11">
        <f t="shared" si="30"/>
        <v>-40.182074681521627</v>
      </c>
    </row>
    <row r="301" spans="5:7" x14ac:dyDescent="0.25">
      <c r="E301" s="11">
        <f t="shared" si="28"/>
        <v>-121</v>
      </c>
      <c r="F301" s="11">
        <f t="shared" si="29"/>
        <v>-39.934125298097563</v>
      </c>
      <c r="G301" s="11">
        <f t="shared" si="30"/>
        <v>-39.924584427181593</v>
      </c>
    </row>
    <row r="302" spans="5:7" x14ac:dyDescent="0.25">
      <c r="E302" s="11">
        <f t="shared" si="28"/>
        <v>-120</v>
      </c>
      <c r="F302" s="11">
        <f t="shared" si="29"/>
        <v>-39.668605290020665</v>
      </c>
      <c r="G302" s="11">
        <f t="shared" si="30"/>
        <v>-39.662272207692197</v>
      </c>
    </row>
    <row r="303" spans="5:7" x14ac:dyDescent="0.25">
      <c r="E303" s="11">
        <f t="shared" si="28"/>
        <v>-119</v>
      </c>
      <c r="F303" s="11">
        <f t="shared" si="29"/>
        <v>-39.398115596504582</v>
      </c>
      <c r="G303" s="11">
        <f t="shared" si="30"/>
        <v>-39.39495871939323</v>
      </c>
    </row>
    <row r="304" spans="5:7" x14ac:dyDescent="0.25">
      <c r="E304" s="11">
        <f t="shared" si="28"/>
        <v>-118</v>
      </c>
      <c r="F304" s="11">
        <f t="shared" si="29"/>
        <v>-39.122536740751933</v>
      </c>
      <c r="G304" s="11">
        <f t="shared" si="30"/>
        <v>-39.122464658624445</v>
      </c>
    </row>
    <row r="305" spans="5:7" x14ac:dyDescent="0.25">
      <c r="E305" s="11">
        <f t="shared" si="28"/>
        <v>-117</v>
      </c>
      <c r="F305" s="11">
        <f t="shared" si="29"/>
        <v>-38.84175194606744</v>
      </c>
      <c r="G305" s="11">
        <f t="shared" si="30"/>
        <v>-38.84461072172563</v>
      </c>
    </row>
    <row r="306" spans="5:7" x14ac:dyDescent="0.25">
      <c r="E306" s="11">
        <f t="shared" si="28"/>
        <v>-116</v>
      </c>
      <c r="F306" s="11">
        <f t="shared" si="29"/>
        <v>-38.555647671713011</v>
      </c>
      <c r="G306" s="11">
        <f t="shared" si="30"/>
        <v>-38.56121760503656</v>
      </c>
    </row>
    <row r="307" spans="5:7" x14ac:dyDescent="0.25">
      <c r="E307" s="11">
        <f t="shared" si="28"/>
        <v>-115</v>
      </c>
      <c r="F307" s="11">
        <f t="shared" si="29"/>
        <v>-38.264114145042399</v>
      </c>
      <c r="G307" s="11">
        <f t="shared" si="30"/>
        <v>-38.272106004897019</v>
      </c>
    </row>
    <row r="308" spans="5:7" x14ac:dyDescent="0.25">
      <c r="E308" s="11">
        <f t="shared" si="28"/>
        <v>-114</v>
      </c>
      <c r="F308" s="11">
        <f t="shared" si="29"/>
        <v>-37.967045888641209</v>
      </c>
      <c r="G308" s="11">
        <f t="shared" si="30"/>
        <v>-37.977096617646772</v>
      </c>
    </row>
    <row r="309" spans="5:7" x14ac:dyDescent="0.25">
      <c r="E309" s="11">
        <f t="shared" si="28"/>
        <v>-113</v>
      </c>
      <c r="F309" s="11">
        <f t="shared" si="29"/>
        <v>-37.664342241229463</v>
      </c>
      <c r="G309" s="11">
        <f t="shared" si="30"/>
        <v>-37.676010139625596</v>
      </c>
    </row>
    <row r="310" spans="5:7" x14ac:dyDescent="0.25">
      <c r="E310" s="11">
        <f t="shared" si="28"/>
        <v>-112</v>
      </c>
      <c r="F310" s="11">
        <f t="shared" si="29"/>
        <v>-37.355907871115335</v>
      </c>
      <c r="G310" s="11">
        <f t="shared" si="30"/>
        <v>-37.368667267173279</v>
      </c>
    </row>
    <row r="311" spans="5:7" x14ac:dyDescent="0.25">
      <c r="E311" s="11">
        <f t="shared" si="28"/>
        <v>-111</v>
      </c>
      <c r="F311" s="11">
        <f t="shared" si="29"/>
        <v>-37.04165328102097</v>
      </c>
      <c r="G311" s="11">
        <f t="shared" si="30"/>
        <v>-37.054888696629575</v>
      </c>
    </row>
    <row r="312" spans="5:7" x14ac:dyDescent="0.25">
      <c r="E312" s="11">
        <f t="shared" si="28"/>
        <v>-110</v>
      </c>
      <c r="F312" s="11">
        <f t="shared" si="29"/>
        <v>-36.721495303128549</v>
      </c>
      <c r="G312" s="11">
        <f t="shared" si="30"/>
        <v>-36.734495124334281</v>
      </c>
    </row>
    <row r="313" spans="5:7" x14ac:dyDescent="0.25">
      <c r="E313" s="11">
        <f t="shared" si="28"/>
        <v>-109</v>
      </c>
      <c r="F313" s="11">
        <f t="shared" si="29"/>
        <v>-36.39535758323062</v>
      </c>
      <c r="G313" s="11">
        <f t="shared" si="30"/>
        <v>-36.407351576339437</v>
      </c>
    </row>
    <row r="314" spans="5:7" x14ac:dyDescent="0.25">
      <c r="E314" s="11">
        <f t="shared" si="28"/>
        <v>-108</v>
      </c>
      <c r="F314" s="11">
        <f t="shared" si="29"/>
        <v>-36.063171052895612</v>
      </c>
      <c r="G314" s="11">
        <f t="shared" si="30"/>
        <v>-36.073500397546148</v>
      </c>
    </row>
    <row r="315" spans="5:7" x14ac:dyDescent="0.25">
      <c r="E315" s="11">
        <f t="shared" si="28"/>
        <v>-107</v>
      </c>
      <c r="F315" s="11">
        <f t="shared" si="29"/>
        <v>-35.724874388593904</v>
      </c>
      <c r="G315" s="11">
        <f t="shared" si="30"/>
        <v>-35.733028262567828</v>
      </c>
    </row>
    <row r="316" spans="5:7" x14ac:dyDescent="0.25">
      <c r="E316" s="11">
        <f t="shared" si="28"/>
        <v>-106</v>
      </c>
      <c r="F316" s="11">
        <f t="shared" si="29"/>
        <v>-35.380414456757983</v>
      </c>
      <c r="G316" s="11">
        <f t="shared" si="30"/>
        <v>-35.386021846017861</v>
      </c>
    </row>
    <row r="317" spans="5:7" x14ac:dyDescent="0.25">
      <c r="E317" s="11">
        <f t="shared" si="28"/>
        <v>-105</v>
      </c>
      <c r="F317" s="11">
        <f t="shared" si="29"/>
        <v>-35.029746743782482</v>
      </c>
      <c r="G317" s="11">
        <f t="shared" si="30"/>
        <v>-35.032567822509634</v>
      </c>
    </row>
    <row r="318" spans="5:7" x14ac:dyDescent="0.25">
      <c r="E318" s="11">
        <f t="shared" si="28"/>
        <v>-104</v>
      </c>
      <c r="F318" s="11">
        <f t="shared" si="29"/>
        <v>-34.672835770002436</v>
      </c>
      <c r="G318" s="11">
        <f t="shared" si="30"/>
        <v>-34.672752866656531</v>
      </c>
    </row>
    <row r="319" spans="5:7" x14ac:dyDescent="0.25">
      <c r="E319" s="11">
        <f t="shared" si="28"/>
        <v>-103</v>
      </c>
      <c r="F319" s="11">
        <f t="shared" si="29"/>
        <v>-34.309655486716032</v>
      </c>
      <c r="G319" s="11">
        <f t="shared" si="30"/>
        <v>-34.306663653071958</v>
      </c>
    </row>
    <row r="320" spans="5:7" x14ac:dyDescent="0.25">
      <c r="E320" s="11">
        <f t="shared" si="28"/>
        <v>-102</v>
      </c>
      <c r="F320" s="11">
        <f t="shared" si="29"/>
        <v>-33.940189655351531</v>
      </c>
      <c r="G320" s="11">
        <f t="shared" si="30"/>
        <v>-33.934386856369301</v>
      </c>
    </row>
    <row r="321" spans="5:7" x14ac:dyDescent="0.25">
      <c r="E321" s="11">
        <f t="shared" si="28"/>
        <v>-101</v>
      </c>
      <c r="F321" s="11">
        <f t="shared" si="29"/>
        <v>-33.564432207908659</v>
      </c>
      <c r="G321" s="11">
        <f t="shared" si="30"/>
        <v>-33.556009151161945</v>
      </c>
    </row>
    <row r="322" spans="5:7" x14ac:dyDescent="0.25">
      <c r="E322" s="11">
        <f t="shared" si="28"/>
        <v>-100</v>
      </c>
      <c r="F322" s="11">
        <f t="shared" si="29"/>
        <v>-33.182387587834974</v>
      </c>
      <c r="G322" s="11">
        <f t="shared" si="30"/>
        <v>-33.171617212063289</v>
      </c>
    </row>
    <row r="323" spans="5:7" x14ac:dyDescent="0.25">
      <c r="E323" s="11">
        <f t="shared" si="28"/>
        <v>-99</v>
      </c>
      <c r="F323" s="11">
        <f t="shared" si="29"/>
        <v>-32.794071070529853</v>
      </c>
      <c r="G323" s="11">
        <f t="shared" si="30"/>
        <v>-32.781297713686719</v>
      </c>
    </row>
    <row r="324" spans="5:7" x14ac:dyDescent="0.25">
      <c r="E324" s="11">
        <f t="shared" si="28"/>
        <v>-98</v>
      </c>
      <c r="F324" s="11">
        <f t="shared" si="29"/>
        <v>-32.399509062698165</v>
      </c>
      <c r="G324" s="11">
        <f t="shared" si="30"/>
        <v>-32.385137330645627</v>
      </c>
    </row>
    <row r="325" spans="5:7" x14ac:dyDescent="0.25">
      <c r="E325" s="11">
        <f t="shared" si="28"/>
        <v>-97</v>
      </c>
      <c r="F325" s="11">
        <f t="shared" si="29"/>
        <v>-31.998739379809926</v>
      </c>
      <c r="G325" s="11">
        <f t="shared" si="30"/>
        <v>-31.983222737553412</v>
      </c>
    </row>
    <row r="326" spans="5:7" x14ac:dyDescent="0.25">
      <c r="E326" s="11">
        <f t="shared" si="28"/>
        <v>-96</v>
      </c>
      <c r="F326" s="11">
        <f t="shared" si="29"/>
        <v>-31.591811500948694</v>
      </c>
      <c r="G326" s="11">
        <f t="shared" si="30"/>
        <v>-31.575640609023445</v>
      </c>
    </row>
    <row r="327" spans="5:7" x14ac:dyDescent="0.25">
      <c r="E327" s="11">
        <f t="shared" si="28"/>
        <v>-95</v>
      </c>
      <c r="F327" s="11">
        <f t="shared" si="29"/>
        <v>-31.178786800366566</v>
      </c>
      <c r="G327" s="11">
        <f t="shared" si="30"/>
        <v>-31.16247761966914</v>
      </c>
    </row>
    <row r="328" spans="5:7" x14ac:dyDescent="0.25">
      <c r="E328" s="11">
        <f t="shared" si="28"/>
        <v>-94</v>
      </c>
      <c r="F328" s="11">
        <f t="shared" si="29"/>
        <v>-30.759738755093061</v>
      </c>
      <c r="G328" s="11">
        <f t="shared" si="30"/>
        <v>-30.743820444103871</v>
      </c>
    </row>
    <row r="329" spans="5:7" x14ac:dyDescent="0.25">
      <c r="E329" s="11">
        <f t="shared" si="28"/>
        <v>-93</v>
      </c>
      <c r="F329" s="11">
        <f t="shared" si="29"/>
        <v>-30.334753127975354</v>
      </c>
      <c r="G329" s="11">
        <f t="shared" si="30"/>
        <v>-30.319755756941042</v>
      </c>
    </row>
    <row r="330" spans="5:7" x14ac:dyDescent="0.25">
      <c r="E330" s="11">
        <f t="shared" si="28"/>
        <v>-92</v>
      </c>
      <c r="F330" s="11">
        <f t="shared" si="29"/>
        <v>-29.903928125559936</v>
      </c>
      <c r="G330" s="11">
        <f t="shared" si="30"/>
        <v>-29.890370232794034</v>
      </c>
    </row>
    <row r="331" spans="5:7" x14ac:dyDescent="0.25">
      <c r="E331" s="11">
        <f t="shared" si="28"/>
        <v>-91</v>
      </c>
      <c r="F331" s="11">
        <f t="shared" si="29"/>
        <v>-29.467374530256606</v>
      </c>
      <c r="G331" s="11">
        <f t="shared" si="30"/>
        <v>-29.455750546276242</v>
      </c>
    </row>
    <row r="332" spans="5:7" x14ac:dyDescent="0.25">
      <c r="E332" s="11">
        <f t="shared" si="28"/>
        <v>-90</v>
      </c>
      <c r="F332" s="11">
        <f t="shared" si="29"/>
        <v>-29.025215806254923</v>
      </c>
      <c r="G332" s="11">
        <f t="shared" si="30"/>
        <v>-29.015983372001052</v>
      </c>
    </row>
    <row r="333" spans="5:7" x14ac:dyDescent="0.25">
      <c r="E333" s="11">
        <f t="shared" si="28"/>
        <v>-89</v>
      </c>
      <c r="F333" s="11">
        <f t="shared" si="29"/>
        <v>-28.577588178697056</v>
      </c>
      <c r="G333" s="11">
        <f t="shared" si="30"/>
        <v>-28.571155384581864</v>
      </c>
    </row>
    <row r="334" spans="5:7" x14ac:dyDescent="0.25">
      <c r="E334" s="11">
        <f t="shared" si="28"/>
        <v>-88</v>
      </c>
      <c r="F334" s="11">
        <f t="shared" si="29"/>
        <v>-28.12464068563991</v>
      </c>
      <c r="G334" s="11">
        <f t="shared" si="30"/>
        <v>-28.12135325863207</v>
      </c>
    </row>
    <row r="335" spans="5:7" x14ac:dyDescent="0.25">
      <c r="E335" s="11">
        <f t="shared" si="28"/>
        <v>-87</v>
      </c>
      <c r="F335" s="11">
        <f t="shared" si="29"/>
        <v>-27.666535202371257</v>
      </c>
      <c r="G335" s="11">
        <f t="shared" si="30"/>
        <v>-27.666663668765047</v>
      </c>
    </row>
    <row r="336" spans="5:7" x14ac:dyDescent="0.25">
      <c r="E336" s="11">
        <f t="shared" si="28"/>
        <v>-86</v>
      </c>
      <c r="F336" s="11">
        <f t="shared" si="29"/>
        <v>-27.203446437675922</v>
      </c>
      <c r="G336" s="11">
        <f t="shared" si="30"/>
        <v>-27.207173289594195</v>
      </c>
    </row>
    <row r="337" spans="5:7" x14ac:dyDescent="0.25">
      <c r="E337" s="11">
        <f t="shared" si="28"/>
        <v>-85</v>
      </c>
      <c r="F337" s="11">
        <f t="shared" si="29"/>
        <v>-26.735561901677876</v>
      </c>
      <c r="G337" s="11">
        <f t="shared" si="30"/>
        <v>-26.74296879573291</v>
      </c>
    </row>
    <row r="338" spans="5:7" x14ac:dyDescent="0.25">
      <c r="E338" s="11">
        <f t="shared" si="28"/>
        <v>-84</v>
      </c>
      <c r="F338" s="11">
        <f t="shared" si="29"/>
        <v>-26.263081844917238</v>
      </c>
      <c r="G338" s="11">
        <f t="shared" si="30"/>
        <v>-26.274136861794574</v>
      </c>
    </row>
    <row r="339" spans="5:7" x14ac:dyDescent="0.25">
      <c r="E339" s="11">
        <f t="shared" si="28"/>
        <v>-83</v>
      </c>
      <c r="F339" s="11">
        <f t="shared" si="29"/>
        <v>-25.78621916834998</v>
      </c>
      <c r="G339" s="11">
        <f t="shared" si="30"/>
        <v>-25.800764162392582</v>
      </c>
    </row>
    <row r="340" spans="5:7" x14ac:dyDescent="0.25">
      <c r="E340" s="11">
        <f t="shared" si="28"/>
        <v>-82</v>
      </c>
      <c r="F340" s="11">
        <f t="shared" si="29"/>
        <v>-25.305199303990577</v>
      </c>
      <c r="G340" s="11">
        <f t="shared" si="30"/>
        <v>-25.322937372140323</v>
      </c>
    </row>
    <row r="341" spans="5:7" x14ac:dyDescent="0.25">
      <c r="E341" s="11">
        <f t="shared" si="28"/>
        <v>-81</v>
      </c>
      <c r="F341" s="11">
        <f t="shared" si="29"/>
        <v>-24.820260065948752</v>
      </c>
      <c r="G341" s="11">
        <f t="shared" si="30"/>
        <v>-24.840743165651197</v>
      </c>
    </row>
    <row r="342" spans="5:7" x14ac:dyDescent="0.25">
      <c r="E342" s="11">
        <f t="shared" si="28"/>
        <v>-80</v>
      </c>
      <c r="F342" s="11">
        <f t="shared" si="29"/>
        <v>-24.33165147164172</v>
      </c>
      <c r="G342" s="11">
        <f t="shared" si="30"/>
        <v>-24.354268217538579</v>
      </c>
    </row>
    <row r="343" spans="5:7" x14ac:dyDescent="0.25">
      <c r="E343" s="11">
        <f t="shared" si="28"/>
        <v>-79</v>
      </c>
      <c r="F343" s="11">
        <f t="shared" si="29"/>
        <v>-23.839635532995459</v>
      </c>
      <c r="G343" s="11">
        <f t="shared" si="30"/>
        <v>-23.863650692327475</v>
      </c>
    </row>
    <row r="344" spans="5:7" x14ac:dyDescent="0.25">
      <c r="E344" s="11">
        <f t="shared" si="28"/>
        <v>-78</v>
      </c>
      <c r="F344" s="11">
        <f t="shared" si="29"/>
        <v>-23.344486017478676</v>
      </c>
      <c r="G344" s="11">
        <f t="shared" si="30"/>
        <v>-23.369234714189229</v>
      </c>
    </row>
    <row r="345" spans="5:7" x14ac:dyDescent="0.25">
      <c r="E345" s="11">
        <f t="shared" si="28"/>
        <v>-77</v>
      </c>
      <c r="F345" s="11">
        <f t="shared" si="29"/>
        <v>-22.846488178844837</v>
      </c>
      <c r="G345" s="11">
        <f t="shared" si="30"/>
        <v>-22.871415897206823</v>
      </c>
    </row>
    <row r="346" spans="5:7" x14ac:dyDescent="0.25">
      <c r="E346" s="11">
        <f t="shared" si="28"/>
        <v>-76</v>
      </c>
      <c r="F346" s="11">
        <f t="shared" si="29"/>
        <v>-22.345938457488007</v>
      </c>
      <c r="G346" s="11">
        <f t="shared" si="30"/>
        <v>-22.370589855463212</v>
      </c>
    </row>
    <row r="347" spans="5:7" x14ac:dyDescent="0.25">
      <c r="E347" s="11">
        <f t="shared" si="28"/>
        <v>-75</v>
      </c>
      <c r="F347" s="11">
        <f t="shared" si="29"/>
        <v>-21.843144150350227</v>
      </c>
      <c r="G347" s="11">
        <f t="shared" si="30"/>
        <v>-21.867152203041364</v>
      </c>
    </row>
    <row r="348" spans="5:7" x14ac:dyDescent="0.25">
      <c r="E348" s="11">
        <f t="shared" si="28"/>
        <v>-74</v>
      </c>
      <c r="F348" s="11">
        <f t="shared" si="29"/>
        <v>-21.338423050348084</v>
      </c>
      <c r="G348" s="11">
        <f t="shared" si="30"/>
        <v>-21.361498554024237</v>
      </c>
    </row>
    <row r="349" spans="5:7" x14ac:dyDescent="0.25">
      <c r="E349" s="11">
        <f t="shared" si="28"/>
        <v>-73</v>
      </c>
      <c r="F349" s="11">
        <f t="shared" si="29"/>
        <v>-20.832103055318118</v>
      </c>
      <c r="G349" s="11">
        <f t="shared" si="30"/>
        <v>-20.854024522494797</v>
      </c>
    </row>
    <row r="350" spans="5:7" x14ac:dyDescent="0.25">
      <c r="E350" s="11">
        <f t="shared" si="28"/>
        <v>-72</v>
      </c>
      <c r="F350" s="11">
        <f t="shared" si="29"/>
        <v>-20.324521746511191</v>
      </c>
      <c r="G350" s="11">
        <f t="shared" si="30"/>
        <v>-20.345125722536011</v>
      </c>
    </row>
    <row r="351" spans="5:7" x14ac:dyDescent="0.25">
      <c r="E351" s="11">
        <f t="shared" ref="E351:E414" si="31">E144</f>
        <v>-71</v>
      </c>
      <c r="F351" s="11">
        <f t="shared" ref="F351:F414" si="32">$H$217*0+E351*$I$217+E351^2*$J$217+E351^3*$K$217+E351^4*$L$217+E351^5*$M$217+E351^6*$N$217+E351^7*$O$217+E351^8*$P$217</f>
        <v>-19.816025936697173</v>
      </c>
      <c r="G351" s="11">
        <f t="shared" ref="G351:G414" si="33">F144</f>
        <v>-19.835197768230827</v>
      </c>
    </row>
    <row r="352" spans="5:7" x14ac:dyDescent="0.25">
      <c r="E352" s="11">
        <f t="shared" si="31"/>
        <v>-70</v>
      </c>
      <c r="F352" s="11">
        <f t="shared" si="32"/>
        <v>-19.306971187972604</v>
      </c>
      <c r="G352" s="11">
        <f t="shared" si="33"/>
        <v>-19.324636273662225</v>
      </c>
    </row>
    <row r="353" spans="5:7" x14ac:dyDescent="0.25">
      <c r="E353" s="11">
        <f t="shared" si="31"/>
        <v>-69</v>
      </c>
      <c r="F353" s="11">
        <f t="shared" si="32"/>
        <v>-18.797721299394208</v>
      </c>
      <c r="G353" s="11">
        <f t="shared" si="33"/>
        <v>-18.813836852913159</v>
      </c>
    </row>
    <row r="354" spans="5:7" x14ac:dyDescent="0.25">
      <c r="E354" s="11">
        <f t="shared" si="31"/>
        <v>-68</v>
      </c>
      <c r="F354" s="11">
        <f t="shared" si="32"/>
        <v>-18.288647764593456</v>
      </c>
      <c r="G354" s="11">
        <f t="shared" si="33"/>
        <v>-18.303195120066601</v>
      </c>
    </row>
    <row r="355" spans="5:7" x14ac:dyDescent="0.25">
      <c r="E355" s="11">
        <f t="shared" si="31"/>
        <v>-67</v>
      </c>
      <c r="F355" s="11">
        <f t="shared" si="32"/>
        <v>-17.780129199557017</v>
      </c>
      <c r="G355" s="11">
        <f t="shared" si="33"/>
        <v>-17.793106689205501</v>
      </c>
    </row>
    <row r="356" spans="5:7" x14ac:dyDescent="0.25">
      <c r="E356" s="11">
        <f t="shared" si="31"/>
        <v>-66</v>
      </c>
      <c r="F356" s="11">
        <f t="shared" si="32"/>
        <v>-17.272550740790329</v>
      </c>
      <c r="G356" s="11">
        <f t="shared" si="33"/>
        <v>-17.283967174412833</v>
      </c>
    </row>
    <row r="357" spans="5:7" x14ac:dyDescent="0.25">
      <c r="E357" s="11">
        <f t="shared" si="31"/>
        <v>-65</v>
      </c>
      <c r="F357" s="11">
        <f t="shared" si="32"/>
        <v>-16.766303414111221</v>
      </c>
      <c r="G357" s="11">
        <f t="shared" si="33"/>
        <v>-16.776172189771557</v>
      </c>
    </row>
    <row r="358" spans="5:7" x14ac:dyDescent="0.25">
      <c r="E358" s="11">
        <f t="shared" si="31"/>
        <v>-64</v>
      </c>
      <c r="F358" s="11">
        <f t="shared" si="32"/>
        <v>-16.261783474352946</v>
      </c>
      <c r="G358" s="11">
        <f t="shared" si="33"/>
        <v>-16.270117349364632</v>
      </c>
    </row>
    <row r="359" spans="5:7" x14ac:dyDescent="0.25">
      <c r="E359" s="11">
        <f t="shared" si="31"/>
        <v>-63</v>
      </c>
      <c r="F359" s="11">
        <f t="shared" si="32"/>
        <v>-15.759391716285718</v>
      </c>
      <c r="G359" s="11">
        <f t="shared" si="33"/>
        <v>-15.766198267275028</v>
      </c>
    </row>
    <row r="360" spans="5:7" x14ac:dyDescent="0.25">
      <c r="E360" s="11">
        <f t="shared" si="31"/>
        <v>-62</v>
      </c>
      <c r="F360" s="11">
        <f t="shared" si="32"/>
        <v>-15.259532757097967</v>
      </c>
      <c r="G360" s="11">
        <f t="shared" si="33"/>
        <v>-15.264810557585701</v>
      </c>
    </row>
    <row r="361" spans="5:7" x14ac:dyDescent="0.25">
      <c r="E361" s="11">
        <f t="shared" si="31"/>
        <v>-61</v>
      </c>
      <c r="F361" s="11">
        <f t="shared" si="32"/>
        <v>-14.762614290808809</v>
      </c>
      <c r="G361" s="11">
        <f t="shared" si="33"/>
        <v>-14.766349834379618</v>
      </c>
    </row>
    <row r="362" spans="5:7" x14ac:dyDescent="0.25">
      <c r="E362" s="11">
        <f t="shared" si="31"/>
        <v>-60</v>
      </c>
      <c r="F362" s="11">
        <f t="shared" si="32"/>
        <v>-14.269046315014734</v>
      </c>
      <c r="G362" s="11">
        <f t="shared" si="33"/>
        <v>-14.271211711739742</v>
      </c>
    </row>
    <row r="363" spans="5:7" x14ac:dyDescent="0.25">
      <c r="E363" s="11">
        <f t="shared" si="31"/>
        <v>-59</v>
      </c>
      <c r="F363" s="11">
        <f t="shared" si="32"/>
        <v>-13.779240330404319</v>
      </c>
      <c r="G363" s="11">
        <f t="shared" si="33"/>
        <v>-13.779791803749037</v>
      </c>
    </row>
    <row r="364" spans="5:7" x14ac:dyDescent="0.25">
      <c r="E364" s="11">
        <f t="shared" si="31"/>
        <v>-58</v>
      </c>
      <c r="F364" s="11">
        <f t="shared" si="32"/>
        <v>-13.293608513505982</v>
      </c>
      <c r="G364" s="11">
        <f t="shared" si="33"/>
        <v>-13.292485724490463</v>
      </c>
    </row>
    <row r="365" spans="5:7" x14ac:dyDescent="0.25">
      <c r="E365" s="11">
        <f t="shared" si="31"/>
        <v>-57</v>
      </c>
      <c r="F365" s="11">
        <f t="shared" si="32"/>
        <v>-12.812562863164551</v>
      </c>
      <c r="G365" s="11">
        <f t="shared" si="33"/>
        <v>-12.809689088046987</v>
      </c>
    </row>
    <row r="366" spans="5:7" x14ac:dyDescent="0.25">
      <c r="E366" s="11">
        <f t="shared" si="31"/>
        <v>-56</v>
      </c>
      <c r="F366" s="11">
        <f t="shared" si="32"/>
        <v>-12.33651432127399</v>
      </c>
      <c r="G366" s="11">
        <f t="shared" si="33"/>
        <v>-12.33179750850157</v>
      </c>
    </row>
    <row r="367" spans="5:7" x14ac:dyDescent="0.25">
      <c r="E367" s="11">
        <f t="shared" si="31"/>
        <v>-55</v>
      </c>
      <c r="F367" s="11">
        <f t="shared" si="32"/>
        <v>-11.865871868324021</v>
      </c>
      <c r="G367" s="11">
        <f t="shared" si="33"/>
        <v>-11.859206599937174</v>
      </c>
    </row>
    <row r="368" spans="5:7" x14ac:dyDescent="0.25">
      <c r="E368" s="11">
        <f t="shared" si="31"/>
        <v>-54</v>
      </c>
      <c r="F368" s="11">
        <f t="shared" si="32"/>
        <v>-11.401041594349959</v>
      </c>
      <c r="G368" s="11">
        <f t="shared" si="33"/>
        <v>-11.392311976436766</v>
      </c>
    </row>
    <row r="369" spans="5:7" x14ac:dyDescent="0.25">
      <c r="E369" s="11">
        <f t="shared" si="31"/>
        <v>-53</v>
      </c>
      <c r="F369" s="11">
        <f t="shared" si="32"/>
        <v>-10.942425745905787</v>
      </c>
      <c r="G369" s="11">
        <f t="shared" si="33"/>
        <v>-10.931509252083302</v>
      </c>
    </row>
    <row r="370" spans="5:7" x14ac:dyDescent="0.25">
      <c r="E370" s="11">
        <f t="shared" si="31"/>
        <v>-52</v>
      </c>
      <c r="F370" s="11">
        <f t="shared" si="32"/>
        <v>-10.490421749711814</v>
      </c>
      <c r="G370" s="11">
        <f t="shared" si="33"/>
        <v>-10.477194040959752</v>
      </c>
    </row>
    <row r="371" spans="5:7" x14ac:dyDescent="0.25">
      <c r="E371" s="11">
        <f t="shared" si="31"/>
        <v>-51</v>
      </c>
      <c r="F371" s="11">
        <f t="shared" si="32"/>
        <v>-10.045421213658983</v>
      </c>
      <c r="G371" s="11">
        <f t="shared" si="33"/>
        <v>-10.029761957149077</v>
      </c>
    </row>
    <row r="372" spans="5:7" x14ac:dyDescent="0.25">
      <c r="E372" s="11">
        <f t="shared" si="31"/>
        <v>-50</v>
      </c>
      <c r="F372" s="11">
        <f t="shared" si="32"/>
        <v>-9.6078089058832052</v>
      </c>
      <c r="G372" s="11">
        <f t="shared" si="33"/>
        <v>-9.5896086147342388</v>
      </c>
    </row>
    <row r="373" spans="5:7" x14ac:dyDescent="0.25">
      <c r="E373" s="11">
        <f t="shared" si="31"/>
        <v>-49</v>
      </c>
      <c r="F373" s="11">
        <f t="shared" si="32"/>
        <v>-9.177961712654092</v>
      </c>
      <c r="G373" s="11">
        <f t="shared" si="33"/>
        <v>-9.1571296277982057</v>
      </c>
    </row>
    <row r="374" spans="5:7" x14ac:dyDescent="0.25">
      <c r="E374" s="11">
        <f t="shared" si="31"/>
        <v>-48</v>
      </c>
      <c r="F374" s="11">
        <f t="shared" si="32"/>
        <v>-8.7562475758533651</v>
      </c>
      <c r="G374" s="11">
        <f t="shared" si="33"/>
        <v>-8.7327206104239306</v>
      </c>
    </row>
    <row r="375" spans="5:7" x14ac:dyDescent="0.25">
      <c r="E375" s="11">
        <f t="shared" si="31"/>
        <v>-47</v>
      </c>
      <c r="F375" s="11">
        <f t="shared" si="32"/>
        <v>-8.3430244108494325</v>
      </c>
      <c r="G375" s="11">
        <f t="shared" si="33"/>
        <v>-8.3167771766943854</v>
      </c>
    </row>
    <row r="376" spans="5:7" x14ac:dyDescent="0.25">
      <c r="E376" s="11">
        <f t="shared" si="31"/>
        <v>-46</v>
      </c>
      <c r="F376" s="11">
        <f t="shared" si="32"/>
        <v>-7.93863900560555</v>
      </c>
      <c r="G376" s="11">
        <f t="shared" si="33"/>
        <v>-7.9096949406925301</v>
      </c>
    </row>
    <row r="377" spans="5:7" x14ac:dyDescent="0.25">
      <c r="E377" s="11">
        <f t="shared" si="31"/>
        <v>-45</v>
      </c>
      <c r="F377" s="11">
        <f t="shared" si="32"/>
        <v>-7.5434259018900844</v>
      </c>
      <c r="G377" s="11">
        <f t="shared" si="33"/>
        <v>-7.5118695165013278</v>
      </c>
    </row>
    <row r="378" spans="5:7" x14ac:dyDescent="0.25">
      <c r="E378" s="11">
        <f t="shared" si="31"/>
        <v>-44</v>
      </c>
      <c r="F378" s="11">
        <f t="shared" si="32"/>
        <v>-7.1577062594884993</v>
      </c>
      <c r="G378" s="11">
        <f t="shared" si="33"/>
        <v>-7.1236965182037428</v>
      </c>
    </row>
    <row r="379" spans="5:7" x14ac:dyDescent="0.25">
      <c r="E379" s="11">
        <f t="shared" si="31"/>
        <v>-43</v>
      </c>
      <c r="F379" s="11">
        <f t="shared" si="32"/>
        <v>-6.7817867043475157</v>
      </c>
      <c r="G379" s="11">
        <f t="shared" si="33"/>
        <v>-6.7455715598827366</v>
      </c>
    </row>
    <row r="380" spans="5:7" x14ac:dyDescent="0.25">
      <c r="E380" s="11">
        <f t="shared" si="31"/>
        <v>-42</v>
      </c>
      <c r="F380" s="11">
        <f t="shared" si="32"/>
        <v>-6.4159581616132568</v>
      </c>
      <c r="G380" s="11">
        <f t="shared" si="33"/>
        <v>-6.3778902556212733</v>
      </c>
    </row>
    <row r="381" spans="5:7" x14ac:dyDescent="0.25">
      <c r="E381" s="11">
        <f t="shared" si="31"/>
        <v>-41</v>
      </c>
      <c r="F381" s="11">
        <f t="shared" si="32"/>
        <v>-6.0604946745559056</v>
      </c>
      <c r="G381" s="11">
        <f t="shared" si="33"/>
        <v>-6.0210482195023154</v>
      </c>
    </row>
    <row r="382" spans="5:7" x14ac:dyDescent="0.25">
      <c r="E382" s="11">
        <f t="shared" si="31"/>
        <v>-40</v>
      </c>
      <c r="F382" s="11">
        <f t="shared" si="32"/>
        <v>-5.7156522104047385</v>
      </c>
      <c r="G382" s="11">
        <f t="shared" si="33"/>
        <v>-5.6754410656088279</v>
      </c>
    </row>
    <row r="383" spans="5:7" x14ac:dyDescent="0.25">
      <c r="E383" s="11">
        <f t="shared" si="31"/>
        <v>-39</v>
      </c>
      <c r="F383" s="11">
        <f t="shared" si="32"/>
        <v>-5.3816674541482126</v>
      </c>
      <c r="G383" s="11">
        <f t="shared" si="33"/>
        <v>-5.3414644080237705</v>
      </c>
    </row>
    <row r="384" spans="5:7" x14ac:dyDescent="0.25">
      <c r="E384" s="11">
        <f t="shared" si="31"/>
        <v>-38</v>
      </c>
      <c r="F384" s="11">
        <f t="shared" si="32"/>
        <v>-5.0587565913849852</v>
      </c>
      <c r="G384" s="11">
        <f t="shared" si="33"/>
        <v>-5.0195138608301093</v>
      </c>
    </row>
    <row r="385" spans="5:7" x14ac:dyDescent="0.25">
      <c r="E385" s="11">
        <f t="shared" si="31"/>
        <v>-37</v>
      </c>
      <c r="F385" s="11">
        <f t="shared" si="32"/>
        <v>-4.7471140813426826</v>
      </c>
      <c r="G385" s="11">
        <f t="shared" si="33"/>
        <v>-4.7099850381108057</v>
      </c>
    </row>
    <row r="386" spans="5:7" x14ac:dyDescent="0.25">
      <c r="E386" s="11">
        <f t="shared" si="31"/>
        <v>-36</v>
      </c>
      <c r="F386" s="11">
        <f t="shared" si="32"/>
        <v>-4.4469114212123815</v>
      </c>
      <c r="G386" s="11">
        <f t="shared" si="33"/>
        <v>-4.4132735539488239</v>
      </c>
    </row>
    <row r="387" spans="5:7" x14ac:dyDescent="0.25">
      <c r="E387" s="11">
        <f t="shared" si="31"/>
        <v>-35</v>
      </c>
      <c r="F387" s="11">
        <f t="shared" si="32"/>
        <v>-4.1582959029776898</v>
      </c>
      <c r="G387" s="11">
        <f t="shared" si="33"/>
        <v>-4.1297750224271255</v>
      </c>
    </row>
    <row r="388" spans="5:7" x14ac:dyDescent="0.25">
      <c r="E388" s="11">
        <f t="shared" si="31"/>
        <v>-34</v>
      </c>
      <c r="F388" s="11">
        <f t="shared" si="32"/>
        <v>-3.8813893639484807</v>
      </c>
      <c r="G388" s="11">
        <f t="shared" si="33"/>
        <v>-3.8597543192495003</v>
      </c>
    </row>
    <row r="389" spans="5:7" x14ac:dyDescent="0.25">
      <c r="E389" s="11">
        <f t="shared" si="31"/>
        <v>-33</v>
      </c>
      <c r="F389" s="11">
        <f t="shared" si="32"/>
        <v>-3.6162869322402922</v>
      </c>
      <c r="G389" s="11">
        <f t="shared" si="33"/>
        <v>-3.6029533666030291</v>
      </c>
    </row>
    <row r="390" spans="5:7" x14ac:dyDescent="0.25">
      <c r="E390" s="11">
        <f t="shared" si="31"/>
        <v>-32</v>
      </c>
      <c r="F390" s="11">
        <f t="shared" si="32"/>
        <v>-3.3630557684714804</v>
      </c>
      <c r="G390" s="11">
        <f t="shared" si="33"/>
        <v>-3.3589833482956197</v>
      </c>
    </row>
    <row r="391" spans="5:7" x14ac:dyDescent="0.25">
      <c r="E391" s="11">
        <f t="shared" si="31"/>
        <v>-31</v>
      </c>
      <c r="F391" s="11">
        <f t="shared" si="32"/>
        <v>-3.121733804981254</v>
      </c>
      <c r="G391" s="11">
        <f t="shared" si="33"/>
        <v>-3.1274554481351795</v>
      </c>
    </row>
    <row r="392" spans="5:7" x14ac:dyDescent="0.25">
      <c r="E392" s="11">
        <f t="shared" si="31"/>
        <v>-30</v>
      </c>
      <c r="F392" s="11">
        <f t="shared" si="32"/>
        <v>-2.8923284839027819</v>
      </c>
      <c r="G392" s="11">
        <f t="shared" si="33"/>
        <v>-2.9079808499296158</v>
      </c>
    </row>
    <row r="393" spans="5:7" x14ac:dyDescent="0.25">
      <c r="E393" s="11">
        <f t="shared" si="31"/>
        <v>-29</v>
      </c>
      <c r="F393" s="11">
        <f t="shared" si="32"/>
        <v>-2.6748154954565773</v>
      </c>
      <c r="G393" s="11">
        <f t="shared" si="33"/>
        <v>-2.7001707374868356</v>
      </c>
    </row>
    <row r="394" spans="5:7" x14ac:dyDescent="0.25">
      <c r="E394" s="11">
        <f t="shared" si="31"/>
        <v>-28</v>
      </c>
      <c r="F394" s="11">
        <f t="shared" si="32"/>
        <v>-2.4691375178604185</v>
      </c>
      <c r="G394" s="11">
        <f t="shared" si="33"/>
        <v>-2.5036362946147461</v>
      </c>
    </row>
    <row r="395" spans="5:7" x14ac:dyDescent="0.25">
      <c r="E395" s="11">
        <f t="shared" si="31"/>
        <v>-27</v>
      </c>
      <c r="F395" s="11">
        <f t="shared" si="32"/>
        <v>-2.2752029602831292</v>
      </c>
      <c r="G395" s="11">
        <f t="shared" si="33"/>
        <v>-2.3179887051212549</v>
      </c>
    </row>
    <row r="396" spans="5:7" x14ac:dyDescent="0.25">
      <c r="E396" s="11">
        <f t="shared" si="31"/>
        <v>-26</v>
      </c>
      <c r="F396" s="11">
        <f t="shared" si="32"/>
        <v>-2.092884710300559</v>
      </c>
      <c r="G396" s="11">
        <f t="shared" si="33"/>
        <v>-2.1428391528142692</v>
      </c>
    </row>
    <row r="397" spans="5:7" x14ac:dyDescent="0.25">
      <c r="E397" s="11">
        <f t="shared" si="31"/>
        <v>-25</v>
      </c>
      <c r="F397" s="11">
        <f t="shared" si="32"/>
        <v>-1.9220188873431674</v>
      </c>
      <c r="G397" s="11">
        <f t="shared" si="33"/>
        <v>-1.9777988215016953</v>
      </c>
    </row>
    <row r="398" spans="5:7" x14ac:dyDescent="0.25">
      <c r="E398" s="11">
        <f t="shared" si="31"/>
        <v>-24</v>
      </c>
      <c r="F398" s="11">
        <f t="shared" si="32"/>
        <v>-1.7624036036556483</v>
      </c>
      <c r="G398" s="11">
        <f t="shared" si="33"/>
        <v>-1.8224788949914412</v>
      </c>
    </row>
    <row r="399" spans="5:7" x14ac:dyDescent="0.25">
      <c r="E399" s="11">
        <f t="shared" si="31"/>
        <v>-23</v>
      </c>
      <c r="F399" s="11">
        <f t="shared" si="32"/>
        <v>-1.6137977343200804</v>
      </c>
      <c r="G399" s="11">
        <f t="shared" si="33"/>
        <v>-1.6764905570914141</v>
      </c>
    </row>
    <row r="400" spans="5:7" x14ac:dyDescent="0.25">
      <c r="E400" s="11">
        <f t="shared" si="31"/>
        <v>-22</v>
      </c>
      <c r="F400" s="11">
        <f t="shared" si="32"/>
        <v>-1.4759196979251386</v>
      </c>
      <c r="G400" s="11">
        <f t="shared" si="33"/>
        <v>-1.5394449916095212</v>
      </c>
    </row>
    <row r="401" spans="5:7" x14ac:dyDescent="0.25">
      <c r="E401" s="11">
        <f t="shared" si="31"/>
        <v>-21</v>
      </c>
      <c r="F401" s="11">
        <f t="shared" si="32"/>
        <v>-1.3484462494949414</v>
      </c>
      <c r="G401" s="11">
        <f t="shared" si="33"/>
        <v>-1.4109533823536695</v>
      </c>
    </row>
    <row r="402" spans="5:7" x14ac:dyDescent="0.25">
      <c r="E402" s="11">
        <f t="shared" si="31"/>
        <v>-20</v>
      </c>
      <c r="F402" s="11">
        <f t="shared" si="32"/>
        <v>-1.2310112873221433</v>
      </c>
      <c r="G402" s="11">
        <f t="shared" si="33"/>
        <v>-1.2906269131317663</v>
      </c>
    </row>
    <row r="403" spans="5:7" x14ac:dyDescent="0.25">
      <c r="E403" s="11">
        <f t="shared" si="31"/>
        <v>-19</v>
      </c>
      <c r="F403" s="11">
        <f t="shared" si="32"/>
        <v>-1.1232046753809468</v>
      </c>
      <c r="G403" s="11">
        <f t="shared" si="33"/>
        <v>-1.1780767677517188</v>
      </c>
    </row>
    <row r="404" spans="5:7" x14ac:dyDescent="0.25">
      <c r="E404" s="11">
        <f t="shared" si="31"/>
        <v>-18</v>
      </c>
      <c r="F404" s="11">
        <f t="shared" si="32"/>
        <v>-1.0245710830267398</v>
      </c>
      <c r="G404" s="11">
        <f t="shared" si="33"/>
        <v>-1.0729141300214344</v>
      </c>
    </row>
    <row r="405" spans="5:7" x14ac:dyDescent="0.25">
      <c r="E405" s="11">
        <f t="shared" si="31"/>
        <v>-17</v>
      </c>
      <c r="F405" s="11">
        <f t="shared" si="32"/>
        <v>-0.93460884372010722</v>
      </c>
      <c r="G405" s="11">
        <f t="shared" si="33"/>
        <v>-0.97475018374881994</v>
      </c>
    </row>
    <row r="406" spans="5:7" x14ac:dyDescent="0.25">
      <c r="E406" s="11">
        <f t="shared" si="31"/>
        <v>-16</v>
      </c>
      <c r="F406" s="11">
        <f t="shared" si="32"/>
        <v>-0.85276883454401431</v>
      </c>
      <c r="G406" s="11">
        <f t="shared" si="33"/>
        <v>-0.883196112741783</v>
      </c>
    </row>
    <row r="407" spans="5:7" x14ac:dyDescent="0.25">
      <c r="E407" s="11">
        <f t="shared" si="31"/>
        <v>-15</v>
      </c>
      <c r="F407" s="11">
        <f t="shared" si="32"/>
        <v>-0.77845337831401062</v>
      </c>
      <c r="G407" s="11">
        <f t="shared" si="33"/>
        <v>-0.79786310080823064</v>
      </c>
    </row>
    <row r="408" spans="5:7" x14ac:dyDescent="0.25">
      <c r="E408" s="11">
        <f t="shared" si="31"/>
        <v>-14</v>
      </c>
      <c r="F408" s="11">
        <f t="shared" si="32"/>
        <v>-0.71101517011232951</v>
      </c>
      <c r="G408" s="11">
        <f t="shared" si="33"/>
        <v>-0.71836233175607001</v>
      </c>
    </row>
    <row r="409" spans="5:7" x14ac:dyDescent="0.25">
      <c r="E409" s="11">
        <f t="shared" si="31"/>
        <v>-13</v>
      </c>
      <c r="F409" s="11">
        <f t="shared" si="32"/>
        <v>-0.64975623010782113</v>
      </c>
      <c r="G409" s="11">
        <f t="shared" si="33"/>
        <v>-0.64430498939320846</v>
      </c>
    </row>
    <row r="410" spans="5:7" x14ac:dyDescent="0.25">
      <c r="E410" s="11">
        <f t="shared" si="31"/>
        <v>-12</v>
      </c>
      <c r="F410" s="11">
        <f t="shared" si="32"/>
        <v>-0.59392688455469211</v>
      </c>
      <c r="G410" s="11">
        <f t="shared" si="33"/>
        <v>-0.57530225752755304</v>
      </c>
    </row>
    <row r="411" spans="5:7" x14ac:dyDescent="0.25">
      <c r="E411" s="11">
        <f t="shared" si="31"/>
        <v>-11</v>
      </c>
      <c r="F411" s="11">
        <f t="shared" si="32"/>
        <v>-0.54272477689406906</v>
      </c>
      <c r="G411" s="11">
        <f t="shared" si="33"/>
        <v>-0.51096531996701111</v>
      </c>
    </row>
    <row r="412" spans="5:7" x14ac:dyDescent="0.25">
      <c r="E412" s="11">
        <f t="shared" si="31"/>
        <v>-10</v>
      </c>
      <c r="F412" s="11">
        <f t="shared" si="32"/>
        <v>-0.49529391091345376</v>
      </c>
      <c r="G412" s="11">
        <f t="shared" si="33"/>
        <v>-0.45090536051948982</v>
      </c>
    </row>
    <row r="413" spans="5:7" x14ac:dyDescent="0.25">
      <c r="E413" s="11">
        <f t="shared" si="31"/>
        <v>-9</v>
      </c>
      <c r="F413" s="11">
        <f t="shared" si="32"/>
        <v>-0.45072372795017418</v>
      </c>
      <c r="G413" s="11">
        <f t="shared" si="33"/>
        <v>-0.39473356299289647</v>
      </c>
    </row>
    <row r="414" spans="5:7" x14ac:dyDescent="0.25">
      <c r="E414" s="11">
        <f t="shared" si="31"/>
        <v>-8</v>
      </c>
      <c r="F414" s="11">
        <f t="shared" si="32"/>
        <v>-0.40804822015598652</v>
      </c>
      <c r="G414" s="11">
        <f t="shared" si="33"/>
        <v>-0.34206111119513816</v>
      </c>
    </row>
    <row r="415" spans="5:7" x14ac:dyDescent="0.25">
      <c r="E415" s="11">
        <f t="shared" ref="E415:E422" si="34">E208</f>
        <v>-7</v>
      </c>
      <c r="F415" s="11">
        <f t="shared" ref="F415:F422" si="35">$H$217*0+E415*$I$217+E415^2*$J$217+E415^3*$K$217+E415^4*$L$217+E415^5*$M$217+E415^6*$N$217+E415^7*$O$217+E415^8*$P$217</f>
        <v>-0.36624508187102467</v>
      </c>
      <c r="G415" s="11">
        <f t="shared" ref="G415:G422" si="36">F208</f>
        <v>-0.29249918893412213</v>
      </c>
    </row>
    <row r="416" spans="5:7" x14ac:dyDescent="0.25">
      <c r="E416" s="11">
        <f t="shared" si="34"/>
        <v>-6</v>
      </c>
      <c r="F416" s="11">
        <f t="shared" si="35"/>
        <v>-0.32423490118633946</v>
      </c>
      <c r="G416" s="11">
        <f t="shared" si="36"/>
        <v>-0.24565898001775557</v>
      </c>
    </row>
    <row r="417" spans="5:7" x14ac:dyDescent="0.25">
      <c r="E417" s="11">
        <f t="shared" si="34"/>
        <v>-5</v>
      </c>
      <c r="F417" s="11">
        <f t="shared" si="35"/>
        <v>-0.28088039380531227</v>
      </c>
      <c r="G417" s="11">
        <f t="shared" si="36"/>
        <v>-0.20115166825394576</v>
      </c>
    </row>
    <row r="418" spans="5:7" x14ac:dyDescent="0.25">
      <c r="E418" s="11">
        <f t="shared" si="34"/>
        <v>-4</v>
      </c>
      <c r="F418" s="11">
        <f t="shared" si="35"/>
        <v>-0.23498568134527578</v>
      </c>
      <c r="G418" s="11">
        <f t="shared" si="36"/>
        <v>-0.15858843745059989</v>
      </c>
    </row>
    <row r="419" spans="5:7" x14ac:dyDescent="0.25">
      <c r="E419" s="11">
        <f t="shared" si="34"/>
        <v>-3</v>
      </c>
      <c r="F419" s="11">
        <f t="shared" si="35"/>
        <v>-0.18529561625171431</v>
      </c>
      <c r="G419" s="11">
        <f t="shared" si="36"/>
        <v>-0.11758047141562518</v>
      </c>
    </row>
    <row r="420" spans="5:7" x14ac:dyDescent="0.25">
      <c r="E420" s="11">
        <f t="shared" si="34"/>
        <v>-2</v>
      </c>
      <c r="F420" s="11">
        <f t="shared" si="35"/>
        <v>-0.13049515552846619</v>
      </c>
      <c r="G420" s="11">
        <f t="shared" si="36"/>
        <v>-7.77389539569288E-2</v>
      </c>
    </row>
    <row r="421" spans="5:7" x14ac:dyDescent="0.25">
      <c r="E421" s="11">
        <f t="shared" si="34"/>
        <v>-1</v>
      </c>
      <c r="F421" s="11">
        <f t="shared" si="35"/>
        <v>-6.9208785518389188E-2</v>
      </c>
      <c r="G421" s="11">
        <f t="shared" si="36"/>
        <v>-3.8675068882418007E-2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2022-01-07T09:47:00Z</dcterms:modified>
</cp:coreProperties>
</file>