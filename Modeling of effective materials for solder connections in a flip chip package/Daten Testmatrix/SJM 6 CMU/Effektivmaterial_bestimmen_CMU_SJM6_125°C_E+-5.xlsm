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P33" i="11"/>
  <c r="O33" i="11"/>
  <c r="N33" i="11"/>
  <c r="O32" i="11"/>
  <c r="N32" i="11"/>
  <c r="P32" i="11" s="1"/>
  <c r="P31" i="11"/>
  <c r="O31" i="11"/>
  <c r="N31" i="11"/>
  <c r="O30" i="11"/>
  <c r="N30" i="11"/>
  <c r="P30" i="11" s="1"/>
  <c r="P29" i="11"/>
  <c r="O29" i="11"/>
  <c r="N29" i="11"/>
  <c r="O28" i="11"/>
  <c r="N28" i="11"/>
  <c r="P28" i="11" s="1"/>
  <c r="P27" i="11"/>
  <c r="O27" i="11"/>
  <c r="N27" i="11"/>
  <c r="O26" i="11"/>
  <c r="N26" i="11"/>
  <c r="P26" i="11" s="1"/>
  <c r="P25" i="11"/>
  <c r="O25" i="11"/>
  <c r="N25" i="11"/>
  <c r="O24" i="11"/>
  <c r="N24" i="11"/>
  <c r="P24" i="11" s="1"/>
  <c r="P23" i="11"/>
  <c r="O23" i="11"/>
  <c r="N23" i="11"/>
  <c r="O22" i="11"/>
  <c r="N22" i="11"/>
  <c r="P22" i="11" s="1"/>
  <c r="P21" i="11"/>
  <c r="O21" i="11"/>
  <c r="N21" i="11"/>
  <c r="O20" i="11"/>
  <c r="N20" i="11"/>
  <c r="P20" i="11" s="1"/>
  <c r="P19" i="11"/>
  <c r="O19" i="11"/>
  <c r="N19" i="11"/>
  <c r="O18" i="11"/>
  <c r="N18" i="11"/>
  <c r="P18" i="11" s="1"/>
  <c r="P17" i="11"/>
  <c r="O17" i="11"/>
  <c r="N17" i="11"/>
  <c r="O16" i="11"/>
  <c r="N16" i="11"/>
  <c r="P16" i="11" s="1"/>
  <c r="P15" i="11"/>
  <c r="O15" i="11"/>
  <c r="N15" i="11"/>
  <c r="O14" i="11"/>
  <c r="N14" i="11"/>
  <c r="P14" i="11" s="1"/>
  <c r="P13" i="11"/>
  <c r="O13" i="11"/>
  <c r="N13" i="11"/>
  <c r="O12" i="11"/>
  <c r="N12" i="11"/>
  <c r="P12" i="11" s="1"/>
  <c r="P11" i="11"/>
  <c r="O11" i="11"/>
  <c r="N11" i="11"/>
  <c r="O10" i="11"/>
  <c r="N10" i="11"/>
  <c r="P10" i="11" s="1"/>
  <c r="P9" i="11"/>
  <c r="O9" i="11"/>
  <c r="N9" i="11"/>
  <c r="O8" i="11"/>
  <c r="N8" i="11"/>
  <c r="P8" i="11" s="1"/>
  <c r="P7" i="11"/>
  <c r="O7" i="11"/>
  <c r="N7" i="11"/>
  <c r="O6" i="11"/>
  <c r="N6" i="11"/>
  <c r="P6" i="11" s="1"/>
  <c r="P5" i="11"/>
  <c r="O5" i="11"/>
  <c r="N5" i="11"/>
  <c r="O4" i="11"/>
  <c r="N4" i="11"/>
  <c r="P4" i="11" s="1"/>
  <c r="P3" i="11"/>
  <c r="O3" i="11"/>
  <c r="N3" i="11"/>
  <c r="A18" i="43" l="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<sst xmlns="http://schemas.openxmlformats.org/spreadsheetml/2006/main" count="309" uniqueCount="163">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</sst>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7380192"/>
        <c:axId val="5473794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380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379408"/>
        <c:crossesAt val="-8.0000000000000019E-3"/>
        <c:crossBetween val="midCat"/>
      </c:valAx>
      <c:valAx>
        <c:axId val="54737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380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7381760"/>
        <c:axId val="547380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3817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380584"/>
        <c:crosses val="autoZero"/>
        <c:crossBetween val="midCat"/>
      </c:valAx>
      <c:valAx>
        <c:axId val="54738058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38176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7382152"/>
        <c:axId val="5473809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73821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380976"/>
        <c:crosses val="autoZero"/>
        <c:crossBetween val="midCat"/>
        <c:majorUnit val="10000"/>
      </c:valAx>
      <c:valAx>
        <c:axId val="54738097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738215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7381368"/>
        <c:axId val="5494909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7381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9490984"/>
        <c:crosses val="autoZero"/>
        <c:crossBetween val="midCat"/>
        <c:majorUnit val="10000"/>
      </c:valAx>
      <c:valAx>
        <c:axId val="54949098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738136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89997256"/>
        <c:axId val="4899988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99972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9998824"/>
        <c:crosses val="autoZero"/>
        <c:crossBetween val="midCat"/>
        <c:majorUnit val="10000"/>
      </c:valAx>
      <c:valAx>
        <c:axId val="48999882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999725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1.2772158581224265E-2</c:v>
                </c:pt>
                <c:pt idx="1">
                  <c:v>1.7317994957891405E-2</c:v>
                </c:pt>
                <c:pt idx="2">
                  <c:v>4.8029508703538448E-3</c:v>
                </c:pt>
                <c:pt idx="3">
                  <c:v>8.308505324207846E-4</c:v>
                </c:pt>
                <c:pt idx="4">
                  <c:v>1.1955142511504207E-4</c:v>
                </c:pt>
                <c:pt idx="5">
                  <c:v>1.8635884863106856E-5</c:v>
                </c:pt>
                <c:pt idx="6">
                  <c:v>1.2259332088094071E-6</c:v>
                </c:pt>
                <c:pt idx="7">
                  <c:v>4.6367103123270082E-6</c:v>
                </c:pt>
                <c:pt idx="8">
                  <c:v>4.5714647142276493E-6</c:v>
                </c:pt>
                <c:pt idx="9">
                  <c:v>1.4788486156031606E-5</c:v>
                </c:pt>
                <c:pt idx="10">
                  <c:v>3.2983682467886605E-5</c:v>
                </c:pt>
                <c:pt idx="11">
                  <c:v>6.7277895111914372E-5</c:v>
                </c:pt>
                <c:pt idx="12">
                  <c:v>1.9347477942878181E-4</c:v>
                </c:pt>
                <c:pt idx="13">
                  <c:v>3.6356294048285013E-4</c:v>
                </c:pt>
                <c:pt idx="14">
                  <c:v>5.7876694836456947E-4</c:v>
                </c:pt>
                <c:pt idx="15">
                  <c:v>6.3227831307174074E-4</c:v>
                </c:pt>
                <c:pt idx="16">
                  <c:v>5.346405378318386E-4</c:v>
                </c:pt>
                <c:pt idx="17">
                  <c:v>2.802798023143813E-4</c:v>
                </c:pt>
                <c:pt idx="18">
                  <c:v>1.9146616717258635E-4</c:v>
                </c:pt>
                <c:pt idx="19">
                  <c:v>7.5362016602318757E-6</c:v>
                </c:pt>
                <c:pt idx="20">
                  <c:v>1.4806819359920262E-4</c:v>
                </c:pt>
                <c:pt idx="21">
                  <c:v>1.0242518261363493E-5</c:v>
                </c:pt>
                <c:pt idx="22">
                  <c:v>2.7622576435044185E-5</c:v>
                </c:pt>
                <c:pt idx="23">
                  <c:v>8.4678189294419811E-5</c:v>
                </c:pt>
                <c:pt idx="24">
                  <c:v>2.9155860216224035E-4</c:v>
                </c:pt>
                <c:pt idx="25">
                  <c:v>1.2813298082230373E-4</c:v>
                </c:pt>
                <c:pt idx="26">
                  <c:v>1.0090322866904684E-3</c:v>
                </c:pt>
                <c:pt idx="27">
                  <c:v>1.9810335042217599E-3</c:v>
                </c:pt>
                <c:pt idx="28">
                  <c:v>1.9646389068045797E-3</c:v>
                </c:pt>
                <c:pt idx="29">
                  <c:v>1.2190917538153555E-3</c:v>
                </c:pt>
                <c:pt idx="30">
                  <c:v>6.1765639816416086E-3</c:v>
                </c:pt>
              </c:numCache>
            </c:numRef>
          </c:yVal>
          <c:smooth val="1"/>
        </c:ser>
        <c:dLbls>
          <c:showLegendKey val="0"/>
          <c:showVal val="0"/>
          <c:showCatName val="0"/>
          <c:showSerName val="0"/>
          <c:showPercent val="0"/>
          <c:showBubbleSize val="0"/>
        </c:dLbls>
        <c:axId val="489996864"/>
        <c:axId val="489998432"/>
      </c:scatterChart>
      <c:valAx>
        <c:axId val="4899968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9998432"/>
        <c:crossesAt val="-1.5000000000000005E-3"/>
        <c:crossBetween val="midCat"/>
      </c:valAx>
      <c:valAx>
        <c:axId val="48999843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999686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5271.1982554243277</c:v>
                </c:pt>
                <c:pt idx="1">
                  <c:v>5180.7362681316235</c:v>
                </c:pt>
                <c:pt idx="2">
                  <c:v>4838.854460537339</c:v>
                </c:pt>
                <c:pt idx="3">
                  <c:v>4603.866719910834</c:v>
                </c:pt>
                <c:pt idx="4">
                  <c:v>4334.9503434150702</c:v>
                </c:pt>
                <c:pt idx="5">
                  <c:v>4064.3203468219886</c:v>
                </c:pt>
                <c:pt idx="6">
                  <c:v>3775.0118942506233</c:v>
                </c:pt>
                <c:pt idx="7">
                  <c:v>3440.8952480592739</c:v>
                </c:pt>
                <c:pt idx="8">
                  <c:v>3007.013952138996</c:v>
                </c:pt>
                <c:pt idx="9">
                  <c:v>2483.2209536630344</c:v>
                </c:pt>
                <c:pt idx="10">
                  <c:v>1877.2416987706301</c:v>
                </c:pt>
                <c:pt idx="11">
                  <c:v>1225.9197566187952</c:v>
                </c:pt>
                <c:pt idx="12">
                  <c:v>718.04038126868454</c:v>
                </c:pt>
                <c:pt idx="13">
                  <c:v>402.97186523354844</c:v>
                </c:pt>
                <c:pt idx="14">
                  <c:v>224.04799722874827</c:v>
                </c:pt>
                <c:pt idx="15">
                  <c:v>157.42520519391712</c:v>
                </c:pt>
                <c:pt idx="16">
                  <c:v>138.40062864797011</c:v>
                </c:pt>
                <c:pt idx="17">
                  <c:v>126.95733405745339</c:v>
                </c:pt>
                <c:pt idx="18">
                  <c:v>125.29643988115927</c:v>
                </c:pt>
                <c:pt idx="19">
                  <c:v>125.18881202240964</c:v>
                </c:pt>
                <c:pt idx="20">
                  <c:v>125.03732063946561</c:v>
                </c:pt>
                <c:pt idx="21">
                  <c:v>124.89089780483103</c:v>
                </c:pt>
                <c:pt idx="22">
                  <c:v>124.71159917447773</c:v>
                </c:pt>
                <c:pt idx="23">
                  <c:v>124.52640919470009</c:v>
                </c:pt>
                <c:pt idx="24">
                  <c:v>124.41983781732861</c:v>
                </c:pt>
                <c:pt idx="25">
                  <c:v>124.38007109183013</c:v>
                </c:pt>
                <c:pt idx="26">
                  <c:v>124.37495053103903</c:v>
                </c:pt>
                <c:pt idx="27">
                  <c:v>124.37053971440977</c:v>
                </c:pt>
                <c:pt idx="28">
                  <c:v>124.36081396411136</c:v>
                </c:pt>
                <c:pt idx="29">
                  <c:v>124.26404059501893</c:v>
                </c:pt>
                <c:pt idx="30">
                  <c:v>123.34273569106075</c:v>
                </c:pt>
              </c:numCache>
            </c:numRef>
          </c:yVal>
          <c:smooth val="1"/>
        </c:ser>
        <c:dLbls>
          <c:showLegendKey val="0"/>
          <c:showVal val="0"/>
          <c:showCatName val="0"/>
          <c:showSerName val="0"/>
          <c:showPercent val="0"/>
          <c:showBubbleSize val="0"/>
        </c:dLbls>
        <c:axId val="489997648"/>
        <c:axId val="489999608"/>
      </c:scatterChart>
      <c:valAx>
        <c:axId val="4899976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9999608"/>
        <c:crosses val="autoZero"/>
        <c:crossBetween val="midCat"/>
      </c:valAx>
      <c:valAx>
        <c:axId val="4899996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999764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2.536873307162468E-3</c:v>
                </c:pt>
                <c:pt idx="11">
                  <c:v>2.5368673685778427E-3</c:v>
                </c:pt>
                <c:pt idx="12">
                  <c:v>2.5367673170767669E-3</c:v>
                </c:pt>
                <c:pt idx="13">
                  <c:v>2.5356888596385352E-3</c:v>
                </c:pt>
                <c:pt idx="14">
                  <c:v>2.5249788460879794E-3</c:v>
                </c:pt>
                <c:pt idx="15">
                  <c:v>2.418113249164253E-3</c:v>
                </c:pt>
                <c:pt idx="16">
                  <c:v>1.3740440637804467E-3</c:v>
                </c:pt>
                <c:pt idx="17">
                  <c:v>6.943712249630845E-3</c:v>
                </c:pt>
                <c:pt idx="18">
                  <c:v>2.4173625852911135E-2</c:v>
                </c:pt>
                <c:pt idx="19">
                  <c:v>5.4319184893632409E-3</c:v>
                </c:pt>
                <c:pt idx="20">
                  <c:v>2.1639126947775436E-2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1.0331034364364031E-3</c:v>
                </c:pt>
                <c:pt idx="1">
                  <c:v>1.0269007464907525E-3</c:v>
                </c:pt>
                <c:pt idx="2">
                  <c:v>1.0306776530373872E-3</c:v>
                </c:pt>
                <c:pt idx="3">
                  <c:v>1.0317052999290791E-3</c:v>
                </c:pt>
                <c:pt idx="4">
                  <c:v>1.0308766631190521E-3</c:v>
                </c:pt>
                <c:pt idx="5">
                  <c:v>1.0192496297827614E-3</c:v>
                </c:pt>
                <c:pt idx="6">
                  <c:v>9.0196793921615184E-4</c:v>
                </c:pt>
                <c:pt idx="7">
                  <c:v>2.6446467599873204E-4</c:v>
                </c:pt>
                <c:pt idx="8">
                  <c:v>1.1261671754388369E-2</c:v>
                </c:pt>
                <c:pt idx="9">
                  <c:v>7.4913507642974525E-2</c:v>
                </c:pt>
                <c:pt idx="10">
                  <c:v>0.10504101579999915</c:v>
                </c:pt>
                <c:pt idx="11">
                  <c:v>8.7454390199903725E-2</c:v>
                </c:pt>
                <c:pt idx="12">
                  <c:v>6.4690606100138742E-2</c:v>
                </c:pt>
                <c:pt idx="13">
                  <c:v>3.857975113764317E-2</c:v>
                </c:pt>
                <c:pt idx="14">
                  <c:v>7.7528603932070887E-3</c:v>
                </c:pt>
                <c:pt idx="15">
                  <c:v>9.0980994175531675E-3</c:v>
                </c:pt>
                <c:pt idx="16">
                  <c:v>1.4717857296172544E-2</c:v>
                </c:pt>
                <c:pt idx="17">
                  <c:v>2.959113964711236E-3</c:v>
                </c:pt>
                <c:pt idx="18">
                  <c:v>9.5829659782798882E-3</c:v>
                </c:pt>
                <c:pt idx="19">
                  <c:v>2.5546613557963772E-2</c:v>
                </c:pt>
                <c:pt idx="20">
                  <c:v>3.9055307792548608E-2</c:v>
                </c:pt>
                <c:pt idx="21">
                  <c:v>4.4960990383497067E-2</c:v>
                </c:pt>
                <c:pt idx="22">
                  <c:v>4.3544450659006535E-2</c:v>
                </c:pt>
                <c:pt idx="23">
                  <c:v>3.5415779169678245E-2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7.7732046157762916E-3</c:v>
                </c:pt>
                <c:pt idx="11">
                  <c:v>6.1843123651583653E-3</c:v>
                </c:pt>
                <c:pt idx="12">
                  <c:v>5.1757572860198467E-4</c:v>
                </c:pt>
                <c:pt idx="13">
                  <c:v>2.5634364090527297E-3</c:v>
                </c:pt>
                <c:pt idx="14">
                  <c:v>1.5626671861788436E-3</c:v>
                </c:pt>
                <c:pt idx="15">
                  <c:v>3.7039728712487245E-3</c:v>
                </c:pt>
                <c:pt idx="16">
                  <c:v>2.3229578307293604E-3</c:v>
                </c:pt>
                <c:pt idx="17">
                  <c:v>8.8511615397812403E-3</c:v>
                </c:pt>
                <c:pt idx="18">
                  <c:v>1.0691508532077166E-2</c:v>
                </c:pt>
                <c:pt idx="19">
                  <c:v>1.1519849692360352E-3</c:v>
                </c:pt>
                <c:pt idx="20">
                  <c:v>5.1838838521661511E-2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1.4373114290890461E-3</c:v>
                </c:pt>
                <c:pt idx="11">
                  <c:v>4.1060529730754377E-3</c:v>
                </c:pt>
                <c:pt idx="12">
                  <c:v>2.6843181341960891E-2</c:v>
                </c:pt>
                <c:pt idx="13">
                  <c:v>2.191528942682525E-2</c:v>
                </c:pt>
                <c:pt idx="14">
                  <c:v>3.2414754255815836E-3</c:v>
                </c:pt>
                <c:pt idx="15">
                  <c:v>8.8644660137319579E-3</c:v>
                </c:pt>
                <c:pt idx="16">
                  <c:v>1.6252947404214713E-4</c:v>
                </c:pt>
                <c:pt idx="17">
                  <c:v>1.2730720988409835E-3</c:v>
                </c:pt>
                <c:pt idx="18">
                  <c:v>1.5063749522379827E-3</c:v>
                </c:pt>
                <c:pt idx="19">
                  <c:v>1.7191648520589002E-3</c:v>
                </c:pt>
                <c:pt idx="20">
                  <c:v>1.6006391737171644E-3</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550535784"/>
        <c:axId val="550536960"/>
      </c:scatterChart>
      <c:valAx>
        <c:axId val="5505357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536960"/>
        <c:crossesAt val="1.0000000000000005E-9"/>
        <c:crossBetween val="midCat"/>
      </c:valAx>
      <c:valAx>
        <c:axId val="550536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53578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-55.418097133870482</c:v>
                </c:pt>
                <c:pt idx="1">
                  <c:v>-51.153639664123297</c:v>
                </c:pt>
                <c:pt idx="2">
                  <c:v>-41.471047611750329</c:v>
                </c:pt>
                <c:pt idx="3">
                  <c:v>-32.056746295162469</c:v>
                </c:pt>
                <c:pt idx="4">
                  <c:v>-19.744262508280087</c:v>
                </c:pt>
                <c:pt idx="5">
                  <c:v>0</c:v>
                </c:pt>
                <c:pt idx="6">
                  <c:v>4.006806619222516</c:v>
                </c:pt>
              </c:numCache>
            </c:numRef>
          </c:yVal>
          <c:smooth val="0"/>
        </c:ser>
        <c:dLbls>
          <c:showLegendKey val="0"/>
          <c:showVal val="0"/>
          <c:showCatName val="0"/>
          <c:showSerName val="0"/>
          <c:showPercent val="0"/>
          <c:showBubbleSize val="0"/>
        </c:dLbls>
        <c:axId val="550536568"/>
        <c:axId val="550535000"/>
      </c:scatterChart>
      <c:valAx>
        <c:axId val="550536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535000"/>
        <c:crossesAt val="-100"/>
        <c:crossBetween val="midCat"/>
      </c:valAx>
      <c:valAx>
        <c:axId val="55053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53656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550537744"/>
        <c:axId val="550538136"/>
      </c:scatterChart>
      <c:valAx>
        <c:axId val="55053774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538136"/>
        <c:crosses val="autoZero"/>
        <c:crossBetween val="midCat"/>
      </c:valAx>
      <c:valAx>
        <c:axId val="55053813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053774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-55.418097133870475</c:v>
                </c:pt>
                <c:pt idx="1">
                  <c:v>-55.400434536150669</c:v>
                </c:pt>
                <c:pt idx="2">
                  <c:v>-55.382438171680299</c:v>
                </c:pt>
                <c:pt idx="3">
                  <c:v>-55.363774273708813</c:v>
                </c:pt>
                <c:pt idx="4">
                  <c:v>-55.344109075485655</c:v>
                </c:pt>
                <c:pt idx="5">
                  <c:v>-55.323108810260251</c:v>
                </c:pt>
                <c:pt idx="6">
                  <c:v>-55.300439711282067</c:v>
                </c:pt>
                <c:pt idx="7">
                  <c:v>-55.275768011800523</c:v>
                </c:pt>
                <c:pt idx="8">
                  <c:v>-55.248759945065075</c:v>
                </c:pt>
                <c:pt idx="9">
                  <c:v>-55.219081744325152</c:v>
                </c:pt>
                <c:pt idx="10">
                  <c:v>-55.186399642830203</c:v>
                </c:pt>
                <c:pt idx="11">
                  <c:v>-55.150379873829664</c:v>
                </c:pt>
                <c:pt idx="12">
                  <c:v>-55.110688670572991</c:v>
                </c:pt>
                <c:pt idx="13">
                  <c:v>-55.066992266309612</c:v>
                </c:pt>
                <c:pt idx="14">
                  <c:v>-55.018956894288962</c:v>
                </c:pt>
                <c:pt idx="15">
                  <c:v>-54.966248787760506</c:v>
                </c:pt>
                <c:pt idx="16">
                  <c:v>-54.908534179973664</c:v>
                </c:pt>
                <c:pt idx="17">
                  <c:v>-54.845479304177871</c:v>
                </c:pt>
                <c:pt idx="18">
                  <c:v>-54.776750393622606</c:v>
                </c:pt>
                <c:pt idx="19">
                  <c:v>-54.702013681557268</c:v>
                </c:pt>
                <c:pt idx="20">
                  <c:v>-54.620935401231321</c:v>
                </c:pt>
                <c:pt idx="21">
                  <c:v>-54.5331817858942</c:v>
                </c:pt>
                <c:pt idx="22">
                  <c:v>-54.438419068795355</c:v>
                </c:pt>
                <c:pt idx="23">
                  <c:v>-54.33631348318422</c:v>
                </c:pt>
                <c:pt idx="24">
                  <c:v>-54.226531262310232</c:v>
                </c:pt>
                <c:pt idx="25">
                  <c:v>-54.108738639422839</c:v>
                </c:pt>
                <c:pt idx="26">
                  <c:v>-53.982601847771477</c:v>
                </c:pt>
                <c:pt idx="27">
                  <c:v>-53.847787120605602</c:v>
                </c:pt>
                <c:pt idx="28">
                  <c:v>-53.703960691174629</c:v>
                </c:pt>
                <c:pt idx="29">
                  <c:v>-53.550788792728028</c:v>
                </c:pt>
                <c:pt idx="30">
                  <c:v>-53.387937658515227</c:v>
                </c:pt>
                <c:pt idx="31">
                  <c:v>-53.215073521785655</c:v>
                </c:pt>
                <c:pt idx="32">
                  <c:v>-53.031862615788782</c:v>
                </c:pt>
                <c:pt idx="33">
                  <c:v>-52.837971173774022</c:v>
                </c:pt>
                <c:pt idx="34">
                  <c:v>-52.633065428990832</c:v>
                </c:pt>
                <c:pt idx="35">
                  <c:v>-52.416811614688648</c:v>
                </c:pt>
                <c:pt idx="36">
                  <c:v>-52.188875964116917</c:v>
                </c:pt>
                <c:pt idx="37">
                  <c:v>-51.94892471052507</c:v>
                </c:pt>
                <c:pt idx="38">
                  <c:v>-51.696624087162562</c:v>
                </c:pt>
                <c:pt idx="39">
                  <c:v>-51.431640327278821</c:v>
                </c:pt>
                <c:pt idx="40">
                  <c:v>-51.153639664123297</c:v>
                </c:pt>
                <c:pt idx="41">
                  <c:v>-50.852880544120438</c:v>
                </c:pt>
                <c:pt idx="42">
                  <c:v>-50.539479056769999</c:v>
                </c:pt>
                <c:pt idx="43">
                  <c:v>-50.214143504746758</c:v>
                </c:pt>
                <c:pt idx="44">
                  <c:v>-49.877582190725477</c:v>
                </c:pt>
                <c:pt idx="45">
                  <c:v>-49.530503417380942</c:v>
                </c:pt>
                <c:pt idx="46">
                  <c:v>-49.173615487387906</c:v>
                </c:pt>
                <c:pt idx="47">
                  <c:v>-48.807626703421143</c:v>
                </c:pt>
                <c:pt idx="48">
                  <c:v>-48.433245368155426</c:v>
                </c:pt>
                <c:pt idx="49">
                  <c:v>-48.051179784265528</c:v>
                </c:pt>
                <c:pt idx="50">
                  <c:v>-47.66213825442621</c:v>
                </c:pt>
                <c:pt idx="51">
                  <c:v>-47.266829081312252</c:v>
                </c:pt>
                <c:pt idx="52">
                  <c:v>-46.865960567598421</c:v>
                </c:pt>
                <c:pt idx="53">
                  <c:v>-46.460241015959483</c:v>
                </c:pt>
                <c:pt idx="54">
                  <c:v>-46.050378729070211</c:v>
                </c:pt>
                <c:pt idx="55">
                  <c:v>-45.637082009605379</c:v>
                </c:pt>
                <c:pt idx="56">
                  <c:v>-45.22105916023974</c:v>
                </c:pt>
                <c:pt idx="57">
                  <c:v>-44.803018483648081</c:v>
                </c:pt>
                <c:pt idx="58">
                  <c:v>-44.38366828250517</c:v>
                </c:pt>
                <c:pt idx="59">
                  <c:v>-43.963716859485771</c:v>
                </c:pt>
                <c:pt idx="60">
                  <c:v>-43.54387251726466</c:v>
                </c:pt>
                <c:pt idx="61">
                  <c:v>-43.124843558516609</c:v>
                </c:pt>
                <c:pt idx="62">
                  <c:v>-42.707338285916371</c:v>
                </c:pt>
                <c:pt idx="63">
                  <c:v>-42.292065002138735</c:v>
                </c:pt>
                <c:pt idx="64">
                  <c:v>-41.879732009858472</c:v>
                </c:pt>
                <c:pt idx="65">
                  <c:v>-41.471047611750329</c:v>
                </c:pt>
                <c:pt idx="66">
                  <c:v>-41.066563005222321</c:v>
                </c:pt>
                <c:pt idx="67">
                  <c:v>-40.666200966615257</c:v>
                </c:pt>
                <c:pt idx="68">
                  <c:v>-40.269727167003211</c:v>
                </c:pt>
                <c:pt idx="69">
                  <c:v>-39.876907277460234</c:v>
                </c:pt>
                <c:pt idx="70">
                  <c:v>-39.487506969060377</c:v>
                </c:pt>
                <c:pt idx="71">
                  <c:v>-39.101291912877699</c:v>
                </c:pt>
                <c:pt idx="72">
                  <c:v>-38.718027779986244</c:v>
                </c:pt>
                <c:pt idx="73">
                  <c:v>-38.337480241460085</c:v>
                </c:pt>
                <c:pt idx="74">
                  <c:v>-37.959414968373267</c:v>
                </c:pt>
                <c:pt idx="75">
                  <c:v>-37.583597631799833</c:v>
                </c:pt>
                <c:pt idx="76">
                  <c:v>-37.20979390281385</c:v>
                </c:pt>
                <c:pt idx="77">
                  <c:v>-36.837769452489368</c:v>
                </c:pt>
                <c:pt idx="78">
                  <c:v>-36.46728995190044</c:v>
                </c:pt>
                <c:pt idx="79">
                  <c:v>-36.098121072121124</c:v>
                </c:pt>
                <c:pt idx="80">
                  <c:v>-35.730028484225471</c:v>
                </c:pt>
                <c:pt idx="81">
                  <c:v>-35.362777859287547</c:v>
                </c:pt>
                <c:pt idx="82">
                  <c:v>-34.99613486838139</c:v>
                </c:pt>
                <c:pt idx="83">
                  <c:v>-34.629865182581057</c:v>
                </c:pt>
                <c:pt idx="84">
                  <c:v>-34.263734472960607</c:v>
                </c:pt>
                <c:pt idx="85">
                  <c:v>-33.897508410594092</c:v>
                </c:pt>
                <c:pt idx="86">
                  <c:v>-33.530952666555571</c:v>
                </c:pt>
                <c:pt idx="87">
                  <c:v>-33.163832911919094</c:v>
                </c:pt>
                <c:pt idx="88">
                  <c:v>-32.795914817758714</c:v>
                </c:pt>
                <c:pt idx="89">
                  <c:v>-32.426964055148488</c:v>
                </c:pt>
                <c:pt idx="90">
                  <c:v>-32.056746295162469</c:v>
                </c:pt>
                <c:pt idx="91">
                  <c:v>-31.685047411625273</c:v>
                </c:pt>
                <c:pt idx="92">
                  <c:v>-31.311734089363753</c:v>
                </c:pt>
                <c:pt idx="93">
                  <c:v>-30.936693215955334</c:v>
                </c:pt>
                <c:pt idx="94">
                  <c:v>-30.559811678977422</c:v>
                </c:pt>
                <c:pt idx="95">
                  <c:v>-30.180976366007446</c:v>
                </c:pt>
                <c:pt idx="96">
                  <c:v>-29.800074164622814</c:v>
                </c:pt>
                <c:pt idx="97">
                  <c:v>-29.416991962400942</c:v>
                </c:pt>
                <c:pt idx="98">
                  <c:v>-29.031616646919257</c:v>
                </c:pt>
                <c:pt idx="99">
                  <c:v>-28.643835105755169</c:v>
                </c:pt>
                <c:pt idx="100">
                  <c:v>-28.253534226486089</c:v>
                </c:pt>
                <c:pt idx="101">
                  <c:v>-27.860600896689451</c:v>
                </c:pt>
                <c:pt idx="102">
                  <c:v>-27.464922003942657</c:v>
                </c:pt>
                <c:pt idx="103">
                  <c:v>-27.066384435823135</c:v>
                </c:pt>
                <c:pt idx="104">
                  <c:v>-26.664875079908292</c:v>
                </c:pt>
                <c:pt idx="105">
                  <c:v>-26.260280823775549</c:v>
                </c:pt>
                <c:pt idx="106">
                  <c:v>-25.852488555002324</c:v>
                </c:pt>
                <c:pt idx="107">
                  <c:v>-25.441385161166036</c:v>
                </c:pt>
                <c:pt idx="108">
                  <c:v>-25.026857529844097</c:v>
                </c:pt>
                <c:pt idx="109">
                  <c:v>-24.608792548613927</c:v>
                </c:pt>
                <c:pt idx="110">
                  <c:v>-24.187077105052943</c:v>
                </c:pt>
                <c:pt idx="111">
                  <c:v>-23.761598086738566</c:v>
                </c:pt>
                <c:pt idx="112">
                  <c:v>-23.332242381248207</c:v>
                </c:pt>
                <c:pt idx="113">
                  <c:v>-22.898896876159281</c:v>
                </c:pt>
                <c:pt idx="114">
                  <c:v>-22.461448459049212</c:v>
                </c:pt>
                <c:pt idx="115">
                  <c:v>-22.019784017495414</c:v>
                </c:pt>
                <c:pt idx="116">
                  <c:v>-21.573790439075307</c:v>
                </c:pt>
                <c:pt idx="117">
                  <c:v>-21.123354611366299</c:v>
                </c:pt>
                <c:pt idx="118">
                  <c:v>-20.668363421945816</c:v>
                </c:pt>
                <c:pt idx="119">
                  <c:v>-20.208703758391277</c:v>
                </c:pt>
                <c:pt idx="120">
                  <c:v>-19.744262508280087</c:v>
                </c:pt>
                <c:pt idx="121">
                  <c:v>-19.275013677475158</c:v>
                </c:pt>
                <c:pt idx="122">
                  <c:v>-18.80127974498135</c:v>
                </c:pt>
                <c:pt idx="123">
                  <c:v>-18.323470308088996</c:v>
                </c:pt>
                <c:pt idx="124">
                  <c:v>-17.841994964088432</c:v>
                </c:pt>
                <c:pt idx="125">
                  <c:v>-17.35726331027001</c:v>
                </c:pt>
                <c:pt idx="126">
                  <c:v>-16.869684943924067</c:v>
                </c:pt>
                <c:pt idx="127">
                  <c:v>-16.379669462340942</c:v>
                </c:pt>
                <c:pt idx="128">
                  <c:v>-15.887626462810982</c:v>
                </c:pt>
                <c:pt idx="129">
                  <c:v>-15.393965542624517</c:v>
                </c:pt>
                <c:pt idx="130">
                  <c:v>-14.899096299071896</c:v>
                </c:pt>
                <c:pt idx="131">
                  <c:v>-14.403428329443459</c:v>
                </c:pt>
                <c:pt idx="132">
                  <c:v>-13.907371231029547</c:v>
                </c:pt>
                <c:pt idx="133">
                  <c:v>-13.411334601120497</c:v>
                </c:pt>
                <c:pt idx="134">
                  <c:v>-12.915728037006655</c:v>
                </c:pt>
                <c:pt idx="135">
                  <c:v>-12.420961135978361</c:v>
                </c:pt>
                <c:pt idx="136">
                  <c:v>-11.927443495325953</c:v>
                </c:pt>
                <c:pt idx="137">
                  <c:v>-11.435584712339773</c:v>
                </c:pt>
                <c:pt idx="138">
                  <c:v>-10.945794384310165</c:v>
                </c:pt>
                <c:pt idx="139">
                  <c:v>-10.458482108527468</c:v>
                </c:pt>
                <c:pt idx="140">
                  <c:v>-9.9740574822820207</c:v>
                </c:pt>
                <c:pt idx="141">
                  <c:v>-9.4929301028641682</c:v>
                </c:pt>
                <c:pt idx="142">
                  <c:v>-9.0155095675642478</c:v>
                </c:pt>
                <c:pt idx="143">
                  <c:v>-8.5422054736726025</c:v>
                </c:pt>
                <c:pt idx="144">
                  <c:v>-8.0734274184795751</c:v>
                </c:pt>
                <c:pt idx="145">
                  <c:v>-7.6095849992754996</c:v>
                </c:pt>
                <c:pt idx="146">
                  <c:v>-7.1510878133507241</c:v>
                </c:pt>
                <c:pt idx="147">
                  <c:v>-6.6983454579955888</c:v>
                </c:pt>
                <c:pt idx="148">
                  <c:v>-6.2517675305004303</c:v>
                </c:pt>
                <c:pt idx="149">
                  <c:v>-5.8117636281555942</c:v>
                </c:pt>
                <c:pt idx="150">
                  <c:v>-5.3787433482514189</c:v>
                </c:pt>
                <c:pt idx="151">
                  <c:v>-4.9531162880782444</c:v>
                </c:pt>
                <c:pt idx="152">
                  <c:v>-4.5352920449264147</c:v>
                </c:pt>
                <c:pt idx="153">
                  <c:v>-4.1256802160862698</c:v>
                </c:pt>
                <c:pt idx="154">
                  <c:v>-3.7246903988481477</c:v>
                </c:pt>
                <c:pt idx="155">
                  <c:v>-3.3327321905023934</c:v>
                </c:pt>
                <c:pt idx="156">
                  <c:v>-2.9502151883393473</c:v>
                </c:pt>
                <c:pt idx="157">
                  <c:v>-2.5775489896493475</c:v>
                </c:pt>
                <c:pt idx="158">
                  <c:v>-2.2151431917227367</c:v>
                </c:pt>
                <c:pt idx="159">
                  <c:v>-1.8634073918498566</c:v>
                </c:pt>
                <c:pt idx="160">
                  <c:v>-1.522751187321048</c:v>
                </c:pt>
                <c:pt idx="161">
                  <c:v>-1.1935841754266514</c:v>
                </c:pt>
                <c:pt idx="162">
                  <c:v>-0.87631595345700664</c:v>
                </c:pt>
                <c:pt idx="163">
                  <c:v>-0.57135611870245562</c:v>
                </c:pt>
                <c:pt idx="164">
                  <c:v>-0.27911426845333942</c:v>
                </c:pt>
                <c:pt idx="165">
                  <c:v>0</c:v>
                </c:pt>
                <c:pt idx="166">
                  <c:v>0.26570981833983276</c:v>
                </c:pt>
                <c:pt idx="167">
                  <c:v>0.51826923413886661</c:v>
                </c:pt>
                <c:pt idx="168">
                  <c:v>0.75806502394241926</c:v>
                </c:pt>
                <c:pt idx="169">
                  <c:v>0.98548396429580787</c:v>
                </c:pt>
                <c:pt idx="170">
                  <c:v>1.20091283174435</c:v>
                </c:pt>
                <c:pt idx="171">
                  <c:v>1.4047384028333638</c:v>
                </c:pt>
                <c:pt idx="172">
                  <c:v>1.5973474541081665</c:v>
                </c:pt>
                <c:pt idx="173">
                  <c:v>1.7791267621140758</c:v>
                </c:pt>
                <c:pt idx="174">
                  <c:v>1.9504631033964095</c:v>
                </c:pt>
                <c:pt idx="175">
                  <c:v>2.1117432545004848</c:v>
                </c:pt>
                <c:pt idx="176">
                  <c:v>2.2633539919716199</c:v>
                </c:pt>
                <c:pt idx="177">
                  <c:v>2.4056820923551321</c:v>
                </c:pt>
                <c:pt idx="178">
                  <c:v>2.5391143321963385</c:v>
                </c:pt>
                <c:pt idx="179">
                  <c:v>2.6640374880405577</c:v>
                </c:pt>
                <c:pt idx="180">
                  <c:v>2.7808383364331064</c:v>
                </c:pt>
                <c:pt idx="181">
                  <c:v>2.8899036539193035</c:v>
                </c:pt>
                <c:pt idx="182">
                  <c:v>2.9916202170444652</c:v>
                </c:pt>
                <c:pt idx="183">
                  <c:v>3.0863748023539097</c:v>
                </c:pt>
                <c:pt idx="184">
                  <c:v>3.1745541863929549</c:v>
                </c:pt>
                <c:pt idx="185">
                  <c:v>3.2565451457069181</c:v>
                </c:pt>
                <c:pt idx="186">
                  <c:v>3.3327344568411172</c:v>
                </c:pt>
                <c:pt idx="187">
                  <c:v>3.4035088963408691</c:v>
                </c:pt>
                <c:pt idx="188">
                  <c:v>3.4692552407514921</c:v>
                </c:pt>
                <c:pt idx="189">
                  <c:v>3.5303602666183043</c:v>
                </c:pt>
                <c:pt idx="190">
                  <c:v>3.5872107504866215</c:v>
                </c:pt>
                <c:pt idx="191">
                  <c:v>3.6401934689017637</c:v>
                </c:pt>
                <c:pt idx="192">
                  <c:v>3.689695198409046</c:v>
                </c:pt>
                <c:pt idx="193">
                  <c:v>3.7361027155537885</c:v>
                </c:pt>
                <c:pt idx="194">
                  <c:v>3.7798027968813068</c:v>
                </c:pt>
                <c:pt idx="195">
                  <c:v>3.82118221893692</c:v>
                </c:pt>
                <c:pt idx="196">
                  <c:v>3.8606277582659447</c:v>
                </c:pt>
                <c:pt idx="197">
                  <c:v>3.8985261914136995</c:v>
                </c:pt>
                <c:pt idx="198">
                  <c:v>3.935264294925501</c:v>
                </c:pt>
                <c:pt idx="199">
                  <c:v>3.9712288453466673</c:v>
                </c:pt>
                <c:pt idx="200">
                  <c:v>4.006806619222516</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-55.418097133870482</c:v>
                </c:pt>
                <c:pt idx="1">
                  <c:v>-51.153639664123297</c:v>
                </c:pt>
                <c:pt idx="2">
                  <c:v>-41.471047611750329</c:v>
                </c:pt>
                <c:pt idx="3">
                  <c:v>-32.056746295162469</c:v>
                </c:pt>
                <c:pt idx="4">
                  <c:v>-19.744262508280087</c:v>
                </c:pt>
                <c:pt idx="5">
                  <c:v>0</c:v>
                </c:pt>
                <c:pt idx="6">
                  <c:v>4.006806619222516</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-55.857027902368145</c:v>
                </c:pt>
                <c:pt idx="1">
                  <c:v>-55.641951875998643</c:v>
                </c:pt>
                <c:pt idx="2">
                  <c:v>-55.467863221871085</c:v>
                </c:pt>
                <c:pt idx="3">
                  <c:v>-55.329362007708028</c:v>
                </c:pt>
                <c:pt idx="4">
                  <c:v>-55.221429261040612</c:v>
                </c:pt>
                <c:pt idx="5">
                  <c:v>-55.139409419028539</c:v>
                </c:pt>
                <c:pt idx="6">
                  <c:v>-55.078993305349172</c:v>
                </c:pt>
                <c:pt idx="7">
                  <c:v>-55.036201624732598</c:v>
                </c:pt>
                <c:pt idx="8">
                  <c:v>-55.007368965792466</c:v>
                </c:pt>
                <c:pt idx="9">
                  <c:v>-54.989128302877702</c:v>
                </c:pt>
                <c:pt idx="10">
                  <c:v>-54.97839598775704</c:v>
                </c:pt>
                <c:pt idx="11">
                  <c:v>-54.972357222007531</c:v>
                </c:pt>
                <c:pt idx="12">
                  <c:v>-54.968452001070659</c:v>
                </c:pt>
                <c:pt idx="13">
                  <c:v>-54.964361521004889</c:v>
                </c:pt>
                <c:pt idx="14">
                  <c:v>-54.95799503904766</c:v>
                </c:pt>
                <c:pt idx="15">
                  <c:v>-54.947477179170448</c:v>
                </c:pt>
                <c:pt idx="16">
                  <c:v>-54.931135673890992</c:v>
                </c:pt>
                <c:pt idx="17">
                  <c:v>-54.907489533680689</c:v>
                </c:pt>
                <c:pt idx="18">
                  <c:v>-54.875237635381609</c:v>
                </c:pt>
                <c:pt idx="19">
                  <c:v>-54.833247721127236</c:v>
                </c:pt>
                <c:pt idx="20">
                  <c:v>-54.780545799331833</c:v>
                </c:pt>
                <c:pt idx="21">
                  <c:v>-54.716305939395625</c:v>
                </c:pt>
                <c:pt idx="22">
                  <c:v>-54.639840451844407</c:v>
                </c:pt>
                <c:pt idx="23">
                  <c:v>-54.550590445701857</c:v>
                </c:pt>
                <c:pt idx="24">
                  <c:v>-54.448116754968225</c:v>
                </c:pt>
                <c:pt idx="25">
                  <c:v>-54.332091226155455</c:v>
                </c:pt>
                <c:pt idx="26">
                  <c:v>-54.202288358903672</c:v>
                </c:pt>
                <c:pt idx="27">
                  <c:v>-54.058577291784275</c:v>
                </c:pt>
                <c:pt idx="28">
                  <c:v>-53.900914125466045</c:v>
                </c:pt>
                <c:pt idx="29">
                  <c:v>-53.729334575502492</c:v>
                </c:pt>
                <c:pt idx="30">
                  <c:v>-53.543946947070054</c:v>
                </c:pt>
                <c:pt idx="31">
                  <c:v>-53.344925424067185</c:v>
                </c:pt>
                <c:pt idx="32">
                  <c:v>-53.132503665058522</c:v>
                </c:pt>
                <c:pt idx="33">
                  <c:v>-52.906968698623814</c:v>
                </c:pt>
                <c:pt idx="34">
                  <c:v>-52.668655110752496</c:v>
                </c:pt>
                <c:pt idx="35">
                  <c:v>-52.417939516994352</c:v>
                </c:pt>
                <c:pt idx="36">
                  <c:v>-52.155235312158254</c:v>
                </c:pt>
                <c:pt idx="37">
                  <c:v>-51.880987690425314</c:v>
                </c:pt>
                <c:pt idx="38">
                  <c:v>-51.595668928820544</c:v>
                </c:pt>
                <c:pt idx="39">
                  <c:v>-51.299773927060684</c:v>
                </c:pt>
                <c:pt idx="40">
                  <c:v>-50.993815996874972</c:v>
                </c:pt>
                <c:pt idx="41">
                  <c:v>-50.678322893971853</c:v>
                </c:pt>
                <c:pt idx="42">
                  <c:v>-50.353833085898941</c:v>
                </c:pt>
                <c:pt idx="43">
                  <c:v>-50.02089224912261</c:v>
                </c:pt>
                <c:pt idx="44">
                  <c:v>-49.680049988727177</c:v>
                </c:pt>
                <c:pt idx="45">
                  <c:v>-49.331856774213492</c:v>
                </c:pt>
                <c:pt idx="46">
                  <c:v>-48.976861084948595</c:v>
                </c:pt>
                <c:pt idx="47">
                  <c:v>-48.615606758899901</c:v>
                </c:pt>
                <c:pt idx="48">
                  <c:v>-48.248630538358753</c:v>
                </c:pt>
                <c:pt idx="49">
                  <c:v>-47.876459806437836</c:v>
                </c:pt>
                <c:pt idx="50">
                  <c:v>-47.499610508202018</c:v>
                </c:pt>
                <c:pt idx="51">
                  <c:v>-47.118585250368547</c:v>
                </c:pt>
                <c:pt idx="52">
                  <c:v>-46.733871573590037</c:v>
                </c:pt>
                <c:pt idx="53">
                  <c:v>-46.345940391407858</c:v>
                </c:pt>
                <c:pt idx="54">
                  <c:v>-45.955244590042781</c:v>
                </c:pt>
                <c:pt idx="55">
                  <c:v>-45.562217783263996</c:v>
                </c:pt>
                <c:pt idx="56">
                  <c:v>-45.167273216654046</c:v>
                </c:pt>
                <c:pt idx="57">
                  <c:v>-44.770802815665633</c:v>
                </c:pt>
                <c:pt idx="58">
                  <c:v>-44.373176371939927</c:v>
                </c:pt>
                <c:pt idx="59">
                  <c:v>-43.974740862434878</c:v>
                </c:pt>
                <c:pt idx="60">
                  <c:v>-43.575819895986157</c:v>
                </c:pt>
                <c:pt idx="61">
                  <c:v>-43.1767132820017</c:v>
                </c:pt>
                <c:pt idx="62">
                  <c:v>-42.777696716066174</c:v>
                </c:pt>
                <c:pt idx="63">
                  <c:v>-42.379021577307995</c:v>
                </c:pt>
                <c:pt idx="64">
                  <c:v>-41.980914832458765</c:v>
                </c:pt>
                <c:pt idx="65">
                  <c:v>-41.583579041610164</c:v>
                </c:pt>
                <c:pt idx="66">
                  <c:v>-41.187192460751177</c:v>
                </c:pt>
                <c:pt idx="67">
                  <c:v>-40.791909236243427</c:v>
                </c:pt>
                <c:pt idx="68">
                  <c:v>-40.397859686469999</c:v>
                </c:pt>
                <c:pt idx="69">
                  <c:v>-40.005150665968863</c:v>
                </c:pt>
                <c:pt idx="70">
                  <c:v>-39.613866007438546</c:v>
                </c:pt>
                <c:pt idx="71">
                  <c:v>-39.224067037080246</c:v>
                </c:pt>
                <c:pt idx="72">
                  <c:v>-38.835793158816841</c:v>
                </c:pt>
                <c:pt idx="73">
                  <c:v>-38.44906250300545</c:v>
                </c:pt>
                <c:pt idx="74">
                  <c:v>-38.063872635337006</c:v>
                </c:pt>
                <c:pt idx="75">
                  <c:v>-37.680201321692586</c:v>
                </c:pt>
                <c:pt idx="76">
                  <c:v>-37.298007344802187</c:v>
                </c:pt>
                <c:pt idx="77">
                  <c:v>-36.917231368628812</c:v>
                </c:pt>
                <c:pt idx="78">
                  <c:v>-36.537796846476262</c:v>
                </c:pt>
                <c:pt idx="79">
                  <c:v>-36.159610968896267</c:v>
                </c:pt>
                <c:pt idx="80">
                  <c:v>-35.782565647546186</c:v>
                </c:pt>
                <c:pt idx="81">
                  <c:v>-35.406538531225692</c:v>
                </c:pt>
                <c:pt idx="82">
                  <c:v>-35.031394050396422</c:v>
                </c:pt>
                <c:pt idx="83">
                  <c:v>-34.656984486565804</c:v>
                </c:pt>
                <c:pt idx="84">
                  <c:v>-34.283151062991884</c:v>
                </c:pt>
                <c:pt idx="85">
                  <c:v>-33.90972505324293</c:v>
                </c:pt>
                <c:pt idx="86">
                  <c:v>-33.536528904221861</c:v>
                </c:pt>
                <c:pt idx="87">
                  <c:v>-33.163377370341664</c:v>
                </c:pt>
                <c:pt idx="88">
                  <c:v>-32.790078655614678</c:v>
                </c:pt>
                <c:pt idx="89">
                  <c:v>-32.416435560494961</c:v>
                </c:pt>
                <c:pt idx="90">
                  <c:v>-32.042246630389172</c:v>
                </c:pt>
                <c:pt idx="91">
                  <c:v>-31.667307302827922</c:v>
                </c:pt>
                <c:pt idx="92">
                  <c:v>-31.291411050366108</c:v>
                </c:pt>
                <c:pt idx="93">
                  <c:v>-30.914350516356652</c:v>
                </c:pt>
                <c:pt idx="94">
                  <c:v>-30.535918640819123</c:v>
                </c:pt>
                <c:pt idx="95">
                  <c:v>-30.155909773700397</c:v>
                </c:pt>
                <c:pt idx="96">
                  <c:v>-29.774120772901625</c:v>
                </c:pt>
                <c:pt idx="97">
                  <c:v>-29.390352084521528</c:v>
                </c:pt>
                <c:pt idx="98">
                  <c:v>-29.004408802842832</c:v>
                </c:pt>
                <c:pt idx="99">
                  <c:v>-28.61610170766501</c:v>
                </c:pt>
                <c:pt idx="100">
                  <c:v>-28.225248276662636</c:v>
                </c:pt>
                <c:pt idx="101">
                  <c:v>-27.831673670525426</c:v>
                </c:pt>
                <c:pt idx="102">
                  <c:v>-27.435211688712066</c:v>
                </c:pt>
                <c:pt idx="103">
                  <c:v>-27.035705693726619</c:v>
                </c:pt>
                <c:pt idx="104">
                  <c:v>-26.633009501902489</c:v>
                </c:pt>
                <c:pt idx="105">
                  <c:v>-26.22698823875546</c:v>
                </c:pt>
                <c:pt idx="106">
                  <c:v>-25.817519157043588</c:v>
                </c:pt>
                <c:pt idx="107">
                  <c:v>-25.404492415748219</c:v>
                </c:pt>
                <c:pt idx="108">
                  <c:v>-24.98781181826682</c:v>
                </c:pt>
                <c:pt idx="109">
                  <c:v>-24.567395508184507</c:v>
                </c:pt>
                <c:pt idx="110">
                  <c:v>-24.143176621067845</c:v>
                </c:pt>
                <c:pt idx="111">
                  <c:v>-23.715103890800663</c:v>
                </c:pt>
                <c:pt idx="112">
                  <c:v>-23.28314220905801</c:v>
                </c:pt>
                <c:pt idx="113">
                  <c:v>-22.847273136591085</c:v>
                </c:pt>
                <c:pt idx="114">
                  <c:v>-22.40749536507181</c:v>
                </c:pt>
                <c:pt idx="115">
                  <c:v>-21.963825128322753</c:v>
                </c:pt>
                <c:pt idx="116">
                  <c:v>-21.516296561833929</c:v>
                </c:pt>
                <c:pt idx="117">
                  <c:v>-21.064962009544821</c:v>
                </c:pt>
                <c:pt idx="118">
                  <c:v>-20.609892276946109</c:v>
                </c:pt>
                <c:pt idx="119">
                  <c:v>-20.151176829632067</c:v>
                </c:pt>
                <c:pt idx="120">
                  <c:v>-19.688923936510989</c:v>
                </c:pt>
                <c:pt idx="121">
                  <c:v>-19.223260756957465</c:v>
                </c:pt>
                <c:pt idx="122">
                  <c:v>-18.754333371266526</c:v>
                </c:pt>
                <c:pt idx="123">
                  <c:v>-18.2823067538462</c:v>
                </c:pt>
                <c:pt idx="124">
                  <c:v>-17.8073646886616</c:v>
                </c:pt>
                <c:pt idx="125">
                  <c:v>-17.329709626519577</c:v>
                </c:pt>
                <c:pt idx="126">
                  <c:v>-16.849562483859891</c:v>
                </c:pt>
                <c:pt idx="127">
                  <c:v>-16.367162382794859</c:v>
                </c:pt>
                <c:pt idx="128">
                  <c:v>-15.882766332216036</c:v>
                </c:pt>
                <c:pt idx="129">
                  <c:v>-15.396648849862876</c:v>
                </c:pt>
                <c:pt idx="130">
                  <c:v>-14.909101525324532</c:v>
                </c:pt>
                <c:pt idx="131">
                  <c:v>-14.420432524022624</c:v>
                </c:pt>
                <c:pt idx="132">
                  <c:v>-13.930966032298924</c:v>
                </c:pt>
                <c:pt idx="133">
                  <c:v>-13.441041643808502</c:v>
                </c:pt>
                <c:pt idx="134">
                  <c:v>-12.951013687495198</c:v>
                </c:pt>
                <c:pt idx="135">
                  <c:v>-12.461250497502588</c:v>
                </c:pt>
                <c:pt idx="136">
                  <c:v>-11.972133625450232</c:v>
                </c:pt>
                <c:pt idx="137">
                  <c:v>-11.484056995581106</c:v>
                </c:pt>
                <c:pt idx="138">
                  <c:v>-10.997426003362763</c:v>
                </c:pt>
                <c:pt idx="139">
                  <c:v>-10.512656558200977</c:v>
                </c:pt>
                <c:pt idx="140">
                  <c:v>-10.030174071001129</c:v>
                </c:pt>
                <c:pt idx="141">
                  <c:v>-9.5504123873889668</c:v>
                </c:pt>
                <c:pt idx="142">
                  <c:v>-9.0738126674786912</c:v>
                </c:pt>
                <c:pt idx="143">
                  <c:v>-8.6008222131528154</c:v>
                </c:pt>
                <c:pt idx="144">
                  <c:v>-8.131893243894611</c:v>
                </c:pt>
                <c:pt idx="145">
                  <c:v>-7.6674816222902589</c:v>
                </c:pt>
                <c:pt idx="146">
                  <c:v>-7.2080455303943696</c:v>
                </c:pt>
                <c:pt idx="147">
                  <c:v>-6.7540440982287864</c:v>
                </c:pt>
                <c:pt idx="148">
                  <c:v>-6.3059359857610904</c:v>
                </c:pt>
                <c:pt idx="149">
                  <c:v>-5.8641779197855168</c:v>
                </c:pt>
                <c:pt idx="150">
                  <c:v>-5.4292231872055075</c:v>
                </c:pt>
                <c:pt idx="151">
                  <c:v>-5.0015200862933789</c:v>
                </c:pt>
                <c:pt idx="152">
                  <c:v>-4.5815103375791049</c:v>
                </c:pt>
                <c:pt idx="153">
                  <c:v>-4.1696274560965172</c:v>
                </c:pt>
                <c:pt idx="154">
                  <c:v>-3.7662950867916694</c:v>
                </c:pt>
                <c:pt idx="155">
                  <c:v>-3.3719253049744937</c:v>
                </c:pt>
                <c:pt idx="156">
                  <c:v>-2.9869168837712401</c:v>
                </c:pt>
                <c:pt idx="157">
                  <c:v>-2.611653530611648</c:v>
                </c:pt>
                <c:pt idx="158">
                  <c:v>-2.2465020948611252</c:v>
                </c:pt>
                <c:pt idx="159">
                  <c:v>-1.8918107487846401</c:v>
                </c:pt>
                <c:pt idx="160">
                  <c:v>-1.5479071441054222</c:v>
                </c:pt>
                <c:pt idx="161">
                  <c:v>-1.2150965464979557</c:v>
                </c:pt>
                <c:pt idx="162">
                  <c:v>-0.89365995043113422</c:v>
                </c:pt>
                <c:pt idx="163">
                  <c:v>-0.58385217685386093</c:v>
                </c:pt>
                <c:pt idx="164">
                  <c:v>-0.2858999562917518</c:v>
                </c:pt>
                <c:pt idx="165">
                  <c:v>0</c:v>
                </c:pt>
                <c:pt idx="166">
                  <c:v>0.27368293810614353</c:v>
                </c:pt>
                <c:pt idx="167">
                  <c:v>0.53501800594543036</c:v>
                </c:pt>
                <c:pt idx="168">
                  <c:v>0.78391020131497613</c:v>
                </c:pt>
                <c:pt idx="169">
                  <c:v>1.0203023205342925</c:v>
                </c:pt>
                <c:pt idx="170">
                  <c:v>1.2441769046619631</c:v>
                </c:pt>
                <c:pt idx="171">
                  <c:v>1.4555581801815443</c:v>
                </c:pt>
                <c:pt idx="172">
                  <c:v>1.6545139909768791</c:v>
                </c:pt>
                <c:pt idx="173">
                  <c:v>1.8411577183406187</c:v>
                </c:pt>
                <c:pt idx="174">
                  <c:v>2.0156501856833531</c:v>
                </c:pt>
                <c:pt idx="175">
                  <c:v>2.1782015445343523</c:v>
                </c:pt>
                <c:pt idx="176">
                  <c:v>2.3290731383485452</c:v>
                </c:pt>
                <c:pt idx="177">
                  <c:v>2.4685793405579401</c:v>
                </c:pt>
                <c:pt idx="178">
                  <c:v>2.5970893632293257</c:v>
                </c:pt>
                <c:pt idx="179">
                  <c:v>2.7150290326136846</c:v>
                </c:pt>
                <c:pt idx="180">
                  <c:v>2.8228825277963514</c:v>
                </c:pt>
                <c:pt idx="181">
                  <c:v>2.9211940785805814</c:v>
                </c:pt>
                <c:pt idx="182">
                  <c:v>3.0105696186607487</c:v>
                </c:pt>
                <c:pt idx="183">
                  <c:v>3.0916783900650771</c:v>
                </c:pt>
                <c:pt idx="184">
                  <c:v>3.1652544947713355</c:v>
                </c:pt>
                <c:pt idx="185">
                  <c:v>3.2320983893225859</c:v>
                </c:pt>
                <c:pt idx="186">
                  <c:v>3.2930783181936674</c:v>
                </c:pt>
                <c:pt idx="187">
                  <c:v>3.3491316815826839</c:v>
                </c:pt>
                <c:pt idx="188">
                  <c:v>3.4012663332254136</c:v>
                </c:pt>
                <c:pt idx="189">
                  <c:v>3.4505618037541197</c:v>
                </c:pt>
                <c:pt idx="190">
                  <c:v>3.4981704450458739</c:v>
                </c:pt>
                <c:pt idx="191">
                  <c:v>3.5453184909291164</c:v>
                </c:pt>
                <c:pt idx="192">
                  <c:v>3.5933070295407412</c:v>
                </c:pt>
                <c:pt idx="193">
                  <c:v>3.6435128825496856</c:v>
                </c:pt>
                <c:pt idx="194">
                  <c:v>3.69738938638648</c:v>
                </c:pt>
                <c:pt idx="195">
                  <c:v>3.7564670705419796</c:v>
                </c:pt>
                <c:pt idx="196">
                  <c:v>3.8223542279219593</c:v>
                </c:pt>
                <c:pt idx="197">
                  <c:v>3.896737372167951</c:v>
                </c:pt>
                <c:pt idx="198">
                  <c:v>3.9813815767782939</c:v>
                </c:pt>
                <c:pt idx="199">
                  <c:v>4.0781306907869226</c:v>
                </c:pt>
                <c:pt idx="200">
                  <c:v>4.1889074256811112</c:v>
                </c:pt>
              </c:numCache>
            </c:numRef>
          </c:yVal>
          <c:smooth val="1"/>
        </c:ser>
        <c:dLbls>
          <c:showLegendKey val="0"/>
          <c:showVal val="0"/>
          <c:showCatName val="0"/>
          <c:showSerName val="0"/>
          <c:showPercent val="0"/>
          <c:showBubbleSize val="0"/>
        </c:dLbls>
        <c:axId val="553021728"/>
        <c:axId val="553023296"/>
      </c:scatterChart>
      <c:valAx>
        <c:axId val="55302172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023296"/>
        <c:crossesAt val="-1000"/>
        <c:crossBetween val="midCat"/>
      </c:valAx>
      <c:valAx>
        <c:axId val="55302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302172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85</v>
      </c>
    </row>
    <row r="22" spans="1:2" s="11" customFormat="1" x14ac:dyDescent="0.25">
      <c r="A22" s="61" t="s">
        <v>157</v>
      </c>
      <c r="B22" s="100">
        <f>CTE!N8-0.5</f>
        <v>95</v>
      </c>
    </row>
    <row r="23" spans="1:2" s="11" customFormat="1" x14ac:dyDescent="0.25">
      <c r="A23" s="61" t="s">
        <v>158</v>
      </c>
      <c r="B23" s="100">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0.27981614592843279</v>
      </c>
      <c r="D59" s="55">
        <v>1</v>
      </c>
    </row>
    <row r="60" spans="1:4" s="11" customFormat="1" x14ac:dyDescent="0.25">
      <c r="A60" s="54">
        <v>2</v>
      </c>
      <c r="B60" s="56">
        <f>'Shiftfunktion bestimmen'!N2</f>
        <v>-6.1099216494287919E-3</v>
      </c>
      <c r="D60" s="55">
        <v>2</v>
      </c>
    </row>
    <row r="61" spans="1:4" s="11" customFormat="1" x14ac:dyDescent="0.25">
      <c r="A61" s="54">
        <v>3</v>
      </c>
      <c r="B61" s="56">
        <f>'Shiftfunktion bestimmen'!N3</f>
        <v>-2.4714955907433101E-5</v>
      </c>
      <c r="D61" s="55">
        <v>3</v>
      </c>
    </row>
    <row r="62" spans="1:4" s="11" customFormat="1" x14ac:dyDescent="0.25">
      <c r="A62" s="54">
        <v>4</v>
      </c>
      <c r="B62" s="56">
        <f>'Shiftfunktion bestimmen'!N4</f>
        <v>1.4125516690561377E-6</v>
      </c>
      <c r="D62" s="55">
        <v>4</v>
      </c>
    </row>
    <row r="63" spans="1:4" s="11" customFormat="1" x14ac:dyDescent="0.25">
      <c r="A63" s="54">
        <v>5</v>
      </c>
      <c r="B63" s="56">
        <f>'Shiftfunktion bestimmen'!N5</f>
        <v>1.6227000190248636E-8</v>
      </c>
      <c r="D63" s="55">
        <v>5</v>
      </c>
    </row>
    <row r="64" spans="1:4" s="11" customFormat="1" x14ac:dyDescent="0.25">
      <c r="A64" s="54">
        <v>6</v>
      </c>
      <c r="B64" s="56">
        <f>'Shiftfunktion bestimmen'!N6</f>
        <v>4.9575000863556092E-12</v>
      </c>
      <c r="D64" s="55">
        <v>6</v>
      </c>
    </row>
    <row r="65" spans="1:5" s="11" customFormat="1" x14ac:dyDescent="0.25">
      <c r="A65" s="54">
        <v>7</v>
      </c>
      <c r="B65" s="56">
        <f>'Shiftfunktion bestimmen'!N7</f>
        <v>-5.7786414965925904E-13</v>
      </c>
      <c r="D65" s="55">
        <v>7</v>
      </c>
    </row>
    <row r="66" spans="1:5" x14ac:dyDescent="0.25">
      <c r="A66" s="54">
        <v>8</v>
      </c>
      <c r="B66" s="56">
        <f>'Shiftfunktion bestimmen'!N8</f>
        <v>-1.8946783917320989E-15</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0.10924684220979419</v>
      </c>
      <c r="D74" s="51">
        <v>1</v>
      </c>
      <c r="E74" s="56">
        <f>'Mastercurve bestimmen'!A18</f>
        <v>1.0000000000000001E-20</v>
      </c>
    </row>
    <row r="75" spans="1:5" x14ac:dyDescent="0.25">
      <c r="A75" s="50">
        <f>A74+1</f>
        <v>2</v>
      </c>
      <c r="B75" s="56">
        <f>'Mastercurve bestimmen'!C19</f>
        <v>7.1825631805889176E-2</v>
      </c>
      <c r="D75" s="51">
        <v>2</v>
      </c>
      <c r="E75" s="56">
        <f>'Mastercurve bestimmen'!A19</f>
        <v>3.9038946506297401E-14</v>
      </c>
    </row>
    <row r="76" spans="1:5" x14ac:dyDescent="0.25">
      <c r="A76" s="50">
        <f t="shared" ref="A76:A104" si="0">A75+1</f>
        <v>3</v>
      </c>
      <c r="B76" s="56">
        <f>'Mastercurve bestimmen'!C20</f>
        <v>3.596772409142239E-2</v>
      </c>
      <c r="D76" s="51">
        <v>3</v>
      </c>
      <c r="E76" s="56">
        <f>'Mastercurve bestimmen'!A20</f>
        <v>4.3276437088188502E-13</v>
      </c>
    </row>
    <row r="77" spans="1:5" x14ac:dyDescent="0.25">
      <c r="A77" s="50">
        <f t="shared" si="0"/>
        <v>4</v>
      </c>
      <c r="B77" s="56">
        <f>'Mastercurve bestimmen'!C21</f>
        <v>4.9137716927094087E-2</v>
      </c>
      <c r="D77" s="51">
        <v>4</v>
      </c>
      <c r="E77" s="56">
        <f>'Mastercurve bestimmen'!A21</f>
        <v>4.7973886968128502E-12</v>
      </c>
    </row>
    <row r="78" spans="1:5" x14ac:dyDescent="0.25">
      <c r="A78" s="50">
        <f t="shared" si="0"/>
        <v>5</v>
      </c>
      <c r="B78" s="56">
        <f>'Mastercurve bestimmen'!C22</f>
        <v>4.6762783367912203E-2</v>
      </c>
      <c r="D78" s="51">
        <v>5</v>
      </c>
      <c r="E78" s="56">
        <f>'Mastercurve bestimmen'!A22</f>
        <v>5.31812225239524E-11</v>
      </c>
    </row>
    <row r="79" spans="1:5" x14ac:dyDescent="0.25">
      <c r="A79" s="50">
        <f t="shared" si="0"/>
        <v>6</v>
      </c>
      <c r="B79" s="56">
        <f>'Mastercurve bestimmen'!C23</f>
        <v>5.0407962506303181E-2</v>
      </c>
      <c r="D79" s="51">
        <v>6</v>
      </c>
      <c r="E79" s="56">
        <f>'Mastercurve bestimmen'!A23</f>
        <v>5.8953789402578301E-10</v>
      </c>
    </row>
    <row r="80" spans="1:5" x14ac:dyDescent="0.25">
      <c r="A80" s="50">
        <f t="shared" si="0"/>
        <v>7</v>
      </c>
      <c r="B80" s="56">
        <f>'Mastercurve bestimmen'!C24</f>
        <v>5.7182312842770561E-2</v>
      </c>
      <c r="D80" s="51">
        <v>7</v>
      </c>
      <c r="E80" s="56">
        <f>'Mastercurve bestimmen'!A24</f>
        <v>6.5352940755699598E-9</v>
      </c>
    </row>
    <row r="81" spans="1:5" x14ac:dyDescent="0.25">
      <c r="A81" s="50">
        <f t="shared" si="0"/>
        <v>8</v>
      </c>
      <c r="B81" s="56">
        <f>'Mastercurve bestimmen'!C25</f>
        <v>8.0089931313285845E-2</v>
      </c>
      <c r="D81" s="51">
        <v>8</v>
      </c>
      <c r="E81" s="56">
        <f>'Mastercurve bestimmen'!A25</f>
        <v>7.2446689325643296E-8</v>
      </c>
    </row>
    <row r="82" spans="1:5" x14ac:dyDescent="0.25">
      <c r="A82" s="50">
        <f t="shared" si="0"/>
        <v>9</v>
      </c>
      <c r="B82" s="56">
        <f>'Mastercurve bestimmen'!C26</f>
        <v>9.4725402978259585E-2</v>
      </c>
      <c r="D82" s="51">
        <f>A82</f>
        <v>9</v>
      </c>
      <c r="E82" s="56">
        <f>'Mastercurve bestimmen'!A26</f>
        <v>8.03104303120212E-7</v>
      </c>
    </row>
    <row r="83" spans="1:5" x14ac:dyDescent="0.25">
      <c r="A83" s="50">
        <f t="shared" si="0"/>
        <v>10</v>
      </c>
      <c r="B83" s="56">
        <f>'Mastercurve bestimmen'!C27</f>
        <v>0.11171287761739628</v>
      </c>
      <c r="C83" s="11"/>
      <c r="D83" s="51">
        <f t="shared" ref="D83:D104" si="1">A83</f>
        <v>10</v>
      </c>
      <c r="E83" s="56">
        <f>'Mastercurve bestimmen'!A27</f>
        <v>8.9027742702096099E-6</v>
      </c>
    </row>
    <row r="84" spans="1:5" x14ac:dyDescent="0.25">
      <c r="A84" s="50">
        <f t="shared" si="0"/>
        <v>11</v>
      </c>
      <c r="B84" s="56">
        <f>'Mastercurve bestimmen'!C28</f>
        <v>0.12486929252202905</v>
      </c>
      <c r="C84" s="11"/>
      <c r="D84" s="51">
        <f t="shared" si="1"/>
        <v>11</v>
      </c>
      <c r="E84" s="56">
        <f>'Mastercurve bestimmen'!A28</f>
        <v>9.86912775817142E-5</v>
      </c>
    </row>
    <row r="85" spans="1:5" x14ac:dyDescent="0.25">
      <c r="A85" s="50">
        <f t="shared" si="0"/>
        <v>12</v>
      </c>
      <c r="B85" s="56">
        <f>'Mastercurve bestimmen'!C29</f>
        <v>7.1899142973036512E-2</v>
      </c>
      <c r="C85" s="11"/>
      <c r="D85" s="51">
        <f t="shared" si="1"/>
        <v>12</v>
      </c>
      <c r="E85" s="56">
        <f>'Mastercurve bestimmen'!A29</f>
        <v>1.0940374286813801E-3</v>
      </c>
    </row>
    <row r="86" spans="1:5" x14ac:dyDescent="0.25">
      <c r="A86" s="50">
        <f t="shared" si="0"/>
        <v>13</v>
      </c>
      <c r="B86" s="56">
        <f>'Mastercurve bestimmen'!C30</f>
        <v>4.7675556768581172E-2</v>
      </c>
      <c r="C86" s="11"/>
      <c r="D86" s="51">
        <f t="shared" si="1"/>
        <v>13</v>
      </c>
      <c r="E86" s="56">
        <f>'Mastercurve bestimmen'!A30</f>
        <v>1.2127899493091E-2</v>
      </c>
    </row>
    <row r="87" spans="1:5" x14ac:dyDescent="0.25">
      <c r="A87" s="50">
        <f t="shared" si="0"/>
        <v>14</v>
      </c>
      <c r="B87" s="56">
        <f>'Mastercurve bestimmen'!C31</f>
        <v>1.9951380582978136E-2</v>
      </c>
      <c r="C87" s="11"/>
      <c r="D87" s="51">
        <f t="shared" si="1"/>
        <v>14</v>
      </c>
      <c r="E87" s="56">
        <f>'Mastercurve bestimmen'!A31</f>
        <v>0.13444324870292301</v>
      </c>
    </row>
    <row r="88" spans="1:5" x14ac:dyDescent="0.25">
      <c r="A88" s="50">
        <f t="shared" si="0"/>
        <v>15</v>
      </c>
      <c r="B88" s="56">
        <f>'Mastercurve bestimmen'!C32</f>
        <v>3.7229726854135226E-3</v>
      </c>
      <c r="C88" s="11"/>
      <c r="D88" s="51">
        <f t="shared" si="1"/>
        <v>15</v>
      </c>
      <c r="E88" s="56">
        <f>'Mastercurve bestimmen'!A32</f>
        <v>1.49036419143257</v>
      </c>
    </row>
    <row r="89" spans="1:5" x14ac:dyDescent="0.25">
      <c r="A89" s="50">
        <f t="shared" si="0"/>
        <v>16</v>
      </c>
      <c r="B89" s="56">
        <f>'Mastercurve bestimmen'!C33</f>
        <v>3.2258116785225384E-3</v>
      </c>
      <c r="C89" s="11"/>
      <c r="D89" s="51">
        <f t="shared" si="1"/>
        <v>16</v>
      </c>
      <c r="E89" s="56">
        <f>'Mastercurve bestimmen'!A33</f>
        <v>16.521360830937301</v>
      </c>
    </row>
    <row r="90" spans="1:5" x14ac:dyDescent="0.25">
      <c r="A90" s="50">
        <f t="shared" si="0"/>
        <v>17</v>
      </c>
      <c r="B90" s="56">
        <f>'Mastercurve bestimmen'!C34</f>
        <v>4.6514491459037388E-4</v>
      </c>
      <c r="C90" s="11"/>
      <c r="D90" s="51">
        <f t="shared" si="1"/>
        <v>17</v>
      </c>
      <c r="E90" s="56">
        <f>'Mastercurve bestimmen'!A34</f>
        <v>183.146753843879</v>
      </c>
    </row>
    <row r="91" spans="1:5" x14ac:dyDescent="0.25">
      <c r="A91" s="50">
        <f t="shared" si="0"/>
        <v>18</v>
      </c>
      <c r="B91" s="56">
        <f>'Mastercurve bestimmen'!C35</f>
        <v>1.1429544870574336E-5</v>
      </c>
      <c r="C91" s="11"/>
      <c r="D91" s="51">
        <f t="shared" si="1"/>
        <v>18</v>
      </c>
      <c r="E91" s="56">
        <f>'Mastercurve bestimmen'!A35</f>
        <v>2030.26456396616</v>
      </c>
    </row>
    <row r="92" spans="1:5" x14ac:dyDescent="0.25">
      <c r="A92" s="50">
        <f t="shared" si="0"/>
        <v>19</v>
      </c>
      <c r="B92" s="56">
        <f>'Mastercurve bestimmen'!C36</f>
        <v>2.5915484418969715E-5</v>
      </c>
      <c r="C92" s="11"/>
      <c r="D92" s="51">
        <f t="shared" si="1"/>
        <v>19</v>
      </c>
      <c r="E92" s="56">
        <f>'Mastercurve bestimmen'!A36</f>
        <v>22506.400540467101</v>
      </c>
    </row>
    <row r="93" spans="1:5" x14ac:dyDescent="0.25">
      <c r="A93" s="50">
        <f t="shared" si="0"/>
        <v>20</v>
      </c>
      <c r="B93" s="56">
        <f>'Mastercurve bestimmen'!C37</f>
        <v>2.9552981931303355E-5</v>
      </c>
      <c r="C93" s="11"/>
      <c r="D93" s="51">
        <f t="shared" si="1"/>
        <v>20</v>
      </c>
      <c r="E93" s="56">
        <f>'Mastercurve bestimmen'!A37</f>
        <v>249493.62476110301</v>
      </c>
    </row>
    <row r="94" spans="1:5" x14ac:dyDescent="0.25">
      <c r="A94" s="50">
        <f t="shared" si="0"/>
        <v>21</v>
      </c>
      <c r="B94" s="56">
        <f>'Mastercurve bestimmen'!C38</f>
        <v>3.2731039559542382E-6</v>
      </c>
      <c r="C94" s="11"/>
      <c r="D94" s="51">
        <f t="shared" si="1"/>
        <v>21</v>
      </c>
      <c r="E94" s="56">
        <f>'Mastercurve bestimmen'!A38</f>
        <v>2765749.6224023802</v>
      </c>
    </row>
    <row r="95" spans="1:5" x14ac:dyDescent="0.25">
      <c r="A95" s="50">
        <f t="shared" si="0"/>
        <v>22</v>
      </c>
      <c r="B95" s="56">
        <f>'Mastercurve bestimmen'!C39</f>
        <v>4.7316671387144988E-5</v>
      </c>
      <c r="C95" s="11"/>
      <c r="D95" s="51">
        <f t="shared" si="1"/>
        <v>22</v>
      </c>
      <c r="E95" s="56">
        <f>'Mastercurve bestimmen'!A39</f>
        <v>10000000</v>
      </c>
    </row>
    <row r="96" spans="1:5" x14ac:dyDescent="0.25">
      <c r="A96" s="50">
        <f t="shared" si="0"/>
        <v>23</v>
      </c>
      <c r="B96" s="56">
        <f>'Mastercurve bestimmen'!C40</f>
        <v>2.2741722122049058E-5</v>
      </c>
      <c r="C96" s="11"/>
      <c r="D96" s="51">
        <f t="shared" si="1"/>
        <v>23</v>
      </c>
      <c r="E96" s="56">
        <f>'Mastercurve bestimmen'!A40</f>
        <v>100000000</v>
      </c>
    </row>
    <row r="97" spans="1:5" x14ac:dyDescent="0.25">
      <c r="A97" s="50">
        <f t="shared" si="0"/>
        <v>24</v>
      </c>
      <c r="B97" s="56">
        <f>'Mastercurve bestimmen'!C41</f>
        <v>1.7857506760164985E-5</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1.5759572914912317E-6</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1.823122872957775E-3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03">
        <f>STUTT!D8</f>
        <v>5930.4079000000002</v>
      </c>
      <c r="D113" s="103"/>
    </row>
    <row r="114" spans="1:4" s="11" customFormat="1" x14ac:dyDescent="0.25">
      <c r="A114" s="61" t="str">
        <f>STUTT!B9</f>
        <v>MP,GXY,</v>
      </c>
      <c r="B114" s="52" t="str">
        <f>STUTT!C9</f>
        <v>MatID,</v>
      </c>
      <c r="C114" s="103">
        <f>STUTT!D9</f>
        <v>6613.9741000000004</v>
      </c>
      <c r="D114" s="103"/>
    </row>
    <row r="115" spans="1:4" x14ac:dyDescent="0.25">
      <c r="A115" s="61" t="str">
        <f>STUTT!B10</f>
        <v>MP,GYZ,</v>
      </c>
      <c r="B115" s="52" t="str">
        <f>STUTT!C10</f>
        <v>MatID,</v>
      </c>
      <c r="C115" s="103">
        <f>STUTT!D10</f>
        <v>6613.9741000000004</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6"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90">
        <f>(INDEX(L:L,ROW(L2)*2+1)+INDEX(L:L,ROW(L2)*2+2))/2</f>
        <v>2.5181388285714289E-5</v>
      </c>
      <c r="P5" s="90">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90">
        <f t="shared" ref="O6:O7" si="2">(INDEX(L:L,ROW(L3)*2+1)+INDEX(L:L,ROW(L3)*2+2))/2</f>
        <v>2.7886904000000003E-5</v>
      </c>
      <c r="P6" s="90">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90">
        <f t="shared" si="2"/>
        <v>5.0859113714285718E-5</v>
      </c>
      <c r="P7" s="90">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90">
        <f t="shared" ref="O8:O9" si="4">(INDEX(L:L,ROW(L5)*2+1)+INDEX(L:L,ROW(L5)*2+2))/2</f>
        <v>7.1150880000000002E-5</v>
      </c>
      <c r="P8" s="90">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90">
        <f t="shared" si="4"/>
        <v>7.0799597142857145E-5</v>
      </c>
      <c r="P9" s="90">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C68" sqref="C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5339.3938402799959</v>
      </c>
      <c r="G16" s="26">
        <f>INDEX(Comparison!$AM$3:$AS$33,G14,$B$3)</f>
        <v>5092.5436233397832</v>
      </c>
      <c r="H16" s="26">
        <f>INDEX(Comparison!$AM$3:$AS$33,H14,$B$3)</f>
        <v>4862.2074038193541</v>
      </c>
      <c r="I16" s="26">
        <f>INDEX(Comparison!$AM$3:$AS$33,I14,$B$3)</f>
        <v>4600.0447702643005</v>
      </c>
      <c r="J16" s="26">
        <f>INDEX(Comparison!$AM$3:$AS$33,J14,$B$3)</f>
        <v>4335.4686548713016</v>
      </c>
      <c r="K16" s="26">
        <f>INDEX(Comparison!$AM$3:$AS$33,K14,$B$3)</f>
        <v>4064.2446060274551</v>
      </c>
      <c r="L16" s="26">
        <f>INDEX(Comparison!$AM$3:$AS$33,L14,$B$3)</f>
        <v>3775.0165221687416</v>
      </c>
      <c r="M16" s="26">
        <f>INDEX(Comparison!$AM$3:$AS$33,M14,$B$3)</f>
        <v>3440.8792936987693</v>
      </c>
      <c r="N16" s="26">
        <f>INDEX(Comparison!$AM$3:$AS$33,N14,$B$3)</f>
        <v>3007.0276986600152</v>
      </c>
      <c r="O16" s="26">
        <f>INDEX(Comparison!$AM$3:$AS$33,O14,$B$3)</f>
        <v>2483.1842311274095</v>
      </c>
      <c r="P16" s="26">
        <f>INDEX(Comparison!$AM$3:$AS$33,P14,$B$3)</f>
        <v>1877.3036191571002</v>
      </c>
      <c r="Q16" s="26">
        <f>INDEX(Comparison!$AM$3:$AS$33,Q14,$B$3)</f>
        <v>1225.8372848665197</v>
      </c>
      <c r="R16" s="26">
        <f>INDEX(Comparison!$AM$3:$AS$33,R14,$B$3)</f>
        <v>718.17933085631228</v>
      </c>
      <c r="S16" s="26">
        <f>INDEX(Comparison!$AM$3:$AS$33,S14,$B$3)</f>
        <v>402.8254128419544</v>
      </c>
      <c r="T16" s="26">
        <f>INDEX(Comparison!$AM$3:$AS$33,T14,$B$3)</f>
        <v>224.17774389747507</v>
      </c>
      <c r="U16" s="26">
        <f>INDEX(Comparison!$AM$3:$AS$33,U14,$B$3)</f>
        <v>157.32573154577258</v>
      </c>
      <c r="V16" s="26">
        <f>INDEX(Comparison!$AM$3:$AS$33,V14,$B$3)</f>
        <v>138.47466281617423</v>
      </c>
      <c r="W16" s="26">
        <f>INDEX(Comparison!$AM$3:$AS$33,W14,$B$3)</f>
        <v>126.92176045152465</v>
      </c>
      <c r="X16" s="26">
        <f>INDEX(Comparison!$AM$3:$AS$33,X14,$B$3)</f>
        <v>125.32043450442224</v>
      </c>
      <c r="Y16" s="26">
        <f>INDEX(Comparison!$AM$3:$AS$33,Y14,$B$3)</f>
        <v>125.18975547765271</v>
      </c>
      <c r="Z16" s="26">
        <f>INDEX(Comparison!$AM$3:$AS$33,Z14,$B$3)</f>
        <v>125.05583743141311</v>
      </c>
      <c r="AA16" s="26">
        <f>INDEX(Comparison!$AM$3:$AS$33,AA14,$B$3)</f>
        <v>124.89217701523481</v>
      </c>
      <c r="AB16" s="26">
        <f>INDEX(Comparison!$AM$3:$AS$33,AB14,$B$3)</f>
        <v>124.70815441395035</v>
      </c>
      <c r="AC16" s="26">
        <f>INDEX(Comparison!$AM$3:$AS$33,AC14,$B$3)</f>
        <v>124.51586541667818</v>
      </c>
      <c r="AD16" s="26">
        <f>INDEX(Comparison!$AM$3:$AS$33,AD14,$B$3)</f>
        <v>124.45612407089325</v>
      </c>
      <c r="AE16" s="26">
        <f>INDEX(Comparison!$AM$3:$AS$33,AE14,$B$3)</f>
        <v>124.36413594438419</v>
      </c>
      <c r="AF16" s="26">
        <f>INDEX(Comparison!$AM$3:$AS$33,AF14,$B$3)</f>
        <v>124.24957869452857</v>
      </c>
      <c r="AG16" s="26">
        <f>INDEX(Comparison!$AM$3:$AS$33,AG14,$B$3)</f>
        <v>124.12464463468883</v>
      </c>
      <c r="AH16" s="26">
        <f>INDEX(Comparison!$AM$3:$AS$33,AH14,$B$3)</f>
        <v>124.11696893794122</v>
      </c>
      <c r="AI16" s="26">
        <f>INDEX(Comparison!$AM$3:$AS$33,AI14,$B$3)</f>
        <v>124.11273578228328</v>
      </c>
      <c r="AJ16" s="26">
        <f>INDEX(Comparison!$AM$3:$AS$33,AJ14,$B$3)</f>
        <v>124.10930475258213</v>
      </c>
    </row>
    <row r="17" spans="1:36" x14ac:dyDescent="0.25">
      <c r="A17" s="14" t="s">
        <v>20</v>
      </c>
      <c r="B17" s="14">
        <v>9.1066889201583262E-3</v>
      </c>
      <c r="C17" s="18">
        <f t="shared" ref="C17:C48" si="3">ABS(B17/$B$49)</f>
        <v>1.9148726369026103E-2</v>
      </c>
      <c r="D17" s="67"/>
      <c r="E17" s="66" t="s">
        <v>22</v>
      </c>
      <c r="F17" s="27">
        <f>($C$17+SUM(F18:F48))*$B$51</f>
        <v>5271.1982554243277</v>
      </c>
      <c r="G17" s="27">
        <f t="shared" ref="G17:M17" si="4">($C$17+SUM(G18:G48))*$B$51</f>
        <v>5180.7362681316235</v>
      </c>
      <c r="H17" s="27">
        <f t="shared" si="4"/>
        <v>4838.854460537339</v>
      </c>
      <c r="I17" s="27">
        <f t="shared" si="4"/>
        <v>4603.866719910834</v>
      </c>
      <c r="J17" s="27">
        <f t="shared" si="4"/>
        <v>4334.9503434150702</v>
      </c>
      <c r="K17" s="27">
        <f t="shared" si="4"/>
        <v>4064.3203468219886</v>
      </c>
      <c r="L17" s="27">
        <f t="shared" si="4"/>
        <v>3775.0118942506233</v>
      </c>
      <c r="M17" s="27">
        <f t="shared" si="4"/>
        <v>3440.8952480592739</v>
      </c>
      <c r="N17" s="27">
        <f t="shared" ref="N17" si="5">($C$17+SUM(N18:N48))*$B$51</f>
        <v>3007.013952138996</v>
      </c>
      <c r="O17" s="27">
        <f t="shared" ref="O17" si="6">($C$17+SUM(O18:O48))*$B$51</f>
        <v>2483.2209536630344</v>
      </c>
      <c r="P17" s="27">
        <f t="shared" ref="P17" si="7">($C$17+SUM(P18:P48))*$B$51</f>
        <v>1877.2416987706301</v>
      </c>
      <c r="Q17" s="27">
        <f t="shared" ref="Q17" si="8">($C$17+SUM(Q18:Q48))*$B$51</f>
        <v>1225.9197566187952</v>
      </c>
      <c r="R17" s="27">
        <f t="shared" ref="R17" si="9">($C$17+SUM(R18:R48))*$B$51</f>
        <v>718.04038126868454</v>
      </c>
      <c r="S17" s="27">
        <f t="shared" ref="S17:T17" si="10">($C$17+SUM(S18:S48))*$B$51</f>
        <v>402.97186523354844</v>
      </c>
      <c r="T17" s="27">
        <f t="shared" si="10"/>
        <v>224.04799722874827</v>
      </c>
      <c r="U17" s="27">
        <f t="shared" ref="U17" si="11">($C$17+SUM(U18:U48))*$B$51</f>
        <v>157.42520519391712</v>
      </c>
      <c r="V17" s="27">
        <f t="shared" ref="V17" si="12">($C$17+SUM(V18:V48))*$B$51</f>
        <v>138.40062864797011</v>
      </c>
      <c r="W17" s="27">
        <f t="shared" ref="W17" si="13">($C$17+SUM(W18:W48))*$B$51</f>
        <v>126.95733405745339</v>
      </c>
      <c r="X17" s="27">
        <f t="shared" ref="X17" si="14">($C$17+SUM(X18:X48))*$B$51</f>
        <v>125.29643988115927</v>
      </c>
      <c r="Y17" s="27">
        <f t="shared" ref="Y17" si="15">($C$17+SUM(Y18:Y48))*$B$51</f>
        <v>125.18881202240964</v>
      </c>
      <c r="Z17" s="27">
        <f t="shared" ref="Z17:AA17" si="16">($C$17+SUM(Z18:Z48))*$B$51</f>
        <v>125.03732063946561</v>
      </c>
      <c r="AA17" s="27">
        <f t="shared" si="16"/>
        <v>124.89089780483103</v>
      </c>
      <c r="AB17" s="27">
        <f t="shared" ref="AB17" si="17">($C$17+SUM(AB18:AB48))*$B$51</f>
        <v>124.71159917447773</v>
      </c>
      <c r="AC17" s="27">
        <f t="shared" ref="AC17" si="18">($C$17+SUM(AC18:AC48))*$B$51</f>
        <v>124.52640919470009</v>
      </c>
      <c r="AD17" s="27">
        <f t="shared" ref="AD17" si="19">($C$17+SUM(AD18:AD48))*$B$51</f>
        <v>124.41983781732861</v>
      </c>
      <c r="AE17" s="27">
        <f t="shared" ref="AE17" si="20">($C$17+SUM(AE18:AE48))*$B$51</f>
        <v>124.38007109183013</v>
      </c>
      <c r="AF17" s="27">
        <f t="shared" ref="AF17" si="21">($C$17+SUM(AF18:AF48))*$B$51</f>
        <v>124.37495053103903</v>
      </c>
      <c r="AG17" s="27">
        <f t="shared" ref="AG17:AH17" si="22">($C$17+SUM(AG18:AG48))*$B$51</f>
        <v>124.37053971440977</v>
      </c>
      <c r="AH17" s="27">
        <f t="shared" si="22"/>
        <v>124.36081396411136</v>
      </c>
      <c r="AI17" s="27">
        <f t="shared" ref="AI17" si="23">($C$17+SUM(AI18:AI48))*$B$51</f>
        <v>124.26404059501893</v>
      </c>
      <c r="AJ17" s="27">
        <f t="shared" ref="AJ17" si="24">($C$17+SUM(AJ18:AJ48))*$B$51</f>
        <v>123.34273569106075</v>
      </c>
    </row>
    <row r="18" spans="1:36" x14ac:dyDescent="0.25">
      <c r="A18" s="3">
        <f>0.000000000000001/10^5</f>
        <v>1.0000000000000001E-20</v>
      </c>
      <c r="B18" s="17">
        <v>5.1955257406752366E-2</v>
      </c>
      <c r="C18" s="18">
        <f t="shared" si="3"/>
        <v>0.10924684220979419</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3.415860004183293E-2</v>
      </c>
      <c r="C19" s="18">
        <f t="shared" si="3"/>
        <v>7.1825631805889176E-2</v>
      </c>
      <c r="D19" s="17"/>
      <c r="F19" s="3">
        <f t="shared" si="25"/>
        <v>7.0009150571649054E-2</v>
      </c>
      <c r="G19" s="3">
        <f t="shared" si="25"/>
        <v>5.5594648575474581E-2</v>
      </c>
      <c r="H19" s="3">
        <f t="shared" si="25"/>
        <v>5.543892482545055E-3</v>
      </c>
      <c r="I19" s="3">
        <f t="shared" si="25"/>
        <v>5.3905477359827747E-13</v>
      </c>
      <c r="J19" s="3">
        <f t="shared" si="25"/>
        <v>4.0720571893303609E-113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1.7105413078359576E-2</v>
      </c>
      <c r="C20" s="18">
        <f t="shared" si="3"/>
        <v>3.596772409142239E-2</v>
      </c>
      <c r="D20" s="17"/>
      <c r="F20" s="3">
        <f t="shared" si="25"/>
        <v>3.5884708476654245E-2</v>
      </c>
      <c r="G20" s="3">
        <f t="shared" si="25"/>
        <v>3.5146137309902271E-2</v>
      </c>
      <c r="H20" s="3">
        <f t="shared" si="25"/>
        <v>2.8546928765152562E-2</v>
      </c>
      <c r="I20" s="3">
        <f t="shared" si="25"/>
        <v>3.5676093245779741E-3</v>
      </c>
      <c r="J20" s="3">
        <f t="shared" si="25"/>
        <v>3.3155553373416626E-12</v>
      </c>
      <c r="K20" s="3">
        <f t="shared" si="25"/>
        <v>1.5934784149910575E-102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2.3368755377154764E-2</v>
      </c>
      <c r="C21" s="18">
        <f t="shared" si="3"/>
        <v>4.9137716927094087E-2</v>
      </c>
      <c r="D21" s="17"/>
      <c r="F21" s="3">
        <f t="shared" si="25"/>
        <v>4.9127475397985287E-2</v>
      </c>
      <c r="G21" s="3">
        <f t="shared" si="25"/>
        <v>4.9035397639223301E-2</v>
      </c>
      <c r="H21" s="3">
        <f t="shared" si="25"/>
        <v>4.8124058662163273E-2</v>
      </c>
      <c r="I21" s="3">
        <f t="shared" si="25"/>
        <v>3.9892174330692608E-2</v>
      </c>
      <c r="J21" s="3">
        <f t="shared" si="25"/>
        <v>6.1114225972914611E-3</v>
      </c>
      <c r="K21" s="3">
        <f t="shared" si="25"/>
        <v>4.3519950218718722E-11</v>
      </c>
      <c r="L21" s="3">
        <f t="shared" si="25"/>
        <v>1.4593152879530644E-92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2.2239292210116265E-2</v>
      </c>
      <c r="C22" s="18">
        <f t="shared" si="3"/>
        <v>4.6762783367912203E-2</v>
      </c>
      <c r="D22" s="17"/>
      <c r="F22" s="3">
        <f t="shared" si="25"/>
        <v>4.6761904066130552E-2</v>
      </c>
      <c r="G22" s="3">
        <f t="shared" si="25"/>
        <v>4.6753991094084318E-2</v>
      </c>
      <c r="H22" s="3">
        <f t="shared" si="25"/>
        <v>4.6674934982349946E-2</v>
      </c>
      <c r="I22" s="3">
        <f t="shared" si="25"/>
        <v>4.5891688854800272E-2</v>
      </c>
      <c r="J22" s="3">
        <f t="shared" si="25"/>
        <v>3.8746923738895336E-2</v>
      </c>
      <c r="K22" s="3">
        <f t="shared" si="25"/>
        <v>7.1329487489970207E-3</v>
      </c>
      <c r="L22" s="3">
        <f t="shared" si="25"/>
        <v>3.1885105599969883E-10</v>
      </c>
      <c r="M22" s="3">
        <f t="shared" si="25"/>
        <v>1.0157233128514846E-83</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2.3972854632590093E-2</v>
      </c>
      <c r="C23" s="18">
        <f t="shared" si="3"/>
        <v>5.0407962506303181E-2</v>
      </c>
      <c r="D23" s="17"/>
      <c r="F23" s="3">
        <f t="shared" si="25"/>
        <v>5.040787700218162E-2</v>
      </c>
      <c r="G23" s="3">
        <f t="shared" si="25"/>
        <v>5.0407107471614171E-2</v>
      </c>
      <c r="H23" s="3">
        <f t="shared" si="25"/>
        <v>5.0399412812034319E-2</v>
      </c>
      <c r="I23" s="3">
        <f t="shared" si="25"/>
        <v>5.0322530789220929E-2</v>
      </c>
      <c r="J23" s="3">
        <f t="shared" si="25"/>
        <v>4.9560131534071891E-2</v>
      </c>
      <c r="K23" s="3">
        <f t="shared" si="25"/>
        <v>4.2543401577253941E-2</v>
      </c>
      <c r="L23" s="3">
        <f t="shared" si="25"/>
        <v>9.2433589726664267E-3</v>
      </c>
      <c r="M23" s="3">
        <f t="shared" si="25"/>
        <v>2.1667355200130709E-9</v>
      </c>
      <c r="N23" s="3">
        <f t="shared" si="25"/>
        <v>1.0853423187396678E-75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2.7194578101894438E-2</v>
      </c>
      <c r="C24" s="18">
        <f t="shared" si="3"/>
        <v>5.7182312842770561E-2</v>
      </c>
      <c r="D24" s="17"/>
      <c r="F24" s="3">
        <f t="shared" si="25"/>
        <v>5.7182304093002331E-2</v>
      </c>
      <c r="G24" s="3">
        <f t="shared" si="25"/>
        <v>5.7182225345148524E-2</v>
      </c>
      <c r="H24" s="3">
        <f t="shared" si="25"/>
        <v>5.7181437872574951E-2</v>
      </c>
      <c r="I24" s="3">
        <f t="shared" si="25"/>
        <v>5.7173563743262525E-2</v>
      </c>
      <c r="J24" s="3">
        <f t="shared" si="25"/>
        <v>5.7094882062084684E-2</v>
      </c>
      <c r="K24" s="3">
        <f t="shared" si="25"/>
        <v>5.6313996181791816E-2</v>
      </c>
      <c r="L24" s="3">
        <f t="shared" si="25"/>
        <v>4.9069091326031197E-2</v>
      </c>
      <c r="M24" s="3">
        <f t="shared" si="25"/>
        <v>1.2380115656027408E-2</v>
      </c>
      <c r="N24" s="3">
        <f t="shared" si="25"/>
        <v>1.2938727438052408E-8</v>
      </c>
      <c r="O24" s="3">
        <f t="shared" si="25"/>
        <v>2.0116859745989414E-68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3.8088908685159524E-2</v>
      </c>
      <c r="C25" s="18">
        <f t="shared" si="3"/>
        <v>8.0089931313285845E-2</v>
      </c>
      <c r="D25" s="17"/>
      <c r="F25" s="3">
        <f t="shared" si="25"/>
        <v>8.0089930207784238E-2</v>
      </c>
      <c r="G25" s="3">
        <f t="shared" si="25"/>
        <v>8.0089920258270567E-2</v>
      </c>
      <c r="H25" s="3">
        <f t="shared" si="25"/>
        <v>8.0089820763201661E-2</v>
      </c>
      <c r="I25" s="3">
        <f t="shared" si="25"/>
        <v>8.0088825819310747E-2</v>
      </c>
      <c r="J25" s="3">
        <f t="shared" si="25"/>
        <v>8.007887706017848E-2</v>
      </c>
      <c r="K25" s="3">
        <f t="shared" si="25"/>
        <v>7.9979457415304045E-2</v>
      </c>
      <c r="L25" s="3">
        <f t="shared" si="25"/>
        <v>7.8992024483419049E-2</v>
      </c>
      <c r="M25" s="3">
        <f t="shared" si="25"/>
        <v>6.9763964754814015E-2</v>
      </c>
      <c r="N25" s="3">
        <f t="shared" si="25"/>
        <v>2.0142355153576447E-2</v>
      </c>
      <c r="O25" s="3">
        <f t="shared" si="25"/>
        <v>8.1077659215433884E-8</v>
      </c>
      <c r="P25" s="3">
        <f t="shared" si="25"/>
        <v>9.0533795199049187E-62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4.504919863260453E-2</v>
      </c>
      <c r="C26" s="18">
        <f t="shared" si="3"/>
        <v>9.4725402978259585E-2</v>
      </c>
      <c r="D26" s="17"/>
      <c r="F26" s="3">
        <f t="shared" si="25"/>
        <v>9.4725402860310517E-2</v>
      </c>
      <c r="G26" s="3">
        <f t="shared" si="25"/>
        <v>9.4725401798768927E-2</v>
      </c>
      <c r="H26" s="3">
        <f t="shared" si="25"/>
        <v>9.4725391183353658E-2</v>
      </c>
      <c r="I26" s="3">
        <f t="shared" si="25"/>
        <v>9.472528502926636E-2</v>
      </c>
      <c r="J26" s="3">
        <f t="shared" si="25"/>
        <v>9.4724223494936338E-2</v>
      </c>
      <c r="K26" s="3">
        <f t="shared" si="25"/>
        <v>9.4713608805895952E-2</v>
      </c>
      <c r="L26" s="3">
        <f t="shared" si="25"/>
        <v>9.4607527314354831E-2</v>
      </c>
      <c r="M26" s="3">
        <f t="shared" si="25"/>
        <v>9.3553225249259866E-2</v>
      </c>
      <c r="N26" s="3">
        <f t="shared" si="25"/>
        <v>8.3635275225933642E-2</v>
      </c>
      <c r="O26" s="3">
        <f t="shared" si="25"/>
        <v>2.7270729180425491E-2</v>
      </c>
      <c r="P26" s="3">
        <f t="shared" si="25"/>
        <v>3.7048391003172807E-7</v>
      </c>
      <c r="Q26" s="3">
        <f t="shared" si="25"/>
        <v>7.9340578228326801E-56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5.3128046494148477E-2</v>
      </c>
      <c r="C27" s="18">
        <f t="shared" si="3"/>
        <v>0.11171287761739628</v>
      </c>
      <c r="D27" s="17"/>
      <c r="F27" s="3">
        <f t="shared" si="25"/>
        <v>0.11171287760484819</v>
      </c>
      <c r="G27" s="3">
        <f t="shared" si="25"/>
        <v>0.1117128774919153</v>
      </c>
      <c r="H27" s="3">
        <f t="shared" si="25"/>
        <v>0.11171287636258656</v>
      </c>
      <c r="I27" s="3">
        <f t="shared" si="25"/>
        <v>0.1117128650692997</v>
      </c>
      <c r="J27" s="3">
        <f t="shared" si="25"/>
        <v>0.11171275213649393</v>
      </c>
      <c r="K27" s="3">
        <f t="shared" si="25"/>
        <v>0.1117116228147154</v>
      </c>
      <c r="L27" s="3">
        <f t="shared" si="25"/>
        <v>0.11170033022481805</v>
      </c>
      <c r="M27" s="3">
        <f t="shared" si="25"/>
        <v>0.11158746709116403</v>
      </c>
      <c r="N27" s="3">
        <f t="shared" si="25"/>
        <v>0.11046508887313931</v>
      </c>
      <c r="O27" s="3">
        <f t="shared" si="25"/>
        <v>9.9843848417710185E-2</v>
      </c>
      <c r="P27" s="3">
        <f t="shared" si="25"/>
        <v>3.6331553808822858E-2</v>
      </c>
      <c r="Q27" s="3">
        <f t="shared" si="25"/>
        <v>1.4788038367000146E-6</v>
      </c>
      <c r="R27" s="3">
        <f t="shared" si="25"/>
        <v>1.8457655500146994E-50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5.9384931444722802E-2</v>
      </c>
      <c r="C28" s="18">
        <f t="shared" si="3"/>
        <v>0.12486929252202905</v>
      </c>
      <c r="D28" s="17"/>
      <c r="F28" s="3">
        <f t="shared" si="25"/>
        <v>0.1248692925207638</v>
      </c>
      <c r="G28" s="3">
        <f t="shared" si="25"/>
        <v>0.12486929250937653</v>
      </c>
      <c r="H28" s="3">
        <f t="shared" si="25"/>
        <v>0.12486929239550389</v>
      </c>
      <c r="I28" s="3">
        <f t="shared" si="25"/>
        <v>0.12486929125677751</v>
      </c>
      <c r="J28" s="3">
        <f t="shared" si="25"/>
        <v>0.12486927986951413</v>
      </c>
      <c r="K28" s="3">
        <f t="shared" si="25"/>
        <v>0.12486916599693756</v>
      </c>
      <c r="L28" s="3">
        <f t="shared" si="25"/>
        <v>0.1248680272768832</v>
      </c>
      <c r="M28" s="3">
        <f t="shared" si="25"/>
        <v>0.12485664064746248</v>
      </c>
      <c r="N28" s="3">
        <f t="shared" si="25"/>
        <v>0.12474283144627427</v>
      </c>
      <c r="O28" s="3">
        <f t="shared" si="25"/>
        <v>0.12361042951910792</v>
      </c>
      <c r="P28" s="3">
        <f t="shared" si="25"/>
        <v>0.1128366788488684</v>
      </c>
      <c r="Q28" s="3">
        <f t="shared" si="25"/>
        <v>4.5331708727431787E-2</v>
      </c>
      <c r="R28" s="3">
        <f t="shared" si="25"/>
        <v>4.9650089530945065E-6</v>
      </c>
      <c r="S28" s="3">
        <f t="shared" si="25"/>
        <v>1.2333873776590213E-45</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3.4193560243282746E-2</v>
      </c>
      <c r="C29" s="18">
        <f t="shared" si="3"/>
        <v>7.1899142973036512E-2</v>
      </c>
      <c r="D29" s="17"/>
      <c r="F29" s="3">
        <f t="shared" si="25"/>
        <v>7.1899142972970786E-2</v>
      </c>
      <c r="G29" s="3">
        <f t="shared" si="25"/>
        <v>7.1899142972379315E-2</v>
      </c>
      <c r="H29" s="3">
        <f t="shared" si="25"/>
        <v>7.1899142966464602E-2</v>
      </c>
      <c r="I29" s="3">
        <f t="shared" si="25"/>
        <v>7.1899142907317429E-2</v>
      </c>
      <c r="J29" s="3">
        <f t="shared" si="25"/>
        <v>7.1899142315845627E-2</v>
      </c>
      <c r="K29" s="3">
        <f t="shared" si="25"/>
        <v>7.1899136401127925E-2</v>
      </c>
      <c r="L29" s="3">
        <f t="shared" si="25"/>
        <v>7.1899077253977706E-2</v>
      </c>
      <c r="M29" s="3">
        <f t="shared" si="25"/>
        <v>7.1898485785151581E-2</v>
      </c>
      <c r="N29" s="3">
        <f t="shared" si="25"/>
        <v>7.1892571364494257E-2</v>
      </c>
      <c r="O29" s="3">
        <f t="shared" si="25"/>
        <v>7.1833453910163547E-2</v>
      </c>
      <c r="P29" s="3">
        <f t="shared" si="25"/>
        <v>7.1244946466230447E-2</v>
      </c>
      <c r="Q29" s="3">
        <f t="shared" si="25"/>
        <v>6.5618639473045151E-2</v>
      </c>
      <c r="R29" s="3">
        <f t="shared" si="25"/>
        <v>2.8824301529656836E-2</v>
      </c>
      <c r="S29" s="3">
        <f t="shared" si="25"/>
        <v>7.7103572233907188E-6</v>
      </c>
      <c r="T29" s="3">
        <f t="shared" si="25"/>
        <v>1.4462107054439747E-41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2.2673386011150098E-2</v>
      </c>
      <c r="C30" s="18">
        <f t="shared" si="3"/>
        <v>4.7675556768581172E-2</v>
      </c>
      <c r="D30" s="17"/>
      <c r="F30" s="3">
        <f t="shared" si="25"/>
        <v>4.7675556768577237E-2</v>
      </c>
      <c r="G30" s="3">
        <f t="shared" si="25"/>
        <v>4.7675556768541863E-2</v>
      </c>
      <c r="H30" s="3">
        <f t="shared" si="25"/>
        <v>4.767555676818807E-2</v>
      </c>
      <c r="I30" s="3">
        <f t="shared" si="25"/>
        <v>4.7675556764650108E-2</v>
      </c>
      <c r="J30" s="3">
        <f t="shared" si="25"/>
        <v>4.7675556729270527E-2</v>
      </c>
      <c r="K30" s="3">
        <f t="shared" si="25"/>
        <v>4.7675556375474708E-2</v>
      </c>
      <c r="L30" s="3">
        <f t="shared" si="25"/>
        <v>4.7675552837516698E-2</v>
      </c>
      <c r="M30" s="3">
        <f t="shared" si="25"/>
        <v>4.7675517457951046E-2</v>
      </c>
      <c r="N30" s="3">
        <f t="shared" si="25"/>
        <v>4.7675163663738543E-2</v>
      </c>
      <c r="O30" s="3">
        <f t="shared" si="25"/>
        <v>4.7671625866010821E-2</v>
      </c>
      <c r="P30" s="3">
        <f t="shared" si="25"/>
        <v>4.763626232449901E-2</v>
      </c>
      <c r="Q30" s="3">
        <f t="shared" si="25"/>
        <v>4.7284066530097882E-2</v>
      </c>
      <c r="R30" s="3">
        <f t="shared" si="25"/>
        <v>4.3902195080445322E-2</v>
      </c>
      <c r="S30" s="3">
        <f t="shared" si="25"/>
        <v>2.0902603866163667E-2</v>
      </c>
      <c r="T30" s="3">
        <f t="shared" si="25"/>
        <v>1.2512438024440503E-5</v>
      </c>
      <c r="U30" s="3">
        <f t="shared" si="25"/>
        <v>7.3919229571167312E-38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9.4884125970258817E-3</v>
      </c>
      <c r="C31" s="18">
        <f t="shared" si="3"/>
        <v>1.9951380582978136E-2</v>
      </c>
      <c r="D31" s="17"/>
      <c r="F31" s="3">
        <f t="shared" si="25"/>
        <v>1.9951380582977987E-2</v>
      </c>
      <c r="G31" s="3">
        <f t="shared" si="25"/>
        <v>1.9951380582976651E-2</v>
      </c>
      <c r="H31" s="3">
        <f t="shared" si="25"/>
        <v>1.9951380582963293E-2</v>
      </c>
      <c r="I31" s="3">
        <f t="shared" si="25"/>
        <v>1.9951380582829737E-2</v>
      </c>
      <c r="J31" s="3">
        <f t="shared" si="25"/>
        <v>1.9951380581494135E-2</v>
      </c>
      <c r="K31" s="3">
        <f t="shared" si="25"/>
        <v>1.9951380568138135E-2</v>
      </c>
      <c r="L31" s="3">
        <f t="shared" si="25"/>
        <v>1.9951380434578118E-2</v>
      </c>
      <c r="M31" s="3">
        <f t="shared" si="25"/>
        <v>1.9951379098978008E-2</v>
      </c>
      <c r="N31" s="3">
        <f t="shared" si="25"/>
        <v>1.9951365742981814E-2</v>
      </c>
      <c r="O31" s="3">
        <f t="shared" si="25"/>
        <v>1.9951232183511629E-2</v>
      </c>
      <c r="P31" s="3">
        <f t="shared" si="25"/>
        <v>1.994989663798322E-2</v>
      </c>
      <c r="Q31" s="3">
        <f t="shared" si="25"/>
        <v>1.993654609882678E-2</v>
      </c>
      <c r="R31" s="3">
        <f t="shared" si="25"/>
        <v>1.9803531104536042E-2</v>
      </c>
      <c r="S31" s="3">
        <f t="shared" si="25"/>
        <v>1.8521227676846181E-2</v>
      </c>
      <c r="T31" s="3">
        <f t="shared" si="25"/>
        <v>9.482899034198921E-3</v>
      </c>
      <c r="U31" s="3">
        <f t="shared" si="25"/>
        <v>1.1739637531365114E-5</v>
      </c>
      <c r="V31" s="3">
        <f t="shared" si="26"/>
        <v>9.9263664100250501E-35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1.7705592241972047E-3</v>
      </c>
      <c r="C32" s="18">
        <f t="shared" si="3"/>
        <v>3.7229726854135226E-3</v>
      </c>
      <c r="D32" s="17"/>
      <c r="F32" s="3">
        <f t="shared" si="25"/>
        <v>3.72297268541352E-3</v>
      </c>
      <c r="G32" s="3">
        <f t="shared" si="25"/>
        <v>3.7229726854134978E-3</v>
      </c>
      <c r="H32" s="3">
        <f t="shared" si="25"/>
        <v>3.7229726854132728E-3</v>
      </c>
      <c r="I32" s="3">
        <f t="shared" si="25"/>
        <v>3.7229726854110246E-3</v>
      </c>
      <c r="J32" s="3">
        <f t="shared" si="25"/>
        <v>3.7229726853885425E-3</v>
      </c>
      <c r="K32" s="3">
        <f t="shared" si="25"/>
        <v>3.7229726851637198E-3</v>
      </c>
      <c r="L32" s="3">
        <f t="shared" si="25"/>
        <v>3.7229726829154939E-3</v>
      </c>
      <c r="M32" s="3">
        <f t="shared" si="25"/>
        <v>3.7229726604332347E-3</v>
      </c>
      <c r="N32" s="3">
        <f t="shared" si="25"/>
        <v>3.7229724356106502E-3</v>
      </c>
      <c r="O32" s="3">
        <f t="shared" si="25"/>
        <v>3.7229701873855523E-3</v>
      </c>
      <c r="P32" s="3">
        <f t="shared" si="25"/>
        <v>3.7229477052092429E-3</v>
      </c>
      <c r="Q32" s="3">
        <f t="shared" si="25"/>
        <v>3.7227228909130798E-3</v>
      </c>
      <c r="R32" s="3">
        <f t="shared" si="25"/>
        <v>3.7204754944774343E-3</v>
      </c>
      <c r="S32" s="3">
        <f t="shared" si="25"/>
        <v>3.6980760161884271E-3</v>
      </c>
      <c r="T32" s="3">
        <f t="shared" si="25"/>
        <v>3.48136606600335E-3</v>
      </c>
      <c r="U32" s="3">
        <f t="shared" si="25"/>
        <v>1.9032168267700135E-3</v>
      </c>
      <c r="V32" s="3">
        <f t="shared" si="26"/>
        <v>4.5380997553880892E-6</v>
      </c>
      <c r="W32" s="3">
        <f t="shared" si="26"/>
        <v>2.6960735320637858E-32</v>
      </c>
      <c r="X32" s="3">
        <f t="shared" si="26"/>
        <v>1.4767557804057604E-294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1.5341210117679805E-3</v>
      </c>
      <c r="C33" s="18">
        <f t="shared" si="3"/>
        <v>3.2258116785225384E-3</v>
      </c>
      <c r="D33" s="17"/>
      <c r="F33" s="3">
        <f t="shared" si="25"/>
        <v>3.2258116785225379E-3</v>
      </c>
      <c r="G33" s="3">
        <f t="shared" si="25"/>
        <v>3.2258116785225366E-3</v>
      </c>
      <c r="H33" s="3">
        <f t="shared" si="25"/>
        <v>3.2258116785225189E-3</v>
      </c>
      <c r="I33" s="3">
        <f t="shared" si="25"/>
        <v>3.2258116785223432E-3</v>
      </c>
      <c r="J33" s="3">
        <f t="shared" si="25"/>
        <v>3.2258116785205859E-3</v>
      </c>
      <c r="K33" s="3">
        <f t="shared" si="25"/>
        <v>3.2258116785030132E-3</v>
      </c>
      <c r="L33" s="3">
        <f t="shared" si="25"/>
        <v>3.2258116783272874E-3</v>
      </c>
      <c r="M33" s="3">
        <f t="shared" si="25"/>
        <v>3.2258116765700286E-3</v>
      </c>
      <c r="N33" s="3">
        <f t="shared" si="25"/>
        <v>3.2258116589974416E-3</v>
      </c>
      <c r="O33" s="3">
        <f t="shared" si="25"/>
        <v>3.2258114832715771E-3</v>
      </c>
      <c r="P33" s="3">
        <f t="shared" si="25"/>
        <v>3.2258097260134595E-3</v>
      </c>
      <c r="Q33" s="3">
        <f t="shared" si="25"/>
        <v>3.2257921534849278E-3</v>
      </c>
      <c r="R33" s="3">
        <f t="shared" si="25"/>
        <v>3.2256164334644576E-3</v>
      </c>
      <c r="S33" s="3">
        <f t="shared" si="25"/>
        <v>3.2238597596378742E-3</v>
      </c>
      <c r="T33" s="3">
        <f t="shared" si="25"/>
        <v>3.2063455532430679E-3</v>
      </c>
      <c r="U33" s="3">
        <f t="shared" ref="P33:AE48" si="27">$C33*EXP(-U$15/$A33)</f>
        <v>3.0363523197437263E-3</v>
      </c>
      <c r="V33" s="3">
        <f t="shared" si="27"/>
        <v>1.7610453557759442E-3</v>
      </c>
      <c r="W33" s="3">
        <f t="shared" si="27"/>
        <v>7.5849779909884783E-6</v>
      </c>
      <c r="X33" s="3">
        <f t="shared" si="27"/>
        <v>1.6664495127030247E-29</v>
      </c>
      <c r="Y33" s="3">
        <f t="shared" si="27"/>
        <v>4.3668725591583848E-266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2.2121210352767638E-4</v>
      </c>
      <c r="C34" s="18">
        <f t="shared" si="3"/>
        <v>4.6514491459037388E-4</v>
      </c>
      <c r="D34" s="17"/>
      <c r="F34" s="3">
        <f t="shared" ref="F34:O48" si="28">$C34*EXP(-F$15/$A34)</f>
        <v>4.6514491459037388E-4</v>
      </c>
      <c r="G34" s="3">
        <f t="shared" si="28"/>
        <v>4.6514491459037388E-4</v>
      </c>
      <c r="H34" s="3">
        <f t="shared" si="28"/>
        <v>4.6514491459037361E-4</v>
      </c>
      <c r="I34" s="3">
        <f t="shared" si="28"/>
        <v>4.6514491459037134E-4</v>
      </c>
      <c r="J34" s="3">
        <f t="shared" si="28"/>
        <v>4.6514491459034846E-4</v>
      </c>
      <c r="K34" s="3">
        <f t="shared" si="28"/>
        <v>4.6514491459011991E-4</v>
      </c>
      <c r="L34" s="3">
        <f t="shared" si="28"/>
        <v>4.6514491458783414E-4</v>
      </c>
      <c r="M34" s="3">
        <f t="shared" si="28"/>
        <v>4.651449145649765E-4</v>
      </c>
      <c r="N34" s="3">
        <f t="shared" si="28"/>
        <v>4.6514491433640001E-4</v>
      </c>
      <c r="O34" s="3">
        <f t="shared" si="28"/>
        <v>4.6514491205063507E-4</v>
      </c>
      <c r="P34" s="3">
        <f t="shared" si="27"/>
        <v>4.6514488919298673E-4</v>
      </c>
      <c r="Q34" s="3">
        <f t="shared" si="27"/>
        <v>4.651446606165644E-4</v>
      </c>
      <c r="R34" s="3">
        <f t="shared" si="27"/>
        <v>4.651423748585197E-4</v>
      </c>
      <c r="S34" s="3">
        <f t="shared" si="27"/>
        <v>4.6511951789584524E-4</v>
      </c>
      <c r="T34" s="3">
        <f t="shared" si="27"/>
        <v>4.6489101003514697E-4</v>
      </c>
      <c r="U34" s="3">
        <f t="shared" si="27"/>
        <v>4.6261209681711389E-4</v>
      </c>
      <c r="V34" s="3">
        <f t="shared" si="27"/>
        <v>4.4042843935977738E-4</v>
      </c>
      <c r="W34" s="3">
        <f t="shared" si="27"/>
        <v>2.6943812652568131E-4</v>
      </c>
      <c r="X34" s="3">
        <f t="shared" si="27"/>
        <v>1.9783175599489895E-6</v>
      </c>
      <c r="Y34" s="3">
        <f t="shared" si="27"/>
        <v>9.008771348137308E-28</v>
      </c>
      <c r="Z34" s="3">
        <f t="shared" si="27"/>
        <v>3.4543087080894662E-241</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5.4356257241042543E-6</v>
      </c>
      <c r="C35" s="18">
        <f t="shared" si="3"/>
        <v>1.1429544870574336E-5</v>
      </c>
      <c r="D35" s="17"/>
      <c r="F35" s="3">
        <f t="shared" si="28"/>
        <v>1.1429544870574336E-5</v>
      </c>
      <c r="G35" s="3">
        <f t="shared" si="28"/>
        <v>1.1429544870574336E-5</v>
      </c>
      <c r="H35" s="3">
        <f t="shared" si="28"/>
        <v>1.1429544870574336E-5</v>
      </c>
      <c r="I35" s="3">
        <f t="shared" si="28"/>
        <v>1.1429544870574331E-5</v>
      </c>
      <c r="J35" s="3">
        <f t="shared" si="28"/>
        <v>1.142954487057428E-5</v>
      </c>
      <c r="K35" s="3">
        <f t="shared" si="28"/>
        <v>1.1429544870573772E-5</v>
      </c>
      <c r="L35" s="3">
        <f t="shared" si="28"/>
        <v>1.1429544870568706E-5</v>
      </c>
      <c r="M35" s="3">
        <f t="shared" si="28"/>
        <v>1.142954487051804E-5</v>
      </c>
      <c r="N35" s="3">
        <f t="shared" si="28"/>
        <v>1.1429544870011377E-5</v>
      </c>
      <c r="O35" s="3">
        <f t="shared" si="28"/>
        <v>1.1429544864944751E-5</v>
      </c>
      <c r="P35" s="3">
        <f t="shared" si="27"/>
        <v>1.1429544814278495E-5</v>
      </c>
      <c r="Q35" s="3">
        <f t="shared" si="27"/>
        <v>1.1429544307615951E-5</v>
      </c>
      <c r="R35" s="3">
        <f t="shared" si="27"/>
        <v>1.1429539240991739E-5</v>
      </c>
      <c r="S35" s="3">
        <f t="shared" si="27"/>
        <v>1.1429488574873147E-5</v>
      </c>
      <c r="T35" s="3">
        <f t="shared" si="27"/>
        <v>1.1428981926039971E-5</v>
      </c>
      <c r="U35" s="3">
        <f t="shared" si="27"/>
        <v>1.1423916672780084E-5</v>
      </c>
      <c r="V35" s="3">
        <f t="shared" si="27"/>
        <v>1.137338744503461E-5</v>
      </c>
      <c r="W35" s="3">
        <f t="shared" si="27"/>
        <v>1.0880225786402286E-5</v>
      </c>
      <c r="X35" s="3">
        <f t="shared" si="27"/>
        <v>6.9842318332254638E-6</v>
      </c>
      <c r="Y35" s="3">
        <f t="shared" si="27"/>
        <v>8.2970944845630662E-8</v>
      </c>
      <c r="Z35" s="3">
        <f t="shared" si="27"/>
        <v>4.6451519468739256E-27</v>
      </c>
      <c r="AA35" s="3">
        <f t="shared" si="27"/>
        <v>1.4052021788955715E-219</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1.2324801674565384E-5</v>
      </c>
      <c r="C36" s="18">
        <f t="shared" si="3"/>
        <v>2.5915484418969715E-5</v>
      </c>
      <c r="D36" s="17"/>
      <c r="F36" s="3">
        <f t="shared" si="28"/>
        <v>2.5915484418969715E-5</v>
      </c>
      <c r="G36" s="3">
        <f t="shared" si="28"/>
        <v>2.5915484418969715E-5</v>
      </c>
      <c r="H36" s="3">
        <f t="shared" si="28"/>
        <v>2.5915484418969715E-5</v>
      </c>
      <c r="I36" s="3">
        <f t="shared" si="28"/>
        <v>2.5915484418969715E-5</v>
      </c>
      <c r="J36" s="3">
        <f t="shared" si="28"/>
        <v>2.5915484418969705E-5</v>
      </c>
      <c r="K36" s="3">
        <f t="shared" si="28"/>
        <v>2.59154844189696E-5</v>
      </c>
      <c r="L36" s="3">
        <f t="shared" si="28"/>
        <v>2.5915484418968563E-5</v>
      </c>
      <c r="M36" s="3">
        <f t="shared" si="28"/>
        <v>2.5915484418958202E-5</v>
      </c>
      <c r="N36" s="3">
        <f t="shared" si="28"/>
        <v>2.5915484418854566E-5</v>
      </c>
      <c r="O36" s="3">
        <f t="shared" si="28"/>
        <v>2.5915484417818245E-5</v>
      </c>
      <c r="P36" s="3">
        <f t="shared" si="27"/>
        <v>2.5915484407454997E-5</v>
      </c>
      <c r="Q36" s="3">
        <f t="shared" si="27"/>
        <v>2.5915484303822542E-5</v>
      </c>
      <c r="R36" s="3">
        <f t="shared" si="27"/>
        <v>2.5915483267497992E-5</v>
      </c>
      <c r="S36" s="3">
        <f t="shared" si="27"/>
        <v>2.5915472904254773E-5</v>
      </c>
      <c r="T36" s="3">
        <f t="shared" si="27"/>
        <v>2.5915369272050514E-5</v>
      </c>
      <c r="U36" s="3">
        <f t="shared" si="27"/>
        <v>2.5914332972800211E-5</v>
      </c>
      <c r="V36" s="3">
        <f t="shared" si="27"/>
        <v>2.5903972259188217E-5</v>
      </c>
      <c r="W36" s="3">
        <f t="shared" si="27"/>
        <v>2.5800592675350895E-5</v>
      </c>
      <c r="X36" s="3">
        <f t="shared" si="27"/>
        <v>2.4789218954569617E-5</v>
      </c>
      <c r="Y36" s="3">
        <f t="shared" si="27"/>
        <v>1.6618600732659143E-5</v>
      </c>
      <c r="Z36" s="3">
        <f t="shared" si="27"/>
        <v>3.0472673474628956E-7</v>
      </c>
      <c r="AA36" s="3">
        <f t="shared" si="27"/>
        <v>1.3093977790939207E-24</v>
      </c>
      <c r="AB36" s="3">
        <f t="shared" si="27"/>
        <v>2.8098427705138353E-198</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1.4054710894337528E-5</v>
      </c>
      <c r="C37" s="18">
        <f t="shared" si="3"/>
        <v>2.9552981931303355E-5</v>
      </c>
      <c r="D37" s="17"/>
      <c r="F37" s="3">
        <f t="shared" si="28"/>
        <v>2.9552981931303355E-5</v>
      </c>
      <c r="G37" s="3">
        <f t="shared" si="28"/>
        <v>2.9552981931303355E-5</v>
      </c>
      <c r="H37" s="3">
        <f t="shared" si="28"/>
        <v>2.9552981931303355E-5</v>
      </c>
      <c r="I37" s="3">
        <f t="shared" si="28"/>
        <v>2.9552981931303355E-5</v>
      </c>
      <c r="J37" s="3">
        <f t="shared" si="28"/>
        <v>2.9552981931303355E-5</v>
      </c>
      <c r="K37" s="3">
        <f t="shared" si="28"/>
        <v>2.9552981931303342E-5</v>
      </c>
      <c r="L37" s="3">
        <f t="shared" si="28"/>
        <v>2.9552981931303237E-5</v>
      </c>
      <c r="M37" s="3">
        <f t="shared" si="28"/>
        <v>2.9552981931302169E-5</v>
      </c>
      <c r="N37" s="3">
        <f t="shared" si="28"/>
        <v>2.955298193129151E-5</v>
      </c>
      <c r="O37" s="3">
        <f t="shared" si="28"/>
        <v>2.9552981931184903E-5</v>
      </c>
      <c r="P37" s="3">
        <f t="shared" si="27"/>
        <v>2.9552981930118837E-5</v>
      </c>
      <c r="Q37" s="3">
        <f t="shared" si="27"/>
        <v>2.9552981919458172E-5</v>
      </c>
      <c r="R37" s="3">
        <f t="shared" si="27"/>
        <v>2.9552981812851503E-5</v>
      </c>
      <c r="S37" s="3">
        <f t="shared" si="27"/>
        <v>2.9552980746784858E-5</v>
      </c>
      <c r="T37" s="3">
        <f t="shared" si="27"/>
        <v>2.9552970086120524E-5</v>
      </c>
      <c r="U37" s="3">
        <f t="shared" si="27"/>
        <v>2.9552863479688675E-5</v>
      </c>
      <c r="V37" s="3">
        <f t="shared" si="27"/>
        <v>2.9551797436520844E-5</v>
      </c>
      <c r="W37" s="3">
        <f t="shared" si="27"/>
        <v>2.9541139119625021E-5</v>
      </c>
      <c r="X37" s="3">
        <f t="shared" si="27"/>
        <v>2.9434767146927752E-5</v>
      </c>
      <c r="Y37" s="3">
        <f t="shared" si="27"/>
        <v>2.8391887860908742E-5</v>
      </c>
      <c r="Z37" s="3">
        <f t="shared" si="27"/>
        <v>1.9793880125773492E-5</v>
      </c>
      <c r="AA37" s="3">
        <f t="shared" si="27"/>
        <v>5.3690516712325092E-7</v>
      </c>
      <c r="AB37" s="3">
        <f t="shared" si="27"/>
        <v>1.1576147759914025E-22</v>
      </c>
      <c r="AC37" s="3">
        <f t="shared" si="27"/>
        <v>2.5132103593388778E-179</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1.5566121190404177E-6</v>
      </c>
      <c r="C38" s="18">
        <f t="shared" si="3"/>
        <v>3.2731039559542382E-6</v>
      </c>
      <c r="D38" s="17"/>
      <c r="F38" s="3">
        <f t="shared" si="28"/>
        <v>3.2731039559542382E-6</v>
      </c>
      <c r="G38" s="3">
        <f t="shared" si="28"/>
        <v>3.2731039559542382E-6</v>
      </c>
      <c r="H38" s="3">
        <f t="shared" si="28"/>
        <v>3.2731039559542382E-6</v>
      </c>
      <c r="I38" s="3">
        <f t="shared" si="28"/>
        <v>3.2731039559542382E-6</v>
      </c>
      <c r="J38" s="3">
        <f t="shared" si="28"/>
        <v>3.2731039559542382E-6</v>
      </c>
      <c r="K38" s="3">
        <f t="shared" si="28"/>
        <v>3.2731039559542382E-6</v>
      </c>
      <c r="L38" s="3">
        <f t="shared" si="28"/>
        <v>3.2731039559542369E-6</v>
      </c>
      <c r="M38" s="3">
        <f t="shared" si="28"/>
        <v>3.2731039559542263E-6</v>
      </c>
      <c r="N38" s="3">
        <f t="shared" si="28"/>
        <v>3.2731039559541196E-6</v>
      </c>
      <c r="O38" s="3">
        <f t="shared" si="28"/>
        <v>3.2731039559530545E-6</v>
      </c>
      <c r="P38" s="3">
        <f t="shared" si="27"/>
        <v>3.2731039559424039E-6</v>
      </c>
      <c r="Q38" s="3">
        <f t="shared" si="27"/>
        <v>3.2731039558358941E-6</v>
      </c>
      <c r="R38" s="3">
        <f t="shared" si="27"/>
        <v>3.2731039547707964E-6</v>
      </c>
      <c r="S38" s="3">
        <f t="shared" si="27"/>
        <v>3.2731039441198191E-6</v>
      </c>
      <c r="T38" s="3">
        <f t="shared" si="27"/>
        <v>3.2731038376100517E-6</v>
      </c>
      <c r="U38" s="3">
        <f t="shared" si="27"/>
        <v>3.2731027725125637E-6</v>
      </c>
      <c r="V38" s="3">
        <f t="shared" si="27"/>
        <v>3.273092121556749E-6</v>
      </c>
      <c r="W38" s="3">
        <f t="shared" si="27"/>
        <v>3.2729856139048328E-6</v>
      </c>
      <c r="X38" s="3">
        <f t="shared" si="27"/>
        <v>3.2719207279860186E-6</v>
      </c>
      <c r="Y38" s="3">
        <f t="shared" si="27"/>
        <v>3.2612909059039429E-6</v>
      </c>
      <c r="Z38" s="3">
        <f t="shared" si="27"/>
        <v>3.1568736728974026E-6</v>
      </c>
      <c r="AA38" s="3">
        <f t="shared" si="27"/>
        <v>2.2799947227198081E-6</v>
      </c>
      <c r="AB38" s="3">
        <f t="shared" si="27"/>
        <v>8.8044093586284096E-8</v>
      </c>
      <c r="AC38" s="3">
        <f t="shared" si="27"/>
        <v>6.4917842285237346E-22</v>
      </c>
      <c r="AD38" s="3">
        <f t="shared" si="27"/>
        <v>3.0832062218203493E-163</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2.2502708470318021E-5</v>
      </c>
      <c r="C39" s="18">
        <f t="shared" si="3"/>
        <v>4.7316671387144988E-5</v>
      </c>
      <c r="D39" s="17"/>
      <c r="F39" s="3">
        <f t="shared" si="28"/>
        <v>4.7316671387144988E-5</v>
      </c>
      <c r="G39" s="3">
        <f t="shared" si="28"/>
        <v>4.7316671387144988E-5</v>
      </c>
      <c r="H39" s="3">
        <f t="shared" si="28"/>
        <v>4.7316671387144988E-5</v>
      </c>
      <c r="I39" s="3">
        <f t="shared" si="28"/>
        <v>4.7316671387144988E-5</v>
      </c>
      <c r="J39" s="3">
        <f t="shared" si="28"/>
        <v>4.7316671387144988E-5</v>
      </c>
      <c r="K39" s="3">
        <f t="shared" si="28"/>
        <v>4.7316671387144988E-5</v>
      </c>
      <c r="L39" s="3">
        <f t="shared" si="28"/>
        <v>4.7316671387144982E-5</v>
      </c>
      <c r="M39" s="3">
        <f t="shared" si="28"/>
        <v>4.7316671387144941E-5</v>
      </c>
      <c r="N39" s="3">
        <f t="shared" si="28"/>
        <v>4.7316671387144514E-5</v>
      </c>
      <c r="O39" s="3">
        <f t="shared" si="28"/>
        <v>4.7316671387140259E-5</v>
      </c>
      <c r="P39" s="3">
        <f t="shared" si="27"/>
        <v>4.731667138709767E-5</v>
      </c>
      <c r="Q39" s="3">
        <f t="shared" si="27"/>
        <v>4.7316671386671822E-5</v>
      </c>
      <c r="R39" s="3">
        <f t="shared" si="27"/>
        <v>4.731667138241332E-5</v>
      </c>
      <c r="S39" s="3">
        <f t="shared" si="27"/>
        <v>4.7316671339828319E-5</v>
      </c>
      <c r="T39" s="3">
        <f t="shared" si="27"/>
        <v>4.7316670913978276E-5</v>
      </c>
      <c r="U39" s="3">
        <f t="shared" si="27"/>
        <v>4.7316666655478087E-5</v>
      </c>
      <c r="V39" s="3">
        <f t="shared" si="27"/>
        <v>4.7316624070497257E-5</v>
      </c>
      <c r="W39" s="3">
        <f t="shared" si="27"/>
        <v>4.731619822279694E-5</v>
      </c>
      <c r="X39" s="3">
        <f t="shared" si="27"/>
        <v>4.7311939956581748E-5</v>
      </c>
      <c r="Y39" s="3">
        <f t="shared" si="27"/>
        <v>4.7269378366209401E-5</v>
      </c>
      <c r="Z39" s="3">
        <f t="shared" si="27"/>
        <v>4.6845862640406918E-5</v>
      </c>
      <c r="AA39" s="3">
        <f t="shared" si="27"/>
        <v>4.2813894768000237E-5</v>
      </c>
      <c r="AB39" s="3">
        <f t="shared" si="27"/>
        <v>1.7406830627995675E-5</v>
      </c>
      <c r="AC39" s="3">
        <f t="shared" si="27"/>
        <v>2.1481735575709591E-9</v>
      </c>
      <c r="AD39" s="3">
        <f t="shared" si="27"/>
        <v>1.7602161249259056E-48</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1.0815434138177451E-5</v>
      </c>
      <c r="C40" s="18">
        <f t="shared" si="3"/>
        <v>2.2741722122049058E-5</v>
      </c>
      <c r="D40" s="17"/>
      <c r="F40" s="3">
        <f t="shared" si="28"/>
        <v>2.2741722122049058E-5</v>
      </c>
      <c r="G40" s="3">
        <f t="shared" si="28"/>
        <v>2.2741722122049058E-5</v>
      </c>
      <c r="H40" s="3">
        <f t="shared" si="28"/>
        <v>2.2741722122049058E-5</v>
      </c>
      <c r="I40" s="3">
        <f t="shared" si="28"/>
        <v>2.2741722122049058E-5</v>
      </c>
      <c r="J40" s="3">
        <f t="shared" si="28"/>
        <v>2.2741722122049058E-5</v>
      </c>
      <c r="K40" s="3">
        <f t="shared" si="28"/>
        <v>2.2741722122049058E-5</v>
      </c>
      <c r="L40" s="3">
        <f t="shared" si="28"/>
        <v>2.2741722122049058E-5</v>
      </c>
      <c r="M40" s="3">
        <f t="shared" si="28"/>
        <v>2.2741722122049055E-5</v>
      </c>
      <c r="N40" s="3">
        <f t="shared" si="28"/>
        <v>2.2741722122049035E-5</v>
      </c>
      <c r="O40" s="3">
        <f t="shared" si="28"/>
        <v>2.2741722122048831E-5</v>
      </c>
      <c r="P40" s="3">
        <f t="shared" si="27"/>
        <v>2.2741722122046785E-5</v>
      </c>
      <c r="Q40" s="3">
        <f t="shared" si="27"/>
        <v>2.2741722122026317E-5</v>
      </c>
      <c r="R40" s="3">
        <f t="shared" si="27"/>
        <v>2.274172212182164E-5</v>
      </c>
      <c r="S40" s="3">
        <f t="shared" si="27"/>
        <v>2.2741722119774887E-5</v>
      </c>
      <c r="T40" s="3">
        <f t="shared" si="27"/>
        <v>2.2741722099307338E-5</v>
      </c>
      <c r="U40" s="3">
        <f t="shared" si="27"/>
        <v>2.2741721894631839E-5</v>
      </c>
      <c r="V40" s="3">
        <f t="shared" si="27"/>
        <v>2.2741719847876959E-5</v>
      </c>
      <c r="W40" s="3">
        <f t="shared" si="27"/>
        <v>2.2741699380338309E-5</v>
      </c>
      <c r="X40" s="3">
        <f t="shared" si="27"/>
        <v>2.2741494705964918E-5</v>
      </c>
      <c r="Y40" s="3">
        <f t="shared" si="27"/>
        <v>2.2739448063541673E-5</v>
      </c>
      <c r="Z40" s="3">
        <f t="shared" si="27"/>
        <v>2.2718991766998731E-5</v>
      </c>
      <c r="AA40" s="3">
        <f t="shared" si="27"/>
        <v>2.251543820610445E-5</v>
      </c>
      <c r="AB40" s="3">
        <f t="shared" si="27"/>
        <v>2.0577561126606131E-5</v>
      </c>
      <c r="AC40" s="3">
        <f t="shared" si="27"/>
        <v>8.3662120255356352E-6</v>
      </c>
      <c r="AD40" s="3">
        <f t="shared" si="27"/>
        <v>1.0324725870189753E-9</v>
      </c>
      <c r="AE40" s="3">
        <f t="shared" si="27"/>
        <v>8.460093411957629E-49</v>
      </c>
      <c r="AF40" s="3">
        <f t="shared" si="29"/>
        <v>0</v>
      </c>
      <c r="AG40" s="3">
        <f t="shared" si="29"/>
        <v>0</v>
      </c>
      <c r="AH40" s="3">
        <f t="shared" si="29"/>
        <v>0</v>
      </c>
      <c r="AI40" s="3">
        <f t="shared" si="29"/>
        <v>0</v>
      </c>
      <c r="AJ40" s="3">
        <f t="shared" si="29"/>
        <v>0</v>
      </c>
    </row>
    <row r="41" spans="1:36" x14ac:dyDescent="0.25">
      <c r="A41" s="3">
        <f t="shared" si="30"/>
        <v>1000000000</v>
      </c>
      <c r="B41" s="17">
        <v>8.492614904012429E-6</v>
      </c>
      <c r="C41" s="18">
        <f t="shared" si="3"/>
        <v>1.7857506760164985E-5</v>
      </c>
      <c r="D41" s="17"/>
      <c r="F41" s="3">
        <f t="shared" si="28"/>
        <v>1.7857506760164985E-5</v>
      </c>
      <c r="G41" s="3">
        <f t="shared" si="28"/>
        <v>1.7857506760164985E-5</v>
      </c>
      <c r="H41" s="3">
        <f t="shared" si="28"/>
        <v>1.7857506760164985E-5</v>
      </c>
      <c r="I41" s="3">
        <f t="shared" si="28"/>
        <v>1.7857506760164985E-5</v>
      </c>
      <c r="J41" s="3">
        <f t="shared" si="28"/>
        <v>1.7857506760164985E-5</v>
      </c>
      <c r="K41" s="3">
        <f t="shared" si="28"/>
        <v>1.7857506760164985E-5</v>
      </c>
      <c r="L41" s="3">
        <f t="shared" si="28"/>
        <v>1.7857506760164985E-5</v>
      </c>
      <c r="M41" s="3">
        <f t="shared" si="28"/>
        <v>1.7857506760164985E-5</v>
      </c>
      <c r="N41" s="3">
        <f t="shared" si="28"/>
        <v>1.7857506760164981E-5</v>
      </c>
      <c r="O41" s="3">
        <f t="shared" si="28"/>
        <v>1.7857506760164968E-5</v>
      </c>
      <c r="P41" s="3">
        <f t="shared" si="27"/>
        <v>1.7857506760164805E-5</v>
      </c>
      <c r="Q41" s="3">
        <f t="shared" si="27"/>
        <v>1.7857506760163199E-5</v>
      </c>
      <c r="R41" s="3">
        <f t="shared" si="27"/>
        <v>1.7857506760147129E-5</v>
      </c>
      <c r="S41" s="3">
        <f t="shared" si="27"/>
        <v>1.785750675998641E-5</v>
      </c>
      <c r="T41" s="3">
        <f t="shared" si="27"/>
        <v>1.7857506758379233E-5</v>
      </c>
      <c r="U41" s="3">
        <f t="shared" si="27"/>
        <v>1.7857506742307477E-5</v>
      </c>
      <c r="V41" s="3">
        <f t="shared" si="27"/>
        <v>1.7857506581589918E-5</v>
      </c>
      <c r="W41" s="3">
        <f t="shared" si="27"/>
        <v>1.7857504974414397E-5</v>
      </c>
      <c r="X41" s="3">
        <f t="shared" si="27"/>
        <v>1.7857488902667152E-5</v>
      </c>
      <c r="Y41" s="3">
        <f t="shared" si="27"/>
        <v>1.7857328185990254E-5</v>
      </c>
      <c r="Z41" s="3">
        <f t="shared" si="27"/>
        <v>1.7855721098773525E-5</v>
      </c>
      <c r="AA41" s="3">
        <f t="shared" si="27"/>
        <v>1.7839658179182694E-5</v>
      </c>
      <c r="AB41" s="3">
        <f t="shared" si="27"/>
        <v>1.7679821599075989E-5</v>
      </c>
      <c r="AC41" s="3">
        <f t="shared" si="27"/>
        <v>1.6158140309427376E-5</v>
      </c>
      <c r="AD41" s="3">
        <f t="shared" si="27"/>
        <v>6.5694096076447479E-6</v>
      </c>
      <c r="AE41" s="3">
        <f t="shared" si="27"/>
        <v>8.1072955264458877E-10</v>
      </c>
      <c r="AF41" s="3">
        <f t="shared" si="29"/>
        <v>6.6431281890119438E-49</v>
      </c>
      <c r="AG41" s="3">
        <f t="shared" si="29"/>
        <v>0</v>
      </c>
      <c r="AH41" s="3">
        <f t="shared" si="29"/>
        <v>0</v>
      </c>
      <c r="AI41" s="3">
        <f t="shared" si="29"/>
        <v>0</v>
      </c>
      <c r="AJ41" s="3">
        <f t="shared" si="29"/>
        <v>0</v>
      </c>
    </row>
    <row r="42" spans="1:36" x14ac:dyDescent="0.25">
      <c r="A42" s="3">
        <f t="shared" si="30"/>
        <v>10000000000</v>
      </c>
      <c r="B42" s="17">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7">
        <v>7.4948863587504745E-7</v>
      </c>
      <c r="C43" s="18">
        <f t="shared" si="3"/>
        <v>1.5759572914912317E-6</v>
      </c>
      <c r="D43" s="17"/>
      <c r="F43" s="3">
        <f t="shared" si="28"/>
        <v>1.5759572914912317E-6</v>
      </c>
      <c r="G43" s="3">
        <f t="shared" si="28"/>
        <v>1.5759572914912317E-6</v>
      </c>
      <c r="H43" s="3">
        <f t="shared" si="28"/>
        <v>1.5759572914912317E-6</v>
      </c>
      <c r="I43" s="3">
        <f t="shared" si="28"/>
        <v>1.5759572914912317E-6</v>
      </c>
      <c r="J43" s="3">
        <f t="shared" si="28"/>
        <v>1.5759572914912317E-6</v>
      </c>
      <c r="K43" s="3">
        <f t="shared" si="28"/>
        <v>1.5759572914912317E-6</v>
      </c>
      <c r="L43" s="3">
        <f t="shared" si="28"/>
        <v>1.5759572914912317E-6</v>
      </c>
      <c r="M43" s="3">
        <f t="shared" si="28"/>
        <v>1.5759572914912317E-6</v>
      </c>
      <c r="N43" s="3">
        <f t="shared" si="28"/>
        <v>1.5759572914912317E-6</v>
      </c>
      <c r="O43" s="3">
        <f t="shared" si="28"/>
        <v>1.5759572914912317E-6</v>
      </c>
      <c r="P43" s="3">
        <f t="shared" si="27"/>
        <v>1.5759572914912315E-6</v>
      </c>
      <c r="Q43" s="3">
        <f t="shared" si="27"/>
        <v>1.5759572914912302E-6</v>
      </c>
      <c r="R43" s="3">
        <f t="shared" si="27"/>
        <v>1.575957291491216E-6</v>
      </c>
      <c r="S43" s="3">
        <f t="shared" si="27"/>
        <v>1.5759572914910741E-6</v>
      </c>
      <c r="T43" s="3">
        <f t="shared" si="27"/>
        <v>1.5759572914896558E-6</v>
      </c>
      <c r="U43" s="3">
        <f t="shared" si="27"/>
        <v>1.5759572914754722E-6</v>
      </c>
      <c r="V43" s="3">
        <f t="shared" si="27"/>
        <v>1.5759572913336359E-6</v>
      </c>
      <c r="W43" s="3">
        <f t="shared" si="27"/>
        <v>1.5759572899152744E-6</v>
      </c>
      <c r="X43" s="3">
        <f t="shared" si="27"/>
        <v>1.575957275731659E-6</v>
      </c>
      <c r="Y43" s="3">
        <f t="shared" si="27"/>
        <v>1.5759571338955104E-6</v>
      </c>
      <c r="Z43" s="3">
        <f t="shared" si="27"/>
        <v>1.5759557155347281E-6</v>
      </c>
      <c r="AA43" s="3">
        <f t="shared" si="27"/>
        <v>1.5759415319971143E-6</v>
      </c>
      <c r="AB43" s="3">
        <f t="shared" si="27"/>
        <v>1.5757997036416064E-6</v>
      </c>
      <c r="AC43" s="3">
        <f t="shared" si="27"/>
        <v>1.5743821219157923E-6</v>
      </c>
      <c r="AD43" s="3">
        <f t="shared" si="27"/>
        <v>1.5602762544366831E-6</v>
      </c>
      <c r="AE43" s="3">
        <f t="shared" si="27"/>
        <v>1.4259851265678702E-6</v>
      </c>
      <c r="AF43" s="3">
        <f t="shared" si="29"/>
        <v>5.7976228770385413E-7</v>
      </c>
      <c r="AG43" s="3">
        <f t="shared" si="29"/>
        <v>7.154835034237779E-11</v>
      </c>
      <c r="AH43" s="3">
        <f t="shared" si="29"/>
        <v>5.8626808593113968E-50</v>
      </c>
      <c r="AI43" s="3">
        <f t="shared" si="29"/>
        <v>0</v>
      </c>
      <c r="AJ43" s="3">
        <f t="shared" si="29"/>
        <v>0</v>
      </c>
    </row>
    <row r="44" spans="1:36" x14ac:dyDescent="0.25">
      <c r="A44" s="3">
        <f t="shared" si="30"/>
        <v>1000000000000</v>
      </c>
      <c r="B44" s="17">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7">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7">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7">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7">
        <v>8.6703483810323973E-4</v>
      </c>
      <c r="C48" s="18">
        <f t="shared" si="3"/>
        <v>1.823122872957775E-3</v>
      </c>
      <c r="D48" s="17"/>
      <c r="F48" s="3">
        <f t="shared" si="28"/>
        <v>1.823122872957775E-3</v>
      </c>
      <c r="G48" s="3">
        <f t="shared" si="28"/>
        <v>1.823122872957775E-3</v>
      </c>
      <c r="H48" s="3">
        <f t="shared" si="28"/>
        <v>1.823122872957775E-3</v>
      </c>
      <c r="I48" s="3">
        <f t="shared" si="28"/>
        <v>1.823122872957775E-3</v>
      </c>
      <c r="J48" s="3">
        <f t="shared" si="28"/>
        <v>1.823122872957775E-3</v>
      </c>
      <c r="K48" s="3">
        <f t="shared" si="28"/>
        <v>1.823122872957775E-3</v>
      </c>
      <c r="L48" s="3">
        <f t="shared" si="28"/>
        <v>1.823122872957775E-3</v>
      </c>
      <c r="M48" s="3">
        <f t="shared" si="28"/>
        <v>1.823122872957775E-3</v>
      </c>
      <c r="N48" s="3">
        <f t="shared" si="28"/>
        <v>1.823122872957775E-3</v>
      </c>
      <c r="O48" s="3">
        <f t="shared" si="28"/>
        <v>1.823122872957775E-3</v>
      </c>
      <c r="P48" s="3">
        <f t="shared" si="27"/>
        <v>1.823122872957775E-3</v>
      </c>
      <c r="Q48" s="3">
        <f t="shared" si="27"/>
        <v>1.823122872957775E-3</v>
      </c>
      <c r="R48" s="3">
        <f t="shared" si="27"/>
        <v>1.823122872957775E-3</v>
      </c>
      <c r="S48" s="3">
        <f t="shared" si="27"/>
        <v>1.823122872957775E-3</v>
      </c>
      <c r="T48" s="3">
        <f t="shared" si="27"/>
        <v>1.823122872957775E-3</v>
      </c>
      <c r="U48" s="3">
        <f t="shared" si="27"/>
        <v>1.8231228729577748E-3</v>
      </c>
      <c r="V48" s="3">
        <f t="shared" si="27"/>
        <v>1.8231228729577733E-3</v>
      </c>
      <c r="W48" s="3">
        <f t="shared" si="27"/>
        <v>1.8231228729577568E-3</v>
      </c>
      <c r="X48" s="3">
        <f t="shared" si="27"/>
        <v>1.8231228729575927E-3</v>
      </c>
      <c r="Y48" s="3">
        <f t="shared" si="27"/>
        <v>1.823122872955952E-3</v>
      </c>
      <c r="Z48" s="3">
        <f t="shared" si="27"/>
        <v>1.8231228729395437E-3</v>
      </c>
      <c r="AA48" s="3">
        <f t="shared" si="27"/>
        <v>1.8231228727754627E-3</v>
      </c>
      <c r="AB48" s="3">
        <f t="shared" si="27"/>
        <v>1.8231228711346522E-3</v>
      </c>
      <c r="AC48" s="3">
        <f t="shared" si="27"/>
        <v>1.8231228547265464E-3</v>
      </c>
      <c r="AD48" s="3">
        <f t="shared" si="27"/>
        <v>1.8231226906454969E-3</v>
      </c>
      <c r="AE48" s="3">
        <f t="shared" si="27"/>
        <v>1.8231210498358137E-3</v>
      </c>
      <c r="AF48" s="3">
        <f t="shared" si="29"/>
        <v>1.8231046418202012E-3</v>
      </c>
      <c r="AG48" s="3">
        <f t="shared" si="29"/>
        <v>1.8229405697857898E-3</v>
      </c>
      <c r="AH48" s="3">
        <f t="shared" si="29"/>
        <v>1.8213006613424759E-3</v>
      </c>
      <c r="AI48" s="3">
        <f t="shared" si="29"/>
        <v>1.8049824972761509E-3</v>
      </c>
      <c r="AJ48" s="3">
        <f t="shared" si="29"/>
        <v>1.6496297931294138E-3</v>
      </c>
    </row>
    <row r="49" spans="1:36" x14ac:dyDescent="0.25">
      <c r="B49" s="16">
        <f>SUM(B17:B48)</f>
        <v>0.4755767430511092</v>
      </c>
      <c r="C49" s="18">
        <f>SUM(C17:C48)</f>
        <v>1.0000000000000002</v>
      </c>
      <c r="F49" s="3">
        <f t="shared" ref="F49:AJ49" si="31">F16-F17</f>
        <v>68.19558485566813</v>
      </c>
      <c r="G49" s="3">
        <f t="shared" si="31"/>
        <v>-88.192644791840394</v>
      </c>
      <c r="H49" s="3">
        <f t="shared" si="31"/>
        <v>23.352943282015076</v>
      </c>
      <c r="I49" s="3">
        <f t="shared" si="31"/>
        <v>-3.8219496465335396</v>
      </c>
      <c r="J49" s="3">
        <f t="shared" si="31"/>
        <v>0.51831145623145858</v>
      </c>
      <c r="K49" s="3">
        <f t="shared" si="31"/>
        <v>-7.5740794533430744E-2</v>
      </c>
      <c r="L49" s="3">
        <f t="shared" si="31"/>
        <v>4.6279181183308538E-3</v>
      </c>
      <c r="M49" s="3">
        <f t="shared" si="31"/>
        <v>-1.5954360504565557E-2</v>
      </c>
      <c r="N49" s="3">
        <f t="shared" si="31"/>
        <v>1.3746521019129432E-2</v>
      </c>
      <c r="O49" s="3">
        <f t="shared" si="31"/>
        <v>-3.6722535624903685E-2</v>
      </c>
      <c r="P49" s="3">
        <f t="shared" si="31"/>
        <v>6.1920386470092126E-2</v>
      </c>
      <c r="Q49" s="3">
        <f t="shared" si="31"/>
        <v>-8.2471752275523613E-2</v>
      </c>
      <c r="R49" s="3">
        <f t="shared" si="31"/>
        <v>0.13894958762773513</v>
      </c>
      <c r="S49" s="3">
        <f t="shared" si="31"/>
        <v>-0.146452391594039</v>
      </c>
      <c r="T49" s="3">
        <f t="shared" si="31"/>
        <v>0.12974666872679563</v>
      </c>
      <c r="U49" s="3">
        <f t="shared" si="31"/>
        <v>-9.9473648144538629E-2</v>
      </c>
      <c r="V49" s="3">
        <f t="shared" si="31"/>
        <v>7.4034168204121897E-2</v>
      </c>
      <c r="W49" s="3">
        <f t="shared" si="31"/>
        <v>-3.5573605928746588E-2</v>
      </c>
      <c r="X49" s="3">
        <f t="shared" si="31"/>
        <v>2.3994623262964865E-2</v>
      </c>
      <c r="Y49" s="3">
        <f t="shared" si="31"/>
        <v>9.4345524307470896E-4</v>
      </c>
      <c r="Z49" s="3">
        <f t="shared" si="31"/>
        <v>1.8516791947504885E-2</v>
      </c>
      <c r="AA49" s="3">
        <f t="shared" si="31"/>
        <v>1.2792104037799845E-3</v>
      </c>
      <c r="AB49" s="3">
        <f t="shared" si="31"/>
        <v>-3.4447605273726367E-3</v>
      </c>
      <c r="AC49" s="3">
        <f t="shared" si="31"/>
        <v>-1.0543778021911976E-2</v>
      </c>
      <c r="AD49" s="3">
        <f t="shared" si="31"/>
        <v>3.6286253564639992E-2</v>
      </c>
      <c r="AE49" s="3">
        <f t="shared" si="31"/>
        <v>-1.5935147445944153E-2</v>
      </c>
      <c r="AF49" s="3">
        <f t="shared" si="31"/>
        <v>-0.12537183651046746</v>
      </c>
      <c r="AG49" s="3">
        <f t="shared" si="31"/>
        <v>-0.24589507972093827</v>
      </c>
      <c r="AH49" s="3">
        <f t="shared" si="31"/>
        <v>-0.24384502617013482</v>
      </c>
      <c r="AI49" s="3">
        <f t="shared" si="31"/>
        <v>-0.15130481273564556</v>
      </c>
      <c r="AJ49" s="3">
        <f t="shared" si="31"/>
        <v>0.76656906152138049</v>
      </c>
    </row>
    <row r="50" spans="1:36" x14ac:dyDescent="0.25">
      <c r="F50" s="57">
        <f t="shared" ref="F50:AJ50" si="32">F49/F17</f>
        <v>1.2937397068207679E-2</v>
      </c>
      <c r="G50" s="57">
        <f t="shared" si="32"/>
        <v>-1.7023187482895382E-2</v>
      </c>
      <c r="H50" s="57">
        <f t="shared" si="32"/>
        <v>4.8261305382228436E-3</v>
      </c>
      <c r="I50" s="57">
        <f t="shared" si="32"/>
        <v>-8.3016079288402204E-4</v>
      </c>
      <c r="J50" s="57">
        <f t="shared" si="32"/>
        <v>1.1956571936718732E-4</v>
      </c>
      <c r="K50" s="57">
        <f t="shared" si="32"/>
        <v>-1.8635537573374277E-5</v>
      </c>
      <c r="L50" s="57">
        <f t="shared" si="32"/>
        <v>1.225934711723482E-6</v>
      </c>
      <c r="M50" s="57">
        <f t="shared" si="32"/>
        <v>-4.6366888133441723E-6</v>
      </c>
      <c r="N50" s="57">
        <f t="shared" si="32"/>
        <v>4.5714856126128191E-6</v>
      </c>
      <c r="O50" s="57">
        <f t="shared" si="32"/>
        <v>-1.4788267459943004E-5</v>
      </c>
      <c r="P50" s="57">
        <f t="shared" si="32"/>
        <v>3.2984770427080654E-5</v>
      </c>
      <c r="Q50" s="57">
        <f t="shared" si="32"/>
        <v>-6.7273369101244161E-5</v>
      </c>
      <c r="R50" s="57">
        <f t="shared" si="32"/>
        <v>1.9351221916270108E-4</v>
      </c>
      <c r="S50" s="57">
        <f t="shared" si="32"/>
        <v>-3.6343081050871953E-4</v>
      </c>
      <c r="T50" s="57">
        <f t="shared" si="32"/>
        <v>5.791021135276073E-4</v>
      </c>
      <c r="U50" s="57">
        <f t="shared" si="32"/>
        <v>-6.3187878981644976E-4</v>
      </c>
      <c r="V50" s="57">
        <f t="shared" si="32"/>
        <v>5.3492653124020137E-4</v>
      </c>
      <c r="W50" s="57">
        <f t="shared" si="32"/>
        <v>-2.8020126755850177E-4</v>
      </c>
      <c r="X50" s="57">
        <f t="shared" si="32"/>
        <v>1.915028334861166E-4</v>
      </c>
      <c r="Y50" s="57">
        <f t="shared" si="32"/>
        <v>7.5362584549953565E-6</v>
      </c>
      <c r="Z50" s="57">
        <f t="shared" si="32"/>
        <v>1.4809012103591428E-4</v>
      </c>
      <c r="AA50" s="57">
        <f t="shared" si="32"/>
        <v>1.0242623171618374E-5</v>
      </c>
      <c r="AB50" s="57">
        <f t="shared" si="32"/>
        <v>-2.7621813449390907E-5</v>
      </c>
      <c r="AC50" s="57">
        <f t="shared" si="32"/>
        <v>-8.4671019505802345E-5</v>
      </c>
      <c r="AD50" s="57">
        <f t="shared" si="32"/>
        <v>2.9164363337231592E-4</v>
      </c>
      <c r="AE50" s="57">
        <f t="shared" si="32"/>
        <v>-1.2811656486495486E-4</v>
      </c>
      <c r="AF50" s="57">
        <f t="shared" si="32"/>
        <v>-1.0080151668416515E-3</v>
      </c>
      <c r="AG50" s="57">
        <f t="shared" si="32"/>
        <v>-1.977116769659306E-3</v>
      </c>
      <c r="AH50" s="57">
        <f t="shared" si="32"/>
        <v>-1.9607866690266661E-3</v>
      </c>
      <c r="AI50" s="57">
        <f t="shared" si="32"/>
        <v>-1.2176073787005968E-3</v>
      </c>
      <c r="AJ50" s="57">
        <f t="shared" si="32"/>
        <v>6.2149510242858795E-3</v>
      </c>
    </row>
    <row r="51" spans="1:36" x14ac:dyDescent="0.25">
      <c r="A51" s="13" t="s">
        <v>21</v>
      </c>
      <c r="B51" s="3">
        <f>STUTT!D8</f>
        <v>5930.4079000000002</v>
      </c>
      <c r="E51" s="11" t="s">
        <v>24</v>
      </c>
      <c r="F51" s="20">
        <f t="shared" ref="F51:AJ51" si="33">(F16-F17)^2</f>
        <v>4650.6377938066325</v>
      </c>
      <c r="G51" s="20">
        <f t="shared" si="33"/>
        <v>7777.9425953797327</v>
      </c>
      <c r="H51" s="20">
        <f t="shared" si="33"/>
        <v>545.3599599330131</v>
      </c>
      <c r="I51" s="20">
        <f t="shared" si="33"/>
        <v>14.607299100637849</v>
      </c>
      <c r="J51" s="20">
        <f t="shared" si="33"/>
        <v>0.26864676566077522</v>
      </c>
      <c r="K51" s="20">
        <f t="shared" si="33"/>
        <v>5.7366679565553722E-3</v>
      </c>
      <c r="L51" s="20">
        <f t="shared" si="33"/>
        <v>2.1417626109974991E-5</v>
      </c>
      <c r="M51" s="20">
        <f t="shared" si="33"/>
        <v>2.5454161910964132E-4</v>
      </c>
      <c r="N51" s="20">
        <f t="shared" si="33"/>
        <v>1.8896684012936727E-4</v>
      </c>
      <c r="O51" s="20">
        <f t="shared" si="33"/>
        <v>1.3485446227223202E-3</v>
      </c>
      <c r="P51" s="20">
        <f t="shared" si="33"/>
        <v>3.8341342606055678E-3</v>
      </c>
      <c r="Q51" s="20">
        <f t="shared" si="33"/>
        <v>6.8015899233953344E-3</v>
      </c>
      <c r="R51" s="20">
        <f t="shared" si="33"/>
        <v>1.9306987901917642E-2</v>
      </c>
      <c r="S51" s="20">
        <f t="shared" si="33"/>
        <v>2.1448303003613747E-2</v>
      </c>
      <c r="T51" s="20">
        <f t="shared" si="33"/>
        <v>1.6834198045700847E-2</v>
      </c>
      <c r="U51" s="20">
        <f t="shared" si="33"/>
        <v>9.895006675183473E-3</v>
      </c>
      <c r="V51" s="20">
        <f t="shared" si="33"/>
        <v>5.4810580616762141E-3</v>
      </c>
      <c r="W51" s="20">
        <f t="shared" si="33"/>
        <v>1.2654814387737545E-3</v>
      </c>
      <c r="X51" s="20">
        <f t="shared" si="33"/>
        <v>5.7574194553161465E-4</v>
      </c>
      <c r="Y51" s="20">
        <f t="shared" si="33"/>
        <v>8.9010779568515814E-7</v>
      </c>
      <c r="Z51" s="20">
        <f t="shared" si="33"/>
        <v>3.4287158402718172E-4</v>
      </c>
      <c r="AA51" s="20">
        <f t="shared" si="33"/>
        <v>1.636379257138951E-6</v>
      </c>
      <c r="AB51" s="20">
        <f t="shared" si="33"/>
        <v>1.1866375090944607E-5</v>
      </c>
      <c r="AC51" s="20">
        <f t="shared" si="33"/>
        <v>1.1117125497535402E-4</v>
      </c>
      <c r="AD51" s="20">
        <f t="shared" si="33"/>
        <v>1.3166921977573484E-3</v>
      </c>
      <c r="AE51" s="20">
        <f t="shared" si="33"/>
        <v>2.5392892412398046E-4</v>
      </c>
      <c r="AF51" s="20">
        <f t="shared" si="33"/>
        <v>1.5718097390007381E-2</v>
      </c>
      <c r="AG51" s="20">
        <f t="shared" si="33"/>
        <v>6.0464390230966586E-2</v>
      </c>
      <c r="AH51" s="20">
        <f t="shared" si="33"/>
        <v>5.9460396787913733E-2</v>
      </c>
      <c r="AI51" s="20">
        <f t="shared" si="33"/>
        <v>2.289314635696877E-2</v>
      </c>
      <c r="AJ51" s="20">
        <f t="shared" si="33"/>
        <v>0.58762812608177006</v>
      </c>
    </row>
    <row r="52" spans="1:36" x14ac:dyDescent="0.25">
      <c r="A52" s="13"/>
    </row>
    <row r="53" spans="1:36" x14ac:dyDescent="0.25">
      <c r="E53" s="109" t="s">
        <v>25</v>
      </c>
      <c r="F53" s="109"/>
      <c r="G53" s="21">
        <f>SUM(F51:AJ51)</f>
        <v>12989.65749083927</v>
      </c>
      <c r="I53" s="3">
        <f>G53+C123</f>
        <v>12989.65749083927</v>
      </c>
      <c r="K53" s="3">
        <f>SUM(Z51:AJ51)</f>
        <v>0.74820232356285854</v>
      </c>
    </row>
    <row r="55" spans="1:36" x14ac:dyDescent="0.25">
      <c r="E55" s="30" t="s">
        <v>30</v>
      </c>
      <c r="F55" s="31">
        <f t="shared" ref="F55:AJ55" si="34">ABS(F17-F16)/F16</f>
        <v>1.2772158581224265E-2</v>
      </c>
      <c r="G55" s="31">
        <f t="shared" si="34"/>
        <v>1.7317994957891405E-2</v>
      </c>
      <c r="H55" s="31">
        <f t="shared" si="34"/>
        <v>4.8029508703538448E-3</v>
      </c>
      <c r="I55" s="31">
        <f t="shared" si="34"/>
        <v>8.308505324207846E-4</v>
      </c>
      <c r="J55" s="31">
        <f t="shared" si="34"/>
        <v>1.1955142511504207E-4</v>
      </c>
      <c r="K55" s="31">
        <f t="shared" si="34"/>
        <v>1.8635884863106856E-5</v>
      </c>
      <c r="L55" s="31">
        <f t="shared" si="34"/>
        <v>1.2259332088094071E-6</v>
      </c>
      <c r="M55" s="31">
        <f t="shared" si="34"/>
        <v>4.6367103123270082E-6</v>
      </c>
      <c r="N55" s="31">
        <f t="shared" si="34"/>
        <v>4.5714647142276493E-6</v>
      </c>
      <c r="O55" s="31">
        <f t="shared" si="34"/>
        <v>1.4788486156031606E-5</v>
      </c>
      <c r="P55" s="31">
        <f t="shared" si="34"/>
        <v>3.2983682467886605E-5</v>
      </c>
      <c r="Q55" s="31">
        <f t="shared" si="34"/>
        <v>6.7277895111914372E-5</v>
      </c>
      <c r="R55" s="31">
        <f t="shared" si="34"/>
        <v>1.9347477942878181E-4</v>
      </c>
      <c r="S55" s="31">
        <f t="shared" si="34"/>
        <v>3.6356294048285013E-4</v>
      </c>
      <c r="T55" s="31">
        <f t="shared" si="34"/>
        <v>5.7876694836456947E-4</v>
      </c>
      <c r="U55" s="31">
        <f t="shared" si="34"/>
        <v>6.3227831307174074E-4</v>
      </c>
      <c r="V55" s="31">
        <f t="shared" si="34"/>
        <v>5.346405378318386E-4</v>
      </c>
      <c r="W55" s="31">
        <f t="shared" si="34"/>
        <v>2.802798023143813E-4</v>
      </c>
      <c r="X55" s="31">
        <f t="shared" si="34"/>
        <v>1.9146616717258635E-4</v>
      </c>
      <c r="Y55" s="31">
        <f t="shared" si="34"/>
        <v>7.5362016602318757E-6</v>
      </c>
      <c r="Z55" s="31">
        <f t="shared" si="34"/>
        <v>1.4806819359920262E-4</v>
      </c>
      <c r="AA55" s="31">
        <f t="shared" si="34"/>
        <v>1.0242518261363493E-5</v>
      </c>
      <c r="AB55" s="31">
        <f t="shared" si="34"/>
        <v>2.7622576435044185E-5</v>
      </c>
      <c r="AC55" s="31">
        <f t="shared" si="34"/>
        <v>8.4678189294419811E-5</v>
      </c>
      <c r="AD55" s="31">
        <f t="shared" si="34"/>
        <v>2.9155860216224035E-4</v>
      </c>
      <c r="AE55" s="31">
        <f t="shared" si="34"/>
        <v>1.2813298082230373E-4</v>
      </c>
      <c r="AF55" s="31">
        <f t="shared" si="34"/>
        <v>1.0090322866904684E-3</v>
      </c>
      <c r="AG55" s="31">
        <f t="shared" si="34"/>
        <v>1.9810335042217599E-3</v>
      </c>
      <c r="AH55" s="31">
        <f t="shared" si="34"/>
        <v>1.9646389068045797E-3</v>
      </c>
      <c r="AI55" s="31">
        <f t="shared" si="34"/>
        <v>1.2190917538153555E-3</v>
      </c>
      <c r="AJ55" s="31">
        <f t="shared" si="34"/>
        <v>6.1765639816416086E-3</v>
      </c>
    </row>
    <row r="56" spans="1:36" x14ac:dyDescent="0.25">
      <c r="E56" s="13" t="s">
        <v>31</v>
      </c>
      <c r="F56" s="32">
        <f>AVERAGE(F55:AJ55)</f>
        <v>1.6712998583198382E-3</v>
      </c>
    </row>
    <row r="57" spans="1:36" x14ac:dyDescent="0.25">
      <c r="A57" s="42"/>
      <c r="B57" s="15"/>
      <c r="C57" s="15"/>
      <c r="D57" s="15"/>
      <c r="F57" s="60">
        <f>AVERAGE(S55:X55)</f>
        <v>4.3016578487299444E-4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1.0000000000000001E-5</v>
      </c>
      <c r="B64" s="42">
        <f>10^B65</f>
        <v>100000</v>
      </c>
      <c r="C64" s="15"/>
      <c r="D64" s="15"/>
      <c r="E64" s="15"/>
      <c r="F64" s="15"/>
      <c r="G64" s="15"/>
      <c r="H64" s="15"/>
      <c r="I64" s="15"/>
    </row>
    <row r="65" spans="1:13" x14ac:dyDescent="0.25">
      <c r="A65" s="15">
        <v>-5</v>
      </c>
      <c r="B65" s="43">
        <v>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-55.418097133870482</v>
      </c>
    </row>
    <row r="119" spans="1:14" x14ac:dyDescent="0.25">
      <c r="L119" s="11">
        <f>L118+1</f>
        <v>2</v>
      </c>
      <c r="M119" s="11">
        <f t="shared" ref="M119:M124" si="35">INDEX($B$125:$K$126,1,L119)</f>
        <v>0</v>
      </c>
      <c r="N119" s="11">
        <f t="shared" ref="N119:N124" si="36">IF(L119=$B$3,0,INDEX($B$125:$K$126,2,L119))</f>
        <v>-51.153639664123297</v>
      </c>
    </row>
    <row r="120" spans="1:14" x14ac:dyDescent="0.25">
      <c r="L120" s="11">
        <f t="shared" ref="L120:L124" si="37">L119+1</f>
        <v>3</v>
      </c>
      <c r="M120" s="11">
        <f t="shared" si="35"/>
        <v>25</v>
      </c>
      <c r="N120" s="11">
        <f t="shared" si="36"/>
        <v>-41.471047611750329</v>
      </c>
    </row>
    <row r="121" spans="1:14" x14ac:dyDescent="0.25">
      <c r="A121" s="3">
        <f>(A165+A204+A243+A282+A321+A360+A399)*10^9</f>
        <v>2266670705652380.5</v>
      </c>
      <c r="L121" s="11">
        <f t="shared" si="37"/>
        <v>4</v>
      </c>
      <c r="M121" s="11">
        <f t="shared" si="35"/>
        <v>50</v>
      </c>
      <c r="N121" s="11">
        <f t="shared" si="36"/>
        <v>-32.056746295162469</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-19.744262508280087</v>
      </c>
    </row>
    <row r="123" spans="1:14" x14ac:dyDescent="0.25">
      <c r="A123" s="109"/>
      <c r="B123" s="10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4.006806619222516</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-55.418097133870482</v>
      </c>
      <c r="C126" s="3">
        <v>-51.153639664123297</v>
      </c>
      <c r="D126" s="3">
        <v>-41.471047611750329</v>
      </c>
      <c r="E126" s="3">
        <v>-32.056746295162469</v>
      </c>
      <c r="F126" s="3">
        <v>-19.744262508280087</v>
      </c>
      <c r="G126" s="3">
        <v>-3.287546953420315E-5</v>
      </c>
      <c r="H126" s="3">
        <v>4.006806619222516</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9" t="s">
        <v>22</v>
      </c>
      <c r="B131" s="27">
        <f>($C$17+SUM(B132:B162))*$B$51</f>
        <v>5930.4079000000029</v>
      </c>
      <c r="C131" s="27">
        <f t="shared" ref="C131:AF131" si="40">($C$17+SUM(C132:C162))*$B$51</f>
        <v>5930.4079000000029</v>
      </c>
      <c r="D131" s="27">
        <f t="shared" si="40"/>
        <v>5930.4079000000029</v>
      </c>
      <c r="E131" s="27">
        <f t="shared" si="40"/>
        <v>5930.4079000000029</v>
      </c>
      <c r="F131" s="27">
        <f t="shared" si="40"/>
        <v>5930.4079000000011</v>
      </c>
      <c r="G131" s="27">
        <f t="shared" si="40"/>
        <v>5930.4078999999965</v>
      </c>
      <c r="H131" s="27">
        <f t="shared" si="40"/>
        <v>5930.4078999999465</v>
      </c>
      <c r="I131" s="27">
        <f t="shared" si="40"/>
        <v>5930.4078999994481</v>
      </c>
      <c r="J131" s="27">
        <f t="shared" si="40"/>
        <v>5930.4078999944595</v>
      </c>
      <c r="K131" s="27">
        <f t="shared" si="40"/>
        <v>5930.4078999445746</v>
      </c>
      <c r="L131" s="27">
        <f t="shared" si="40"/>
        <v>5930.4078994457332</v>
      </c>
      <c r="M131" s="27">
        <f t="shared" si="40"/>
        <v>5930.4078944573221</v>
      </c>
      <c r="N131" s="27">
        <f t="shared" si="40"/>
        <v>5930.4078445732121</v>
      </c>
      <c r="O131" s="27">
        <f t="shared" si="40"/>
        <v>5930.4073457323075</v>
      </c>
      <c r="P131" s="27">
        <f t="shared" si="40"/>
        <v>5930.4023573443956</v>
      </c>
      <c r="Q131" s="27">
        <f t="shared" si="40"/>
        <v>5930.3524755776925</v>
      </c>
      <c r="R131" s="27">
        <f t="shared" si="40"/>
        <v>5929.8538690922969</v>
      </c>
      <c r="S131" s="27">
        <f t="shared" si="40"/>
        <v>5924.8888623624343</v>
      </c>
      <c r="T131" s="27">
        <f t="shared" si="40"/>
        <v>5877.2858314902196</v>
      </c>
      <c r="U131" s="27">
        <f t="shared" si="40"/>
        <v>5557.9201353139651</v>
      </c>
      <c r="V131" s="27">
        <f t="shared" si="40"/>
        <v>5282.6533356275922</v>
      </c>
      <c r="W131" s="27">
        <f t="shared" si="40"/>
        <v>5282.5197509068666</v>
      </c>
      <c r="X131" s="27">
        <f t="shared" si="40"/>
        <v>5282.4314431301773</v>
      </c>
      <c r="Y131" s="27">
        <f t="shared" si="40"/>
        <v>5281.5492796935741</v>
      </c>
      <c r="Z131" s="27">
        <f t="shared" si="40"/>
        <v>5272.818417114172</v>
      </c>
      <c r="AA131" s="27">
        <f t="shared" si="40"/>
        <v>5193.9604478086476</v>
      </c>
      <c r="AB131" s="27">
        <f t="shared" si="40"/>
        <v>4860.272140095235</v>
      </c>
      <c r="AC131" s="27">
        <f t="shared" si="40"/>
        <v>4620.3084837932211</v>
      </c>
      <c r="AD131" s="27">
        <f t="shared" si="40"/>
        <v>4354.8234132587531</v>
      </c>
      <c r="AE131" s="27">
        <f t="shared" si="40"/>
        <v>4084.6309469387938</v>
      </c>
      <c r="AF131" s="27">
        <f t="shared" si="40"/>
        <v>3797.7896953783143</v>
      </c>
    </row>
    <row r="132" spans="1:33" x14ac:dyDescent="0.25">
      <c r="B132" s="3">
        <f t="shared" ref="B132:Z133" si="41">$C18*EXP(-B$129/$A18/EXP(-$B$126))</f>
        <v>0.10924684220979419</v>
      </c>
      <c r="C132" s="3">
        <f t="shared" ref="C132:AF132" si="42">$C18*EXP(-C$129/$A18/EXP(-$B$126))</f>
        <v>0.10924684220979419</v>
      </c>
      <c r="D132" s="3">
        <f t="shared" si="42"/>
        <v>0.10924684220979419</v>
      </c>
      <c r="E132" s="3">
        <f t="shared" si="42"/>
        <v>0.10924684220979418</v>
      </c>
      <c r="F132" s="3">
        <f t="shared" si="42"/>
        <v>0.1092468422097941</v>
      </c>
      <c r="G132" s="3">
        <f t="shared" si="42"/>
        <v>0.10924684220979326</v>
      </c>
      <c r="H132" s="3">
        <f t="shared" si="42"/>
        <v>0.10924684220978484</v>
      </c>
      <c r="I132" s="3">
        <f t="shared" si="42"/>
        <v>0.10924684220970073</v>
      </c>
      <c r="J132" s="3">
        <f t="shared" si="42"/>
        <v>0.10924684220885957</v>
      </c>
      <c r="K132" s="3">
        <f t="shared" si="42"/>
        <v>0.10924684220044799</v>
      </c>
      <c r="L132" s="3">
        <f t="shared" si="42"/>
        <v>0.10924684211633219</v>
      </c>
      <c r="M132" s="3">
        <f t="shared" si="42"/>
        <v>0.10924684127517412</v>
      </c>
      <c r="N132" s="3">
        <f t="shared" si="42"/>
        <v>0.10924683286359374</v>
      </c>
      <c r="O132" s="3">
        <f t="shared" si="42"/>
        <v>0.10924674874782569</v>
      </c>
      <c r="P132" s="3">
        <f t="shared" si="42"/>
        <v>0.10924590759370729</v>
      </c>
      <c r="Q132" s="3">
        <f t="shared" si="42"/>
        <v>0.10923749640872442</v>
      </c>
      <c r="R132" s="3">
        <f t="shared" si="42"/>
        <v>0.10915342016886266</v>
      </c>
      <c r="S132" s="3">
        <f t="shared" si="42"/>
        <v>0.10831620864304474</v>
      </c>
      <c r="T132" s="3">
        <f t="shared" si="42"/>
        <v>0.10028926971352838</v>
      </c>
      <c r="U132" s="3">
        <f t="shared" si="42"/>
        <v>4.6437053602336069E-2</v>
      </c>
      <c r="V132" s="3">
        <f t="shared" si="42"/>
        <v>2.103616313842727E-5</v>
      </c>
      <c r="W132" s="3">
        <f t="shared" si="42"/>
        <v>7.6557063911768716E-39</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7.1825631805889176E-2</v>
      </c>
      <c r="C133" s="3">
        <f t="shared" si="41"/>
        <v>7.1825631805889176E-2</v>
      </c>
      <c r="D133" s="3">
        <f t="shared" si="41"/>
        <v>7.1825631805889176E-2</v>
      </c>
      <c r="E133" s="3">
        <f t="shared" si="41"/>
        <v>7.1825631805889176E-2</v>
      </c>
      <c r="F133" s="3">
        <f t="shared" si="41"/>
        <v>7.1825631805889176E-2</v>
      </c>
      <c r="G133" s="3">
        <f t="shared" si="41"/>
        <v>7.1825631805889176E-2</v>
      </c>
      <c r="H133" s="3">
        <f t="shared" si="41"/>
        <v>7.1825631805889176E-2</v>
      </c>
      <c r="I133" s="3">
        <f t="shared" si="41"/>
        <v>7.1825631805889176E-2</v>
      </c>
      <c r="J133" s="3">
        <f t="shared" si="41"/>
        <v>7.1825631805889176E-2</v>
      </c>
      <c r="K133" s="3">
        <f t="shared" si="41"/>
        <v>7.1825631805889176E-2</v>
      </c>
      <c r="L133" s="3">
        <f t="shared" si="41"/>
        <v>7.1825631805889162E-2</v>
      </c>
      <c r="M133" s="3">
        <f t="shared" si="41"/>
        <v>7.1825631805889023E-2</v>
      </c>
      <c r="N133" s="3">
        <f t="shared" si="41"/>
        <v>7.1825631805887608E-2</v>
      </c>
      <c r="O133" s="3">
        <f t="shared" si="41"/>
        <v>7.1825631805873438E-2</v>
      </c>
      <c r="P133" s="3">
        <f t="shared" si="41"/>
        <v>7.1825631805731774E-2</v>
      </c>
      <c r="Q133" s="3">
        <f t="shared" si="41"/>
        <v>7.1825631804315157E-2</v>
      </c>
      <c r="R133" s="3">
        <f t="shared" si="41"/>
        <v>7.1825631790149072E-2</v>
      </c>
      <c r="S133" s="3">
        <f t="shared" si="41"/>
        <v>7.1825631648488139E-2</v>
      </c>
      <c r="T133" s="3">
        <f t="shared" si="41"/>
        <v>7.1825630231878851E-2</v>
      </c>
      <c r="U133" s="3">
        <f t="shared" si="41"/>
        <v>7.182561606578744E-2</v>
      </c>
      <c r="V133" s="3">
        <f t="shared" si="41"/>
        <v>7.182547440502704E-2</v>
      </c>
      <c r="W133" s="3">
        <f t="shared" si="41"/>
        <v>7.1824057812789679E-2</v>
      </c>
      <c r="X133" s="3">
        <f t="shared" si="41"/>
        <v>7.1809893426971388E-2</v>
      </c>
      <c r="Y133" s="3">
        <f t="shared" si="41"/>
        <v>7.16684031122517E-2</v>
      </c>
      <c r="Z133" s="3">
        <f t="shared" si="41"/>
        <v>7.0268742852148403E-2</v>
      </c>
      <c r="AA133" s="3">
        <f t="shared" ref="AA133:AF133" si="43">$C19*EXP(-AA$129/$A19/EXP(-$B$126))</f>
        <v>5.7690824284962479E-2</v>
      </c>
      <c r="AB133" s="3">
        <f t="shared" si="43"/>
        <v>8.0269830846764808E-3</v>
      </c>
      <c r="AC133" s="3">
        <f t="shared" si="43"/>
        <v>2.1827720482527399E-11</v>
      </c>
      <c r="AD133" s="3">
        <f t="shared" si="43"/>
        <v>4.8257936014328812E-97</v>
      </c>
      <c r="AE133" s="3">
        <f t="shared" si="43"/>
        <v>0</v>
      </c>
      <c r="AF133" s="3">
        <f t="shared" si="43"/>
        <v>0</v>
      </c>
    </row>
    <row r="134" spans="1:33" x14ac:dyDescent="0.25">
      <c r="B134" s="3">
        <f t="shared" ref="B134:Z134" si="44">$C20*EXP(-B$129/$A20/EXP(-$B$126))</f>
        <v>3.596772409142239E-2</v>
      </c>
      <c r="C134" s="3">
        <f t="shared" si="44"/>
        <v>3.596772409142239E-2</v>
      </c>
      <c r="D134" s="3">
        <f t="shared" si="44"/>
        <v>3.596772409142239E-2</v>
      </c>
      <c r="E134" s="3">
        <f t="shared" si="44"/>
        <v>3.596772409142239E-2</v>
      </c>
      <c r="F134" s="3">
        <f t="shared" si="44"/>
        <v>3.596772409142239E-2</v>
      </c>
      <c r="G134" s="3">
        <f t="shared" si="44"/>
        <v>3.596772409142239E-2</v>
      </c>
      <c r="H134" s="3">
        <f t="shared" si="44"/>
        <v>3.596772409142239E-2</v>
      </c>
      <c r="I134" s="3">
        <f t="shared" si="44"/>
        <v>3.596772409142239E-2</v>
      </c>
      <c r="J134" s="3">
        <f t="shared" si="44"/>
        <v>3.596772409142239E-2</v>
      </c>
      <c r="K134" s="3">
        <f t="shared" si="44"/>
        <v>3.596772409142239E-2</v>
      </c>
      <c r="L134" s="3">
        <f t="shared" si="44"/>
        <v>3.596772409142239E-2</v>
      </c>
      <c r="M134" s="3">
        <f t="shared" si="44"/>
        <v>3.5967724091422383E-2</v>
      </c>
      <c r="N134" s="3">
        <f t="shared" si="44"/>
        <v>3.5967724091422321E-2</v>
      </c>
      <c r="O134" s="3">
        <f t="shared" si="44"/>
        <v>3.5967724091421682E-2</v>
      </c>
      <c r="P134" s="3">
        <f t="shared" si="44"/>
        <v>3.5967724091415278E-2</v>
      </c>
      <c r="Q134" s="3">
        <f t="shared" si="44"/>
        <v>3.5967724091351287E-2</v>
      </c>
      <c r="R134" s="3">
        <f t="shared" si="44"/>
        <v>3.5967724090711362E-2</v>
      </c>
      <c r="S134" s="3">
        <f t="shared" si="44"/>
        <v>3.5967724084312098E-2</v>
      </c>
      <c r="T134" s="3">
        <f t="shared" si="44"/>
        <v>3.5967724020319433E-2</v>
      </c>
      <c r="U134" s="3">
        <f t="shared" si="44"/>
        <v>3.5967723380392808E-2</v>
      </c>
      <c r="V134" s="3">
        <f t="shared" si="44"/>
        <v>3.5967716981127155E-2</v>
      </c>
      <c r="W134" s="3">
        <f t="shared" si="44"/>
        <v>3.5967652988533307E-2</v>
      </c>
      <c r="X134" s="3">
        <f t="shared" si="44"/>
        <v>3.5967013068856732E-2</v>
      </c>
      <c r="Y134" s="3">
        <f t="shared" si="44"/>
        <v>3.5960614498240867E-2</v>
      </c>
      <c r="Z134" s="3">
        <f t="shared" si="44"/>
        <v>3.5896691365876213E-2</v>
      </c>
      <c r="AA134" s="3">
        <f t="shared" ref="AA134" si="45">$C20*EXP(-AA$129/$A20/EXP(-$B$126))</f>
        <v>3.5263676425059273E-2</v>
      </c>
      <c r="AB134" s="3">
        <f t="shared" ref="AB134:AF143" si="46">$C20*EXP(-AB$129/$A20/EXP(-$B$126))</f>
        <v>2.9516119190469155E-2</v>
      </c>
      <c r="AC134" s="3">
        <f t="shared" si="46"/>
        <v>4.981681197186119E-3</v>
      </c>
      <c r="AD134" s="3">
        <f t="shared" si="46"/>
        <v>9.3442121749891317E-11</v>
      </c>
      <c r="AE134" s="3">
        <f t="shared" si="46"/>
        <v>5.0374446741961996E-88</v>
      </c>
      <c r="AF134" s="3">
        <f t="shared" si="46"/>
        <v>0</v>
      </c>
    </row>
    <row r="135" spans="1:33" x14ac:dyDescent="0.25">
      <c r="B135" s="3">
        <f t="shared" ref="B135:Z135" si="47">$C21*EXP(-B$129/$A21/EXP(-$B$126))</f>
        <v>4.9137716927094087E-2</v>
      </c>
      <c r="C135" s="3">
        <f t="shared" si="47"/>
        <v>4.9137716927094087E-2</v>
      </c>
      <c r="D135" s="3">
        <f t="shared" si="47"/>
        <v>4.9137716927094087E-2</v>
      </c>
      <c r="E135" s="3">
        <f t="shared" si="47"/>
        <v>4.9137716927094087E-2</v>
      </c>
      <c r="F135" s="3">
        <f t="shared" si="47"/>
        <v>4.9137716927094087E-2</v>
      </c>
      <c r="G135" s="3">
        <f t="shared" si="47"/>
        <v>4.9137716927094087E-2</v>
      </c>
      <c r="H135" s="3">
        <f t="shared" si="47"/>
        <v>4.9137716927094087E-2</v>
      </c>
      <c r="I135" s="3">
        <f t="shared" si="47"/>
        <v>4.9137716927094087E-2</v>
      </c>
      <c r="J135" s="3">
        <f t="shared" si="47"/>
        <v>4.9137716927094087E-2</v>
      </c>
      <c r="K135" s="3">
        <f t="shared" si="47"/>
        <v>4.9137716927094087E-2</v>
      </c>
      <c r="L135" s="3">
        <f t="shared" si="47"/>
        <v>4.9137716927094087E-2</v>
      </c>
      <c r="M135" s="3">
        <f t="shared" si="47"/>
        <v>4.9137716927094087E-2</v>
      </c>
      <c r="N135" s="3">
        <f t="shared" si="47"/>
        <v>4.9137716927094073E-2</v>
      </c>
      <c r="O135" s="3">
        <f t="shared" si="47"/>
        <v>4.9137716927093997E-2</v>
      </c>
      <c r="P135" s="3">
        <f t="shared" si="47"/>
        <v>4.9137716927093206E-2</v>
      </c>
      <c r="Q135" s="3">
        <f t="shared" si="47"/>
        <v>4.9137716927085323E-2</v>
      </c>
      <c r="R135" s="3">
        <f t="shared" si="47"/>
        <v>4.9137716927006463E-2</v>
      </c>
      <c r="S135" s="3">
        <f t="shared" si="47"/>
        <v>4.9137716926217823E-2</v>
      </c>
      <c r="T135" s="3">
        <f t="shared" si="47"/>
        <v>4.9137716918331423E-2</v>
      </c>
      <c r="U135" s="3">
        <f t="shared" si="47"/>
        <v>4.9137716839467424E-2</v>
      </c>
      <c r="V135" s="3">
        <f t="shared" si="47"/>
        <v>4.9137716050827444E-2</v>
      </c>
      <c r="W135" s="3">
        <f t="shared" si="47"/>
        <v>4.9137708164428355E-2</v>
      </c>
      <c r="X135" s="3">
        <f t="shared" si="47"/>
        <v>4.9137629300507094E-2</v>
      </c>
      <c r="Y135" s="3">
        <f t="shared" si="47"/>
        <v>4.9136840668255966E-2</v>
      </c>
      <c r="Z135" s="3">
        <f t="shared" si="47"/>
        <v>4.9128955041852697E-2</v>
      </c>
      <c r="AA135" s="3">
        <f t="shared" ref="AA135" si="48">$C21*EXP(-AA$129/$A21/EXP(-$B$126))</f>
        <v>4.905016834730392E-2</v>
      </c>
      <c r="AB135" s="3">
        <f t="shared" si="46"/>
        <v>4.8269217214197163E-2</v>
      </c>
      <c r="AC135" s="3">
        <f t="shared" si="46"/>
        <v>4.1111923064599099E-2</v>
      </c>
      <c r="AD135" s="3">
        <f t="shared" si="46"/>
        <v>8.2592983166590965E-3</v>
      </c>
      <c r="AE135" s="3">
        <f t="shared" si="46"/>
        <v>8.8449780477867536E-10</v>
      </c>
      <c r="AF135" s="3">
        <f t="shared" si="46"/>
        <v>1.7548210157087604E-79</v>
      </c>
    </row>
    <row r="136" spans="1:33" x14ac:dyDescent="0.25">
      <c r="B136" s="3">
        <f t="shared" ref="B136:Z136" si="49">$C22*EXP(-B$129/$A22/EXP(-$B$126))</f>
        <v>4.6762783367912203E-2</v>
      </c>
      <c r="C136" s="3">
        <f t="shared" si="49"/>
        <v>4.6762783367912203E-2</v>
      </c>
      <c r="D136" s="3">
        <f t="shared" si="49"/>
        <v>4.6762783367912203E-2</v>
      </c>
      <c r="E136" s="3">
        <f t="shared" si="49"/>
        <v>4.6762783367912203E-2</v>
      </c>
      <c r="F136" s="3">
        <f t="shared" si="49"/>
        <v>4.6762783367912203E-2</v>
      </c>
      <c r="G136" s="3">
        <f t="shared" si="49"/>
        <v>4.6762783367912203E-2</v>
      </c>
      <c r="H136" s="3">
        <f t="shared" si="49"/>
        <v>4.6762783367912203E-2</v>
      </c>
      <c r="I136" s="3">
        <f t="shared" si="49"/>
        <v>4.6762783367912203E-2</v>
      </c>
      <c r="J136" s="3">
        <f t="shared" si="49"/>
        <v>4.6762783367912203E-2</v>
      </c>
      <c r="K136" s="3">
        <f t="shared" si="49"/>
        <v>4.6762783367912203E-2</v>
      </c>
      <c r="L136" s="3">
        <f t="shared" si="49"/>
        <v>4.6762783367912203E-2</v>
      </c>
      <c r="M136" s="3">
        <f t="shared" si="49"/>
        <v>4.6762783367912203E-2</v>
      </c>
      <c r="N136" s="3">
        <f t="shared" si="49"/>
        <v>4.6762783367912203E-2</v>
      </c>
      <c r="O136" s="3">
        <f t="shared" si="49"/>
        <v>4.6762783367912196E-2</v>
      </c>
      <c r="P136" s="3">
        <f t="shared" si="49"/>
        <v>4.6762783367912134E-2</v>
      </c>
      <c r="Q136" s="3">
        <f t="shared" si="49"/>
        <v>4.6762783367911454E-2</v>
      </c>
      <c r="R136" s="3">
        <f t="shared" si="49"/>
        <v>4.6762783367904681E-2</v>
      </c>
      <c r="S136" s="3">
        <f t="shared" si="49"/>
        <v>4.6762783367836978E-2</v>
      </c>
      <c r="T136" s="3">
        <f t="shared" si="49"/>
        <v>4.6762783367159944E-2</v>
      </c>
      <c r="U136" s="3">
        <f t="shared" si="49"/>
        <v>4.6762783360389602E-2</v>
      </c>
      <c r="V136" s="3">
        <f t="shared" si="49"/>
        <v>4.6762783292686148E-2</v>
      </c>
      <c r="W136" s="3">
        <f t="shared" si="49"/>
        <v>4.676278261565172E-2</v>
      </c>
      <c r="X136" s="3">
        <f t="shared" si="49"/>
        <v>4.6762775845307893E-2</v>
      </c>
      <c r="Y136" s="3">
        <f t="shared" si="49"/>
        <v>4.6762708141923549E-2</v>
      </c>
      <c r="Z136" s="3">
        <f t="shared" si="49"/>
        <v>4.676203111347127E-2</v>
      </c>
      <c r="AA136" s="3">
        <f t="shared" ref="AA136" si="50">$C22*EXP(-AA$129/$A22/EXP(-$B$126))</f>
        <v>4.6755261368034422E-2</v>
      </c>
      <c r="AB136" s="3">
        <f t="shared" si="46"/>
        <v>4.66876177933939E-2</v>
      </c>
      <c r="AC136" s="3">
        <f t="shared" si="46"/>
        <v>4.601654126848518E-2</v>
      </c>
      <c r="AD136" s="3">
        <f t="shared" si="46"/>
        <v>3.9814067794480219E-2</v>
      </c>
      <c r="AE136" s="3">
        <f t="shared" si="46"/>
        <v>9.3597088634163293E-3</v>
      </c>
      <c r="AF136" s="3">
        <f t="shared" si="46"/>
        <v>4.8252545034591926E-9</v>
      </c>
    </row>
    <row r="137" spans="1:33" x14ac:dyDescent="0.25">
      <c r="B137" s="3">
        <f t="shared" ref="B137:Z137" si="51">$C23*EXP(-B$129/$A23/EXP(-$B$126))</f>
        <v>5.0407962506303181E-2</v>
      </c>
      <c r="C137" s="3">
        <f t="shared" si="51"/>
        <v>5.0407962506303181E-2</v>
      </c>
      <c r="D137" s="3">
        <f t="shared" si="51"/>
        <v>5.0407962506303181E-2</v>
      </c>
      <c r="E137" s="3">
        <f t="shared" si="51"/>
        <v>5.0407962506303181E-2</v>
      </c>
      <c r="F137" s="3">
        <f t="shared" si="51"/>
        <v>5.0407962506303181E-2</v>
      </c>
      <c r="G137" s="3">
        <f t="shared" si="51"/>
        <v>5.0407962506303181E-2</v>
      </c>
      <c r="H137" s="3">
        <f t="shared" si="51"/>
        <v>5.0407962506303181E-2</v>
      </c>
      <c r="I137" s="3">
        <f t="shared" si="51"/>
        <v>5.0407962506303181E-2</v>
      </c>
      <c r="J137" s="3">
        <f t="shared" si="51"/>
        <v>5.0407962506303181E-2</v>
      </c>
      <c r="K137" s="3">
        <f t="shared" si="51"/>
        <v>5.0407962506303181E-2</v>
      </c>
      <c r="L137" s="3">
        <f t="shared" si="51"/>
        <v>5.0407962506303181E-2</v>
      </c>
      <c r="M137" s="3">
        <f t="shared" si="51"/>
        <v>5.0407962506303181E-2</v>
      </c>
      <c r="N137" s="3">
        <f t="shared" si="51"/>
        <v>5.0407962506303181E-2</v>
      </c>
      <c r="O137" s="3">
        <f t="shared" si="51"/>
        <v>5.0407962506303181E-2</v>
      </c>
      <c r="P137" s="3">
        <f t="shared" si="51"/>
        <v>5.0407962506303174E-2</v>
      </c>
      <c r="Q137" s="3">
        <f t="shared" si="51"/>
        <v>5.0407962506303111E-2</v>
      </c>
      <c r="R137" s="3">
        <f t="shared" si="51"/>
        <v>5.0407962506302445E-2</v>
      </c>
      <c r="S137" s="3">
        <f t="shared" si="51"/>
        <v>5.0407962506295867E-2</v>
      </c>
      <c r="T137" s="3">
        <f t="shared" si="51"/>
        <v>5.0407962506230031E-2</v>
      </c>
      <c r="U137" s="3">
        <f t="shared" si="51"/>
        <v>5.0407962505571682E-2</v>
      </c>
      <c r="V137" s="3">
        <f t="shared" si="51"/>
        <v>5.0407962498988192E-2</v>
      </c>
      <c r="W137" s="3">
        <f t="shared" si="51"/>
        <v>5.0407962433153299E-2</v>
      </c>
      <c r="X137" s="3">
        <f t="shared" si="51"/>
        <v>5.0407961774804354E-2</v>
      </c>
      <c r="Y137" s="3">
        <f t="shared" si="51"/>
        <v>5.0407955191315426E-2</v>
      </c>
      <c r="Z137" s="3">
        <f t="shared" si="51"/>
        <v>5.040788935647339E-2</v>
      </c>
      <c r="AA137" s="3">
        <f t="shared" ref="AA137" si="52">$C23*EXP(-AA$129/$A23/EXP(-$B$126))</f>
        <v>5.0407231012782043E-2</v>
      </c>
      <c r="AB137" s="3">
        <f t="shared" si="46"/>
        <v>5.0400648048750295E-2</v>
      </c>
      <c r="AC137" s="3">
        <f t="shared" si="46"/>
        <v>5.0334865673760533E-2</v>
      </c>
      <c r="AD137" s="3">
        <f t="shared" si="46"/>
        <v>4.9681745695923138E-2</v>
      </c>
      <c r="AE137" s="3">
        <f t="shared" si="46"/>
        <v>4.3598965309159105E-2</v>
      </c>
      <c r="AF137" s="3">
        <f t="shared" si="46"/>
        <v>1.181053402008069E-2</v>
      </c>
    </row>
    <row r="138" spans="1:33" x14ac:dyDescent="0.25">
      <c r="B138" s="3">
        <f t="shared" ref="B138:Z138" si="53">$C24*EXP(-B$129/$A24/EXP(-$B$126))</f>
        <v>5.7182312842770561E-2</v>
      </c>
      <c r="C138" s="3">
        <f t="shared" si="53"/>
        <v>5.7182312842770561E-2</v>
      </c>
      <c r="D138" s="3">
        <f t="shared" si="53"/>
        <v>5.7182312842770561E-2</v>
      </c>
      <c r="E138" s="3">
        <f t="shared" si="53"/>
        <v>5.7182312842770561E-2</v>
      </c>
      <c r="F138" s="3">
        <f t="shared" si="53"/>
        <v>5.7182312842770561E-2</v>
      </c>
      <c r="G138" s="3">
        <f t="shared" si="53"/>
        <v>5.7182312842770561E-2</v>
      </c>
      <c r="H138" s="3">
        <f t="shared" si="53"/>
        <v>5.7182312842770561E-2</v>
      </c>
      <c r="I138" s="3">
        <f t="shared" si="53"/>
        <v>5.7182312842770561E-2</v>
      </c>
      <c r="J138" s="3">
        <f t="shared" si="53"/>
        <v>5.7182312842770561E-2</v>
      </c>
      <c r="K138" s="3">
        <f t="shared" si="53"/>
        <v>5.7182312842770561E-2</v>
      </c>
      <c r="L138" s="3">
        <f t="shared" si="53"/>
        <v>5.7182312842770561E-2</v>
      </c>
      <c r="M138" s="3">
        <f t="shared" si="53"/>
        <v>5.7182312842770561E-2</v>
      </c>
      <c r="N138" s="3">
        <f t="shared" si="53"/>
        <v>5.7182312842770561E-2</v>
      </c>
      <c r="O138" s="3">
        <f t="shared" si="53"/>
        <v>5.7182312842770561E-2</v>
      </c>
      <c r="P138" s="3">
        <f t="shared" si="53"/>
        <v>5.7182312842770561E-2</v>
      </c>
      <c r="Q138" s="3">
        <f t="shared" si="53"/>
        <v>5.7182312842770554E-2</v>
      </c>
      <c r="R138" s="3">
        <f t="shared" si="53"/>
        <v>5.7182312842770484E-2</v>
      </c>
      <c r="S138" s="3">
        <f t="shared" si="53"/>
        <v>5.7182312842769811E-2</v>
      </c>
      <c r="T138" s="3">
        <f t="shared" si="53"/>
        <v>5.7182312842763074E-2</v>
      </c>
      <c r="U138" s="3">
        <f t="shared" si="53"/>
        <v>5.7182312842695704E-2</v>
      </c>
      <c r="V138" s="3">
        <f t="shared" si="53"/>
        <v>5.7182312842022007E-2</v>
      </c>
      <c r="W138" s="3">
        <f t="shared" si="53"/>
        <v>5.7182312835285021E-2</v>
      </c>
      <c r="X138" s="3">
        <f t="shared" si="53"/>
        <v>5.7182312767915217E-2</v>
      </c>
      <c r="Y138" s="3">
        <f t="shared" si="53"/>
        <v>5.7182312094217147E-2</v>
      </c>
      <c r="Z138" s="3">
        <f t="shared" si="53"/>
        <v>5.718230535723684E-2</v>
      </c>
      <c r="AA138" s="3">
        <f t="shared" ref="AA138" si="54">$C24*EXP(-AA$129/$A24/EXP(-$B$126))</f>
        <v>5.718223798747743E-2</v>
      </c>
      <c r="AB138" s="3">
        <f t="shared" si="46"/>
        <v>5.7181564294248838E-2</v>
      </c>
      <c r="AC138" s="3">
        <f t="shared" si="46"/>
        <v>5.7174827798489314E-2</v>
      </c>
      <c r="AD138" s="3">
        <f t="shared" si="46"/>
        <v>5.7107506474515263E-2</v>
      </c>
      <c r="AE138" s="3">
        <f t="shared" si="46"/>
        <v>5.6438637635983308E-2</v>
      </c>
      <c r="AF138" s="3">
        <f t="shared" si="46"/>
        <v>5.0166033462154917E-2</v>
      </c>
    </row>
    <row r="139" spans="1:33" x14ac:dyDescent="0.25">
      <c r="B139" s="3">
        <f t="shared" ref="B139:Z139" si="55">$C25*EXP(-B$129/$A25/EXP(-$B$126))</f>
        <v>8.0089931313285845E-2</v>
      </c>
      <c r="C139" s="3">
        <f t="shared" si="55"/>
        <v>8.0089931313285845E-2</v>
      </c>
      <c r="D139" s="3">
        <f t="shared" si="55"/>
        <v>8.0089931313285845E-2</v>
      </c>
      <c r="E139" s="3">
        <f t="shared" si="55"/>
        <v>8.0089931313285845E-2</v>
      </c>
      <c r="F139" s="3">
        <f t="shared" si="55"/>
        <v>8.0089931313285845E-2</v>
      </c>
      <c r="G139" s="3">
        <f t="shared" si="55"/>
        <v>8.0089931313285845E-2</v>
      </c>
      <c r="H139" s="3">
        <f t="shared" si="55"/>
        <v>8.0089931313285845E-2</v>
      </c>
      <c r="I139" s="3">
        <f t="shared" si="55"/>
        <v>8.0089931313285845E-2</v>
      </c>
      <c r="J139" s="3">
        <f t="shared" si="55"/>
        <v>8.0089931313285845E-2</v>
      </c>
      <c r="K139" s="3">
        <f t="shared" si="55"/>
        <v>8.0089931313285845E-2</v>
      </c>
      <c r="L139" s="3">
        <f t="shared" si="55"/>
        <v>8.0089931313285845E-2</v>
      </c>
      <c r="M139" s="3">
        <f t="shared" si="55"/>
        <v>8.0089931313285845E-2</v>
      </c>
      <c r="N139" s="3">
        <f t="shared" si="55"/>
        <v>8.0089931313285845E-2</v>
      </c>
      <c r="O139" s="3">
        <f t="shared" si="55"/>
        <v>8.0089931313285845E-2</v>
      </c>
      <c r="P139" s="3">
        <f t="shared" si="55"/>
        <v>8.0089931313285845E-2</v>
      </c>
      <c r="Q139" s="3">
        <f t="shared" si="55"/>
        <v>8.0089931313285845E-2</v>
      </c>
      <c r="R139" s="3">
        <f t="shared" si="55"/>
        <v>8.0089931313285831E-2</v>
      </c>
      <c r="S139" s="3">
        <f t="shared" si="55"/>
        <v>8.0089931313285748E-2</v>
      </c>
      <c r="T139" s="3">
        <f t="shared" si="55"/>
        <v>8.0089931313284901E-2</v>
      </c>
      <c r="U139" s="3">
        <f t="shared" si="55"/>
        <v>8.008993131327638E-2</v>
      </c>
      <c r="V139" s="3">
        <f t="shared" si="55"/>
        <v>8.0089931313191268E-2</v>
      </c>
      <c r="W139" s="3">
        <f t="shared" si="55"/>
        <v>8.0089931312340074E-2</v>
      </c>
      <c r="X139" s="3">
        <f t="shared" si="55"/>
        <v>8.0089931303828146E-2</v>
      </c>
      <c r="Y139" s="3">
        <f t="shared" si="55"/>
        <v>8.0089931218708832E-2</v>
      </c>
      <c r="Z139" s="3">
        <f t="shared" si="55"/>
        <v>8.0089930367515716E-2</v>
      </c>
      <c r="AA139" s="3">
        <f t="shared" ref="AA139" si="56">$C25*EXP(-AA$129/$A25/EXP(-$B$126))</f>
        <v>8.0089921855585083E-2</v>
      </c>
      <c r="AB139" s="3">
        <f t="shared" si="46"/>
        <v>8.0089836736328496E-2</v>
      </c>
      <c r="AC139" s="3">
        <f t="shared" si="46"/>
        <v>8.0088985548738195E-2</v>
      </c>
      <c r="AD139" s="3">
        <f t="shared" si="46"/>
        <v>8.0080474170368204E-2</v>
      </c>
      <c r="AE139" s="3">
        <f t="shared" si="46"/>
        <v>7.9995410120421731E-2</v>
      </c>
      <c r="AF139" s="3">
        <f t="shared" si="46"/>
        <v>7.9149723494725349E-2</v>
      </c>
    </row>
    <row r="140" spans="1:33" x14ac:dyDescent="0.25">
      <c r="B140" s="3">
        <f t="shared" ref="B140:Z140" si="57">$C26*EXP(-B$129/$A26/EXP(-$B$126))</f>
        <v>9.4725402978259585E-2</v>
      </c>
      <c r="C140" s="3">
        <f t="shared" si="57"/>
        <v>9.4725402978259585E-2</v>
      </c>
      <c r="D140" s="3">
        <f t="shared" si="57"/>
        <v>9.4725402978259585E-2</v>
      </c>
      <c r="E140" s="3">
        <f t="shared" si="57"/>
        <v>9.4725402978259585E-2</v>
      </c>
      <c r="F140" s="3">
        <f t="shared" si="57"/>
        <v>9.4725402978259585E-2</v>
      </c>
      <c r="G140" s="3">
        <f t="shared" si="57"/>
        <v>9.4725402978259585E-2</v>
      </c>
      <c r="H140" s="3">
        <f t="shared" si="57"/>
        <v>9.4725402978259585E-2</v>
      </c>
      <c r="I140" s="3">
        <f t="shared" si="57"/>
        <v>9.4725402978259585E-2</v>
      </c>
      <c r="J140" s="3">
        <f t="shared" si="57"/>
        <v>9.4725402978259585E-2</v>
      </c>
      <c r="K140" s="3">
        <f t="shared" si="57"/>
        <v>9.4725402978259585E-2</v>
      </c>
      <c r="L140" s="3">
        <f t="shared" si="57"/>
        <v>9.4725402978259585E-2</v>
      </c>
      <c r="M140" s="3">
        <f t="shared" si="57"/>
        <v>9.4725402978259585E-2</v>
      </c>
      <c r="N140" s="3">
        <f t="shared" si="57"/>
        <v>9.4725402978259585E-2</v>
      </c>
      <c r="O140" s="3">
        <f t="shared" si="57"/>
        <v>9.4725402978259585E-2</v>
      </c>
      <c r="P140" s="3">
        <f t="shared" si="57"/>
        <v>9.4725402978259585E-2</v>
      </c>
      <c r="Q140" s="3">
        <f t="shared" si="57"/>
        <v>9.4725402978259585E-2</v>
      </c>
      <c r="R140" s="3">
        <f t="shared" si="57"/>
        <v>9.4725402978259585E-2</v>
      </c>
      <c r="S140" s="3">
        <f t="shared" si="57"/>
        <v>9.4725402978259571E-2</v>
      </c>
      <c r="T140" s="3">
        <f t="shared" si="57"/>
        <v>9.4725402978259474E-2</v>
      </c>
      <c r="U140" s="3">
        <f t="shared" si="57"/>
        <v>9.4725402978258572E-2</v>
      </c>
      <c r="V140" s="3">
        <f t="shared" si="57"/>
        <v>9.4725402978249496E-2</v>
      </c>
      <c r="W140" s="3">
        <f t="shared" si="57"/>
        <v>9.4725402978158679E-2</v>
      </c>
      <c r="X140" s="3">
        <f t="shared" si="57"/>
        <v>9.4725402977250517E-2</v>
      </c>
      <c r="Y140" s="3">
        <f t="shared" si="57"/>
        <v>9.4725402968168892E-2</v>
      </c>
      <c r="Z140" s="3">
        <f t="shared" si="57"/>
        <v>9.4725402877352718E-2</v>
      </c>
      <c r="AA140" s="3">
        <f t="shared" ref="AA140" si="58">$C26*EXP(-AA$129/$A26/EXP(-$B$126))</f>
        <v>9.4725401969190909E-2</v>
      </c>
      <c r="AB140" s="3">
        <f t="shared" si="46"/>
        <v>9.472539288757334E-2</v>
      </c>
      <c r="AC140" s="3">
        <f t="shared" si="46"/>
        <v>9.47253020714455E-2</v>
      </c>
      <c r="AD140" s="3">
        <f t="shared" si="46"/>
        <v>9.4724393914955865E-2</v>
      </c>
      <c r="AE140" s="3">
        <f t="shared" si="46"/>
        <v>9.4715312828916209E-2</v>
      </c>
      <c r="AF140" s="3">
        <f t="shared" si="46"/>
        <v>9.4624549837208943E-2</v>
      </c>
    </row>
    <row r="141" spans="1:33" x14ac:dyDescent="0.25">
      <c r="B141" s="3">
        <f t="shared" ref="B141:Z141" si="59">$C27*EXP(-B$129/$A27/EXP(-$B$126))</f>
        <v>0.11171287761739628</v>
      </c>
      <c r="C141" s="3">
        <f t="shared" si="59"/>
        <v>0.11171287761739628</v>
      </c>
      <c r="D141" s="3">
        <f t="shared" si="59"/>
        <v>0.11171287761739628</v>
      </c>
      <c r="E141" s="3">
        <f t="shared" si="59"/>
        <v>0.11171287761739628</v>
      </c>
      <c r="F141" s="3">
        <f t="shared" si="59"/>
        <v>0.11171287761739628</v>
      </c>
      <c r="G141" s="3">
        <f t="shared" si="59"/>
        <v>0.11171287761739628</v>
      </c>
      <c r="H141" s="3">
        <f t="shared" si="59"/>
        <v>0.11171287761739628</v>
      </c>
      <c r="I141" s="3">
        <f t="shared" si="59"/>
        <v>0.11171287761739628</v>
      </c>
      <c r="J141" s="3">
        <f t="shared" si="59"/>
        <v>0.11171287761739628</v>
      </c>
      <c r="K141" s="3">
        <f t="shared" si="59"/>
        <v>0.11171287761739628</v>
      </c>
      <c r="L141" s="3">
        <f t="shared" si="59"/>
        <v>0.11171287761739628</v>
      </c>
      <c r="M141" s="3">
        <f t="shared" si="59"/>
        <v>0.11171287761739628</v>
      </c>
      <c r="N141" s="3">
        <f t="shared" si="59"/>
        <v>0.11171287761739628</v>
      </c>
      <c r="O141" s="3">
        <f t="shared" si="59"/>
        <v>0.11171287761739628</v>
      </c>
      <c r="P141" s="3">
        <f t="shared" si="59"/>
        <v>0.11171287761739628</v>
      </c>
      <c r="Q141" s="3">
        <f t="shared" si="59"/>
        <v>0.11171287761739628</v>
      </c>
      <c r="R141" s="3">
        <f t="shared" si="59"/>
        <v>0.11171287761739628</v>
      </c>
      <c r="S141" s="3">
        <f t="shared" si="59"/>
        <v>0.11171287761739628</v>
      </c>
      <c r="T141" s="3">
        <f t="shared" si="59"/>
        <v>0.11171287761739626</v>
      </c>
      <c r="U141" s="3">
        <f t="shared" si="59"/>
        <v>0.11171287761739616</v>
      </c>
      <c r="V141" s="3">
        <f t="shared" si="59"/>
        <v>0.11171287761739519</v>
      </c>
      <c r="W141" s="3">
        <f t="shared" si="59"/>
        <v>0.11171287761738553</v>
      </c>
      <c r="X141" s="3">
        <f t="shared" si="59"/>
        <v>0.11171287761728893</v>
      </c>
      <c r="Y141" s="3">
        <f t="shared" si="59"/>
        <v>0.11171287761632277</v>
      </c>
      <c r="Z141" s="3">
        <f t="shared" si="59"/>
        <v>0.11171287760666122</v>
      </c>
      <c r="AA141" s="3">
        <f t="shared" ref="AA141" si="60">$C27*EXP(-AA$129/$A27/EXP(-$B$126))</f>
        <v>0.11171287751004577</v>
      </c>
      <c r="AB141" s="3">
        <f t="shared" si="46"/>
        <v>0.11171287654389121</v>
      </c>
      <c r="AC141" s="3">
        <f t="shared" si="46"/>
        <v>0.11171286688234623</v>
      </c>
      <c r="AD141" s="3">
        <f t="shared" si="46"/>
        <v>0.11171277026694228</v>
      </c>
      <c r="AE141" s="3">
        <f t="shared" si="46"/>
        <v>0.11171180411749831</v>
      </c>
      <c r="AF141" s="3">
        <f t="shared" si="46"/>
        <v>0.11170214308261342</v>
      </c>
    </row>
    <row r="142" spans="1:33" x14ac:dyDescent="0.25">
      <c r="B142" s="3">
        <f t="shared" ref="B142:Z142" si="61">$C28*EXP(-B$129/$A28/EXP(-$B$126))</f>
        <v>0.12486929252202905</v>
      </c>
      <c r="C142" s="3">
        <f t="shared" si="61"/>
        <v>0.12486929252202905</v>
      </c>
      <c r="D142" s="3">
        <f t="shared" si="61"/>
        <v>0.12486929252202905</v>
      </c>
      <c r="E142" s="3">
        <f t="shared" si="61"/>
        <v>0.12486929252202905</v>
      </c>
      <c r="F142" s="3">
        <f t="shared" si="61"/>
        <v>0.12486929252202905</v>
      </c>
      <c r="G142" s="3">
        <f t="shared" si="61"/>
        <v>0.12486929252202905</v>
      </c>
      <c r="H142" s="3">
        <f t="shared" si="61"/>
        <v>0.12486929252202905</v>
      </c>
      <c r="I142" s="3">
        <f t="shared" si="61"/>
        <v>0.12486929252202905</v>
      </c>
      <c r="J142" s="3">
        <f t="shared" si="61"/>
        <v>0.12486929252202905</v>
      </c>
      <c r="K142" s="3">
        <f t="shared" si="61"/>
        <v>0.12486929252202905</v>
      </c>
      <c r="L142" s="3">
        <f t="shared" si="61"/>
        <v>0.12486929252202905</v>
      </c>
      <c r="M142" s="3">
        <f t="shared" si="61"/>
        <v>0.12486929252202905</v>
      </c>
      <c r="N142" s="3">
        <f t="shared" si="61"/>
        <v>0.12486929252202905</v>
      </c>
      <c r="O142" s="3">
        <f t="shared" si="61"/>
        <v>0.12486929252202905</v>
      </c>
      <c r="P142" s="3">
        <f t="shared" si="61"/>
        <v>0.12486929252202905</v>
      </c>
      <c r="Q142" s="3">
        <f t="shared" si="61"/>
        <v>0.12486929252202905</v>
      </c>
      <c r="R142" s="3">
        <f t="shared" si="61"/>
        <v>0.12486929252202905</v>
      </c>
      <c r="S142" s="3">
        <f t="shared" si="61"/>
        <v>0.12486929252202905</v>
      </c>
      <c r="T142" s="3">
        <f t="shared" si="61"/>
        <v>0.12486929252202905</v>
      </c>
      <c r="U142" s="3">
        <f t="shared" si="61"/>
        <v>0.12486929252202904</v>
      </c>
      <c r="V142" s="3">
        <f t="shared" si="61"/>
        <v>0.12486929252202894</v>
      </c>
      <c r="W142" s="3">
        <f t="shared" si="61"/>
        <v>0.12486929252202797</v>
      </c>
      <c r="X142" s="3">
        <f t="shared" si="61"/>
        <v>0.12486929252201823</v>
      </c>
      <c r="Y142" s="3">
        <f t="shared" si="61"/>
        <v>0.1248692925219208</v>
      </c>
      <c r="Z142" s="3">
        <f t="shared" si="61"/>
        <v>0.12486929252094661</v>
      </c>
      <c r="AA142" s="3">
        <f t="shared" ref="AA142" si="62">$C28*EXP(-AA$129/$A28/EXP(-$B$126))</f>
        <v>0.12486929251120467</v>
      </c>
      <c r="AB142" s="3">
        <f t="shared" si="46"/>
        <v>0.12486929241378524</v>
      </c>
      <c r="AC142" s="3">
        <f t="shared" si="46"/>
        <v>0.1248692914395909</v>
      </c>
      <c r="AD142" s="3">
        <f t="shared" si="46"/>
        <v>0.12486928169764784</v>
      </c>
      <c r="AE142" s="3">
        <f t="shared" si="46"/>
        <v>0.12486918427825926</v>
      </c>
      <c r="AF142" s="3">
        <f t="shared" si="46"/>
        <v>0.12486821008855345</v>
      </c>
    </row>
    <row r="143" spans="1:33" x14ac:dyDescent="0.25">
      <c r="B143" s="3">
        <f t="shared" ref="B143:Z143" si="63">$C29*EXP(-B$129/$A29/EXP(-$B$126))</f>
        <v>7.1899142973036512E-2</v>
      </c>
      <c r="C143" s="3">
        <f t="shared" si="63"/>
        <v>7.1899142973036512E-2</v>
      </c>
      <c r="D143" s="3">
        <f t="shared" si="63"/>
        <v>7.1899142973036512E-2</v>
      </c>
      <c r="E143" s="3">
        <f t="shared" si="63"/>
        <v>7.1899142973036512E-2</v>
      </c>
      <c r="F143" s="3">
        <f t="shared" si="63"/>
        <v>7.1899142973036512E-2</v>
      </c>
      <c r="G143" s="3">
        <f t="shared" si="63"/>
        <v>7.1899142973036512E-2</v>
      </c>
      <c r="H143" s="3">
        <f t="shared" si="63"/>
        <v>7.1899142973036512E-2</v>
      </c>
      <c r="I143" s="3">
        <f t="shared" si="63"/>
        <v>7.1899142973036512E-2</v>
      </c>
      <c r="J143" s="3">
        <f t="shared" si="63"/>
        <v>7.1899142973036512E-2</v>
      </c>
      <c r="K143" s="3">
        <f t="shared" si="63"/>
        <v>7.1899142973036512E-2</v>
      </c>
      <c r="L143" s="3">
        <f t="shared" si="63"/>
        <v>7.1899142973036512E-2</v>
      </c>
      <c r="M143" s="3">
        <f t="shared" si="63"/>
        <v>7.1899142973036512E-2</v>
      </c>
      <c r="N143" s="3">
        <f t="shared" si="63"/>
        <v>7.1899142973036512E-2</v>
      </c>
      <c r="O143" s="3">
        <f t="shared" si="63"/>
        <v>7.1899142973036512E-2</v>
      </c>
      <c r="P143" s="3">
        <f t="shared" si="63"/>
        <v>7.1899142973036512E-2</v>
      </c>
      <c r="Q143" s="3">
        <f t="shared" si="63"/>
        <v>7.1899142973036512E-2</v>
      </c>
      <c r="R143" s="3">
        <f t="shared" si="63"/>
        <v>7.1899142973036512E-2</v>
      </c>
      <c r="S143" s="3">
        <f t="shared" si="63"/>
        <v>7.1899142973036512E-2</v>
      </c>
      <c r="T143" s="3">
        <f t="shared" si="63"/>
        <v>7.1899142973036512E-2</v>
      </c>
      <c r="U143" s="3">
        <f t="shared" si="63"/>
        <v>7.1899142973036512E-2</v>
      </c>
      <c r="V143" s="3">
        <f t="shared" si="63"/>
        <v>7.1899142973036498E-2</v>
      </c>
      <c r="W143" s="3">
        <f t="shared" si="63"/>
        <v>7.1899142973036456E-2</v>
      </c>
      <c r="X143" s="3">
        <f t="shared" si="63"/>
        <v>7.1899142973035957E-2</v>
      </c>
      <c r="Y143" s="3">
        <f t="shared" si="63"/>
        <v>7.1899142973030891E-2</v>
      </c>
      <c r="Z143" s="3">
        <f t="shared" si="63"/>
        <v>7.1899142972980293E-2</v>
      </c>
      <c r="AA143" s="3">
        <f t="shared" ref="AA143" si="64">$C29*EXP(-AA$129/$A29/EXP(-$B$126))</f>
        <v>7.1899142972474281E-2</v>
      </c>
      <c r="AB143" s="3">
        <f t="shared" si="46"/>
        <v>7.1899142967414162E-2</v>
      </c>
      <c r="AC143" s="3">
        <f t="shared" si="46"/>
        <v>7.1899142916813027E-2</v>
      </c>
      <c r="AD143" s="3">
        <f t="shared" si="46"/>
        <v>7.189914241080167E-2</v>
      </c>
      <c r="AE143" s="3">
        <f t="shared" si="46"/>
        <v>7.1899137350688369E-2</v>
      </c>
      <c r="AF143" s="3">
        <f t="shared" si="46"/>
        <v>7.1899086749574917E-2</v>
      </c>
    </row>
    <row r="144" spans="1:33" x14ac:dyDescent="0.25">
      <c r="B144" s="3">
        <f t="shared" ref="B144:Z144" si="65">$C30*EXP(-B$129/$A30/EXP(-$B$126))</f>
        <v>4.7675556768581172E-2</v>
      </c>
      <c r="C144" s="3">
        <f t="shared" si="65"/>
        <v>4.7675556768581172E-2</v>
      </c>
      <c r="D144" s="3">
        <f t="shared" si="65"/>
        <v>4.7675556768581172E-2</v>
      </c>
      <c r="E144" s="3">
        <f t="shared" si="65"/>
        <v>4.7675556768581172E-2</v>
      </c>
      <c r="F144" s="3">
        <f t="shared" si="65"/>
        <v>4.7675556768581172E-2</v>
      </c>
      <c r="G144" s="3">
        <f t="shared" si="65"/>
        <v>4.7675556768581172E-2</v>
      </c>
      <c r="H144" s="3">
        <f t="shared" si="65"/>
        <v>4.7675556768581172E-2</v>
      </c>
      <c r="I144" s="3">
        <f t="shared" si="65"/>
        <v>4.7675556768581172E-2</v>
      </c>
      <c r="J144" s="3">
        <f t="shared" si="65"/>
        <v>4.7675556768581172E-2</v>
      </c>
      <c r="K144" s="3">
        <f t="shared" si="65"/>
        <v>4.7675556768581172E-2</v>
      </c>
      <c r="L144" s="3">
        <f t="shared" si="65"/>
        <v>4.7675556768581172E-2</v>
      </c>
      <c r="M144" s="3">
        <f t="shared" si="65"/>
        <v>4.7675556768581172E-2</v>
      </c>
      <c r="N144" s="3">
        <f t="shared" si="65"/>
        <v>4.7675556768581172E-2</v>
      </c>
      <c r="O144" s="3">
        <f t="shared" si="65"/>
        <v>4.7675556768581172E-2</v>
      </c>
      <c r="P144" s="3">
        <f t="shared" si="65"/>
        <v>4.7675556768581172E-2</v>
      </c>
      <c r="Q144" s="3">
        <f t="shared" si="65"/>
        <v>4.7675556768581172E-2</v>
      </c>
      <c r="R144" s="3">
        <f t="shared" si="65"/>
        <v>4.7675556768581172E-2</v>
      </c>
      <c r="S144" s="3">
        <f t="shared" si="65"/>
        <v>4.7675556768581172E-2</v>
      </c>
      <c r="T144" s="3">
        <f t="shared" si="65"/>
        <v>4.7675556768581172E-2</v>
      </c>
      <c r="U144" s="3">
        <f t="shared" si="65"/>
        <v>4.7675556768581172E-2</v>
      </c>
      <c r="V144" s="3">
        <f t="shared" si="65"/>
        <v>4.7675556768581172E-2</v>
      </c>
      <c r="W144" s="3">
        <f t="shared" si="65"/>
        <v>4.7675556768581165E-2</v>
      </c>
      <c r="X144" s="3">
        <f t="shared" si="65"/>
        <v>4.7675556768581137E-2</v>
      </c>
      <c r="Y144" s="3">
        <f t="shared" si="65"/>
        <v>4.7675556768580832E-2</v>
      </c>
      <c r="Z144" s="3">
        <f t="shared" si="65"/>
        <v>4.7675556768577813E-2</v>
      </c>
      <c r="AA144" s="3">
        <f t="shared" ref="AA144" si="66">$C30*EXP(-AA$129/$A30/EXP(-$B$126))</f>
        <v>4.7675556768547539E-2</v>
      </c>
      <c r="AB144" s="3">
        <f t="shared" ref="AB144:AF153" si="67">$C30*EXP(-AB$129/$A30/EXP(-$B$126))</f>
        <v>4.7675556768244864E-2</v>
      </c>
      <c r="AC144" s="3">
        <f t="shared" si="67"/>
        <v>4.7675556765218098E-2</v>
      </c>
      <c r="AD144" s="3">
        <f t="shared" si="67"/>
        <v>4.7675556734950435E-2</v>
      </c>
      <c r="AE144" s="3">
        <f t="shared" si="67"/>
        <v>4.7675556432273787E-2</v>
      </c>
      <c r="AF144" s="3">
        <f t="shared" si="67"/>
        <v>4.7675553405507456E-2</v>
      </c>
    </row>
    <row r="145" spans="1:32" x14ac:dyDescent="0.25">
      <c r="B145" s="3">
        <f t="shared" ref="B145:Z145" si="68">$C31*EXP(-B$129/$A31/EXP(-$B$126))</f>
        <v>1.9951380582978136E-2</v>
      </c>
      <c r="C145" s="3">
        <f t="shared" si="68"/>
        <v>1.9951380582978136E-2</v>
      </c>
      <c r="D145" s="3">
        <f t="shared" si="68"/>
        <v>1.9951380582978136E-2</v>
      </c>
      <c r="E145" s="3">
        <f t="shared" si="68"/>
        <v>1.9951380582978136E-2</v>
      </c>
      <c r="F145" s="3">
        <f t="shared" si="68"/>
        <v>1.9951380582978136E-2</v>
      </c>
      <c r="G145" s="3">
        <f t="shared" si="68"/>
        <v>1.9951380582978136E-2</v>
      </c>
      <c r="H145" s="3">
        <f t="shared" si="68"/>
        <v>1.9951380582978136E-2</v>
      </c>
      <c r="I145" s="3">
        <f t="shared" si="68"/>
        <v>1.9951380582978136E-2</v>
      </c>
      <c r="J145" s="3">
        <f t="shared" si="68"/>
        <v>1.9951380582978136E-2</v>
      </c>
      <c r="K145" s="3">
        <f t="shared" si="68"/>
        <v>1.9951380582978136E-2</v>
      </c>
      <c r="L145" s="3">
        <f t="shared" si="68"/>
        <v>1.9951380582978136E-2</v>
      </c>
      <c r="M145" s="3">
        <f t="shared" si="68"/>
        <v>1.9951380582978136E-2</v>
      </c>
      <c r="N145" s="3">
        <f t="shared" si="68"/>
        <v>1.9951380582978136E-2</v>
      </c>
      <c r="O145" s="3">
        <f t="shared" si="68"/>
        <v>1.9951380582978136E-2</v>
      </c>
      <c r="P145" s="3">
        <f t="shared" si="68"/>
        <v>1.9951380582978136E-2</v>
      </c>
      <c r="Q145" s="3">
        <f t="shared" si="68"/>
        <v>1.9951380582978136E-2</v>
      </c>
      <c r="R145" s="3">
        <f t="shared" si="68"/>
        <v>1.9951380582978136E-2</v>
      </c>
      <c r="S145" s="3">
        <f t="shared" si="68"/>
        <v>1.9951380582978136E-2</v>
      </c>
      <c r="T145" s="3">
        <f t="shared" si="68"/>
        <v>1.9951380582978136E-2</v>
      </c>
      <c r="U145" s="3">
        <f t="shared" si="68"/>
        <v>1.9951380582978136E-2</v>
      </c>
      <c r="V145" s="3">
        <f t="shared" si="68"/>
        <v>1.9951380582978136E-2</v>
      </c>
      <c r="W145" s="3">
        <f t="shared" si="68"/>
        <v>1.9951380582978136E-2</v>
      </c>
      <c r="X145" s="3">
        <f t="shared" si="68"/>
        <v>1.9951380582978132E-2</v>
      </c>
      <c r="Y145" s="3">
        <f t="shared" si="68"/>
        <v>1.9951380582978122E-2</v>
      </c>
      <c r="Z145" s="3">
        <f t="shared" si="68"/>
        <v>1.9951380582978011E-2</v>
      </c>
      <c r="AA145" s="3">
        <f t="shared" ref="AA145" si="69">$C31*EXP(-AA$129/$A31/EXP(-$B$126))</f>
        <v>1.9951380582976866E-2</v>
      </c>
      <c r="AB145" s="3">
        <f t="shared" si="67"/>
        <v>1.9951380582965438E-2</v>
      </c>
      <c r="AC145" s="3">
        <f t="shared" si="67"/>
        <v>1.9951380582851178E-2</v>
      </c>
      <c r="AD145" s="3">
        <f t="shared" si="67"/>
        <v>1.9951380581708558E-2</v>
      </c>
      <c r="AE145" s="3">
        <f t="shared" si="67"/>
        <v>1.9951380570282333E-2</v>
      </c>
      <c r="AF145" s="3">
        <f t="shared" si="67"/>
        <v>1.9951380456020108E-2</v>
      </c>
    </row>
    <row r="146" spans="1:32" x14ac:dyDescent="0.25">
      <c r="B146" s="3">
        <f t="shared" ref="B146:Z146" si="70">$C32*EXP(-B$129/$A32/EXP(-$B$126))</f>
        <v>3.7229726854135226E-3</v>
      </c>
      <c r="C146" s="3">
        <f t="shared" si="70"/>
        <v>3.7229726854135226E-3</v>
      </c>
      <c r="D146" s="3">
        <f t="shared" si="70"/>
        <v>3.7229726854135226E-3</v>
      </c>
      <c r="E146" s="3">
        <f t="shared" si="70"/>
        <v>3.7229726854135226E-3</v>
      </c>
      <c r="F146" s="3">
        <f t="shared" si="70"/>
        <v>3.7229726854135226E-3</v>
      </c>
      <c r="G146" s="3">
        <f t="shared" si="70"/>
        <v>3.7229726854135226E-3</v>
      </c>
      <c r="H146" s="3">
        <f t="shared" si="70"/>
        <v>3.7229726854135226E-3</v>
      </c>
      <c r="I146" s="3">
        <f t="shared" si="70"/>
        <v>3.7229726854135226E-3</v>
      </c>
      <c r="J146" s="3">
        <f t="shared" si="70"/>
        <v>3.7229726854135226E-3</v>
      </c>
      <c r="K146" s="3">
        <f t="shared" si="70"/>
        <v>3.7229726854135226E-3</v>
      </c>
      <c r="L146" s="3">
        <f t="shared" si="70"/>
        <v>3.7229726854135226E-3</v>
      </c>
      <c r="M146" s="3">
        <f t="shared" si="70"/>
        <v>3.7229726854135226E-3</v>
      </c>
      <c r="N146" s="3">
        <f t="shared" si="70"/>
        <v>3.7229726854135226E-3</v>
      </c>
      <c r="O146" s="3">
        <f t="shared" si="70"/>
        <v>3.7229726854135226E-3</v>
      </c>
      <c r="P146" s="3">
        <f t="shared" si="70"/>
        <v>3.7229726854135226E-3</v>
      </c>
      <c r="Q146" s="3">
        <f t="shared" si="70"/>
        <v>3.7229726854135226E-3</v>
      </c>
      <c r="R146" s="3">
        <f t="shared" si="70"/>
        <v>3.7229726854135226E-3</v>
      </c>
      <c r="S146" s="3">
        <f t="shared" si="70"/>
        <v>3.7229726854135226E-3</v>
      </c>
      <c r="T146" s="3">
        <f t="shared" si="70"/>
        <v>3.7229726854135226E-3</v>
      </c>
      <c r="U146" s="3">
        <f t="shared" si="70"/>
        <v>3.7229726854135226E-3</v>
      </c>
      <c r="V146" s="3">
        <f t="shared" si="70"/>
        <v>3.7229726854135226E-3</v>
      </c>
      <c r="W146" s="3">
        <f t="shared" si="70"/>
        <v>3.7229726854135226E-3</v>
      </c>
      <c r="X146" s="3">
        <f t="shared" si="70"/>
        <v>3.7229726854135226E-3</v>
      </c>
      <c r="Y146" s="3">
        <f t="shared" si="70"/>
        <v>3.7229726854135221E-3</v>
      </c>
      <c r="Z146" s="3">
        <f t="shared" si="70"/>
        <v>3.7229726854135204E-3</v>
      </c>
      <c r="AA146" s="3">
        <f t="shared" ref="AA146" si="71">$C32*EXP(-AA$129/$A32/EXP(-$B$126))</f>
        <v>3.7229726854135009E-3</v>
      </c>
      <c r="AB146" s="3">
        <f t="shared" si="67"/>
        <v>3.7229726854133087E-3</v>
      </c>
      <c r="AC146" s="3">
        <f t="shared" si="67"/>
        <v>3.7229726854113858E-3</v>
      </c>
      <c r="AD146" s="3">
        <f t="shared" si="67"/>
        <v>3.7229726853921516E-3</v>
      </c>
      <c r="AE146" s="3">
        <f t="shared" si="67"/>
        <v>3.7229726851998133E-3</v>
      </c>
      <c r="AF146" s="3">
        <f t="shared" si="67"/>
        <v>3.7229726832764287E-3</v>
      </c>
    </row>
    <row r="147" spans="1:32" x14ac:dyDescent="0.25">
      <c r="B147" s="3">
        <f t="shared" ref="B147:Z147" si="72">$C33*EXP(-B$129/$A33/EXP(-$B$126))</f>
        <v>3.2258116785225384E-3</v>
      </c>
      <c r="C147" s="3">
        <f t="shared" si="72"/>
        <v>3.2258116785225384E-3</v>
      </c>
      <c r="D147" s="3">
        <f t="shared" si="72"/>
        <v>3.2258116785225384E-3</v>
      </c>
      <c r="E147" s="3">
        <f t="shared" si="72"/>
        <v>3.2258116785225384E-3</v>
      </c>
      <c r="F147" s="3">
        <f t="shared" si="72"/>
        <v>3.2258116785225384E-3</v>
      </c>
      <c r="G147" s="3">
        <f t="shared" si="72"/>
        <v>3.2258116785225384E-3</v>
      </c>
      <c r="H147" s="3">
        <f t="shared" si="72"/>
        <v>3.2258116785225384E-3</v>
      </c>
      <c r="I147" s="3">
        <f t="shared" si="72"/>
        <v>3.2258116785225384E-3</v>
      </c>
      <c r="J147" s="3">
        <f t="shared" si="72"/>
        <v>3.2258116785225384E-3</v>
      </c>
      <c r="K147" s="3">
        <f t="shared" si="72"/>
        <v>3.2258116785225384E-3</v>
      </c>
      <c r="L147" s="3">
        <f t="shared" si="72"/>
        <v>3.2258116785225384E-3</v>
      </c>
      <c r="M147" s="3">
        <f t="shared" si="72"/>
        <v>3.2258116785225384E-3</v>
      </c>
      <c r="N147" s="3">
        <f t="shared" si="72"/>
        <v>3.2258116785225384E-3</v>
      </c>
      <c r="O147" s="3">
        <f t="shared" si="72"/>
        <v>3.2258116785225384E-3</v>
      </c>
      <c r="P147" s="3">
        <f t="shared" si="72"/>
        <v>3.2258116785225384E-3</v>
      </c>
      <c r="Q147" s="3">
        <f t="shared" si="72"/>
        <v>3.2258116785225384E-3</v>
      </c>
      <c r="R147" s="3">
        <f t="shared" si="72"/>
        <v>3.2258116785225384E-3</v>
      </c>
      <c r="S147" s="3">
        <f t="shared" si="72"/>
        <v>3.2258116785225384E-3</v>
      </c>
      <c r="T147" s="3">
        <f t="shared" si="72"/>
        <v>3.2258116785225384E-3</v>
      </c>
      <c r="U147" s="3">
        <f t="shared" si="72"/>
        <v>3.2258116785225384E-3</v>
      </c>
      <c r="V147" s="3">
        <f t="shared" si="72"/>
        <v>3.2258116785225384E-3</v>
      </c>
      <c r="W147" s="3">
        <f t="shared" si="72"/>
        <v>3.2258116785225384E-3</v>
      </c>
      <c r="X147" s="3">
        <f t="shared" si="72"/>
        <v>3.2258116785225384E-3</v>
      </c>
      <c r="Y147" s="3">
        <f t="shared" si="72"/>
        <v>3.2258116785225384E-3</v>
      </c>
      <c r="Z147" s="3">
        <f t="shared" si="72"/>
        <v>3.2258116785225384E-3</v>
      </c>
      <c r="AA147" s="3">
        <f t="shared" ref="AA147" si="73">$C33*EXP(-AA$129/$A33/EXP(-$B$126))</f>
        <v>3.2258116785225366E-3</v>
      </c>
      <c r="AB147" s="3">
        <f t="shared" si="67"/>
        <v>3.2258116785225215E-3</v>
      </c>
      <c r="AC147" s="3">
        <f t="shared" si="67"/>
        <v>3.2258116785223714E-3</v>
      </c>
      <c r="AD147" s="3">
        <f t="shared" si="67"/>
        <v>3.2258116785208678E-3</v>
      </c>
      <c r="AE147" s="3">
        <f t="shared" si="67"/>
        <v>3.2258116785058343E-3</v>
      </c>
      <c r="AF147" s="3">
        <f t="shared" si="67"/>
        <v>3.2258116783554988E-3</v>
      </c>
    </row>
    <row r="148" spans="1:32" x14ac:dyDescent="0.25">
      <c r="B148" s="3">
        <f t="shared" ref="B148:Z148" si="74">$C34*EXP(-B$129/$A34/EXP(-$B$126))</f>
        <v>4.6514491459037388E-4</v>
      </c>
      <c r="C148" s="3">
        <f t="shared" si="74"/>
        <v>4.6514491459037388E-4</v>
      </c>
      <c r="D148" s="3">
        <f t="shared" si="74"/>
        <v>4.6514491459037388E-4</v>
      </c>
      <c r="E148" s="3">
        <f t="shared" si="74"/>
        <v>4.6514491459037388E-4</v>
      </c>
      <c r="F148" s="3">
        <f t="shared" si="74"/>
        <v>4.6514491459037388E-4</v>
      </c>
      <c r="G148" s="3">
        <f t="shared" si="74"/>
        <v>4.6514491459037388E-4</v>
      </c>
      <c r="H148" s="3">
        <f t="shared" si="74"/>
        <v>4.6514491459037388E-4</v>
      </c>
      <c r="I148" s="3">
        <f t="shared" si="74"/>
        <v>4.6514491459037388E-4</v>
      </c>
      <c r="J148" s="3">
        <f t="shared" si="74"/>
        <v>4.6514491459037388E-4</v>
      </c>
      <c r="K148" s="3">
        <f t="shared" si="74"/>
        <v>4.6514491459037388E-4</v>
      </c>
      <c r="L148" s="3">
        <f t="shared" si="74"/>
        <v>4.6514491459037388E-4</v>
      </c>
      <c r="M148" s="3">
        <f t="shared" si="74"/>
        <v>4.6514491459037388E-4</v>
      </c>
      <c r="N148" s="3">
        <f t="shared" si="74"/>
        <v>4.6514491459037388E-4</v>
      </c>
      <c r="O148" s="3">
        <f t="shared" si="74"/>
        <v>4.6514491459037388E-4</v>
      </c>
      <c r="P148" s="3">
        <f t="shared" si="74"/>
        <v>4.6514491459037388E-4</v>
      </c>
      <c r="Q148" s="3">
        <f t="shared" si="74"/>
        <v>4.6514491459037388E-4</v>
      </c>
      <c r="R148" s="3">
        <f t="shared" si="74"/>
        <v>4.6514491459037388E-4</v>
      </c>
      <c r="S148" s="3">
        <f t="shared" si="74"/>
        <v>4.6514491459037388E-4</v>
      </c>
      <c r="T148" s="3">
        <f t="shared" si="74"/>
        <v>4.6514491459037388E-4</v>
      </c>
      <c r="U148" s="3">
        <f t="shared" si="74"/>
        <v>4.6514491459037388E-4</v>
      </c>
      <c r="V148" s="3">
        <f t="shared" si="74"/>
        <v>4.6514491459037388E-4</v>
      </c>
      <c r="W148" s="3">
        <f t="shared" si="74"/>
        <v>4.6514491459037388E-4</v>
      </c>
      <c r="X148" s="3">
        <f t="shared" si="74"/>
        <v>4.6514491459037388E-4</v>
      </c>
      <c r="Y148" s="3">
        <f t="shared" si="74"/>
        <v>4.6514491459037388E-4</v>
      </c>
      <c r="Z148" s="3">
        <f t="shared" si="74"/>
        <v>4.6514491459037388E-4</v>
      </c>
      <c r="AA148" s="3">
        <f>$C34*EXP(-AA$129/$A34/EXP(-$B$126))</f>
        <v>4.6514491459037388E-4</v>
      </c>
      <c r="AB148" s="3">
        <f t="shared" si="67"/>
        <v>4.6514491459037367E-4</v>
      </c>
      <c r="AC148" s="3">
        <f t="shared" si="67"/>
        <v>4.6514491459037172E-4</v>
      </c>
      <c r="AD148" s="3">
        <f t="shared" si="67"/>
        <v>4.6514491459035215E-4</v>
      </c>
      <c r="AE148" s="3">
        <f t="shared" si="67"/>
        <v>4.6514491459015661E-4</v>
      </c>
      <c r="AF148" s="3">
        <f t="shared" si="67"/>
        <v>4.6514491458820114E-4</v>
      </c>
    </row>
    <row r="149" spans="1:32" x14ac:dyDescent="0.25">
      <c r="B149" s="3">
        <f t="shared" ref="B149:Z149" si="75">$C35*EXP(-B$129/$A35/EXP(-$B$126))</f>
        <v>1.1429544870574336E-5</v>
      </c>
      <c r="C149" s="3">
        <f t="shared" si="75"/>
        <v>1.1429544870574336E-5</v>
      </c>
      <c r="D149" s="3">
        <f t="shared" si="75"/>
        <v>1.1429544870574336E-5</v>
      </c>
      <c r="E149" s="3">
        <f t="shared" si="75"/>
        <v>1.1429544870574336E-5</v>
      </c>
      <c r="F149" s="3">
        <f t="shared" si="75"/>
        <v>1.1429544870574336E-5</v>
      </c>
      <c r="G149" s="3">
        <f t="shared" si="75"/>
        <v>1.1429544870574336E-5</v>
      </c>
      <c r="H149" s="3">
        <f t="shared" si="75"/>
        <v>1.1429544870574336E-5</v>
      </c>
      <c r="I149" s="3">
        <f t="shared" si="75"/>
        <v>1.1429544870574336E-5</v>
      </c>
      <c r="J149" s="3">
        <f t="shared" si="75"/>
        <v>1.1429544870574336E-5</v>
      </c>
      <c r="K149" s="3">
        <f t="shared" si="75"/>
        <v>1.1429544870574336E-5</v>
      </c>
      <c r="L149" s="3">
        <f t="shared" si="75"/>
        <v>1.1429544870574336E-5</v>
      </c>
      <c r="M149" s="3">
        <f t="shared" si="75"/>
        <v>1.1429544870574336E-5</v>
      </c>
      <c r="N149" s="3">
        <f t="shared" si="75"/>
        <v>1.1429544870574336E-5</v>
      </c>
      <c r="O149" s="3">
        <f t="shared" si="75"/>
        <v>1.1429544870574336E-5</v>
      </c>
      <c r="P149" s="3">
        <f t="shared" si="75"/>
        <v>1.1429544870574336E-5</v>
      </c>
      <c r="Q149" s="3">
        <f t="shared" si="75"/>
        <v>1.1429544870574336E-5</v>
      </c>
      <c r="R149" s="3">
        <f t="shared" si="75"/>
        <v>1.1429544870574336E-5</v>
      </c>
      <c r="S149" s="3">
        <f t="shared" si="75"/>
        <v>1.1429544870574336E-5</v>
      </c>
      <c r="T149" s="3">
        <f t="shared" si="75"/>
        <v>1.1429544870574336E-5</v>
      </c>
      <c r="U149" s="3">
        <f t="shared" si="75"/>
        <v>1.1429544870574336E-5</v>
      </c>
      <c r="V149" s="3">
        <f t="shared" si="75"/>
        <v>1.1429544870574336E-5</v>
      </c>
      <c r="W149" s="3">
        <f t="shared" si="75"/>
        <v>1.1429544870574336E-5</v>
      </c>
      <c r="X149" s="3">
        <f t="shared" si="75"/>
        <v>1.1429544870574336E-5</v>
      </c>
      <c r="Y149" s="3">
        <f t="shared" si="75"/>
        <v>1.1429544870574336E-5</v>
      </c>
      <c r="Z149" s="3">
        <f t="shared" si="75"/>
        <v>1.1429544870574336E-5</v>
      </c>
      <c r="AA149" s="3">
        <f t="shared" ref="AA149" si="76">$C35*EXP(-AA$129/$A35/EXP(-$B$126))</f>
        <v>1.1429544870574336E-5</v>
      </c>
      <c r="AB149" s="3">
        <f t="shared" si="67"/>
        <v>1.1429544870574336E-5</v>
      </c>
      <c r="AC149" s="3">
        <f t="shared" si="67"/>
        <v>1.1429544870574331E-5</v>
      </c>
      <c r="AD149" s="3">
        <f t="shared" si="67"/>
        <v>1.1429544870574288E-5</v>
      </c>
      <c r="AE149" s="3">
        <f t="shared" si="67"/>
        <v>1.1429544870573853E-5</v>
      </c>
      <c r="AF149" s="3">
        <f t="shared" si="67"/>
        <v>1.1429544870569519E-5</v>
      </c>
    </row>
    <row r="150" spans="1:32" x14ac:dyDescent="0.25">
      <c r="B150" s="3">
        <f t="shared" ref="B150:Z150" si="77">$C36*EXP(-B$129/$A36/EXP(-$B$126))</f>
        <v>2.5915484418969715E-5</v>
      </c>
      <c r="C150" s="3">
        <f t="shared" si="77"/>
        <v>2.5915484418969715E-5</v>
      </c>
      <c r="D150" s="3">
        <f t="shared" si="77"/>
        <v>2.5915484418969715E-5</v>
      </c>
      <c r="E150" s="3">
        <f t="shared" si="77"/>
        <v>2.5915484418969715E-5</v>
      </c>
      <c r="F150" s="3">
        <f t="shared" si="77"/>
        <v>2.5915484418969715E-5</v>
      </c>
      <c r="G150" s="3">
        <f t="shared" si="77"/>
        <v>2.5915484418969715E-5</v>
      </c>
      <c r="H150" s="3">
        <f t="shared" si="77"/>
        <v>2.5915484418969715E-5</v>
      </c>
      <c r="I150" s="3">
        <f t="shared" si="77"/>
        <v>2.5915484418969715E-5</v>
      </c>
      <c r="J150" s="3">
        <f t="shared" si="77"/>
        <v>2.5915484418969715E-5</v>
      </c>
      <c r="K150" s="3">
        <f t="shared" si="77"/>
        <v>2.5915484418969715E-5</v>
      </c>
      <c r="L150" s="3">
        <f t="shared" si="77"/>
        <v>2.5915484418969715E-5</v>
      </c>
      <c r="M150" s="3">
        <f t="shared" si="77"/>
        <v>2.5915484418969715E-5</v>
      </c>
      <c r="N150" s="3">
        <f t="shared" si="77"/>
        <v>2.5915484418969715E-5</v>
      </c>
      <c r="O150" s="3">
        <f t="shared" si="77"/>
        <v>2.5915484418969715E-5</v>
      </c>
      <c r="P150" s="3">
        <f t="shared" si="77"/>
        <v>2.5915484418969715E-5</v>
      </c>
      <c r="Q150" s="3">
        <f t="shared" si="77"/>
        <v>2.5915484418969715E-5</v>
      </c>
      <c r="R150" s="3">
        <f t="shared" si="77"/>
        <v>2.5915484418969715E-5</v>
      </c>
      <c r="S150" s="3">
        <f t="shared" si="77"/>
        <v>2.5915484418969715E-5</v>
      </c>
      <c r="T150" s="3">
        <f t="shared" si="77"/>
        <v>2.5915484418969715E-5</v>
      </c>
      <c r="U150" s="3">
        <f t="shared" si="77"/>
        <v>2.5915484418969715E-5</v>
      </c>
      <c r="V150" s="3">
        <f t="shared" si="77"/>
        <v>2.5915484418969715E-5</v>
      </c>
      <c r="W150" s="3">
        <f t="shared" si="77"/>
        <v>2.5915484418969715E-5</v>
      </c>
      <c r="X150" s="3">
        <f t="shared" si="77"/>
        <v>2.5915484418969715E-5</v>
      </c>
      <c r="Y150" s="3">
        <f t="shared" si="77"/>
        <v>2.5915484418969715E-5</v>
      </c>
      <c r="Z150" s="3">
        <f t="shared" si="77"/>
        <v>2.5915484418969715E-5</v>
      </c>
      <c r="AA150" s="3">
        <f t="shared" ref="AA150" si="78">$C36*EXP(-AA$129/$A36/EXP(-$B$126))</f>
        <v>2.5915484418969715E-5</v>
      </c>
      <c r="AB150" s="3">
        <f t="shared" si="67"/>
        <v>2.5915484418969715E-5</v>
      </c>
      <c r="AC150" s="3">
        <f t="shared" si="67"/>
        <v>2.5915484418969715E-5</v>
      </c>
      <c r="AD150" s="3">
        <f t="shared" si="67"/>
        <v>2.5915484418969705E-5</v>
      </c>
      <c r="AE150" s="3">
        <f t="shared" si="67"/>
        <v>2.5915484418969617E-5</v>
      </c>
      <c r="AF150" s="3">
        <f t="shared" si="67"/>
        <v>2.5915484418968732E-5</v>
      </c>
    </row>
    <row r="151" spans="1:32" x14ac:dyDescent="0.25">
      <c r="B151" s="3">
        <f t="shared" ref="B151:Z151" si="79">$C37*EXP(-B$129/$A37/EXP(-$B$126))</f>
        <v>2.9552981931303355E-5</v>
      </c>
      <c r="C151" s="3">
        <f t="shared" si="79"/>
        <v>2.9552981931303355E-5</v>
      </c>
      <c r="D151" s="3">
        <f t="shared" si="79"/>
        <v>2.9552981931303355E-5</v>
      </c>
      <c r="E151" s="3">
        <f t="shared" si="79"/>
        <v>2.9552981931303355E-5</v>
      </c>
      <c r="F151" s="3">
        <f t="shared" si="79"/>
        <v>2.9552981931303355E-5</v>
      </c>
      <c r="G151" s="3">
        <f t="shared" si="79"/>
        <v>2.9552981931303355E-5</v>
      </c>
      <c r="H151" s="3">
        <f t="shared" si="79"/>
        <v>2.9552981931303355E-5</v>
      </c>
      <c r="I151" s="3">
        <f t="shared" si="79"/>
        <v>2.9552981931303355E-5</v>
      </c>
      <c r="J151" s="3">
        <f t="shared" si="79"/>
        <v>2.9552981931303355E-5</v>
      </c>
      <c r="K151" s="3">
        <f t="shared" si="79"/>
        <v>2.9552981931303355E-5</v>
      </c>
      <c r="L151" s="3">
        <f t="shared" si="79"/>
        <v>2.9552981931303355E-5</v>
      </c>
      <c r="M151" s="3">
        <f t="shared" si="79"/>
        <v>2.9552981931303355E-5</v>
      </c>
      <c r="N151" s="3">
        <f t="shared" si="79"/>
        <v>2.9552981931303355E-5</v>
      </c>
      <c r="O151" s="3">
        <f t="shared" si="79"/>
        <v>2.9552981931303355E-5</v>
      </c>
      <c r="P151" s="3">
        <f t="shared" si="79"/>
        <v>2.9552981931303355E-5</v>
      </c>
      <c r="Q151" s="3">
        <f t="shared" si="79"/>
        <v>2.9552981931303355E-5</v>
      </c>
      <c r="R151" s="3">
        <f t="shared" si="79"/>
        <v>2.9552981931303355E-5</v>
      </c>
      <c r="S151" s="3">
        <f t="shared" si="79"/>
        <v>2.9552981931303355E-5</v>
      </c>
      <c r="T151" s="3">
        <f t="shared" si="79"/>
        <v>2.9552981931303355E-5</v>
      </c>
      <c r="U151" s="3">
        <f t="shared" si="79"/>
        <v>2.9552981931303355E-5</v>
      </c>
      <c r="V151" s="3">
        <f t="shared" si="79"/>
        <v>2.9552981931303355E-5</v>
      </c>
      <c r="W151" s="3">
        <f t="shared" si="79"/>
        <v>2.9552981931303355E-5</v>
      </c>
      <c r="X151" s="3">
        <f t="shared" si="79"/>
        <v>2.9552981931303355E-5</v>
      </c>
      <c r="Y151" s="3">
        <f t="shared" si="79"/>
        <v>2.9552981931303355E-5</v>
      </c>
      <c r="Z151" s="3">
        <f t="shared" si="79"/>
        <v>2.9552981931303355E-5</v>
      </c>
      <c r="AA151" s="3">
        <f t="shared" ref="AA151" si="80">$C37*EXP(-AA$129/$A37/EXP(-$B$126))</f>
        <v>2.9552981931303355E-5</v>
      </c>
      <c r="AB151" s="3">
        <f t="shared" si="67"/>
        <v>2.9552981931303355E-5</v>
      </c>
      <c r="AC151" s="3">
        <f t="shared" si="67"/>
        <v>2.9552981931303355E-5</v>
      </c>
      <c r="AD151" s="3">
        <f t="shared" si="67"/>
        <v>2.9552981931303355E-5</v>
      </c>
      <c r="AE151" s="3">
        <f t="shared" si="67"/>
        <v>2.9552981931303345E-5</v>
      </c>
      <c r="AF151" s="3">
        <f t="shared" si="67"/>
        <v>2.9552981931303253E-5</v>
      </c>
    </row>
    <row r="152" spans="1:32" x14ac:dyDescent="0.25">
      <c r="B152" s="3">
        <f t="shared" ref="B152:Z152" si="81">$C38*EXP(-B$129/$A38/EXP(-$B$126))</f>
        <v>3.2731039559542382E-6</v>
      </c>
      <c r="C152" s="3">
        <f t="shared" si="81"/>
        <v>3.2731039559542382E-6</v>
      </c>
      <c r="D152" s="3">
        <f t="shared" si="81"/>
        <v>3.2731039559542382E-6</v>
      </c>
      <c r="E152" s="3">
        <f t="shared" si="81"/>
        <v>3.2731039559542382E-6</v>
      </c>
      <c r="F152" s="3">
        <f t="shared" si="81"/>
        <v>3.2731039559542382E-6</v>
      </c>
      <c r="G152" s="3">
        <f t="shared" si="81"/>
        <v>3.2731039559542382E-6</v>
      </c>
      <c r="H152" s="3">
        <f t="shared" si="81"/>
        <v>3.2731039559542382E-6</v>
      </c>
      <c r="I152" s="3">
        <f t="shared" si="81"/>
        <v>3.2731039559542382E-6</v>
      </c>
      <c r="J152" s="3">
        <f t="shared" si="81"/>
        <v>3.2731039559542382E-6</v>
      </c>
      <c r="K152" s="3">
        <f t="shared" si="81"/>
        <v>3.2731039559542382E-6</v>
      </c>
      <c r="L152" s="3">
        <f t="shared" si="81"/>
        <v>3.2731039559542382E-6</v>
      </c>
      <c r="M152" s="3">
        <f t="shared" si="81"/>
        <v>3.2731039559542382E-6</v>
      </c>
      <c r="N152" s="3">
        <f t="shared" si="81"/>
        <v>3.2731039559542382E-6</v>
      </c>
      <c r="O152" s="3">
        <f t="shared" si="81"/>
        <v>3.2731039559542382E-6</v>
      </c>
      <c r="P152" s="3">
        <f t="shared" si="81"/>
        <v>3.2731039559542382E-6</v>
      </c>
      <c r="Q152" s="3">
        <f t="shared" si="81"/>
        <v>3.2731039559542382E-6</v>
      </c>
      <c r="R152" s="3">
        <f t="shared" si="81"/>
        <v>3.2731039559542382E-6</v>
      </c>
      <c r="S152" s="3">
        <f t="shared" si="81"/>
        <v>3.2731039559542382E-6</v>
      </c>
      <c r="T152" s="3">
        <f t="shared" si="81"/>
        <v>3.2731039559542382E-6</v>
      </c>
      <c r="U152" s="3">
        <f t="shared" si="81"/>
        <v>3.2731039559542382E-6</v>
      </c>
      <c r="V152" s="3">
        <f t="shared" si="81"/>
        <v>3.2731039559542382E-6</v>
      </c>
      <c r="W152" s="3">
        <f t="shared" si="81"/>
        <v>3.2731039559542382E-6</v>
      </c>
      <c r="X152" s="3">
        <f t="shared" si="81"/>
        <v>3.2731039559542382E-6</v>
      </c>
      <c r="Y152" s="3">
        <f t="shared" si="81"/>
        <v>3.2731039559542382E-6</v>
      </c>
      <c r="Z152" s="3">
        <f t="shared" si="81"/>
        <v>3.2731039559542382E-6</v>
      </c>
      <c r="AA152" s="3">
        <f t="shared" ref="AA152" si="82">$C38*EXP(-AA$129/$A38/EXP(-$B$126))</f>
        <v>3.2731039559542382E-6</v>
      </c>
      <c r="AB152" s="3">
        <f t="shared" si="67"/>
        <v>3.2731039559542382E-6</v>
      </c>
      <c r="AC152" s="3">
        <f t="shared" si="67"/>
        <v>3.2731039559542382E-6</v>
      </c>
      <c r="AD152" s="3">
        <f t="shared" si="67"/>
        <v>3.2731039559542382E-6</v>
      </c>
      <c r="AE152" s="3">
        <f t="shared" si="67"/>
        <v>3.2731039559542382E-6</v>
      </c>
      <c r="AF152" s="3">
        <f t="shared" si="67"/>
        <v>3.2731039559542369E-6</v>
      </c>
    </row>
    <row r="153" spans="1:32" x14ac:dyDescent="0.25">
      <c r="B153" s="3">
        <f t="shared" ref="B153:Z153" si="83">$C39*EXP(-B$129/$A39/EXP(-$B$126))</f>
        <v>4.7316671387144988E-5</v>
      </c>
      <c r="C153" s="3">
        <f t="shared" si="83"/>
        <v>4.7316671387144988E-5</v>
      </c>
      <c r="D153" s="3">
        <f t="shared" si="83"/>
        <v>4.7316671387144988E-5</v>
      </c>
      <c r="E153" s="3">
        <f t="shared" si="83"/>
        <v>4.7316671387144988E-5</v>
      </c>
      <c r="F153" s="3">
        <f t="shared" si="83"/>
        <v>4.7316671387144988E-5</v>
      </c>
      <c r="G153" s="3">
        <f t="shared" si="83"/>
        <v>4.7316671387144988E-5</v>
      </c>
      <c r="H153" s="3">
        <f t="shared" si="83"/>
        <v>4.7316671387144988E-5</v>
      </c>
      <c r="I153" s="3">
        <f t="shared" si="83"/>
        <v>4.7316671387144988E-5</v>
      </c>
      <c r="J153" s="3">
        <f t="shared" si="83"/>
        <v>4.7316671387144988E-5</v>
      </c>
      <c r="K153" s="3">
        <f t="shared" si="83"/>
        <v>4.7316671387144988E-5</v>
      </c>
      <c r="L153" s="3">
        <f t="shared" si="83"/>
        <v>4.7316671387144988E-5</v>
      </c>
      <c r="M153" s="3">
        <f t="shared" si="83"/>
        <v>4.7316671387144988E-5</v>
      </c>
      <c r="N153" s="3">
        <f t="shared" si="83"/>
        <v>4.7316671387144988E-5</v>
      </c>
      <c r="O153" s="3">
        <f t="shared" si="83"/>
        <v>4.7316671387144988E-5</v>
      </c>
      <c r="P153" s="3">
        <f t="shared" si="83"/>
        <v>4.7316671387144988E-5</v>
      </c>
      <c r="Q153" s="3">
        <f t="shared" si="83"/>
        <v>4.7316671387144988E-5</v>
      </c>
      <c r="R153" s="3">
        <f t="shared" si="83"/>
        <v>4.7316671387144988E-5</v>
      </c>
      <c r="S153" s="3">
        <f t="shared" si="83"/>
        <v>4.7316671387144988E-5</v>
      </c>
      <c r="T153" s="3">
        <f t="shared" si="83"/>
        <v>4.7316671387144988E-5</v>
      </c>
      <c r="U153" s="3">
        <f t="shared" si="83"/>
        <v>4.7316671387144988E-5</v>
      </c>
      <c r="V153" s="3">
        <f t="shared" si="83"/>
        <v>4.7316671387144988E-5</v>
      </c>
      <c r="W153" s="3">
        <f t="shared" si="83"/>
        <v>4.7316671387144988E-5</v>
      </c>
      <c r="X153" s="3">
        <f t="shared" si="83"/>
        <v>4.7316671387144988E-5</v>
      </c>
      <c r="Y153" s="3">
        <f t="shared" si="83"/>
        <v>4.7316671387144988E-5</v>
      </c>
      <c r="Z153" s="3">
        <f t="shared" si="83"/>
        <v>4.7316671387144988E-5</v>
      </c>
      <c r="AA153" s="3">
        <f t="shared" ref="AA153" si="84">$C39*EXP(-AA$129/$A39/EXP(-$B$126))</f>
        <v>4.7316671387144988E-5</v>
      </c>
      <c r="AB153" s="3">
        <f t="shared" si="67"/>
        <v>4.7316671387144988E-5</v>
      </c>
      <c r="AC153" s="3">
        <f t="shared" si="67"/>
        <v>4.7316671387144988E-5</v>
      </c>
      <c r="AD153" s="3">
        <f t="shared" si="67"/>
        <v>4.7316671387144988E-5</v>
      </c>
      <c r="AE153" s="3">
        <f t="shared" si="67"/>
        <v>4.7316671387144988E-5</v>
      </c>
      <c r="AF153" s="3">
        <f t="shared" si="67"/>
        <v>4.7316671387144982E-5</v>
      </c>
    </row>
    <row r="154" spans="1:32" x14ac:dyDescent="0.25">
      <c r="B154" s="3">
        <f t="shared" ref="B154:Z154" si="85">$C40*EXP(-B$129/$A40/EXP(-$B$126))</f>
        <v>2.2741722122049058E-5</v>
      </c>
      <c r="C154" s="3">
        <f t="shared" si="85"/>
        <v>2.2741722122049058E-5</v>
      </c>
      <c r="D154" s="3">
        <f t="shared" si="85"/>
        <v>2.2741722122049058E-5</v>
      </c>
      <c r="E154" s="3">
        <f t="shared" si="85"/>
        <v>2.2741722122049058E-5</v>
      </c>
      <c r="F154" s="3">
        <f t="shared" si="85"/>
        <v>2.2741722122049058E-5</v>
      </c>
      <c r="G154" s="3">
        <f t="shared" si="85"/>
        <v>2.2741722122049058E-5</v>
      </c>
      <c r="H154" s="3">
        <f t="shared" si="85"/>
        <v>2.2741722122049058E-5</v>
      </c>
      <c r="I154" s="3">
        <f t="shared" si="85"/>
        <v>2.2741722122049058E-5</v>
      </c>
      <c r="J154" s="3">
        <f t="shared" si="85"/>
        <v>2.2741722122049058E-5</v>
      </c>
      <c r="K154" s="3">
        <f t="shared" si="85"/>
        <v>2.2741722122049058E-5</v>
      </c>
      <c r="L154" s="3">
        <f t="shared" si="85"/>
        <v>2.2741722122049058E-5</v>
      </c>
      <c r="M154" s="3">
        <f t="shared" si="85"/>
        <v>2.2741722122049058E-5</v>
      </c>
      <c r="N154" s="3">
        <f t="shared" si="85"/>
        <v>2.2741722122049058E-5</v>
      </c>
      <c r="O154" s="3">
        <f t="shared" si="85"/>
        <v>2.2741722122049058E-5</v>
      </c>
      <c r="P154" s="3">
        <f t="shared" si="85"/>
        <v>2.2741722122049058E-5</v>
      </c>
      <c r="Q154" s="3">
        <f t="shared" si="85"/>
        <v>2.2741722122049058E-5</v>
      </c>
      <c r="R154" s="3">
        <f t="shared" si="85"/>
        <v>2.2741722122049058E-5</v>
      </c>
      <c r="S154" s="3">
        <f t="shared" si="85"/>
        <v>2.2741722122049058E-5</v>
      </c>
      <c r="T154" s="3">
        <f t="shared" si="85"/>
        <v>2.2741722122049058E-5</v>
      </c>
      <c r="U154" s="3">
        <f t="shared" si="85"/>
        <v>2.2741722122049058E-5</v>
      </c>
      <c r="V154" s="3">
        <f t="shared" si="85"/>
        <v>2.2741722122049058E-5</v>
      </c>
      <c r="W154" s="3">
        <f t="shared" si="85"/>
        <v>2.2741722122049058E-5</v>
      </c>
      <c r="X154" s="3">
        <f t="shared" si="85"/>
        <v>2.2741722122049058E-5</v>
      </c>
      <c r="Y154" s="3">
        <f t="shared" si="85"/>
        <v>2.2741722122049058E-5</v>
      </c>
      <c r="Z154" s="3">
        <f t="shared" si="85"/>
        <v>2.2741722122049058E-5</v>
      </c>
      <c r="AA154" s="3">
        <f t="shared" ref="AA154:AF154" si="86">$C40*EXP(-AA$129/$A40/EXP(-$B$126))</f>
        <v>2.2741722122049058E-5</v>
      </c>
      <c r="AB154" s="3">
        <f t="shared" si="86"/>
        <v>2.2741722122049058E-5</v>
      </c>
      <c r="AC154" s="3">
        <f t="shared" si="86"/>
        <v>2.2741722122049058E-5</v>
      </c>
      <c r="AD154" s="3">
        <f t="shared" si="86"/>
        <v>2.2741722122049058E-5</v>
      </c>
      <c r="AE154" s="3">
        <f t="shared" si="86"/>
        <v>2.2741722122049058E-5</v>
      </c>
      <c r="AF154" s="3">
        <f t="shared" si="86"/>
        <v>2.2741722122049058E-5</v>
      </c>
    </row>
    <row r="155" spans="1:32" x14ac:dyDescent="0.25">
      <c r="B155" s="3">
        <f t="shared" ref="B155:Z155" si="87">$C41*EXP(-B$129/$A41/EXP(-$B$126))</f>
        <v>1.7857506760164985E-5</v>
      </c>
      <c r="C155" s="3">
        <f t="shared" si="87"/>
        <v>1.7857506760164985E-5</v>
      </c>
      <c r="D155" s="3">
        <f t="shared" si="87"/>
        <v>1.7857506760164985E-5</v>
      </c>
      <c r="E155" s="3">
        <f t="shared" si="87"/>
        <v>1.7857506760164985E-5</v>
      </c>
      <c r="F155" s="3">
        <f t="shared" si="87"/>
        <v>1.7857506760164985E-5</v>
      </c>
      <c r="G155" s="3">
        <f t="shared" si="87"/>
        <v>1.7857506760164985E-5</v>
      </c>
      <c r="H155" s="3">
        <f t="shared" si="87"/>
        <v>1.7857506760164985E-5</v>
      </c>
      <c r="I155" s="3">
        <f t="shared" si="87"/>
        <v>1.7857506760164985E-5</v>
      </c>
      <c r="J155" s="3">
        <f t="shared" si="87"/>
        <v>1.7857506760164985E-5</v>
      </c>
      <c r="K155" s="3">
        <f t="shared" si="87"/>
        <v>1.7857506760164985E-5</v>
      </c>
      <c r="L155" s="3">
        <f t="shared" si="87"/>
        <v>1.7857506760164985E-5</v>
      </c>
      <c r="M155" s="3">
        <f t="shared" si="87"/>
        <v>1.7857506760164985E-5</v>
      </c>
      <c r="N155" s="3">
        <f t="shared" si="87"/>
        <v>1.7857506760164985E-5</v>
      </c>
      <c r="O155" s="3">
        <f t="shared" si="87"/>
        <v>1.7857506760164985E-5</v>
      </c>
      <c r="P155" s="3">
        <f t="shared" si="87"/>
        <v>1.7857506760164985E-5</v>
      </c>
      <c r="Q155" s="3">
        <f t="shared" si="87"/>
        <v>1.7857506760164985E-5</v>
      </c>
      <c r="R155" s="3">
        <f t="shared" si="87"/>
        <v>1.7857506760164985E-5</v>
      </c>
      <c r="S155" s="3">
        <f t="shared" si="87"/>
        <v>1.7857506760164985E-5</v>
      </c>
      <c r="T155" s="3">
        <f t="shared" si="87"/>
        <v>1.7857506760164985E-5</v>
      </c>
      <c r="U155" s="3">
        <f t="shared" si="87"/>
        <v>1.7857506760164985E-5</v>
      </c>
      <c r="V155" s="3">
        <f t="shared" si="87"/>
        <v>1.7857506760164985E-5</v>
      </c>
      <c r="W155" s="3">
        <f t="shared" si="87"/>
        <v>1.7857506760164985E-5</v>
      </c>
      <c r="X155" s="3">
        <f t="shared" si="87"/>
        <v>1.7857506760164985E-5</v>
      </c>
      <c r="Y155" s="3">
        <f t="shared" si="87"/>
        <v>1.7857506760164985E-5</v>
      </c>
      <c r="Z155" s="3">
        <f t="shared" si="87"/>
        <v>1.7857506760164985E-5</v>
      </c>
      <c r="AA155" s="3">
        <f t="shared" ref="AA155:AF155" si="88">$C41*EXP(-AA$129/$A41/EXP(-$B$126))</f>
        <v>1.7857506760164985E-5</v>
      </c>
      <c r="AB155" s="3">
        <f t="shared" si="88"/>
        <v>1.7857506760164985E-5</v>
      </c>
      <c r="AC155" s="3">
        <f t="shared" si="88"/>
        <v>1.7857506760164985E-5</v>
      </c>
      <c r="AD155" s="3">
        <f t="shared" si="88"/>
        <v>1.7857506760164985E-5</v>
      </c>
      <c r="AE155" s="3">
        <f t="shared" si="88"/>
        <v>1.7857506760164985E-5</v>
      </c>
      <c r="AF155" s="3">
        <f t="shared" si="88"/>
        <v>1.7857506760164985E-5</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1.5759572914912317E-6</v>
      </c>
      <c r="C157" s="3">
        <f t="shared" si="91"/>
        <v>1.5759572914912317E-6</v>
      </c>
      <c r="D157" s="3">
        <f t="shared" si="91"/>
        <v>1.5759572914912317E-6</v>
      </c>
      <c r="E157" s="3">
        <f t="shared" si="91"/>
        <v>1.5759572914912317E-6</v>
      </c>
      <c r="F157" s="3">
        <f t="shared" si="91"/>
        <v>1.5759572914912317E-6</v>
      </c>
      <c r="G157" s="3">
        <f t="shared" si="91"/>
        <v>1.5759572914912317E-6</v>
      </c>
      <c r="H157" s="3">
        <f t="shared" si="91"/>
        <v>1.5759572914912317E-6</v>
      </c>
      <c r="I157" s="3">
        <f t="shared" si="91"/>
        <v>1.5759572914912317E-6</v>
      </c>
      <c r="J157" s="3">
        <f t="shared" si="91"/>
        <v>1.5759572914912317E-6</v>
      </c>
      <c r="K157" s="3">
        <f t="shared" si="91"/>
        <v>1.5759572914912317E-6</v>
      </c>
      <c r="L157" s="3">
        <f t="shared" si="91"/>
        <v>1.5759572914912317E-6</v>
      </c>
      <c r="M157" s="3">
        <f t="shared" si="91"/>
        <v>1.5759572914912317E-6</v>
      </c>
      <c r="N157" s="3">
        <f t="shared" si="91"/>
        <v>1.5759572914912317E-6</v>
      </c>
      <c r="O157" s="3">
        <f t="shared" si="91"/>
        <v>1.5759572914912317E-6</v>
      </c>
      <c r="P157" s="3">
        <f t="shared" si="91"/>
        <v>1.5759572914912317E-6</v>
      </c>
      <c r="Q157" s="3">
        <f t="shared" si="91"/>
        <v>1.5759572914912317E-6</v>
      </c>
      <c r="R157" s="3">
        <f t="shared" si="91"/>
        <v>1.5759572914912317E-6</v>
      </c>
      <c r="S157" s="3">
        <f t="shared" si="91"/>
        <v>1.5759572914912317E-6</v>
      </c>
      <c r="T157" s="3">
        <f t="shared" si="91"/>
        <v>1.5759572914912317E-6</v>
      </c>
      <c r="U157" s="3">
        <f t="shared" si="91"/>
        <v>1.5759572914912317E-6</v>
      </c>
      <c r="V157" s="3">
        <f t="shared" si="91"/>
        <v>1.5759572914912317E-6</v>
      </c>
      <c r="W157" s="3">
        <f t="shared" si="91"/>
        <v>1.5759572914912317E-6</v>
      </c>
      <c r="X157" s="3">
        <f t="shared" si="91"/>
        <v>1.5759572914912317E-6</v>
      </c>
      <c r="Y157" s="3">
        <f t="shared" si="91"/>
        <v>1.5759572914912317E-6</v>
      </c>
      <c r="Z157" s="3">
        <f t="shared" si="91"/>
        <v>1.5759572914912317E-6</v>
      </c>
      <c r="AA157" s="3">
        <f t="shared" ref="AA157:AF157" si="92">$C43*EXP(-AA$129/$A43/EXP(-$B$126))</f>
        <v>1.5759572914912317E-6</v>
      </c>
      <c r="AB157" s="3">
        <f t="shared" si="92"/>
        <v>1.5759572914912317E-6</v>
      </c>
      <c r="AC157" s="3">
        <f t="shared" si="92"/>
        <v>1.5759572914912317E-6</v>
      </c>
      <c r="AD157" s="3">
        <f t="shared" si="92"/>
        <v>1.5759572914912317E-6</v>
      </c>
      <c r="AE157" s="3">
        <f t="shared" si="92"/>
        <v>1.5759572914912317E-6</v>
      </c>
      <c r="AF157" s="3">
        <f t="shared" si="92"/>
        <v>1.5759572914912317E-6</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1.823122872957775E-3</v>
      </c>
      <c r="C162" s="3">
        <f t="shared" si="101"/>
        <v>1.823122872957775E-3</v>
      </c>
      <c r="D162" s="3">
        <f t="shared" si="101"/>
        <v>1.823122872957775E-3</v>
      </c>
      <c r="E162" s="3">
        <f t="shared" si="101"/>
        <v>1.823122872957775E-3</v>
      </c>
      <c r="F162" s="3">
        <f t="shared" si="101"/>
        <v>1.823122872957775E-3</v>
      </c>
      <c r="G162" s="3">
        <f t="shared" si="101"/>
        <v>1.823122872957775E-3</v>
      </c>
      <c r="H162" s="3">
        <f t="shared" si="101"/>
        <v>1.823122872957775E-3</v>
      </c>
      <c r="I162" s="3">
        <f t="shared" si="101"/>
        <v>1.823122872957775E-3</v>
      </c>
      <c r="J162" s="3">
        <f t="shared" si="101"/>
        <v>1.823122872957775E-3</v>
      </c>
      <c r="K162" s="3">
        <f t="shared" si="101"/>
        <v>1.823122872957775E-3</v>
      </c>
      <c r="L162" s="3">
        <f t="shared" si="101"/>
        <v>1.823122872957775E-3</v>
      </c>
      <c r="M162" s="3">
        <f t="shared" si="101"/>
        <v>1.823122872957775E-3</v>
      </c>
      <c r="N162" s="3">
        <f t="shared" si="101"/>
        <v>1.823122872957775E-3</v>
      </c>
      <c r="O162" s="3">
        <f t="shared" si="101"/>
        <v>1.823122872957775E-3</v>
      </c>
      <c r="P162" s="3">
        <f t="shared" si="101"/>
        <v>1.823122872957775E-3</v>
      </c>
      <c r="Q162" s="3">
        <f t="shared" si="101"/>
        <v>1.823122872957775E-3</v>
      </c>
      <c r="R162" s="3">
        <f t="shared" si="101"/>
        <v>1.823122872957775E-3</v>
      </c>
      <c r="S162" s="3">
        <f t="shared" si="101"/>
        <v>1.823122872957775E-3</v>
      </c>
      <c r="T162" s="3">
        <f t="shared" si="101"/>
        <v>1.823122872957775E-3</v>
      </c>
      <c r="U162" s="3">
        <f t="shared" si="101"/>
        <v>1.823122872957775E-3</v>
      </c>
      <c r="V162" s="3">
        <f t="shared" si="101"/>
        <v>1.823122872957775E-3</v>
      </c>
      <c r="W162" s="3">
        <f t="shared" si="101"/>
        <v>1.823122872957775E-3</v>
      </c>
      <c r="X162" s="3">
        <f t="shared" si="101"/>
        <v>1.823122872957775E-3</v>
      </c>
      <c r="Y162" s="3">
        <f t="shared" si="101"/>
        <v>1.823122872957775E-3</v>
      </c>
      <c r="Z162" s="3">
        <f t="shared" si="101"/>
        <v>1.823122872957775E-3</v>
      </c>
      <c r="AA162" s="3">
        <f t="shared" ref="AA162:AF162" si="102">$C48*EXP(-AA$129/$A48/EXP(-$B$126))</f>
        <v>1.823122872957775E-3</v>
      </c>
      <c r="AB162" s="3">
        <f t="shared" si="102"/>
        <v>1.823122872957775E-3</v>
      </c>
      <c r="AC162" s="3">
        <f t="shared" si="102"/>
        <v>1.823122872957775E-3</v>
      </c>
      <c r="AD162" s="3">
        <f t="shared" si="102"/>
        <v>1.823122872957775E-3</v>
      </c>
      <c r="AE162" s="3">
        <f t="shared" si="102"/>
        <v>1.823122872957775E-3</v>
      </c>
      <c r="AF162" s="3">
        <f t="shared" si="102"/>
        <v>1.823122872957775E-3</v>
      </c>
    </row>
    <row r="163" spans="1:34" x14ac:dyDescent="0.25">
      <c r="A163" s="80">
        <f>AVERAGE(B163:AF163)</f>
        <v>2.4081198887473854E-3</v>
      </c>
      <c r="B163" s="81">
        <f>IF($A$64&lt;=B129,IF($B$64&gt;=B129,ABS((B131-B130)/B130),0),0)</f>
        <v>0</v>
      </c>
      <c r="C163" s="81">
        <f t="shared" ref="C163:AF163" si="103">IF($A$64&lt;=C129,IF($B$64&gt;=C129,ABS((C131-C130)/C130),0),0)</f>
        <v>0</v>
      </c>
      <c r="D163" s="81">
        <f t="shared" si="103"/>
        <v>0</v>
      </c>
      <c r="E163" s="81">
        <f t="shared" si="103"/>
        <v>0</v>
      </c>
      <c r="F163" s="81">
        <f t="shared" si="103"/>
        <v>0</v>
      </c>
      <c r="G163" s="81">
        <f t="shared" si="103"/>
        <v>0</v>
      </c>
      <c r="H163" s="81">
        <f t="shared" si="103"/>
        <v>0</v>
      </c>
      <c r="I163" s="81">
        <f t="shared" si="103"/>
        <v>0</v>
      </c>
      <c r="J163" s="81">
        <f t="shared" si="103"/>
        <v>0</v>
      </c>
      <c r="K163" s="81">
        <f t="shared" si="103"/>
        <v>0</v>
      </c>
      <c r="L163" s="81">
        <f t="shared" si="103"/>
        <v>2.536873307162468E-3</v>
      </c>
      <c r="M163" s="81">
        <f t="shared" si="103"/>
        <v>2.5368673685778427E-3</v>
      </c>
      <c r="N163" s="81">
        <f t="shared" si="103"/>
        <v>2.5367673170767669E-3</v>
      </c>
      <c r="O163" s="81">
        <f t="shared" si="103"/>
        <v>2.5356888596385352E-3</v>
      </c>
      <c r="P163" s="81">
        <f t="shared" si="103"/>
        <v>2.5249788460879794E-3</v>
      </c>
      <c r="Q163" s="81">
        <f t="shared" si="103"/>
        <v>2.418113249164253E-3</v>
      </c>
      <c r="R163" s="81">
        <f t="shared" si="103"/>
        <v>1.3740440637804467E-3</v>
      </c>
      <c r="S163" s="81">
        <f t="shared" si="103"/>
        <v>6.943712249630845E-3</v>
      </c>
      <c r="T163" s="81">
        <f t="shared" si="103"/>
        <v>2.4173625852911135E-2</v>
      </c>
      <c r="U163" s="81">
        <f t="shared" si="103"/>
        <v>5.4319184893632409E-3</v>
      </c>
      <c r="V163" s="81">
        <f t="shared" si="103"/>
        <v>2.1639126947775436E-2</v>
      </c>
      <c r="W163" s="81">
        <f t="shared" si="103"/>
        <v>0</v>
      </c>
      <c r="X163" s="81">
        <f t="shared" si="103"/>
        <v>0</v>
      </c>
      <c r="Y163" s="81">
        <f t="shared" si="103"/>
        <v>0</v>
      </c>
      <c r="Z163" s="81">
        <f t="shared" si="103"/>
        <v>0</v>
      </c>
      <c r="AA163" s="81">
        <f t="shared" si="103"/>
        <v>0</v>
      </c>
      <c r="AB163" s="81">
        <f t="shared" si="103"/>
        <v>0</v>
      </c>
      <c r="AC163" s="81">
        <f t="shared" si="103"/>
        <v>0</v>
      </c>
      <c r="AD163" s="81">
        <f t="shared" si="103"/>
        <v>0</v>
      </c>
      <c r="AE163" s="81">
        <f t="shared" si="103"/>
        <v>0</v>
      </c>
      <c r="AF163" s="81">
        <f t="shared" si="103"/>
        <v>0</v>
      </c>
    </row>
    <row r="164" spans="1:34" x14ac:dyDescent="0.25">
      <c r="B164" s="21">
        <f>(B131-B130)^2</f>
        <v>227.35606122607768</v>
      </c>
      <c r="C164" s="21">
        <f t="shared" ref="C164:AF164" si="104">(C131-C130)^2</f>
        <v>228.47827457667336</v>
      </c>
      <c r="D164" s="21">
        <f t="shared" si="104"/>
        <v>227.79180883117908</v>
      </c>
      <c r="E164" s="21">
        <f t="shared" si="104"/>
        <v>227.59186137174237</v>
      </c>
      <c r="F164" s="21">
        <f t="shared" si="104"/>
        <v>227.52970057507687</v>
      </c>
      <c r="G164" s="21">
        <f t="shared" si="104"/>
        <v>227.50471677691851</v>
      </c>
      <c r="H164" s="21">
        <f t="shared" si="104"/>
        <v>227.49679537417489</v>
      </c>
      <c r="I164" s="21">
        <f t="shared" si="104"/>
        <v>227.49557672394664</v>
      </c>
      <c r="J164" s="21">
        <f t="shared" si="104"/>
        <v>227.49557687443166</v>
      </c>
      <c r="K164" s="21">
        <f t="shared" si="104"/>
        <v>227.49557837925445</v>
      </c>
      <c r="L164" s="21">
        <f t="shared" si="104"/>
        <v>227.49559342726323</v>
      </c>
      <c r="M164" s="21">
        <f t="shared" si="104"/>
        <v>227.49452524484931</v>
      </c>
      <c r="N164" s="21">
        <f t="shared" si="104"/>
        <v>227.47653182614232</v>
      </c>
      <c r="O164" s="21">
        <f t="shared" si="104"/>
        <v>227.2826287531353</v>
      </c>
      <c r="P164" s="21">
        <f t="shared" si="104"/>
        <v>225.36151305618719</v>
      </c>
      <c r="Q164" s="21">
        <f t="shared" si="104"/>
        <v>206.64132449379474</v>
      </c>
      <c r="R164" s="21">
        <f t="shared" si="104"/>
        <v>66.570773437909594</v>
      </c>
      <c r="S164" s="21">
        <f t="shared" si="104"/>
        <v>1669.2964063432041</v>
      </c>
      <c r="T164" s="21">
        <f t="shared" si="104"/>
        <v>19243.764838764731</v>
      </c>
      <c r="U164" s="21">
        <f t="shared" si="104"/>
        <v>921.42938419167206</v>
      </c>
      <c r="V164" s="21">
        <f t="shared" si="104"/>
        <v>13651.662448006949</v>
      </c>
      <c r="W164" s="21">
        <f t="shared" si="104"/>
        <v>19789.090056547822</v>
      </c>
      <c r="X164" s="21">
        <f t="shared" si="104"/>
        <v>182399.14967935332</v>
      </c>
      <c r="Y164" s="21">
        <f t="shared" si="104"/>
        <v>563940.05505589559</v>
      </c>
      <c r="Z164" s="21">
        <f t="shared" si="104"/>
        <v>1118577.3812240188</v>
      </c>
      <c r="AA164" s="21">
        <f t="shared" si="104"/>
        <v>1599918.8248148109</v>
      </c>
      <c r="AB164" s="21">
        <f t="shared" si="104"/>
        <v>1486034.4079300307</v>
      </c>
      <c r="AC164" s="21">
        <f t="shared" si="104"/>
        <v>1607283.3321690911</v>
      </c>
      <c r="AD164" s="21">
        <f t="shared" si="104"/>
        <v>1844679.7575713212</v>
      </c>
      <c r="AE164" s="21">
        <f t="shared" si="104"/>
        <v>2315341.0760228015</v>
      </c>
      <c r="AF164" s="21">
        <f t="shared" si="104"/>
        <v>3021604.4166782508</v>
      </c>
    </row>
    <row r="165" spans="1:34" x14ac:dyDescent="0.25">
      <c r="A165" s="72">
        <f>SUM(B165:AF165)</f>
        <v>36894.475967545841</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227.49559342726323</v>
      </c>
      <c r="M165" s="60">
        <f t="shared" si="105"/>
        <v>227.49452524484931</v>
      </c>
      <c r="N165" s="60">
        <f t="shared" si="105"/>
        <v>227.47653182614232</v>
      </c>
      <c r="O165" s="60">
        <f t="shared" si="105"/>
        <v>227.2826287531353</v>
      </c>
      <c r="P165" s="60">
        <f t="shared" si="105"/>
        <v>225.36151305618719</v>
      </c>
      <c r="Q165" s="60">
        <f t="shared" si="105"/>
        <v>206.64132449379474</v>
      </c>
      <c r="R165" s="60">
        <f t="shared" si="105"/>
        <v>66.570773437909594</v>
      </c>
      <c r="S165" s="60">
        <f t="shared" si="105"/>
        <v>1669.2964063432041</v>
      </c>
      <c r="T165" s="60">
        <f t="shared" si="105"/>
        <v>19243.764838764731</v>
      </c>
      <c r="U165" s="60">
        <f t="shared" si="105"/>
        <v>921.42938419167206</v>
      </c>
      <c r="V165" s="60">
        <f t="shared" si="105"/>
        <v>13651.662448006949</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1" t="s">
        <v>22</v>
      </c>
      <c r="B170" s="27">
        <f>($C$17+SUM(B171:B201))*$B$51</f>
        <v>5930.4079000000029</v>
      </c>
      <c r="C170" s="27">
        <f t="shared" ref="C170:AF170" si="106">($C$17+SUM(C171:C201))*$B$51</f>
        <v>5930.4079000000029</v>
      </c>
      <c r="D170" s="27">
        <f t="shared" si="106"/>
        <v>5930.4079000000029</v>
      </c>
      <c r="E170" s="27">
        <f t="shared" si="106"/>
        <v>5930.4078999999983</v>
      </c>
      <c r="F170" s="27">
        <f t="shared" si="106"/>
        <v>5930.4078999999629</v>
      </c>
      <c r="G170" s="27">
        <f t="shared" si="106"/>
        <v>5930.4078999996073</v>
      </c>
      <c r="H170" s="27">
        <f t="shared" si="106"/>
        <v>5930.4078999960593</v>
      </c>
      <c r="I170" s="27">
        <f t="shared" si="106"/>
        <v>5930.407899960579</v>
      </c>
      <c r="J170" s="27">
        <f t="shared" si="106"/>
        <v>5930.4078996057715</v>
      </c>
      <c r="K170" s="27">
        <f t="shared" si="106"/>
        <v>5930.4078960576971</v>
      </c>
      <c r="L170" s="27">
        <f t="shared" si="106"/>
        <v>5930.4078605769646</v>
      </c>
      <c r="M170" s="27">
        <f t="shared" si="106"/>
        <v>5930.4075057697319</v>
      </c>
      <c r="N170" s="27">
        <f t="shared" si="106"/>
        <v>5930.4039577080966</v>
      </c>
      <c r="O170" s="27">
        <f t="shared" si="106"/>
        <v>5930.3684781604125</v>
      </c>
      <c r="P170" s="27">
        <f t="shared" si="106"/>
        <v>5930.0137895291518</v>
      </c>
      <c r="Q170" s="27">
        <f t="shared" si="106"/>
        <v>5926.4775661552721</v>
      </c>
      <c r="R170" s="27">
        <f t="shared" si="106"/>
        <v>5892.1603329777254</v>
      </c>
      <c r="S170" s="27">
        <f t="shared" si="106"/>
        <v>5635.085169947105</v>
      </c>
      <c r="T170" s="27">
        <f t="shared" si="106"/>
        <v>5284.004015264687</v>
      </c>
      <c r="U170" s="27">
        <f t="shared" si="106"/>
        <v>5282.522584260475</v>
      </c>
      <c r="V170" s="27">
        <f t="shared" si="106"/>
        <v>5282.4597720996726</v>
      </c>
      <c r="W170" s="27">
        <f t="shared" si="106"/>
        <v>5281.8321131549646</v>
      </c>
      <c r="X170" s="27">
        <f t="shared" si="106"/>
        <v>5275.6015516914449</v>
      </c>
      <c r="Y170" s="27">
        <f t="shared" si="106"/>
        <v>5217.6693956473682</v>
      </c>
      <c r="Z170" s="27">
        <f t="shared" si="106"/>
        <v>4914.1974474179488</v>
      </c>
      <c r="AA170" s="27">
        <f t="shared" si="106"/>
        <v>4657.3399705012089</v>
      </c>
      <c r="AB170" s="27">
        <f t="shared" si="106"/>
        <v>4400.4199688139324</v>
      </c>
      <c r="AC170" s="27">
        <f t="shared" si="106"/>
        <v>4129.9595279045152</v>
      </c>
      <c r="AD170" s="27">
        <f t="shared" si="106"/>
        <v>3847.5015413661968</v>
      </c>
      <c r="AE170" s="27">
        <f t="shared" si="106"/>
        <v>3527.1456878283566</v>
      </c>
      <c r="AF170" s="27">
        <f t="shared" si="106"/>
        <v>3120.6314126011353</v>
      </c>
      <c r="AG170" s="27"/>
      <c r="AH170" s="27"/>
    </row>
    <row r="171" spans="1:34" x14ac:dyDescent="0.25">
      <c r="B171" s="3">
        <f t="shared" ref="B171:AF171" si="107">$C18*EXP(-B$168/$A18/EXP(-$C$126))</f>
        <v>0.10924684220979419</v>
      </c>
      <c r="C171" s="3">
        <f t="shared" si="107"/>
        <v>0.10924684220979418</v>
      </c>
      <c r="D171" s="3">
        <f t="shared" si="107"/>
        <v>0.10924684220979414</v>
      </c>
      <c r="E171" s="3">
        <f t="shared" si="107"/>
        <v>0.10924684220979353</v>
      </c>
      <c r="F171" s="3">
        <f t="shared" si="107"/>
        <v>0.10924684220978755</v>
      </c>
      <c r="G171" s="3">
        <f t="shared" si="107"/>
        <v>0.10924684220972772</v>
      </c>
      <c r="H171" s="3">
        <f t="shared" si="107"/>
        <v>0.10924684220912943</v>
      </c>
      <c r="I171" s="3">
        <f t="shared" si="107"/>
        <v>0.10924684220314658</v>
      </c>
      <c r="J171" s="3">
        <f t="shared" si="107"/>
        <v>0.1092468421433181</v>
      </c>
      <c r="K171" s="3">
        <f t="shared" si="107"/>
        <v>0.10924684154503331</v>
      </c>
      <c r="L171" s="3">
        <f t="shared" si="107"/>
        <v>0.10924683556218555</v>
      </c>
      <c r="M171" s="3">
        <f t="shared" si="107"/>
        <v>0.10924677573372595</v>
      </c>
      <c r="N171" s="3">
        <f t="shared" si="107"/>
        <v>0.10924617745093206</v>
      </c>
      <c r="O171" s="3">
        <f t="shared" si="107"/>
        <v>0.10924019480319522</v>
      </c>
      <c r="P171" s="3">
        <f t="shared" si="107"/>
        <v>0.10918038634239031</v>
      </c>
      <c r="Q171" s="3">
        <f t="shared" si="107"/>
        <v>0.10858409974535764</v>
      </c>
      <c r="R171" s="3">
        <f t="shared" si="107"/>
        <v>0.10279744434585029</v>
      </c>
      <c r="S171" s="3">
        <f t="shared" si="107"/>
        <v>5.944880719505307E-2</v>
      </c>
      <c r="T171" s="3">
        <f t="shared" si="107"/>
        <v>2.4874331582301265E-4</v>
      </c>
      <c r="U171" s="3">
        <f t="shared" si="107"/>
        <v>4.0910440951975787E-28</v>
      </c>
      <c r="V171" s="3">
        <f t="shared" si="107"/>
        <v>5.9246346340570106E-266</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7.1825631805889176E-2</v>
      </c>
      <c r="C172" s="3">
        <f t="shared" si="108"/>
        <v>7.1825631805889176E-2</v>
      </c>
      <c r="D172" s="3">
        <f t="shared" si="108"/>
        <v>7.1825631805889176E-2</v>
      </c>
      <c r="E172" s="3">
        <f t="shared" si="108"/>
        <v>7.1825631805889176E-2</v>
      </c>
      <c r="F172" s="3">
        <f t="shared" si="108"/>
        <v>7.1825631805889176E-2</v>
      </c>
      <c r="G172" s="3">
        <f t="shared" si="108"/>
        <v>7.1825631805889176E-2</v>
      </c>
      <c r="H172" s="3">
        <f t="shared" si="108"/>
        <v>7.1825631805889176E-2</v>
      </c>
      <c r="I172" s="3">
        <f t="shared" si="108"/>
        <v>7.1825631805889176E-2</v>
      </c>
      <c r="J172" s="3">
        <f t="shared" si="108"/>
        <v>7.1825631805889162E-2</v>
      </c>
      <c r="K172" s="3">
        <f t="shared" si="108"/>
        <v>7.1825631805889065E-2</v>
      </c>
      <c r="L172" s="3">
        <f t="shared" si="108"/>
        <v>7.1825631805888066E-2</v>
      </c>
      <c r="M172" s="3">
        <f t="shared" si="108"/>
        <v>7.1825631805877976E-2</v>
      </c>
      <c r="N172" s="3">
        <f t="shared" si="108"/>
        <v>7.1825631805777224E-2</v>
      </c>
      <c r="O172" s="3">
        <f t="shared" si="108"/>
        <v>7.1825631804769641E-2</v>
      </c>
      <c r="P172" s="3">
        <f t="shared" si="108"/>
        <v>7.1825631794693826E-2</v>
      </c>
      <c r="Q172" s="3">
        <f t="shared" si="108"/>
        <v>7.1825631693935618E-2</v>
      </c>
      <c r="R172" s="3">
        <f t="shared" si="108"/>
        <v>7.1825630686353531E-2</v>
      </c>
      <c r="S172" s="3">
        <f t="shared" si="108"/>
        <v>7.1825620610533478E-2</v>
      </c>
      <c r="T172" s="3">
        <f t="shared" si="108"/>
        <v>7.1825519852410785E-2</v>
      </c>
      <c r="U172" s="3">
        <f t="shared" si="108"/>
        <v>7.1824512278957753E-2</v>
      </c>
      <c r="V172" s="3">
        <f t="shared" si="108"/>
        <v>7.1814437321781846E-2</v>
      </c>
      <c r="W172" s="3">
        <f t="shared" si="108"/>
        <v>7.1713765445131084E-2</v>
      </c>
      <c r="X172" s="3">
        <f t="shared" si="108"/>
        <v>7.0714776013287892E-2</v>
      </c>
      <c r="Y172" s="3">
        <f t="shared" si="108"/>
        <v>6.1459158114686455E-2</v>
      </c>
      <c r="Z172" s="3">
        <f t="shared" si="108"/>
        <v>1.51130101693027E-2</v>
      </c>
      <c r="AA172" s="3">
        <f t="shared" si="108"/>
        <v>1.221784613798477E-8</v>
      </c>
      <c r="AB172" s="3">
        <f t="shared" si="108"/>
        <v>1.4569056332078069E-69</v>
      </c>
      <c r="AC172" s="3">
        <f t="shared" si="108"/>
        <v>0</v>
      </c>
      <c r="AD172" s="3">
        <f t="shared" si="108"/>
        <v>0</v>
      </c>
      <c r="AE172" s="3">
        <f t="shared" si="108"/>
        <v>0</v>
      </c>
      <c r="AF172" s="3">
        <f t="shared" si="108"/>
        <v>0</v>
      </c>
      <c r="AG172" s="3"/>
      <c r="AH172" s="3"/>
    </row>
    <row r="173" spans="1:34" x14ac:dyDescent="0.25">
      <c r="B173" s="3">
        <f t="shared" ref="B173:AF173" si="109">$C20*EXP(-B$168/$A20/EXP(-$C$126))</f>
        <v>3.596772409142239E-2</v>
      </c>
      <c r="C173" s="3">
        <f t="shared" si="109"/>
        <v>3.596772409142239E-2</v>
      </c>
      <c r="D173" s="3">
        <f t="shared" si="109"/>
        <v>3.596772409142239E-2</v>
      </c>
      <c r="E173" s="3">
        <f t="shared" si="109"/>
        <v>3.596772409142239E-2</v>
      </c>
      <c r="F173" s="3">
        <f t="shared" si="109"/>
        <v>3.596772409142239E-2</v>
      </c>
      <c r="G173" s="3">
        <f t="shared" si="109"/>
        <v>3.596772409142239E-2</v>
      </c>
      <c r="H173" s="3">
        <f t="shared" si="109"/>
        <v>3.596772409142239E-2</v>
      </c>
      <c r="I173" s="3">
        <f t="shared" si="109"/>
        <v>3.596772409142239E-2</v>
      </c>
      <c r="J173" s="3">
        <f t="shared" si="109"/>
        <v>3.596772409142239E-2</v>
      </c>
      <c r="K173" s="3">
        <f t="shared" si="109"/>
        <v>3.5967724091422383E-2</v>
      </c>
      <c r="L173" s="3">
        <f t="shared" si="109"/>
        <v>3.5967724091422341E-2</v>
      </c>
      <c r="M173" s="3">
        <f t="shared" si="109"/>
        <v>3.5967724091421883E-2</v>
      </c>
      <c r="N173" s="3">
        <f t="shared" si="109"/>
        <v>3.5967724091417332E-2</v>
      </c>
      <c r="O173" s="3">
        <f t="shared" si="109"/>
        <v>3.5967724091371819E-2</v>
      </c>
      <c r="P173" s="3">
        <f t="shared" si="109"/>
        <v>3.5967724090916663E-2</v>
      </c>
      <c r="Q173" s="3">
        <f t="shared" si="109"/>
        <v>3.5967724086365095E-2</v>
      </c>
      <c r="R173" s="3">
        <f t="shared" si="109"/>
        <v>3.5967724040849469E-2</v>
      </c>
      <c r="S173" s="3">
        <f t="shared" si="109"/>
        <v>3.5967723585693195E-2</v>
      </c>
      <c r="T173" s="3">
        <f t="shared" si="109"/>
        <v>3.5967719034130811E-2</v>
      </c>
      <c r="U173" s="3">
        <f t="shared" si="109"/>
        <v>3.59676735185386E-2</v>
      </c>
      <c r="V173" s="3">
        <f t="shared" si="109"/>
        <v>3.5967218365784349E-2</v>
      </c>
      <c r="W173" s="3">
        <f t="shared" si="109"/>
        <v>3.5962667155014894E-2</v>
      </c>
      <c r="X173" s="3">
        <f t="shared" si="109"/>
        <v>3.5917186709796864E-2</v>
      </c>
      <c r="Y173" s="3">
        <f t="shared" si="109"/>
        <v>3.5465533730338505E-2</v>
      </c>
      <c r="Z173" s="3">
        <f t="shared" si="109"/>
        <v>3.1249881703690391E-2</v>
      </c>
      <c r="AA173" s="3">
        <f t="shared" si="109"/>
        <v>8.8159101200911832E-3</v>
      </c>
      <c r="AB173" s="3">
        <f t="shared" si="109"/>
        <v>2.8148477869466788E-8</v>
      </c>
      <c r="AC173" s="3">
        <f t="shared" si="109"/>
        <v>3.099791838132666E-63</v>
      </c>
      <c r="AD173" s="3">
        <f t="shared" si="109"/>
        <v>0</v>
      </c>
      <c r="AE173" s="3">
        <f t="shared" si="109"/>
        <v>0</v>
      </c>
      <c r="AF173" s="3">
        <f t="shared" si="109"/>
        <v>0</v>
      </c>
      <c r="AG173" s="3"/>
      <c r="AH173" s="3"/>
    </row>
    <row r="174" spans="1:34" x14ac:dyDescent="0.25">
      <c r="B174" s="3">
        <f t="shared" ref="B174:AF174" si="110">$C21*EXP(-B$168/$A21/EXP(-$C$126))</f>
        <v>4.9137716927094087E-2</v>
      </c>
      <c r="C174" s="3">
        <f t="shared" si="110"/>
        <v>4.9137716927094087E-2</v>
      </c>
      <c r="D174" s="3">
        <f t="shared" si="110"/>
        <v>4.9137716927094087E-2</v>
      </c>
      <c r="E174" s="3">
        <f t="shared" si="110"/>
        <v>4.9137716927094087E-2</v>
      </c>
      <c r="F174" s="3">
        <f t="shared" si="110"/>
        <v>4.9137716927094087E-2</v>
      </c>
      <c r="G174" s="3">
        <f t="shared" si="110"/>
        <v>4.9137716927094087E-2</v>
      </c>
      <c r="H174" s="3">
        <f t="shared" si="110"/>
        <v>4.9137716927094087E-2</v>
      </c>
      <c r="I174" s="3">
        <f t="shared" si="110"/>
        <v>4.9137716927094087E-2</v>
      </c>
      <c r="J174" s="3">
        <f t="shared" si="110"/>
        <v>4.9137716927094087E-2</v>
      </c>
      <c r="K174" s="3">
        <f t="shared" si="110"/>
        <v>4.9137716927094087E-2</v>
      </c>
      <c r="L174" s="3">
        <f t="shared" si="110"/>
        <v>4.913771692709408E-2</v>
      </c>
      <c r="M174" s="3">
        <f t="shared" si="110"/>
        <v>4.9137716927094024E-2</v>
      </c>
      <c r="N174" s="3">
        <f t="shared" si="110"/>
        <v>4.9137716927093462E-2</v>
      </c>
      <c r="O174" s="3">
        <f t="shared" si="110"/>
        <v>4.9137716927087856E-2</v>
      </c>
      <c r="P174" s="3">
        <f t="shared" si="110"/>
        <v>4.9137716927031762E-2</v>
      </c>
      <c r="Q174" s="3">
        <f t="shared" si="110"/>
        <v>4.9137716926470829E-2</v>
      </c>
      <c r="R174" s="3">
        <f t="shared" si="110"/>
        <v>4.9137716920861524E-2</v>
      </c>
      <c r="S174" s="3">
        <f t="shared" si="110"/>
        <v>4.9137716864768463E-2</v>
      </c>
      <c r="T174" s="3">
        <f t="shared" si="110"/>
        <v>4.9137716303837856E-2</v>
      </c>
      <c r="U174" s="3">
        <f t="shared" si="110"/>
        <v>4.9137710694532141E-2</v>
      </c>
      <c r="V174" s="3">
        <f t="shared" si="110"/>
        <v>4.9137654601510213E-2</v>
      </c>
      <c r="W174" s="3">
        <f t="shared" si="110"/>
        <v>4.9137093674812705E-2</v>
      </c>
      <c r="X174" s="3">
        <f t="shared" si="110"/>
        <v>4.9131484760002168E-2</v>
      </c>
      <c r="Y174" s="3">
        <f t="shared" si="110"/>
        <v>4.9075430813480127E-2</v>
      </c>
      <c r="Z174" s="3">
        <f t="shared" si="110"/>
        <v>4.8518396683697104E-2</v>
      </c>
      <c r="AA174" s="3">
        <f t="shared" si="110"/>
        <v>4.3284224656295722E-2</v>
      </c>
      <c r="AB174" s="3">
        <f t="shared" si="110"/>
        <v>1.3821706219795889E-2</v>
      </c>
      <c r="AC174" s="3">
        <f t="shared" si="110"/>
        <v>1.5236380546998127E-7</v>
      </c>
      <c r="AD174" s="3">
        <f t="shared" si="110"/>
        <v>4.0372286321104086E-57</v>
      </c>
      <c r="AE174" s="3">
        <f t="shared" si="110"/>
        <v>0</v>
      </c>
      <c r="AF174" s="3">
        <f t="shared" si="110"/>
        <v>0</v>
      </c>
      <c r="AG174" s="3"/>
      <c r="AH174" s="3"/>
    </row>
    <row r="175" spans="1:34" x14ac:dyDescent="0.25">
      <c r="B175" s="3">
        <f t="shared" ref="B175:AF175" si="111">$C22*EXP(-B$168/$A22/EXP(-$C$126))</f>
        <v>4.6762783367912203E-2</v>
      </c>
      <c r="C175" s="3">
        <f t="shared" si="111"/>
        <v>4.6762783367912203E-2</v>
      </c>
      <c r="D175" s="3">
        <f t="shared" si="111"/>
        <v>4.6762783367912203E-2</v>
      </c>
      <c r="E175" s="3">
        <f t="shared" si="111"/>
        <v>4.6762783367912203E-2</v>
      </c>
      <c r="F175" s="3">
        <f t="shared" si="111"/>
        <v>4.6762783367912203E-2</v>
      </c>
      <c r="G175" s="3">
        <f t="shared" si="111"/>
        <v>4.6762783367912203E-2</v>
      </c>
      <c r="H175" s="3">
        <f t="shared" si="111"/>
        <v>4.6762783367912203E-2</v>
      </c>
      <c r="I175" s="3">
        <f t="shared" si="111"/>
        <v>4.6762783367912203E-2</v>
      </c>
      <c r="J175" s="3">
        <f t="shared" si="111"/>
        <v>4.6762783367912203E-2</v>
      </c>
      <c r="K175" s="3">
        <f t="shared" si="111"/>
        <v>4.6762783367912203E-2</v>
      </c>
      <c r="L175" s="3">
        <f t="shared" si="111"/>
        <v>4.6762783367912203E-2</v>
      </c>
      <c r="M175" s="3">
        <f t="shared" si="111"/>
        <v>4.6762783367912196E-2</v>
      </c>
      <c r="N175" s="3">
        <f t="shared" si="111"/>
        <v>4.6762783367912154E-2</v>
      </c>
      <c r="O175" s="3">
        <f t="shared" si="111"/>
        <v>4.6762783367911669E-2</v>
      </c>
      <c r="P175" s="3">
        <f t="shared" si="111"/>
        <v>4.6762783367906853E-2</v>
      </c>
      <c r="Q175" s="3">
        <f t="shared" si="111"/>
        <v>4.6762783367858697E-2</v>
      </c>
      <c r="R175" s="3">
        <f t="shared" si="111"/>
        <v>4.6762783367377152E-2</v>
      </c>
      <c r="S175" s="3">
        <f t="shared" si="111"/>
        <v>4.676278336256165E-2</v>
      </c>
      <c r="T175" s="3">
        <f t="shared" si="111"/>
        <v>4.6762783314406677E-2</v>
      </c>
      <c r="U175" s="3">
        <f t="shared" si="111"/>
        <v>4.6762782832856994E-2</v>
      </c>
      <c r="V175" s="3">
        <f t="shared" si="111"/>
        <v>4.6762778017360368E-2</v>
      </c>
      <c r="W175" s="3">
        <f t="shared" si="111"/>
        <v>4.6762729862421366E-2</v>
      </c>
      <c r="X175" s="3">
        <f t="shared" si="111"/>
        <v>4.6762248315758773E-2</v>
      </c>
      <c r="Y175" s="3">
        <f t="shared" si="111"/>
        <v>4.6757433121858552E-2</v>
      </c>
      <c r="Z175" s="3">
        <f t="shared" si="111"/>
        <v>4.6709308445044638E-2</v>
      </c>
      <c r="AA175" s="3">
        <f t="shared" si="111"/>
        <v>4.6230777536970795E-2</v>
      </c>
      <c r="AB175" s="3">
        <f t="shared" si="111"/>
        <v>4.1706985509422971E-2</v>
      </c>
      <c r="AC175" s="3">
        <f t="shared" si="111"/>
        <v>1.4893090721450578E-2</v>
      </c>
      <c r="AD175" s="3">
        <f t="shared" si="111"/>
        <v>5.0204792229841236E-7</v>
      </c>
      <c r="AE175" s="3">
        <f t="shared" si="111"/>
        <v>9.5136805579328597E-52</v>
      </c>
      <c r="AF175" s="3">
        <f t="shared" si="111"/>
        <v>0</v>
      </c>
      <c r="AG175" s="3"/>
      <c r="AH175" s="3"/>
    </row>
    <row r="176" spans="1:34" x14ac:dyDescent="0.25">
      <c r="B176" s="3">
        <f t="shared" ref="B176:AF176" si="112">$C23*EXP(-B$168/$A23/EXP(-$C$126))</f>
        <v>5.0407962506303181E-2</v>
      </c>
      <c r="C176" s="3">
        <f t="shared" si="112"/>
        <v>5.0407962506303181E-2</v>
      </c>
      <c r="D176" s="3">
        <f t="shared" si="112"/>
        <v>5.0407962506303181E-2</v>
      </c>
      <c r="E176" s="3">
        <f t="shared" si="112"/>
        <v>5.0407962506303181E-2</v>
      </c>
      <c r="F176" s="3">
        <f t="shared" si="112"/>
        <v>5.0407962506303181E-2</v>
      </c>
      <c r="G176" s="3">
        <f t="shared" si="112"/>
        <v>5.0407962506303181E-2</v>
      </c>
      <c r="H176" s="3">
        <f t="shared" si="112"/>
        <v>5.0407962506303181E-2</v>
      </c>
      <c r="I176" s="3">
        <f t="shared" si="112"/>
        <v>5.0407962506303181E-2</v>
      </c>
      <c r="J176" s="3">
        <f t="shared" si="112"/>
        <v>5.0407962506303181E-2</v>
      </c>
      <c r="K176" s="3">
        <f t="shared" si="112"/>
        <v>5.0407962506303181E-2</v>
      </c>
      <c r="L176" s="3">
        <f t="shared" si="112"/>
        <v>5.0407962506303181E-2</v>
      </c>
      <c r="M176" s="3">
        <f t="shared" si="112"/>
        <v>5.0407962506303181E-2</v>
      </c>
      <c r="N176" s="3">
        <f t="shared" si="112"/>
        <v>5.0407962506303174E-2</v>
      </c>
      <c r="O176" s="3">
        <f t="shared" si="112"/>
        <v>5.0407962506303132E-2</v>
      </c>
      <c r="P176" s="3">
        <f t="shared" si="112"/>
        <v>5.040796250630266E-2</v>
      </c>
      <c r="Q176" s="3">
        <f t="shared" si="112"/>
        <v>5.0407962506297976E-2</v>
      </c>
      <c r="R176" s="3">
        <f t="shared" si="112"/>
        <v>5.0407962506251153E-2</v>
      </c>
      <c r="S176" s="3">
        <f t="shared" si="112"/>
        <v>5.0407962505782895E-2</v>
      </c>
      <c r="T176" s="3">
        <f t="shared" si="112"/>
        <v>5.0407962501100301E-2</v>
      </c>
      <c r="U176" s="3">
        <f t="shared" si="112"/>
        <v>5.0407962454274362E-2</v>
      </c>
      <c r="V176" s="3">
        <f t="shared" si="112"/>
        <v>5.0407961986014979E-2</v>
      </c>
      <c r="W176" s="3">
        <f t="shared" si="112"/>
        <v>5.0407957303421375E-2</v>
      </c>
      <c r="X176" s="3">
        <f t="shared" si="112"/>
        <v>5.0407910477509296E-2</v>
      </c>
      <c r="Y176" s="3">
        <f t="shared" si="112"/>
        <v>5.0407442220780876E-2</v>
      </c>
      <c r="Z176" s="3">
        <f t="shared" si="112"/>
        <v>5.040275989272909E-2</v>
      </c>
      <c r="AA176" s="3">
        <f t="shared" si="112"/>
        <v>5.0355960527227774E-2</v>
      </c>
      <c r="AB176" s="3">
        <f t="shared" si="112"/>
        <v>4.9890350174481096E-2</v>
      </c>
      <c r="AC176" s="3">
        <f t="shared" si="112"/>
        <v>4.5464584865667325E-2</v>
      </c>
      <c r="AD176" s="3">
        <f t="shared" si="112"/>
        <v>1.7957257365788928E-2</v>
      </c>
      <c r="AE176" s="3">
        <f t="shared" si="112"/>
        <v>1.6592345348190335E-6</v>
      </c>
      <c r="AF176" s="3">
        <f t="shared" si="112"/>
        <v>7.526368740761505E-47</v>
      </c>
      <c r="AG176" s="3"/>
      <c r="AH176" s="3"/>
    </row>
    <row r="177" spans="2:34" x14ac:dyDescent="0.25">
      <c r="B177" s="3">
        <f t="shared" ref="B177:AF177" si="113">$C24*EXP(-B$168/$A24/EXP(-$C$126))</f>
        <v>5.7182312842770561E-2</v>
      </c>
      <c r="C177" s="3">
        <f t="shared" si="113"/>
        <v>5.7182312842770561E-2</v>
      </c>
      <c r="D177" s="3">
        <f t="shared" si="113"/>
        <v>5.7182312842770561E-2</v>
      </c>
      <c r="E177" s="3">
        <f t="shared" si="113"/>
        <v>5.7182312842770561E-2</v>
      </c>
      <c r="F177" s="3">
        <f t="shared" si="113"/>
        <v>5.7182312842770561E-2</v>
      </c>
      <c r="G177" s="3">
        <f t="shared" si="113"/>
        <v>5.7182312842770561E-2</v>
      </c>
      <c r="H177" s="3">
        <f t="shared" si="113"/>
        <v>5.7182312842770561E-2</v>
      </c>
      <c r="I177" s="3">
        <f t="shared" si="113"/>
        <v>5.7182312842770561E-2</v>
      </c>
      <c r="J177" s="3">
        <f t="shared" si="113"/>
        <v>5.7182312842770561E-2</v>
      </c>
      <c r="K177" s="3">
        <f t="shared" si="113"/>
        <v>5.7182312842770561E-2</v>
      </c>
      <c r="L177" s="3">
        <f t="shared" si="113"/>
        <v>5.7182312842770561E-2</v>
      </c>
      <c r="M177" s="3">
        <f t="shared" si="113"/>
        <v>5.7182312842770561E-2</v>
      </c>
      <c r="N177" s="3">
        <f t="shared" si="113"/>
        <v>5.7182312842770561E-2</v>
      </c>
      <c r="O177" s="3">
        <f t="shared" si="113"/>
        <v>5.7182312842770554E-2</v>
      </c>
      <c r="P177" s="3">
        <f t="shared" si="113"/>
        <v>5.7182312842770512E-2</v>
      </c>
      <c r="Q177" s="3">
        <f t="shared" si="113"/>
        <v>5.7182312842770026E-2</v>
      </c>
      <c r="R177" s="3">
        <f t="shared" si="113"/>
        <v>5.7182312842765232E-2</v>
      </c>
      <c r="S177" s="3">
        <f t="shared" si="113"/>
        <v>5.7182312842717319E-2</v>
      </c>
      <c r="T177" s="3">
        <f t="shared" si="113"/>
        <v>5.7182312842238139E-2</v>
      </c>
      <c r="U177" s="3">
        <f t="shared" si="113"/>
        <v>5.7182312837446375E-2</v>
      </c>
      <c r="V177" s="3">
        <f t="shared" si="113"/>
        <v>5.7182312789528705E-2</v>
      </c>
      <c r="W177" s="3">
        <f t="shared" si="113"/>
        <v>5.7182312310352056E-2</v>
      </c>
      <c r="X177" s="3">
        <f t="shared" si="113"/>
        <v>5.7182307518585697E-2</v>
      </c>
      <c r="Y177" s="3">
        <f t="shared" si="113"/>
        <v>5.7182259600944182E-2</v>
      </c>
      <c r="Z177" s="3">
        <f t="shared" si="113"/>
        <v>5.718178042673755E-2</v>
      </c>
      <c r="AA177" s="3">
        <f t="shared" si="113"/>
        <v>5.717698890551097E-2</v>
      </c>
      <c r="AB177" s="3">
        <f t="shared" si="113"/>
        <v>5.7129095770378453E-2</v>
      </c>
      <c r="AC177" s="3">
        <f t="shared" si="113"/>
        <v>5.6652365302617504E-2</v>
      </c>
      <c r="AD177" s="3">
        <f t="shared" si="113"/>
        <v>5.2098475347760478E-2</v>
      </c>
      <c r="AE177" s="3">
        <f t="shared" si="113"/>
        <v>2.2536926301677408E-2</v>
      </c>
      <c r="AF177" s="3">
        <f t="shared" si="113"/>
        <v>5.1712006596183125E-6</v>
      </c>
      <c r="AG177" s="3"/>
      <c r="AH177" s="3"/>
    </row>
    <row r="178" spans="2:34" x14ac:dyDescent="0.25">
      <c r="B178" s="3">
        <f t="shared" ref="B178:AF178" si="114">$C25*EXP(-B$168/$A25/EXP(-$C$126))</f>
        <v>8.0089931313285845E-2</v>
      </c>
      <c r="C178" s="3">
        <f t="shared" si="114"/>
        <v>8.0089931313285845E-2</v>
      </c>
      <c r="D178" s="3">
        <f t="shared" si="114"/>
        <v>8.0089931313285845E-2</v>
      </c>
      <c r="E178" s="3">
        <f t="shared" si="114"/>
        <v>8.0089931313285845E-2</v>
      </c>
      <c r="F178" s="3">
        <f t="shared" si="114"/>
        <v>8.0089931313285845E-2</v>
      </c>
      <c r="G178" s="3">
        <f t="shared" si="114"/>
        <v>8.0089931313285845E-2</v>
      </c>
      <c r="H178" s="3">
        <f t="shared" si="114"/>
        <v>8.0089931313285845E-2</v>
      </c>
      <c r="I178" s="3">
        <f t="shared" si="114"/>
        <v>8.0089931313285845E-2</v>
      </c>
      <c r="J178" s="3">
        <f t="shared" si="114"/>
        <v>8.0089931313285845E-2</v>
      </c>
      <c r="K178" s="3">
        <f t="shared" si="114"/>
        <v>8.0089931313285845E-2</v>
      </c>
      <c r="L178" s="3">
        <f t="shared" si="114"/>
        <v>8.0089931313285845E-2</v>
      </c>
      <c r="M178" s="3">
        <f t="shared" si="114"/>
        <v>8.0089931313285845E-2</v>
      </c>
      <c r="N178" s="3">
        <f t="shared" si="114"/>
        <v>8.0089931313285845E-2</v>
      </c>
      <c r="O178" s="3">
        <f t="shared" si="114"/>
        <v>8.0089931313285845E-2</v>
      </c>
      <c r="P178" s="3">
        <f t="shared" si="114"/>
        <v>8.0089931313285831E-2</v>
      </c>
      <c r="Q178" s="3">
        <f t="shared" si="114"/>
        <v>8.0089931313285775E-2</v>
      </c>
      <c r="R178" s="3">
        <f t="shared" si="114"/>
        <v>8.0089931313285165E-2</v>
      </c>
      <c r="S178" s="3">
        <f t="shared" si="114"/>
        <v>8.0089931313279114E-2</v>
      </c>
      <c r="T178" s="3">
        <f t="shared" si="114"/>
        <v>8.0089931313218579E-2</v>
      </c>
      <c r="U178" s="3">
        <f t="shared" si="114"/>
        <v>8.0089931312613161E-2</v>
      </c>
      <c r="V178" s="3">
        <f t="shared" si="114"/>
        <v>8.0089931306558934E-2</v>
      </c>
      <c r="W178" s="3">
        <f t="shared" si="114"/>
        <v>8.0089931246016696E-2</v>
      </c>
      <c r="X178" s="3">
        <f t="shared" si="114"/>
        <v>8.0089930640594345E-2</v>
      </c>
      <c r="Y178" s="3">
        <f t="shared" si="114"/>
        <v>8.0089924586371097E-2</v>
      </c>
      <c r="Z178" s="3">
        <f t="shared" si="114"/>
        <v>8.0089864044163794E-2</v>
      </c>
      <c r="AA178" s="3">
        <f t="shared" si="114"/>
        <v>8.0089258624607917E-2</v>
      </c>
      <c r="AB178" s="3">
        <f t="shared" si="114"/>
        <v>8.008320468075189E-2</v>
      </c>
      <c r="AC178" s="3">
        <f t="shared" si="114"/>
        <v>8.002269040544055E-2</v>
      </c>
      <c r="AD178" s="3">
        <f t="shared" si="114"/>
        <v>7.9420056953427354E-2</v>
      </c>
      <c r="AE178" s="3">
        <f t="shared" si="114"/>
        <v>7.363777385137725E-2</v>
      </c>
      <c r="AF178" s="3">
        <f t="shared" si="114"/>
        <v>3.4578425775386029E-2</v>
      </c>
      <c r="AG178" s="3"/>
      <c r="AH178" s="3"/>
    </row>
    <row r="179" spans="2:34" x14ac:dyDescent="0.25">
      <c r="B179" s="3">
        <f t="shared" ref="B179:AF179" si="115">$C26*EXP(-B$168/$A26/EXP(-$C$126))</f>
        <v>9.4725402978259585E-2</v>
      </c>
      <c r="C179" s="3">
        <f t="shared" si="115"/>
        <v>9.4725402978259585E-2</v>
      </c>
      <c r="D179" s="3">
        <f t="shared" si="115"/>
        <v>9.4725402978259585E-2</v>
      </c>
      <c r="E179" s="3">
        <f t="shared" si="115"/>
        <v>9.4725402978259585E-2</v>
      </c>
      <c r="F179" s="3">
        <f t="shared" si="115"/>
        <v>9.4725402978259585E-2</v>
      </c>
      <c r="G179" s="3">
        <f t="shared" si="115"/>
        <v>9.4725402978259585E-2</v>
      </c>
      <c r="H179" s="3">
        <f t="shared" si="115"/>
        <v>9.4725402978259585E-2</v>
      </c>
      <c r="I179" s="3">
        <f t="shared" si="115"/>
        <v>9.4725402978259585E-2</v>
      </c>
      <c r="J179" s="3">
        <f t="shared" si="115"/>
        <v>9.4725402978259585E-2</v>
      </c>
      <c r="K179" s="3">
        <f t="shared" si="115"/>
        <v>9.4725402978259585E-2</v>
      </c>
      <c r="L179" s="3">
        <f t="shared" si="115"/>
        <v>9.4725402978259585E-2</v>
      </c>
      <c r="M179" s="3">
        <f t="shared" si="115"/>
        <v>9.4725402978259585E-2</v>
      </c>
      <c r="N179" s="3">
        <f t="shared" si="115"/>
        <v>9.4725402978259585E-2</v>
      </c>
      <c r="O179" s="3">
        <f t="shared" si="115"/>
        <v>9.4725402978259585E-2</v>
      </c>
      <c r="P179" s="3">
        <f t="shared" si="115"/>
        <v>9.4725402978259585E-2</v>
      </c>
      <c r="Q179" s="3">
        <f t="shared" si="115"/>
        <v>9.4725402978259571E-2</v>
      </c>
      <c r="R179" s="3">
        <f t="shared" si="115"/>
        <v>9.4725402978259515E-2</v>
      </c>
      <c r="S179" s="3">
        <f t="shared" si="115"/>
        <v>9.4725402978258863E-2</v>
      </c>
      <c r="T179" s="3">
        <f t="shared" si="115"/>
        <v>9.472540297825241E-2</v>
      </c>
      <c r="U179" s="3">
        <f t="shared" si="115"/>
        <v>9.4725402978187809E-2</v>
      </c>
      <c r="V179" s="3">
        <f t="shared" si="115"/>
        <v>9.4725402977541867E-2</v>
      </c>
      <c r="W179" s="3">
        <f t="shared" si="115"/>
        <v>9.4725402971082451E-2</v>
      </c>
      <c r="X179" s="3">
        <f t="shared" si="115"/>
        <v>9.4725402906488232E-2</v>
      </c>
      <c r="Y179" s="3">
        <f t="shared" si="115"/>
        <v>9.4725402260546154E-2</v>
      </c>
      <c r="Z179" s="3">
        <f t="shared" si="115"/>
        <v>9.4725395801125545E-2</v>
      </c>
      <c r="AA179" s="3">
        <f t="shared" si="115"/>
        <v>9.4725331206943722E-2</v>
      </c>
      <c r="AB179" s="3">
        <f t="shared" si="115"/>
        <v>9.472468526754807E-2</v>
      </c>
      <c r="AC179" s="3">
        <f t="shared" si="115"/>
        <v>9.4718226115845669E-2</v>
      </c>
      <c r="AD179" s="3">
        <f t="shared" si="115"/>
        <v>9.4653658818125042E-2</v>
      </c>
      <c r="AE179" s="3">
        <f t="shared" si="115"/>
        <v>9.4010401671703131E-2</v>
      </c>
      <c r="AF179" s="3">
        <f t="shared" si="115"/>
        <v>8.7813427567543068E-2</v>
      </c>
      <c r="AG179" s="3"/>
      <c r="AH179" s="3"/>
    </row>
    <row r="180" spans="2:34" x14ac:dyDescent="0.25">
      <c r="B180" s="3">
        <f t="shared" ref="B180:AF180" si="116">$C27*EXP(-B$168/$A27/EXP(-$C$126))</f>
        <v>0.11171287761739628</v>
      </c>
      <c r="C180" s="3">
        <f t="shared" si="116"/>
        <v>0.11171287761739628</v>
      </c>
      <c r="D180" s="3">
        <f t="shared" si="116"/>
        <v>0.11171287761739628</v>
      </c>
      <c r="E180" s="3">
        <f t="shared" si="116"/>
        <v>0.11171287761739628</v>
      </c>
      <c r="F180" s="3">
        <f t="shared" si="116"/>
        <v>0.11171287761739628</v>
      </c>
      <c r="G180" s="3">
        <f t="shared" si="116"/>
        <v>0.11171287761739628</v>
      </c>
      <c r="H180" s="3">
        <f t="shared" si="116"/>
        <v>0.11171287761739628</v>
      </c>
      <c r="I180" s="3">
        <f t="shared" si="116"/>
        <v>0.11171287761739628</v>
      </c>
      <c r="J180" s="3">
        <f t="shared" si="116"/>
        <v>0.11171287761739628</v>
      </c>
      <c r="K180" s="3">
        <f t="shared" si="116"/>
        <v>0.11171287761739628</v>
      </c>
      <c r="L180" s="3">
        <f t="shared" si="116"/>
        <v>0.11171287761739628</v>
      </c>
      <c r="M180" s="3">
        <f t="shared" si="116"/>
        <v>0.11171287761739628</v>
      </c>
      <c r="N180" s="3">
        <f t="shared" si="116"/>
        <v>0.11171287761739628</v>
      </c>
      <c r="O180" s="3">
        <f t="shared" si="116"/>
        <v>0.11171287761739628</v>
      </c>
      <c r="P180" s="3">
        <f t="shared" si="116"/>
        <v>0.11171287761739628</v>
      </c>
      <c r="Q180" s="3">
        <f t="shared" si="116"/>
        <v>0.11171287761739628</v>
      </c>
      <c r="R180" s="3">
        <f t="shared" si="116"/>
        <v>0.11171287761739626</v>
      </c>
      <c r="S180" s="3">
        <f t="shared" si="116"/>
        <v>0.11171287761739621</v>
      </c>
      <c r="T180" s="3">
        <f t="shared" si="116"/>
        <v>0.11171287761739551</v>
      </c>
      <c r="U180" s="3">
        <f t="shared" si="116"/>
        <v>0.11171287761738863</v>
      </c>
      <c r="V180" s="3">
        <f t="shared" si="116"/>
        <v>0.11171287761731992</v>
      </c>
      <c r="W180" s="3">
        <f t="shared" si="116"/>
        <v>0.11171287761663273</v>
      </c>
      <c r="X180" s="3">
        <f t="shared" si="116"/>
        <v>0.11171287760976083</v>
      </c>
      <c r="Y180" s="3">
        <f t="shared" si="116"/>
        <v>0.11171287754104181</v>
      </c>
      <c r="Z180" s="3">
        <f t="shared" si="116"/>
        <v>0.11171287685385162</v>
      </c>
      <c r="AA180" s="3">
        <f t="shared" si="116"/>
        <v>0.11171286998194997</v>
      </c>
      <c r="AB180" s="3">
        <f t="shared" si="116"/>
        <v>0.11171280126295682</v>
      </c>
      <c r="AC180" s="3">
        <f t="shared" si="116"/>
        <v>0.11171211407535019</v>
      </c>
      <c r="AD180" s="3">
        <f t="shared" si="116"/>
        <v>0.11170524243177274</v>
      </c>
      <c r="AE180" s="3">
        <f t="shared" si="116"/>
        <v>0.11163654923960561</v>
      </c>
      <c r="AF180" s="3">
        <f t="shared" si="116"/>
        <v>0.11095193639706982</v>
      </c>
      <c r="AG180" s="3"/>
      <c r="AH180" s="3"/>
    </row>
    <row r="181" spans="2:34" x14ac:dyDescent="0.25">
      <c r="B181" s="3">
        <f t="shared" ref="B181:AF181" si="117">$C28*EXP(-B$168/$A28/EXP(-$C$126))</f>
        <v>0.12486929252202905</v>
      </c>
      <c r="C181" s="3">
        <f t="shared" si="117"/>
        <v>0.12486929252202905</v>
      </c>
      <c r="D181" s="3">
        <f t="shared" si="117"/>
        <v>0.12486929252202905</v>
      </c>
      <c r="E181" s="3">
        <f t="shared" si="117"/>
        <v>0.12486929252202905</v>
      </c>
      <c r="F181" s="3">
        <f t="shared" si="117"/>
        <v>0.12486929252202905</v>
      </c>
      <c r="G181" s="3">
        <f t="shared" si="117"/>
        <v>0.12486929252202905</v>
      </c>
      <c r="H181" s="3">
        <f t="shared" si="117"/>
        <v>0.12486929252202905</v>
      </c>
      <c r="I181" s="3">
        <f t="shared" si="117"/>
        <v>0.12486929252202905</v>
      </c>
      <c r="J181" s="3">
        <f t="shared" si="117"/>
        <v>0.12486929252202905</v>
      </c>
      <c r="K181" s="3">
        <f t="shared" si="117"/>
        <v>0.12486929252202905</v>
      </c>
      <c r="L181" s="3">
        <f t="shared" si="117"/>
        <v>0.12486929252202905</v>
      </c>
      <c r="M181" s="3">
        <f t="shared" si="117"/>
        <v>0.12486929252202905</v>
      </c>
      <c r="N181" s="3">
        <f t="shared" si="117"/>
        <v>0.12486929252202905</v>
      </c>
      <c r="O181" s="3">
        <f t="shared" si="117"/>
        <v>0.12486929252202905</v>
      </c>
      <c r="P181" s="3">
        <f t="shared" si="117"/>
        <v>0.12486929252202905</v>
      </c>
      <c r="Q181" s="3">
        <f t="shared" si="117"/>
        <v>0.12486929252202905</v>
      </c>
      <c r="R181" s="3">
        <f t="shared" si="117"/>
        <v>0.12486929252202905</v>
      </c>
      <c r="S181" s="3">
        <f t="shared" si="117"/>
        <v>0.12486929252202904</v>
      </c>
      <c r="T181" s="3">
        <f t="shared" si="117"/>
        <v>0.12486929252202897</v>
      </c>
      <c r="U181" s="3">
        <f t="shared" si="117"/>
        <v>0.12486929252202827</v>
      </c>
      <c r="V181" s="3">
        <f t="shared" si="117"/>
        <v>0.12486929252202136</v>
      </c>
      <c r="W181" s="3">
        <f t="shared" si="117"/>
        <v>0.12486929252195206</v>
      </c>
      <c r="X181" s="3">
        <f t="shared" si="117"/>
        <v>0.12486929252125915</v>
      </c>
      <c r="Y181" s="3">
        <f t="shared" si="117"/>
        <v>0.12486929251433007</v>
      </c>
      <c r="Z181" s="3">
        <f t="shared" si="117"/>
        <v>0.12486929244503921</v>
      </c>
      <c r="AA181" s="3">
        <f t="shared" si="117"/>
        <v>0.1248692917521306</v>
      </c>
      <c r="AB181" s="3">
        <f t="shared" si="117"/>
        <v>0.1248692848230448</v>
      </c>
      <c r="AC181" s="3">
        <f t="shared" si="117"/>
        <v>0.12486921553220789</v>
      </c>
      <c r="AD181" s="3">
        <f t="shared" si="117"/>
        <v>0.12486852262595359</v>
      </c>
      <c r="AE181" s="3">
        <f t="shared" si="117"/>
        <v>0.12486159377488068</v>
      </c>
      <c r="AF181" s="3">
        <f t="shared" si="117"/>
        <v>0.12479232640682376</v>
      </c>
      <c r="AG181" s="3"/>
      <c r="AH181" s="3"/>
    </row>
    <row r="182" spans="2:34" x14ac:dyDescent="0.25">
      <c r="B182" s="3">
        <f t="shared" ref="B182:AF182" si="118">$C29*EXP(-B$168/$A29/EXP(-$C$126))</f>
        <v>7.1899142973036512E-2</v>
      </c>
      <c r="C182" s="3">
        <f t="shared" si="118"/>
        <v>7.1899142973036512E-2</v>
      </c>
      <c r="D182" s="3">
        <f t="shared" si="118"/>
        <v>7.1899142973036512E-2</v>
      </c>
      <c r="E182" s="3">
        <f t="shared" si="118"/>
        <v>7.1899142973036512E-2</v>
      </c>
      <c r="F182" s="3">
        <f t="shared" si="118"/>
        <v>7.1899142973036512E-2</v>
      </c>
      <c r="G182" s="3">
        <f t="shared" si="118"/>
        <v>7.1899142973036512E-2</v>
      </c>
      <c r="H182" s="3">
        <f t="shared" si="118"/>
        <v>7.1899142973036512E-2</v>
      </c>
      <c r="I182" s="3">
        <f t="shared" si="118"/>
        <v>7.1899142973036512E-2</v>
      </c>
      <c r="J182" s="3">
        <f t="shared" si="118"/>
        <v>7.1899142973036512E-2</v>
      </c>
      <c r="K182" s="3">
        <f t="shared" si="118"/>
        <v>7.1899142973036512E-2</v>
      </c>
      <c r="L182" s="3">
        <f t="shared" si="118"/>
        <v>7.1899142973036512E-2</v>
      </c>
      <c r="M182" s="3">
        <f t="shared" si="118"/>
        <v>7.1899142973036512E-2</v>
      </c>
      <c r="N182" s="3">
        <f t="shared" si="118"/>
        <v>7.1899142973036512E-2</v>
      </c>
      <c r="O182" s="3">
        <f t="shared" si="118"/>
        <v>7.1899142973036512E-2</v>
      </c>
      <c r="P182" s="3">
        <f t="shared" si="118"/>
        <v>7.1899142973036512E-2</v>
      </c>
      <c r="Q182" s="3">
        <f t="shared" si="118"/>
        <v>7.1899142973036512E-2</v>
      </c>
      <c r="R182" s="3">
        <f t="shared" si="118"/>
        <v>7.1899142973036512E-2</v>
      </c>
      <c r="S182" s="3">
        <f t="shared" si="118"/>
        <v>7.1899142973036512E-2</v>
      </c>
      <c r="T182" s="3">
        <f t="shared" si="118"/>
        <v>7.1899142973036498E-2</v>
      </c>
      <c r="U182" s="3">
        <f t="shared" si="118"/>
        <v>7.189914297303647E-2</v>
      </c>
      <c r="V182" s="3">
        <f t="shared" si="118"/>
        <v>7.1899142973036109E-2</v>
      </c>
      <c r="W182" s="3">
        <f t="shared" si="118"/>
        <v>7.1899142973032515E-2</v>
      </c>
      <c r="X182" s="3">
        <f t="shared" si="118"/>
        <v>7.1899142972996516E-2</v>
      </c>
      <c r="Y182" s="3">
        <f t="shared" si="118"/>
        <v>7.1899142972636623E-2</v>
      </c>
      <c r="Z182" s="3">
        <f t="shared" si="118"/>
        <v>7.1899142969037544E-2</v>
      </c>
      <c r="AA182" s="3">
        <f t="shared" si="118"/>
        <v>7.189914293304682E-2</v>
      </c>
      <c r="AB182" s="3">
        <f t="shared" si="118"/>
        <v>7.1899142573139549E-2</v>
      </c>
      <c r="AC182" s="3">
        <f t="shared" si="118"/>
        <v>7.1899138974067064E-2</v>
      </c>
      <c r="AD182" s="3">
        <f t="shared" si="118"/>
        <v>7.1899102983352045E-2</v>
      </c>
      <c r="AE182" s="3">
        <f t="shared" si="118"/>
        <v>7.1898743077192739E-2</v>
      </c>
      <c r="AF182" s="3">
        <f t="shared" si="118"/>
        <v>7.189514411468545E-2</v>
      </c>
      <c r="AG182" s="3"/>
      <c r="AH182" s="3"/>
    </row>
    <row r="183" spans="2:34" x14ac:dyDescent="0.25">
      <c r="B183" s="3">
        <f t="shared" ref="B183:AF183" si="119">$C30*EXP(-B$168/$A30/EXP(-$C$126))</f>
        <v>4.7675556768581172E-2</v>
      </c>
      <c r="C183" s="3">
        <f t="shared" si="119"/>
        <v>4.7675556768581172E-2</v>
      </c>
      <c r="D183" s="3">
        <f t="shared" si="119"/>
        <v>4.7675556768581172E-2</v>
      </c>
      <c r="E183" s="3">
        <f t="shared" si="119"/>
        <v>4.7675556768581172E-2</v>
      </c>
      <c r="F183" s="3">
        <f t="shared" si="119"/>
        <v>4.7675556768581172E-2</v>
      </c>
      <c r="G183" s="3">
        <f t="shared" si="119"/>
        <v>4.7675556768581172E-2</v>
      </c>
      <c r="H183" s="3">
        <f t="shared" si="119"/>
        <v>4.7675556768581172E-2</v>
      </c>
      <c r="I183" s="3">
        <f t="shared" si="119"/>
        <v>4.7675556768581172E-2</v>
      </c>
      <c r="J183" s="3">
        <f t="shared" si="119"/>
        <v>4.7675556768581172E-2</v>
      </c>
      <c r="K183" s="3">
        <f t="shared" si="119"/>
        <v>4.7675556768581172E-2</v>
      </c>
      <c r="L183" s="3">
        <f t="shared" si="119"/>
        <v>4.7675556768581172E-2</v>
      </c>
      <c r="M183" s="3">
        <f t="shared" si="119"/>
        <v>4.7675556768581172E-2</v>
      </c>
      <c r="N183" s="3">
        <f t="shared" si="119"/>
        <v>4.7675556768581172E-2</v>
      </c>
      <c r="O183" s="3">
        <f t="shared" si="119"/>
        <v>4.7675556768581172E-2</v>
      </c>
      <c r="P183" s="3">
        <f t="shared" si="119"/>
        <v>4.7675556768581172E-2</v>
      </c>
      <c r="Q183" s="3">
        <f t="shared" si="119"/>
        <v>4.7675556768581172E-2</v>
      </c>
      <c r="R183" s="3">
        <f t="shared" si="119"/>
        <v>4.7675556768581172E-2</v>
      </c>
      <c r="S183" s="3">
        <f t="shared" si="119"/>
        <v>4.7675556768581172E-2</v>
      </c>
      <c r="T183" s="3">
        <f t="shared" si="119"/>
        <v>4.7675556768581172E-2</v>
      </c>
      <c r="U183" s="3">
        <f t="shared" si="119"/>
        <v>4.7675556768581172E-2</v>
      </c>
      <c r="V183" s="3">
        <f t="shared" si="119"/>
        <v>4.7675556768581144E-2</v>
      </c>
      <c r="W183" s="3">
        <f t="shared" si="119"/>
        <v>4.7675556768580936E-2</v>
      </c>
      <c r="X183" s="3">
        <f t="shared" si="119"/>
        <v>4.7675556768578778E-2</v>
      </c>
      <c r="Y183" s="3">
        <f t="shared" si="119"/>
        <v>4.7675556768557253E-2</v>
      </c>
      <c r="Z183" s="3">
        <f t="shared" si="119"/>
        <v>4.7675556768341967E-2</v>
      </c>
      <c r="AA183" s="3">
        <f t="shared" si="119"/>
        <v>4.7675556766189141E-2</v>
      </c>
      <c r="AB183" s="3">
        <f t="shared" si="119"/>
        <v>4.7675556744660862E-2</v>
      </c>
      <c r="AC183" s="3">
        <f t="shared" si="119"/>
        <v>4.7675556529378105E-2</v>
      </c>
      <c r="AD183" s="3">
        <f t="shared" si="119"/>
        <v>4.7675554376550536E-2</v>
      </c>
      <c r="AE183" s="3">
        <f t="shared" si="119"/>
        <v>4.7675532848280182E-2</v>
      </c>
      <c r="AF183" s="3">
        <f t="shared" si="119"/>
        <v>4.7675317566111382E-2</v>
      </c>
      <c r="AG183" s="3"/>
      <c r="AH183" s="3"/>
    </row>
    <row r="184" spans="2:34" x14ac:dyDescent="0.25">
      <c r="B184" s="3">
        <f t="shared" ref="B184:AF184" si="120">$C31*EXP(-B$168/$A31/EXP(-$C$126))</f>
        <v>1.9951380582978136E-2</v>
      </c>
      <c r="C184" s="3">
        <f t="shared" si="120"/>
        <v>1.9951380582978136E-2</v>
      </c>
      <c r="D184" s="3">
        <f t="shared" si="120"/>
        <v>1.9951380582978136E-2</v>
      </c>
      <c r="E184" s="3">
        <f t="shared" si="120"/>
        <v>1.9951380582978136E-2</v>
      </c>
      <c r="F184" s="3">
        <f t="shared" si="120"/>
        <v>1.9951380582978136E-2</v>
      </c>
      <c r="G184" s="3">
        <f t="shared" si="120"/>
        <v>1.9951380582978136E-2</v>
      </c>
      <c r="H184" s="3">
        <f t="shared" si="120"/>
        <v>1.9951380582978136E-2</v>
      </c>
      <c r="I184" s="3">
        <f t="shared" si="120"/>
        <v>1.9951380582978136E-2</v>
      </c>
      <c r="J184" s="3">
        <f t="shared" si="120"/>
        <v>1.9951380582978136E-2</v>
      </c>
      <c r="K184" s="3">
        <f t="shared" si="120"/>
        <v>1.9951380582978136E-2</v>
      </c>
      <c r="L184" s="3">
        <f t="shared" si="120"/>
        <v>1.9951380582978136E-2</v>
      </c>
      <c r="M184" s="3">
        <f t="shared" si="120"/>
        <v>1.9951380582978136E-2</v>
      </c>
      <c r="N184" s="3">
        <f t="shared" si="120"/>
        <v>1.9951380582978136E-2</v>
      </c>
      <c r="O184" s="3">
        <f t="shared" si="120"/>
        <v>1.9951380582978136E-2</v>
      </c>
      <c r="P184" s="3">
        <f t="shared" si="120"/>
        <v>1.9951380582978136E-2</v>
      </c>
      <c r="Q184" s="3">
        <f t="shared" si="120"/>
        <v>1.9951380582978136E-2</v>
      </c>
      <c r="R184" s="3">
        <f t="shared" si="120"/>
        <v>1.9951380582978136E-2</v>
      </c>
      <c r="S184" s="3">
        <f t="shared" si="120"/>
        <v>1.9951380582978136E-2</v>
      </c>
      <c r="T184" s="3">
        <f t="shared" si="120"/>
        <v>1.9951380582978136E-2</v>
      </c>
      <c r="U184" s="3">
        <f t="shared" si="120"/>
        <v>1.9951380582978136E-2</v>
      </c>
      <c r="V184" s="3">
        <f t="shared" si="120"/>
        <v>1.9951380582978136E-2</v>
      </c>
      <c r="W184" s="3">
        <f t="shared" si="120"/>
        <v>1.9951380582978125E-2</v>
      </c>
      <c r="X184" s="3">
        <f t="shared" si="120"/>
        <v>1.9951380582978046E-2</v>
      </c>
      <c r="Y184" s="3">
        <f t="shared" si="120"/>
        <v>1.9951380582977234E-2</v>
      </c>
      <c r="Z184" s="3">
        <f t="shared" si="120"/>
        <v>1.9951380582969105E-2</v>
      </c>
      <c r="AA184" s="3">
        <f t="shared" si="120"/>
        <v>1.9951380582887836E-2</v>
      </c>
      <c r="AB184" s="3">
        <f t="shared" si="120"/>
        <v>1.9951380582075129E-2</v>
      </c>
      <c r="AC184" s="3">
        <f t="shared" si="120"/>
        <v>1.9951380573948078E-2</v>
      </c>
      <c r="AD184" s="3">
        <f t="shared" si="120"/>
        <v>1.995138049267756E-2</v>
      </c>
      <c r="AE184" s="3">
        <f t="shared" si="120"/>
        <v>1.99513796799724E-2</v>
      </c>
      <c r="AF184" s="3">
        <f t="shared" si="120"/>
        <v>1.9951371552922603E-2</v>
      </c>
      <c r="AG184" s="3"/>
      <c r="AH184" s="3"/>
    </row>
    <row r="185" spans="2:34" x14ac:dyDescent="0.25">
      <c r="B185" s="3">
        <f t="shared" ref="B185:AF185" si="121">$C32*EXP(-B$168/$A32/EXP(-$C$126))</f>
        <v>3.7229726854135226E-3</v>
      </c>
      <c r="C185" s="3">
        <f t="shared" si="121"/>
        <v>3.7229726854135226E-3</v>
      </c>
      <c r="D185" s="3">
        <f t="shared" si="121"/>
        <v>3.7229726854135226E-3</v>
      </c>
      <c r="E185" s="3">
        <f t="shared" si="121"/>
        <v>3.7229726854135226E-3</v>
      </c>
      <c r="F185" s="3">
        <f t="shared" si="121"/>
        <v>3.7229726854135226E-3</v>
      </c>
      <c r="G185" s="3">
        <f t="shared" si="121"/>
        <v>3.7229726854135226E-3</v>
      </c>
      <c r="H185" s="3">
        <f t="shared" si="121"/>
        <v>3.7229726854135226E-3</v>
      </c>
      <c r="I185" s="3">
        <f t="shared" si="121"/>
        <v>3.7229726854135226E-3</v>
      </c>
      <c r="J185" s="3">
        <f t="shared" si="121"/>
        <v>3.7229726854135226E-3</v>
      </c>
      <c r="K185" s="3">
        <f t="shared" si="121"/>
        <v>3.7229726854135226E-3</v>
      </c>
      <c r="L185" s="3">
        <f t="shared" si="121"/>
        <v>3.7229726854135226E-3</v>
      </c>
      <c r="M185" s="3">
        <f t="shared" si="121"/>
        <v>3.7229726854135226E-3</v>
      </c>
      <c r="N185" s="3">
        <f t="shared" si="121"/>
        <v>3.7229726854135226E-3</v>
      </c>
      <c r="O185" s="3">
        <f t="shared" si="121"/>
        <v>3.7229726854135226E-3</v>
      </c>
      <c r="P185" s="3">
        <f t="shared" si="121"/>
        <v>3.7229726854135226E-3</v>
      </c>
      <c r="Q185" s="3">
        <f t="shared" si="121"/>
        <v>3.7229726854135226E-3</v>
      </c>
      <c r="R185" s="3">
        <f t="shared" si="121"/>
        <v>3.7229726854135226E-3</v>
      </c>
      <c r="S185" s="3">
        <f t="shared" si="121"/>
        <v>3.7229726854135226E-3</v>
      </c>
      <c r="T185" s="3">
        <f t="shared" si="121"/>
        <v>3.7229726854135226E-3</v>
      </c>
      <c r="U185" s="3">
        <f t="shared" si="121"/>
        <v>3.7229726854135226E-3</v>
      </c>
      <c r="V185" s="3">
        <f t="shared" si="121"/>
        <v>3.7229726854135226E-3</v>
      </c>
      <c r="W185" s="3">
        <f t="shared" si="121"/>
        <v>3.7229726854135226E-3</v>
      </c>
      <c r="X185" s="3">
        <f t="shared" si="121"/>
        <v>3.7229726854135208E-3</v>
      </c>
      <c r="Y185" s="3">
        <f t="shared" si="121"/>
        <v>3.7229726854135074E-3</v>
      </c>
      <c r="Z185" s="3">
        <f t="shared" si="121"/>
        <v>3.7229726854133703E-3</v>
      </c>
      <c r="AA185" s="3">
        <f t="shared" si="121"/>
        <v>3.7229726854120025E-3</v>
      </c>
      <c r="AB185" s="3">
        <f t="shared" si="121"/>
        <v>3.722972685398322E-3</v>
      </c>
      <c r="AC185" s="3">
        <f t="shared" si="121"/>
        <v>3.7229726852615191E-3</v>
      </c>
      <c r="AD185" s="3">
        <f t="shared" si="121"/>
        <v>3.7229726838934859E-3</v>
      </c>
      <c r="AE185" s="3">
        <f t="shared" si="121"/>
        <v>3.7229726702131581E-3</v>
      </c>
      <c r="AF185" s="3">
        <f t="shared" si="121"/>
        <v>3.7229725334098789E-3</v>
      </c>
      <c r="AG185" s="3"/>
      <c r="AH185" s="3"/>
    </row>
    <row r="186" spans="2:34" x14ac:dyDescent="0.25">
      <c r="B186" s="3">
        <f t="shared" ref="B186:AF186" si="122">$C33*EXP(-B$168/$A33/EXP(-$C$126))</f>
        <v>3.2258116785225384E-3</v>
      </c>
      <c r="C186" s="3">
        <f t="shared" si="122"/>
        <v>3.2258116785225384E-3</v>
      </c>
      <c r="D186" s="3">
        <f t="shared" si="122"/>
        <v>3.2258116785225384E-3</v>
      </c>
      <c r="E186" s="3">
        <f t="shared" si="122"/>
        <v>3.2258116785225384E-3</v>
      </c>
      <c r="F186" s="3">
        <f t="shared" si="122"/>
        <v>3.2258116785225384E-3</v>
      </c>
      <c r="G186" s="3">
        <f t="shared" si="122"/>
        <v>3.2258116785225384E-3</v>
      </c>
      <c r="H186" s="3">
        <f t="shared" si="122"/>
        <v>3.2258116785225384E-3</v>
      </c>
      <c r="I186" s="3">
        <f t="shared" si="122"/>
        <v>3.2258116785225384E-3</v>
      </c>
      <c r="J186" s="3">
        <f t="shared" si="122"/>
        <v>3.2258116785225384E-3</v>
      </c>
      <c r="K186" s="3">
        <f t="shared" si="122"/>
        <v>3.2258116785225384E-3</v>
      </c>
      <c r="L186" s="3">
        <f t="shared" si="122"/>
        <v>3.2258116785225384E-3</v>
      </c>
      <c r="M186" s="3">
        <f t="shared" si="122"/>
        <v>3.2258116785225384E-3</v>
      </c>
      <c r="N186" s="3">
        <f t="shared" si="122"/>
        <v>3.2258116785225384E-3</v>
      </c>
      <c r="O186" s="3">
        <f t="shared" si="122"/>
        <v>3.2258116785225384E-3</v>
      </c>
      <c r="P186" s="3">
        <f t="shared" si="122"/>
        <v>3.2258116785225384E-3</v>
      </c>
      <c r="Q186" s="3">
        <f t="shared" si="122"/>
        <v>3.2258116785225384E-3</v>
      </c>
      <c r="R186" s="3">
        <f t="shared" si="122"/>
        <v>3.2258116785225384E-3</v>
      </c>
      <c r="S186" s="3">
        <f t="shared" si="122"/>
        <v>3.2258116785225384E-3</v>
      </c>
      <c r="T186" s="3">
        <f t="shared" si="122"/>
        <v>3.2258116785225384E-3</v>
      </c>
      <c r="U186" s="3">
        <f t="shared" si="122"/>
        <v>3.2258116785225384E-3</v>
      </c>
      <c r="V186" s="3">
        <f t="shared" si="122"/>
        <v>3.2258116785225384E-3</v>
      </c>
      <c r="W186" s="3">
        <f t="shared" si="122"/>
        <v>3.2258116785225384E-3</v>
      </c>
      <c r="X186" s="3">
        <f t="shared" si="122"/>
        <v>3.2258116785225384E-3</v>
      </c>
      <c r="Y186" s="3">
        <f t="shared" si="122"/>
        <v>3.2258116785225375E-3</v>
      </c>
      <c r="Z186" s="3">
        <f t="shared" si="122"/>
        <v>3.2258116785225267E-3</v>
      </c>
      <c r="AA186" s="3">
        <f t="shared" si="122"/>
        <v>3.2258116785224195E-3</v>
      </c>
      <c r="AB186" s="3">
        <f t="shared" si="122"/>
        <v>3.2258116785213505E-3</v>
      </c>
      <c r="AC186" s="3">
        <f t="shared" si="122"/>
        <v>3.2258116785106577E-3</v>
      </c>
      <c r="AD186" s="3">
        <f t="shared" si="122"/>
        <v>3.2258116784037293E-3</v>
      </c>
      <c r="AE186" s="3">
        <f t="shared" si="122"/>
        <v>3.2258116773344475E-3</v>
      </c>
      <c r="AF186" s="3">
        <f t="shared" si="122"/>
        <v>3.2258116666416268E-3</v>
      </c>
      <c r="AG186" s="3"/>
      <c r="AH186" s="3"/>
    </row>
    <row r="187" spans="2:34" x14ac:dyDescent="0.25">
      <c r="B187" s="3">
        <f t="shared" ref="B187:AF187" si="123">$C34*EXP(-B$168/$A34/EXP(-$C$126))</f>
        <v>4.6514491459037388E-4</v>
      </c>
      <c r="C187" s="3">
        <f t="shared" si="123"/>
        <v>4.6514491459037388E-4</v>
      </c>
      <c r="D187" s="3">
        <f t="shared" si="123"/>
        <v>4.6514491459037388E-4</v>
      </c>
      <c r="E187" s="3">
        <f t="shared" si="123"/>
        <v>4.6514491459037388E-4</v>
      </c>
      <c r="F187" s="3">
        <f t="shared" si="123"/>
        <v>4.6514491459037388E-4</v>
      </c>
      <c r="G187" s="3">
        <f t="shared" si="123"/>
        <v>4.6514491459037388E-4</v>
      </c>
      <c r="H187" s="3">
        <f t="shared" si="123"/>
        <v>4.6514491459037388E-4</v>
      </c>
      <c r="I187" s="3">
        <f t="shared" si="123"/>
        <v>4.6514491459037388E-4</v>
      </c>
      <c r="J187" s="3">
        <f t="shared" si="123"/>
        <v>4.6514491459037388E-4</v>
      </c>
      <c r="K187" s="3">
        <f t="shared" si="123"/>
        <v>4.6514491459037388E-4</v>
      </c>
      <c r="L187" s="3">
        <f t="shared" si="123"/>
        <v>4.6514491459037388E-4</v>
      </c>
      <c r="M187" s="3">
        <f t="shared" si="123"/>
        <v>4.6514491459037388E-4</v>
      </c>
      <c r="N187" s="3">
        <f t="shared" si="123"/>
        <v>4.6514491459037388E-4</v>
      </c>
      <c r="O187" s="3">
        <f t="shared" si="123"/>
        <v>4.6514491459037388E-4</v>
      </c>
      <c r="P187" s="3">
        <f t="shared" si="123"/>
        <v>4.6514491459037388E-4</v>
      </c>
      <c r="Q187" s="3">
        <f t="shared" si="123"/>
        <v>4.6514491459037388E-4</v>
      </c>
      <c r="R187" s="3">
        <f t="shared" si="123"/>
        <v>4.6514491459037388E-4</v>
      </c>
      <c r="S187" s="3">
        <f t="shared" si="123"/>
        <v>4.6514491459037388E-4</v>
      </c>
      <c r="T187" s="3">
        <f t="shared" si="123"/>
        <v>4.6514491459037388E-4</v>
      </c>
      <c r="U187" s="3">
        <f t="shared" si="123"/>
        <v>4.6514491459037388E-4</v>
      </c>
      <c r="V187" s="3">
        <f t="shared" si="123"/>
        <v>4.6514491459037388E-4</v>
      </c>
      <c r="W187" s="3">
        <f t="shared" si="123"/>
        <v>4.6514491459037388E-4</v>
      </c>
      <c r="X187" s="3">
        <f t="shared" si="123"/>
        <v>4.6514491459037388E-4</v>
      </c>
      <c r="Y187" s="3">
        <f t="shared" si="123"/>
        <v>4.6514491459037388E-4</v>
      </c>
      <c r="Z187" s="3">
        <f t="shared" si="123"/>
        <v>4.6514491459037372E-4</v>
      </c>
      <c r="AA187" s="3">
        <f t="shared" si="123"/>
        <v>4.6514491459037231E-4</v>
      </c>
      <c r="AB187" s="3">
        <f t="shared" si="123"/>
        <v>4.6514491459035843E-4</v>
      </c>
      <c r="AC187" s="3">
        <f t="shared" si="123"/>
        <v>4.6514491459021933E-4</v>
      </c>
      <c r="AD187" s="3">
        <f t="shared" si="123"/>
        <v>4.6514491458882846E-4</v>
      </c>
      <c r="AE187" s="3">
        <f t="shared" si="123"/>
        <v>4.6514491457491972E-4</v>
      </c>
      <c r="AF187" s="3">
        <f t="shared" si="123"/>
        <v>4.6514491443583219E-4</v>
      </c>
      <c r="AG187" s="3"/>
      <c r="AH187" s="3"/>
    </row>
    <row r="188" spans="2:34" x14ac:dyDescent="0.25">
      <c r="B188" s="3">
        <f t="shared" ref="B188:AF188" si="124">$C35*EXP(-B$168/$A35/EXP(-$C$126))</f>
        <v>1.1429544870574336E-5</v>
      </c>
      <c r="C188" s="3">
        <f t="shared" si="124"/>
        <v>1.1429544870574336E-5</v>
      </c>
      <c r="D188" s="3">
        <f t="shared" si="124"/>
        <v>1.1429544870574336E-5</v>
      </c>
      <c r="E188" s="3">
        <f t="shared" si="124"/>
        <v>1.1429544870574336E-5</v>
      </c>
      <c r="F188" s="3">
        <f t="shared" si="124"/>
        <v>1.1429544870574336E-5</v>
      </c>
      <c r="G188" s="3">
        <f t="shared" si="124"/>
        <v>1.1429544870574336E-5</v>
      </c>
      <c r="H188" s="3">
        <f t="shared" si="124"/>
        <v>1.1429544870574336E-5</v>
      </c>
      <c r="I188" s="3">
        <f t="shared" si="124"/>
        <v>1.1429544870574336E-5</v>
      </c>
      <c r="J188" s="3">
        <f t="shared" si="124"/>
        <v>1.1429544870574336E-5</v>
      </c>
      <c r="K188" s="3">
        <f t="shared" si="124"/>
        <v>1.1429544870574336E-5</v>
      </c>
      <c r="L188" s="3">
        <f t="shared" si="124"/>
        <v>1.1429544870574336E-5</v>
      </c>
      <c r="M188" s="3">
        <f t="shared" si="124"/>
        <v>1.1429544870574336E-5</v>
      </c>
      <c r="N188" s="3">
        <f t="shared" si="124"/>
        <v>1.1429544870574336E-5</v>
      </c>
      <c r="O188" s="3">
        <f t="shared" si="124"/>
        <v>1.1429544870574336E-5</v>
      </c>
      <c r="P188" s="3">
        <f t="shared" si="124"/>
        <v>1.1429544870574336E-5</v>
      </c>
      <c r="Q188" s="3">
        <f t="shared" si="124"/>
        <v>1.1429544870574336E-5</v>
      </c>
      <c r="R188" s="3">
        <f t="shared" si="124"/>
        <v>1.1429544870574336E-5</v>
      </c>
      <c r="S188" s="3">
        <f t="shared" si="124"/>
        <v>1.1429544870574336E-5</v>
      </c>
      <c r="T188" s="3">
        <f t="shared" si="124"/>
        <v>1.1429544870574336E-5</v>
      </c>
      <c r="U188" s="3">
        <f t="shared" si="124"/>
        <v>1.1429544870574336E-5</v>
      </c>
      <c r="V188" s="3">
        <f t="shared" si="124"/>
        <v>1.1429544870574336E-5</v>
      </c>
      <c r="W188" s="3">
        <f t="shared" si="124"/>
        <v>1.1429544870574336E-5</v>
      </c>
      <c r="X188" s="3">
        <f t="shared" si="124"/>
        <v>1.1429544870574336E-5</v>
      </c>
      <c r="Y188" s="3">
        <f t="shared" si="124"/>
        <v>1.1429544870574336E-5</v>
      </c>
      <c r="Z188" s="3">
        <f t="shared" si="124"/>
        <v>1.1429544870574336E-5</v>
      </c>
      <c r="AA188" s="3">
        <f t="shared" si="124"/>
        <v>1.1429544870574332E-5</v>
      </c>
      <c r="AB188" s="3">
        <f t="shared" si="124"/>
        <v>1.1429544870574302E-5</v>
      </c>
      <c r="AC188" s="3">
        <f t="shared" si="124"/>
        <v>1.1429544870573994E-5</v>
      </c>
      <c r="AD188" s="3">
        <f t="shared" si="124"/>
        <v>1.142954487057091E-5</v>
      </c>
      <c r="AE188" s="3">
        <f t="shared" si="124"/>
        <v>1.142954487054008E-5</v>
      </c>
      <c r="AF188" s="3">
        <f t="shared" si="124"/>
        <v>1.1429544870231779E-5</v>
      </c>
      <c r="AG188" s="3"/>
      <c r="AH188" s="3"/>
    </row>
    <row r="189" spans="2:34" x14ac:dyDescent="0.25">
      <c r="B189" s="3">
        <f t="shared" ref="B189:AF189" si="125">$C36*EXP(-B$168/$A36/EXP(-$C$126))</f>
        <v>2.5915484418969715E-5</v>
      </c>
      <c r="C189" s="3">
        <f t="shared" si="125"/>
        <v>2.5915484418969715E-5</v>
      </c>
      <c r="D189" s="3">
        <f t="shared" si="125"/>
        <v>2.5915484418969715E-5</v>
      </c>
      <c r="E189" s="3">
        <f t="shared" si="125"/>
        <v>2.5915484418969715E-5</v>
      </c>
      <c r="F189" s="3">
        <f t="shared" si="125"/>
        <v>2.5915484418969715E-5</v>
      </c>
      <c r="G189" s="3">
        <f t="shared" si="125"/>
        <v>2.5915484418969715E-5</v>
      </c>
      <c r="H189" s="3">
        <f t="shared" si="125"/>
        <v>2.5915484418969715E-5</v>
      </c>
      <c r="I189" s="3">
        <f t="shared" si="125"/>
        <v>2.5915484418969715E-5</v>
      </c>
      <c r="J189" s="3">
        <f t="shared" si="125"/>
        <v>2.5915484418969715E-5</v>
      </c>
      <c r="K189" s="3">
        <f t="shared" si="125"/>
        <v>2.5915484418969715E-5</v>
      </c>
      <c r="L189" s="3">
        <f t="shared" si="125"/>
        <v>2.5915484418969715E-5</v>
      </c>
      <c r="M189" s="3">
        <f t="shared" si="125"/>
        <v>2.5915484418969715E-5</v>
      </c>
      <c r="N189" s="3">
        <f t="shared" si="125"/>
        <v>2.5915484418969715E-5</v>
      </c>
      <c r="O189" s="3">
        <f t="shared" si="125"/>
        <v>2.5915484418969715E-5</v>
      </c>
      <c r="P189" s="3">
        <f t="shared" si="125"/>
        <v>2.5915484418969715E-5</v>
      </c>
      <c r="Q189" s="3">
        <f t="shared" si="125"/>
        <v>2.5915484418969715E-5</v>
      </c>
      <c r="R189" s="3">
        <f t="shared" si="125"/>
        <v>2.5915484418969715E-5</v>
      </c>
      <c r="S189" s="3">
        <f t="shared" si="125"/>
        <v>2.5915484418969715E-5</v>
      </c>
      <c r="T189" s="3">
        <f t="shared" si="125"/>
        <v>2.5915484418969715E-5</v>
      </c>
      <c r="U189" s="3">
        <f t="shared" si="125"/>
        <v>2.5915484418969715E-5</v>
      </c>
      <c r="V189" s="3">
        <f t="shared" si="125"/>
        <v>2.5915484418969715E-5</v>
      </c>
      <c r="W189" s="3">
        <f t="shared" si="125"/>
        <v>2.5915484418969715E-5</v>
      </c>
      <c r="X189" s="3">
        <f t="shared" si="125"/>
        <v>2.5915484418969715E-5</v>
      </c>
      <c r="Y189" s="3">
        <f t="shared" si="125"/>
        <v>2.5915484418969715E-5</v>
      </c>
      <c r="Z189" s="3">
        <f t="shared" si="125"/>
        <v>2.5915484418969715E-5</v>
      </c>
      <c r="AA189" s="3">
        <f t="shared" si="125"/>
        <v>2.5915484418969715E-5</v>
      </c>
      <c r="AB189" s="3">
        <f t="shared" si="125"/>
        <v>2.5915484418969708E-5</v>
      </c>
      <c r="AC189" s="3">
        <f t="shared" si="125"/>
        <v>2.5915484418969647E-5</v>
      </c>
      <c r="AD189" s="3">
        <f t="shared" si="125"/>
        <v>2.5915484418969014E-5</v>
      </c>
      <c r="AE189" s="3">
        <f t="shared" si="125"/>
        <v>2.5915484418962708E-5</v>
      </c>
      <c r="AF189" s="3">
        <f t="shared" si="125"/>
        <v>2.5915484418899648E-5</v>
      </c>
      <c r="AG189" s="3"/>
      <c r="AH189" s="3"/>
    </row>
    <row r="190" spans="2:34" x14ac:dyDescent="0.25">
      <c r="B190" s="3">
        <f t="shared" ref="B190:AF190" si="126">$C37*EXP(-B$168/$A37/EXP(-$C$126))</f>
        <v>2.9552981931303355E-5</v>
      </c>
      <c r="C190" s="3">
        <f t="shared" si="126"/>
        <v>2.9552981931303355E-5</v>
      </c>
      <c r="D190" s="3">
        <f t="shared" si="126"/>
        <v>2.9552981931303355E-5</v>
      </c>
      <c r="E190" s="3">
        <f t="shared" si="126"/>
        <v>2.9552981931303355E-5</v>
      </c>
      <c r="F190" s="3">
        <f t="shared" si="126"/>
        <v>2.9552981931303355E-5</v>
      </c>
      <c r="G190" s="3">
        <f t="shared" si="126"/>
        <v>2.9552981931303355E-5</v>
      </c>
      <c r="H190" s="3">
        <f t="shared" si="126"/>
        <v>2.9552981931303355E-5</v>
      </c>
      <c r="I190" s="3">
        <f t="shared" si="126"/>
        <v>2.9552981931303355E-5</v>
      </c>
      <c r="J190" s="3">
        <f t="shared" si="126"/>
        <v>2.9552981931303355E-5</v>
      </c>
      <c r="K190" s="3">
        <f t="shared" si="126"/>
        <v>2.9552981931303355E-5</v>
      </c>
      <c r="L190" s="3">
        <f t="shared" si="126"/>
        <v>2.9552981931303355E-5</v>
      </c>
      <c r="M190" s="3">
        <f t="shared" si="126"/>
        <v>2.9552981931303355E-5</v>
      </c>
      <c r="N190" s="3">
        <f t="shared" si="126"/>
        <v>2.9552981931303355E-5</v>
      </c>
      <c r="O190" s="3">
        <f t="shared" si="126"/>
        <v>2.9552981931303355E-5</v>
      </c>
      <c r="P190" s="3">
        <f t="shared" si="126"/>
        <v>2.9552981931303355E-5</v>
      </c>
      <c r="Q190" s="3">
        <f t="shared" si="126"/>
        <v>2.9552981931303355E-5</v>
      </c>
      <c r="R190" s="3">
        <f t="shared" si="126"/>
        <v>2.9552981931303355E-5</v>
      </c>
      <c r="S190" s="3">
        <f t="shared" si="126"/>
        <v>2.9552981931303355E-5</v>
      </c>
      <c r="T190" s="3">
        <f t="shared" si="126"/>
        <v>2.9552981931303355E-5</v>
      </c>
      <c r="U190" s="3">
        <f t="shared" si="126"/>
        <v>2.9552981931303355E-5</v>
      </c>
      <c r="V190" s="3">
        <f t="shared" si="126"/>
        <v>2.9552981931303355E-5</v>
      </c>
      <c r="W190" s="3">
        <f t="shared" si="126"/>
        <v>2.9552981931303355E-5</v>
      </c>
      <c r="X190" s="3">
        <f t="shared" si="126"/>
        <v>2.9552981931303355E-5</v>
      </c>
      <c r="Y190" s="3">
        <f t="shared" si="126"/>
        <v>2.9552981931303355E-5</v>
      </c>
      <c r="Z190" s="3">
        <f t="shared" si="126"/>
        <v>2.9552981931303355E-5</v>
      </c>
      <c r="AA190" s="3">
        <f t="shared" si="126"/>
        <v>2.9552981931303355E-5</v>
      </c>
      <c r="AB190" s="3">
        <f t="shared" si="126"/>
        <v>2.9552981931303355E-5</v>
      </c>
      <c r="AC190" s="3">
        <f t="shared" si="126"/>
        <v>2.9552981931303348E-5</v>
      </c>
      <c r="AD190" s="3">
        <f t="shared" si="126"/>
        <v>2.9552981931303284E-5</v>
      </c>
      <c r="AE190" s="3">
        <f t="shared" si="126"/>
        <v>2.9552981931302633E-5</v>
      </c>
      <c r="AF190" s="3">
        <f t="shared" si="126"/>
        <v>2.9552981931296145E-5</v>
      </c>
      <c r="AG190" s="3"/>
      <c r="AH190" s="3"/>
    </row>
    <row r="191" spans="2:34" x14ac:dyDescent="0.25">
      <c r="B191" s="3">
        <f t="shared" ref="B191:AF191" si="127">$C38*EXP(-B$168/$A38/EXP(-$C$126))</f>
        <v>3.2731039559542382E-6</v>
      </c>
      <c r="C191" s="3">
        <f t="shared" si="127"/>
        <v>3.2731039559542382E-6</v>
      </c>
      <c r="D191" s="3">
        <f t="shared" si="127"/>
        <v>3.2731039559542382E-6</v>
      </c>
      <c r="E191" s="3">
        <f t="shared" si="127"/>
        <v>3.2731039559542382E-6</v>
      </c>
      <c r="F191" s="3">
        <f t="shared" si="127"/>
        <v>3.2731039559542382E-6</v>
      </c>
      <c r="G191" s="3">
        <f t="shared" si="127"/>
        <v>3.2731039559542382E-6</v>
      </c>
      <c r="H191" s="3">
        <f t="shared" si="127"/>
        <v>3.2731039559542382E-6</v>
      </c>
      <c r="I191" s="3">
        <f t="shared" si="127"/>
        <v>3.2731039559542382E-6</v>
      </c>
      <c r="J191" s="3">
        <f t="shared" si="127"/>
        <v>3.2731039559542382E-6</v>
      </c>
      <c r="K191" s="3">
        <f t="shared" si="127"/>
        <v>3.2731039559542382E-6</v>
      </c>
      <c r="L191" s="3">
        <f t="shared" si="127"/>
        <v>3.2731039559542382E-6</v>
      </c>
      <c r="M191" s="3">
        <f t="shared" si="127"/>
        <v>3.2731039559542382E-6</v>
      </c>
      <c r="N191" s="3">
        <f t="shared" si="127"/>
        <v>3.2731039559542382E-6</v>
      </c>
      <c r="O191" s="3">
        <f t="shared" si="127"/>
        <v>3.2731039559542382E-6</v>
      </c>
      <c r="P191" s="3">
        <f t="shared" si="127"/>
        <v>3.2731039559542382E-6</v>
      </c>
      <c r="Q191" s="3">
        <f t="shared" si="127"/>
        <v>3.2731039559542382E-6</v>
      </c>
      <c r="R191" s="3">
        <f t="shared" si="127"/>
        <v>3.2731039559542382E-6</v>
      </c>
      <c r="S191" s="3">
        <f t="shared" si="127"/>
        <v>3.2731039559542382E-6</v>
      </c>
      <c r="T191" s="3">
        <f t="shared" si="127"/>
        <v>3.2731039559542382E-6</v>
      </c>
      <c r="U191" s="3">
        <f t="shared" si="127"/>
        <v>3.2731039559542382E-6</v>
      </c>
      <c r="V191" s="3">
        <f t="shared" si="127"/>
        <v>3.2731039559542382E-6</v>
      </c>
      <c r="W191" s="3">
        <f t="shared" si="127"/>
        <v>3.2731039559542382E-6</v>
      </c>
      <c r="X191" s="3">
        <f t="shared" si="127"/>
        <v>3.2731039559542382E-6</v>
      </c>
      <c r="Y191" s="3">
        <f t="shared" si="127"/>
        <v>3.2731039559542382E-6</v>
      </c>
      <c r="Z191" s="3">
        <f t="shared" si="127"/>
        <v>3.2731039559542382E-6</v>
      </c>
      <c r="AA191" s="3">
        <f t="shared" si="127"/>
        <v>3.2731039559542382E-6</v>
      </c>
      <c r="AB191" s="3">
        <f t="shared" si="127"/>
        <v>3.2731039559542382E-6</v>
      </c>
      <c r="AC191" s="3">
        <f t="shared" si="127"/>
        <v>3.2731039559542382E-6</v>
      </c>
      <c r="AD191" s="3">
        <f t="shared" si="127"/>
        <v>3.2731039559542374E-6</v>
      </c>
      <c r="AE191" s="3">
        <f t="shared" si="127"/>
        <v>3.273103955954231E-6</v>
      </c>
      <c r="AF191" s="3">
        <f t="shared" si="127"/>
        <v>3.2731039559541662E-6</v>
      </c>
      <c r="AG191" s="3"/>
      <c r="AH191" s="3"/>
    </row>
    <row r="192" spans="2:34" x14ac:dyDescent="0.25">
      <c r="B192" s="3">
        <f t="shared" ref="B192:AF192" si="128">$C39*EXP(-B$168/$A39/EXP(-$C$126))</f>
        <v>4.7316671387144988E-5</v>
      </c>
      <c r="C192" s="3">
        <f t="shared" si="128"/>
        <v>4.7316671387144988E-5</v>
      </c>
      <c r="D192" s="3">
        <f t="shared" si="128"/>
        <v>4.7316671387144988E-5</v>
      </c>
      <c r="E192" s="3">
        <f t="shared" si="128"/>
        <v>4.7316671387144988E-5</v>
      </c>
      <c r="F192" s="3">
        <f t="shared" si="128"/>
        <v>4.7316671387144988E-5</v>
      </c>
      <c r="G192" s="3">
        <f t="shared" si="128"/>
        <v>4.7316671387144988E-5</v>
      </c>
      <c r="H192" s="3">
        <f t="shared" si="128"/>
        <v>4.7316671387144988E-5</v>
      </c>
      <c r="I192" s="3">
        <f t="shared" si="128"/>
        <v>4.7316671387144988E-5</v>
      </c>
      <c r="J192" s="3">
        <f t="shared" si="128"/>
        <v>4.7316671387144988E-5</v>
      </c>
      <c r="K192" s="3">
        <f t="shared" si="128"/>
        <v>4.7316671387144988E-5</v>
      </c>
      <c r="L192" s="3">
        <f t="shared" si="128"/>
        <v>4.7316671387144988E-5</v>
      </c>
      <c r="M192" s="3">
        <f t="shared" si="128"/>
        <v>4.7316671387144988E-5</v>
      </c>
      <c r="N192" s="3">
        <f t="shared" si="128"/>
        <v>4.7316671387144988E-5</v>
      </c>
      <c r="O192" s="3">
        <f t="shared" si="128"/>
        <v>4.7316671387144988E-5</v>
      </c>
      <c r="P192" s="3">
        <f t="shared" si="128"/>
        <v>4.7316671387144988E-5</v>
      </c>
      <c r="Q192" s="3">
        <f t="shared" si="128"/>
        <v>4.7316671387144988E-5</v>
      </c>
      <c r="R192" s="3">
        <f t="shared" si="128"/>
        <v>4.7316671387144988E-5</v>
      </c>
      <c r="S192" s="3">
        <f t="shared" si="128"/>
        <v>4.7316671387144988E-5</v>
      </c>
      <c r="T192" s="3">
        <f t="shared" si="128"/>
        <v>4.7316671387144988E-5</v>
      </c>
      <c r="U192" s="3">
        <f t="shared" si="128"/>
        <v>4.7316671387144988E-5</v>
      </c>
      <c r="V192" s="3">
        <f t="shared" si="128"/>
        <v>4.7316671387144988E-5</v>
      </c>
      <c r="W192" s="3">
        <f t="shared" si="128"/>
        <v>4.7316671387144988E-5</v>
      </c>
      <c r="X192" s="3">
        <f t="shared" si="128"/>
        <v>4.7316671387144988E-5</v>
      </c>
      <c r="Y192" s="3">
        <f t="shared" si="128"/>
        <v>4.7316671387144988E-5</v>
      </c>
      <c r="Z192" s="3">
        <f t="shared" si="128"/>
        <v>4.7316671387144988E-5</v>
      </c>
      <c r="AA192" s="3">
        <f t="shared" si="128"/>
        <v>4.7316671387144988E-5</v>
      </c>
      <c r="AB192" s="3">
        <f t="shared" si="128"/>
        <v>4.7316671387144988E-5</v>
      </c>
      <c r="AC192" s="3">
        <f t="shared" si="128"/>
        <v>4.7316671387144988E-5</v>
      </c>
      <c r="AD192" s="3">
        <f t="shared" si="128"/>
        <v>4.7316671387144982E-5</v>
      </c>
      <c r="AE192" s="3">
        <f t="shared" si="128"/>
        <v>4.7316671387144961E-5</v>
      </c>
      <c r="AF192" s="3">
        <f t="shared" si="128"/>
        <v>4.7316671387144697E-5</v>
      </c>
      <c r="AG192" s="3"/>
      <c r="AH192" s="3"/>
    </row>
    <row r="193" spans="1:34" x14ac:dyDescent="0.25">
      <c r="B193" s="3">
        <f t="shared" ref="B193:AF193" si="129">$C40*EXP(-B$168/$A40/EXP(-$C$126))</f>
        <v>2.2741722122049058E-5</v>
      </c>
      <c r="C193" s="3">
        <f t="shared" si="129"/>
        <v>2.2741722122049058E-5</v>
      </c>
      <c r="D193" s="3">
        <f t="shared" si="129"/>
        <v>2.2741722122049058E-5</v>
      </c>
      <c r="E193" s="3">
        <f t="shared" si="129"/>
        <v>2.2741722122049058E-5</v>
      </c>
      <c r="F193" s="3">
        <f t="shared" si="129"/>
        <v>2.2741722122049058E-5</v>
      </c>
      <c r="G193" s="3">
        <f t="shared" si="129"/>
        <v>2.2741722122049058E-5</v>
      </c>
      <c r="H193" s="3">
        <f t="shared" si="129"/>
        <v>2.2741722122049058E-5</v>
      </c>
      <c r="I193" s="3">
        <f t="shared" si="129"/>
        <v>2.2741722122049058E-5</v>
      </c>
      <c r="J193" s="3">
        <f t="shared" si="129"/>
        <v>2.2741722122049058E-5</v>
      </c>
      <c r="K193" s="3">
        <f t="shared" si="129"/>
        <v>2.2741722122049058E-5</v>
      </c>
      <c r="L193" s="3">
        <f t="shared" si="129"/>
        <v>2.2741722122049058E-5</v>
      </c>
      <c r="M193" s="3">
        <f t="shared" si="129"/>
        <v>2.2741722122049058E-5</v>
      </c>
      <c r="N193" s="3">
        <f t="shared" si="129"/>
        <v>2.2741722122049058E-5</v>
      </c>
      <c r="O193" s="3">
        <f t="shared" si="129"/>
        <v>2.2741722122049058E-5</v>
      </c>
      <c r="P193" s="3">
        <f t="shared" si="129"/>
        <v>2.2741722122049058E-5</v>
      </c>
      <c r="Q193" s="3">
        <f t="shared" si="129"/>
        <v>2.2741722122049058E-5</v>
      </c>
      <c r="R193" s="3">
        <f t="shared" si="129"/>
        <v>2.2741722122049058E-5</v>
      </c>
      <c r="S193" s="3">
        <f t="shared" si="129"/>
        <v>2.2741722122049058E-5</v>
      </c>
      <c r="T193" s="3">
        <f t="shared" si="129"/>
        <v>2.2741722122049058E-5</v>
      </c>
      <c r="U193" s="3">
        <f t="shared" si="129"/>
        <v>2.2741722122049058E-5</v>
      </c>
      <c r="V193" s="3">
        <f t="shared" si="129"/>
        <v>2.2741722122049058E-5</v>
      </c>
      <c r="W193" s="3">
        <f t="shared" si="129"/>
        <v>2.2741722122049058E-5</v>
      </c>
      <c r="X193" s="3">
        <f t="shared" si="129"/>
        <v>2.2741722122049058E-5</v>
      </c>
      <c r="Y193" s="3">
        <f t="shared" si="129"/>
        <v>2.2741722122049058E-5</v>
      </c>
      <c r="Z193" s="3">
        <f t="shared" si="129"/>
        <v>2.2741722122049058E-5</v>
      </c>
      <c r="AA193" s="3">
        <f t="shared" si="129"/>
        <v>2.2741722122049058E-5</v>
      </c>
      <c r="AB193" s="3">
        <f t="shared" si="129"/>
        <v>2.2741722122049058E-5</v>
      </c>
      <c r="AC193" s="3">
        <f t="shared" si="129"/>
        <v>2.2741722122049058E-5</v>
      </c>
      <c r="AD193" s="3">
        <f t="shared" si="129"/>
        <v>2.2741722122049058E-5</v>
      </c>
      <c r="AE193" s="3">
        <f t="shared" si="129"/>
        <v>2.2741722122049055E-5</v>
      </c>
      <c r="AF193" s="3">
        <f t="shared" si="129"/>
        <v>2.2741722122049045E-5</v>
      </c>
      <c r="AG193" s="3"/>
      <c r="AH193" s="3"/>
    </row>
    <row r="194" spans="1:34" x14ac:dyDescent="0.25">
      <c r="B194" s="3">
        <f t="shared" ref="B194:AF194" si="130">$C41*EXP(-B$168/$A41/EXP(-$C$126))</f>
        <v>1.7857506760164985E-5</v>
      </c>
      <c r="C194" s="3">
        <f t="shared" si="130"/>
        <v>1.7857506760164985E-5</v>
      </c>
      <c r="D194" s="3">
        <f t="shared" si="130"/>
        <v>1.7857506760164985E-5</v>
      </c>
      <c r="E194" s="3">
        <f t="shared" si="130"/>
        <v>1.7857506760164985E-5</v>
      </c>
      <c r="F194" s="3">
        <f t="shared" si="130"/>
        <v>1.7857506760164985E-5</v>
      </c>
      <c r="G194" s="3">
        <f t="shared" si="130"/>
        <v>1.7857506760164985E-5</v>
      </c>
      <c r="H194" s="3">
        <f t="shared" si="130"/>
        <v>1.7857506760164985E-5</v>
      </c>
      <c r="I194" s="3">
        <f t="shared" si="130"/>
        <v>1.7857506760164985E-5</v>
      </c>
      <c r="J194" s="3">
        <f t="shared" si="130"/>
        <v>1.7857506760164985E-5</v>
      </c>
      <c r="K194" s="3">
        <f t="shared" si="130"/>
        <v>1.7857506760164985E-5</v>
      </c>
      <c r="L194" s="3">
        <f t="shared" si="130"/>
        <v>1.7857506760164985E-5</v>
      </c>
      <c r="M194" s="3">
        <f t="shared" si="130"/>
        <v>1.7857506760164985E-5</v>
      </c>
      <c r="N194" s="3">
        <f t="shared" si="130"/>
        <v>1.7857506760164985E-5</v>
      </c>
      <c r="O194" s="3">
        <f t="shared" si="130"/>
        <v>1.7857506760164985E-5</v>
      </c>
      <c r="P194" s="3">
        <f t="shared" si="130"/>
        <v>1.7857506760164985E-5</v>
      </c>
      <c r="Q194" s="3">
        <f t="shared" si="130"/>
        <v>1.7857506760164985E-5</v>
      </c>
      <c r="R194" s="3">
        <f t="shared" si="130"/>
        <v>1.7857506760164985E-5</v>
      </c>
      <c r="S194" s="3">
        <f t="shared" si="130"/>
        <v>1.7857506760164985E-5</v>
      </c>
      <c r="T194" s="3">
        <f t="shared" si="130"/>
        <v>1.7857506760164985E-5</v>
      </c>
      <c r="U194" s="3">
        <f t="shared" si="130"/>
        <v>1.7857506760164985E-5</v>
      </c>
      <c r="V194" s="3">
        <f t="shared" si="130"/>
        <v>1.7857506760164985E-5</v>
      </c>
      <c r="W194" s="3">
        <f t="shared" si="130"/>
        <v>1.7857506760164985E-5</v>
      </c>
      <c r="X194" s="3">
        <f t="shared" si="130"/>
        <v>1.7857506760164985E-5</v>
      </c>
      <c r="Y194" s="3">
        <f t="shared" si="130"/>
        <v>1.7857506760164985E-5</v>
      </c>
      <c r="Z194" s="3">
        <f t="shared" si="130"/>
        <v>1.7857506760164985E-5</v>
      </c>
      <c r="AA194" s="3">
        <f t="shared" si="130"/>
        <v>1.7857506760164985E-5</v>
      </c>
      <c r="AB194" s="3">
        <f t="shared" si="130"/>
        <v>1.7857506760164985E-5</v>
      </c>
      <c r="AC194" s="3">
        <f t="shared" si="130"/>
        <v>1.7857506760164985E-5</v>
      </c>
      <c r="AD194" s="3">
        <f t="shared" si="130"/>
        <v>1.7857506760164985E-5</v>
      </c>
      <c r="AE194" s="3">
        <f t="shared" si="130"/>
        <v>1.7857506760164985E-5</v>
      </c>
      <c r="AF194" s="3">
        <f t="shared" si="130"/>
        <v>1.7857506760164981E-5</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1.5759572914912317E-6</v>
      </c>
      <c r="C196" s="3">
        <f t="shared" si="132"/>
        <v>1.5759572914912317E-6</v>
      </c>
      <c r="D196" s="3">
        <f t="shared" si="132"/>
        <v>1.5759572914912317E-6</v>
      </c>
      <c r="E196" s="3">
        <f t="shared" si="132"/>
        <v>1.5759572914912317E-6</v>
      </c>
      <c r="F196" s="3">
        <f t="shared" si="132"/>
        <v>1.5759572914912317E-6</v>
      </c>
      <c r="G196" s="3">
        <f t="shared" si="132"/>
        <v>1.5759572914912317E-6</v>
      </c>
      <c r="H196" s="3">
        <f t="shared" si="132"/>
        <v>1.5759572914912317E-6</v>
      </c>
      <c r="I196" s="3">
        <f t="shared" si="132"/>
        <v>1.5759572914912317E-6</v>
      </c>
      <c r="J196" s="3">
        <f t="shared" si="132"/>
        <v>1.5759572914912317E-6</v>
      </c>
      <c r="K196" s="3">
        <f t="shared" si="132"/>
        <v>1.5759572914912317E-6</v>
      </c>
      <c r="L196" s="3">
        <f t="shared" si="132"/>
        <v>1.5759572914912317E-6</v>
      </c>
      <c r="M196" s="3">
        <f t="shared" si="132"/>
        <v>1.5759572914912317E-6</v>
      </c>
      <c r="N196" s="3">
        <f t="shared" si="132"/>
        <v>1.5759572914912317E-6</v>
      </c>
      <c r="O196" s="3">
        <f t="shared" si="132"/>
        <v>1.5759572914912317E-6</v>
      </c>
      <c r="P196" s="3">
        <f t="shared" si="132"/>
        <v>1.5759572914912317E-6</v>
      </c>
      <c r="Q196" s="3">
        <f t="shared" si="132"/>
        <v>1.5759572914912317E-6</v>
      </c>
      <c r="R196" s="3">
        <f t="shared" si="132"/>
        <v>1.5759572914912317E-6</v>
      </c>
      <c r="S196" s="3">
        <f t="shared" si="132"/>
        <v>1.5759572914912317E-6</v>
      </c>
      <c r="T196" s="3">
        <f t="shared" si="132"/>
        <v>1.5759572914912317E-6</v>
      </c>
      <c r="U196" s="3">
        <f t="shared" si="132"/>
        <v>1.5759572914912317E-6</v>
      </c>
      <c r="V196" s="3">
        <f t="shared" si="132"/>
        <v>1.5759572914912317E-6</v>
      </c>
      <c r="W196" s="3">
        <f t="shared" si="132"/>
        <v>1.5759572914912317E-6</v>
      </c>
      <c r="X196" s="3">
        <f t="shared" si="132"/>
        <v>1.5759572914912317E-6</v>
      </c>
      <c r="Y196" s="3">
        <f t="shared" si="132"/>
        <v>1.5759572914912317E-6</v>
      </c>
      <c r="Z196" s="3">
        <f t="shared" si="132"/>
        <v>1.5759572914912317E-6</v>
      </c>
      <c r="AA196" s="3">
        <f t="shared" si="132"/>
        <v>1.5759572914912317E-6</v>
      </c>
      <c r="AB196" s="3">
        <f t="shared" si="132"/>
        <v>1.5759572914912317E-6</v>
      </c>
      <c r="AC196" s="3">
        <f t="shared" si="132"/>
        <v>1.5759572914912317E-6</v>
      </c>
      <c r="AD196" s="3">
        <f t="shared" si="132"/>
        <v>1.5759572914912317E-6</v>
      </c>
      <c r="AE196" s="3">
        <f t="shared" si="132"/>
        <v>1.5759572914912317E-6</v>
      </c>
      <c r="AF196" s="3">
        <f t="shared" si="132"/>
        <v>1.5759572914912317E-6</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1.823122872957775E-3</v>
      </c>
      <c r="C201" s="3">
        <f t="shared" si="137"/>
        <v>1.823122872957775E-3</v>
      </c>
      <c r="D201" s="3">
        <f t="shared" si="137"/>
        <v>1.823122872957775E-3</v>
      </c>
      <c r="E201" s="3">
        <f t="shared" si="137"/>
        <v>1.823122872957775E-3</v>
      </c>
      <c r="F201" s="3">
        <f t="shared" si="137"/>
        <v>1.823122872957775E-3</v>
      </c>
      <c r="G201" s="3">
        <f t="shared" si="137"/>
        <v>1.823122872957775E-3</v>
      </c>
      <c r="H201" s="3">
        <f t="shared" si="137"/>
        <v>1.823122872957775E-3</v>
      </c>
      <c r="I201" s="3">
        <f t="shared" si="137"/>
        <v>1.823122872957775E-3</v>
      </c>
      <c r="J201" s="3">
        <f t="shared" si="137"/>
        <v>1.823122872957775E-3</v>
      </c>
      <c r="K201" s="3">
        <f t="shared" si="137"/>
        <v>1.823122872957775E-3</v>
      </c>
      <c r="L201" s="3">
        <f t="shared" si="137"/>
        <v>1.823122872957775E-3</v>
      </c>
      <c r="M201" s="3">
        <f t="shared" si="137"/>
        <v>1.823122872957775E-3</v>
      </c>
      <c r="N201" s="3">
        <f t="shared" si="137"/>
        <v>1.823122872957775E-3</v>
      </c>
      <c r="O201" s="3">
        <f t="shared" si="137"/>
        <v>1.823122872957775E-3</v>
      </c>
      <c r="P201" s="3">
        <f t="shared" si="137"/>
        <v>1.823122872957775E-3</v>
      </c>
      <c r="Q201" s="3">
        <f t="shared" si="137"/>
        <v>1.823122872957775E-3</v>
      </c>
      <c r="R201" s="3">
        <f t="shared" si="137"/>
        <v>1.823122872957775E-3</v>
      </c>
      <c r="S201" s="3">
        <f t="shared" si="137"/>
        <v>1.823122872957775E-3</v>
      </c>
      <c r="T201" s="3">
        <f t="shared" si="137"/>
        <v>1.823122872957775E-3</v>
      </c>
      <c r="U201" s="3">
        <f t="shared" si="137"/>
        <v>1.823122872957775E-3</v>
      </c>
      <c r="V201" s="3">
        <f t="shared" si="137"/>
        <v>1.823122872957775E-3</v>
      </c>
      <c r="W201" s="3">
        <f t="shared" si="137"/>
        <v>1.823122872957775E-3</v>
      </c>
      <c r="X201" s="3">
        <f t="shared" si="137"/>
        <v>1.823122872957775E-3</v>
      </c>
      <c r="Y201" s="3">
        <f t="shared" si="137"/>
        <v>1.823122872957775E-3</v>
      </c>
      <c r="Z201" s="3">
        <f t="shared" si="137"/>
        <v>1.823122872957775E-3</v>
      </c>
      <c r="AA201" s="3">
        <f t="shared" si="137"/>
        <v>1.823122872957775E-3</v>
      </c>
      <c r="AB201" s="3">
        <f t="shared" si="137"/>
        <v>1.823122872957775E-3</v>
      </c>
      <c r="AC201" s="3">
        <f t="shared" si="137"/>
        <v>1.823122872957775E-3</v>
      </c>
      <c r="AD201" s="3">
        <f t="shared" si="137"/>
        <v>1.823122872957775E-3</v>
      </c>
      <c r="AE201" s="3">
        <f t="shared" si="137"/>
        <v>1.823122872957775E-3</v>
      </c>
      <c r="AF201" s="3">
        <f t="shared" si="137"/>
        <v>1.823122872957775E-3</v>
      </c>
      <c r="AG201" s="3"/>
      <c r="AH201" s="3"/>
    </row>
    <row r="202" spans="1:34" x14ac:dyDescent="0.25">
      <c r="A202" s="80">
        <f>AVERAGE(B202:AF202)</f>
        <v>4.296382757657197E-3</v>
      </c>
      <c r="B202" s="81">
        <f>IF($A$64&lt;=B168,IF($B$64&gt;=B168,ABS((B170-B169)/B169),0),0)</f>
        <v>0</v>
      </c>
      <c r="C202" s="81">
        <f t="shared" ref="C202:AF202" si="138">IF($A$64&lt;=C168,IF($B$64&gt;=C168,ABS((C170-C169)/C169),0),0)</f>
        <v>0</v>
      </c>
      <c r="D202" s="81">
        <f t="shared" si="138"/>
        <v>0</v>
      </c>
      <c r="E202" s="81">
        <f t="shared" si="138"/>
        <v>0</v>
      </c>
      <c r="F202" s="81">
        <f t="shared" si="138"/>
        <v>0</v>
      </c>
      <c r="G202" s="81">
        <f t="shared" si="138"/>
        <v>0</v>
      </c>
      <c r="H202" s="81">
        <f t="shared" si="138"/>
        <v>0</v>
      </c>
      <c r="I202" s="81">
        <f t="shared" si="138"/>
        <v>0</v>
      </c>
      <c r="J202" s="81">
        <f t="shared" si="138"/>
        <v>0</v>
      </c>
      <c r="K202" s="81">
        <f t="shared" si="138"/>
        <v>0</v>
      </c>
      <c r="L202" s="81">
        <f t="shared" si="138"/>
        <v>1.0005585507351922E-3</v>
      </c>
      <c r="M202" s="81">
        <f t="shared" si="138"/>
        <v>1.0002319956552599E-3</v>
      </c>
      <c r="N202" s="81">
        <f t="shared" si="138"/>
        <v>9.9660384375276122E-4</v>
      </c>
      <c r="O202" s="81">
        <f t="shared" si="138"/>
        <v>9.6047830677825738E-4</v>
      </c>
      <c r="P202" s="81">
        <f t="shared" si="138"/>
        <v>6.0261443951451952E-4</v>
      </c>
      <c r="Q202" s="81">
        <f t="shared" si="138"/>
        <v>2.6633450376474942E-3</v>
      </c>
      <c r="R202" s="81">
        <f t="shared" si="138"/>
        <v>1.7889703947662053E-2</v>
      </c>
      <c r="S202" s="81">
        <f t="shared" si="138"/>
        <v>1.8091307382630572E-3</v>
      </c>
      <c r="T202" s="81">
        <f t="shared" si="138"/>
        <v>3.5240462739778648E-2</v>
      </c>
      <c r="U202" s="81">
        <f t="shared" si="138"/>
        <v>7.5462031916207848E-3</v>
      </c>
      <c r="V202" s="81">
        <f t="shared" si="138"/>
        <v>6.3478532695965081E-2</v>
      </c>
      <c r="W202" s="81">
        <f t="shared" si="138"/>
        <v>0</v>
      </c>
      <c r="X202" s="81">
        <f t="shared" si="138"/>
        <v>0</v>
      </c>
      <c r="Y202" s="81">
        <f t="shared" si="138"/>
        <v>0</v>
      </c>
      <c r="Z202" s="81">
        <f t="shared" si="138"/>
        <v>0</v>
      </c>
      <c r="AA202" s="81">
        <f t="shared" si="138"/>
        <v>0</v>
      </c>
      <c r="AB202" s="81">
        <f t="shared" si="138"/>
        <v>0</v>
      </c>
      <c r="AC202" s="81">
        <f t="shared" si="138"/>
        <v>0</v>
      </c>
      <c r="AD202" s="81">
        <f t="shared" si="138"/>
        <v>0</v>
      </c>
      <c r="AE202" s="81">
        <f t="shared" si="138"/>
        <v>0</v>
      </c>
      <c r="AF202" s="81">
        <f t="shared" si="138"/>
        <v>0</v>
      </c>
    </row>
    <row r="203" spans="1:34" x14ac:dyDescent="0.25">
      <c r="B203" s="21">
        <f>(B170-B169)^2</f>
        <v>35.229153189360147</v>
      </c>
      <c r="C203" s="21">
        <f t="shared" ref="C203:AF203" si="139">(C170-C169)^2</f>
        <v>35.669651443530228</v>
      </c>
      <c r="D203" s="21">
        <f t="shared" si="139"/>
        <v>35.401716413931069</v>
      </c>
      <c r="E203" s="21">
        <f t="shared" si="139"/>
        <v>35.320767323070264</v>
      </c>
      <c r="F203" s="21">
        <f t="shared" si="139"/>
        <v>35.296117861674155</v>
      </c>
      <c r="G203" s="21">
        <f t="shared" si="139"/>
        <v>35.288940032213475</v>
      </c>
      <c r="H203" s="21">
        <f t="shared" si="139"/>
        <v>35.28559066893947</v>
      </c>
      <c r="I203" s="21">
        <f t="shared" si="139"/>
        <v>35.285351853318453</v>
      </c>
      <c r="J203" s="21">
        <f t="shared" si="139"/>
        <v>35.28272451335777</v>
      </c>
      <c r="K203" s="21">
        <f t="shared" si="139"/>
        <v>35.282766663970648</v>
      </c>
      <c r="L203" s="21">
        <f t="shared" si="139"/>
        <v>35.279599821879273</v>
      </c>
      <c r="M203" s="21">
        <f t="shared" si="139"/>
        <v>35.25654770922759</v>
      </c>
      <c r="N203" s="21">
        <f t="shared" si="139"/>
        <v>35.000942596448056</v>
      </c>
      <c r="O203" s="21">
        <f t="shared" si="139"/>
        <v>32.506719216120814</v>
      </c>
      <c r="P203" s="21">
        <f t="shared" si="139"/>
        <v>12.785392238396014</v>
      </c>
      <c r="Q203" s="21">
        <f t="shared" si="139"/>
        <v>247.82087093214975</v>
      </c>
      <c r="R203" s="21">
        <f t="shared" si="139"/>
        <v>10723.930144128319</v>
      </c>
      <c r="S203" s="21">
        <f t="shared" si="139"/>
        <v>104.30705609918076</v>
      </c>
      <c r="T203" s="21">
        <f t="shared" si="139"/>
        <v>37253.863740907895</v>
      </c>
      <c r="U203" s="21">
        <f t="shared" si="139"/>
        <v>1565.3439293778006</v>
      </c>
      <c r="V203" s="21">
        <f t="shared" si="139"/>
        <v>99418.842036078917</v>
      </c>
      <c r="W203" s="21">
        <f t="shared" si="139"/>
        <v>382769.21153933677</v>
      </c>
      <c r="X203" s="21">
        <f t="shared" si="139"/>
        <v>863669.8464091036</v>
      </c>
      <c r="Y203" s="21">
        <f t="shared" si="139"/>
        <v>1357103.5839522325</v>
      </c>
      <c r="Z203" s="21">
        <f t="shared" si="139"/>
        <v>1305758.5055834192</v>
      </c>
      <c r="AA203" s="21">
        <f t="shared" si="139"/>
        <v>1369009.746440745</v>
      </c>
      <c r="AB203" s="21">
        <f t="shared" si="139"/>
        <v>1510749.5581614794</v>
      </c>
      <c r="AC203" s="21">
        <f t="shared" si="139"/>
        <v>1844802.2515746201</v>
      </c>
      <c r="AD203" s="21">
        <f t="shared" si="139"/>
        <v>2411226.2401253004</v>
      </c>
      <c r="AE203" s="21">
        <f t="shared" si="139"/>
        <v>3178951.3228509463</v>
      </c>
      <c r="AF203" s="21">
        <f t="shared" si="139"/>
        <v>3884064.9186719549</v>
      </c>
      <c r="AG203" s="3"/>
      <c r="AH203" s="3"/>
    </row>
    <row r="204" spans="1:34" x14ac:dyDescent="0.25">
      <c r="A204" s="72">
        <f>SUM(B204:AF204)</f>
        <v>149464.93697910634</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35.279599821879273</v>
      </c>
      <c r="M204" s="60">
        <f t="shared" ref="M204" si="150">IF($A$64&lt;=M168,IF($B$64&gt;=M168,ABS(M203),0),0)</f>
        <v>35.25654770922759</v>
      </c>
      <c r="N204" s="60">
        <f t="shared" ref="N204" si="151">IF($A$64&lt;=N168,IF($B$64&gt;=N168,ABS(N203),0),0)</f>
        <v>35.000942596448056</v>
      </c>
      <c r="O204" s="60">
        <f t="shared" ref="O204" si="152">IF($A$64&lt;=O168,IF($B$64&gt;=O168,ABS(O203),0),0)</f>
        <v>32.506719216120814</v>
      </c>
      <c r="P204" s="60">
        <f t="shared" ref="P204" si="153">IF($A$64&lt;=P168,IF($B$64&gt;=P168,ABS(P203),0),0)</f>
        <v>12.785392238396014</v>
      </c>
      <c r="Q204" s="60">
        <f t="shared" ref="Q204" si="154">IF($A$64&lt;=Q168,IF($B$64&gt;=Q168,ABS(Q203),0),0)</f>
        <v>247.82087093214975</v>
      </c>
      <c r="R204" s="60">
        <f t="shared" ref="R204" si="155">IF($A$64&lt;=R168,IF($B$64&gt;=R168,ABS(R203),0),0)</f>
        <v>10723.930144128319</v>
      </c>
      <c r="S204" s="60">
        <f t="shared" ref="S204" si="156">IF($A$64&lt;=S168,IF($B$64&gt;=S168,ABS(S203),0),0)</f>
        <v>104.30705609918076</v>
      </c>
      <c r="T204" s="60">
        <f t="shared" ref="T204" si="157">IF($A$64&lt;=T168,IF($B$64&gt;=T168,ABS(T203),0),0)</f>
        <v>37253.863740907895</v>
      </c>
      <c r="U204" s="60">
        <f t="shared" ref="U204" si="158">IF($A$64&lt;=U168,IF($B$64&gt;=U168,ABS(U203),0),0)</f>
        <v>1565.3439293778006</v>
      </c>
      <c r="V204" s="60">
        <f t="shared" ref="V204" si="159">IF($A$64&lt;=V168,IF($B$64&gt;=V168,ABS(V203),0),0)</f>
        <v>99418.842036078917</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1" t="s">
        <v>22</v>
      </c>
      <c r="B209" s="27">
        <f>($C$17+SUM(B210:B240))*$B$51</f>
        <v>5930.4078999999392</v>
      </c>
      <c r="C209" s="27">
        <f t="shared" ref="C209:AF209" si="170">($C$17+SUM(C210:C240))*$B$51</f>
        <v>5930.4078999993699</v>
      </c>
      <c r="D209" s="27">
        <f t="shared" si="170"/>
        <v>5930.4078999936801</v>
      </c>
      <c r="E209" s="27">
        <f t="shared" si="170"/>
        <v>5930.407899936783</v>
      </c>
      <c r="F209" s="27">
        <f t="shared" si="170"/>
        <v>5930.407899367814</v>
      </c>
      <c r="G209" s="27">
        <f t="shared" si="170"/>
        <v>5930.4078936781189</v>
      </c>
      <c r="H209" s="27">
        <f t="shared" si="170"/>
        <v>5930.4078367811826</v>
      </c>
      <c r="I209" s="27">
        <f t="shared" si="170"/>
        <v>5930.407267812092</v>
      </c>
      <c r="J209" s="27">
        <f t="shared" si="170"/>
        <v>5930.4015781486551</v>
      </c>
      <c r="K209" s="27">
        <f t="shared" si="170"/>
        <v>5930.3446842623734</v>
      </c>
      <c r="L209" s="27">
        <f t="shared" si="170"/>
        <v>5929.7760201194542</v>
      </c>
      <c r="M209" s="27">
        <f t="shared" si="170"/>
        <v>5924.1167616225021</v>
      </c>
      <c r="N209" s="27">
        <f t="shared" si="170"/>
        <v>5870.1755446678044</v>
      </c>
      <c r="O209" s="27">
        <f t="shared" si="170"/>
        <v>5526.7131466051987</v>
      </c>
      <c r="P209" s="27">
        <f t="shared" si="170"/>
        <v>5282.5659182505478</v>
      </c>
      <c r="Q209" s="27">
        <f t="shared" si="170"/>
        <v>5282.5183713884489</v>
      </c>
      <c r="R209" s="27">
        <f t="shared" si="170"/>
        <v>5282.4176507271532</v>
      </c>
      <c r="S209" s="27">
        <f t="shared" si="170"/>
        <v>5281.411633457139</v>
      </c>
      <c r="T209" s="27">
        <f t="shared" si="170"/>
        <v>5271.4694147247583</v>
      </c>
      <c r="U209" s="27">
        <f t="shared" si="170"/>
        <v>5182.9206696046185</v>
      </c>
      <c r="V209" s="27">
        <f t="shared" si="170"/>
        <v>4842.0667434159504</v>
      </c>
      <c r="W209" s="27">
        <f t="shared" si="170"/>
        <v>4606.4194089982275</v>
      </c>
      <c r="X209" s="27">
        <f t="shared" si="170"/>
        <v>4338.0107942775439</v>
      </c>
      <c r="Y209" s="27">
        <f t="shared" si="170"/>
        <v>4067.4713068625992</v>
      </c>
      <c r="Z209" s="27">
        <f t="shared" si="170"/>
        <v>3778.5665283642438</v>
      </c>
      <c r="AA209" s="27">
        <f t="shared" si="170"/>
        <v>3445.2395864173145</v>
      </c>
      <c r="AB209" s="27">
        <f t="shared" si="170"/>
        <v>3012.7699161309438</v>
      </c>
      <c r="AC209" s="27">
        <f t="shared" si="170"/>
        <v>2489.9751598755483</v>
      </c>
      <c r="AD209" s="27">
        <f t="shared" si="170"/>
        <v>1884.927500633298</v>
      </c>
      <c r="AE209" s="27">
        <f t="shared" si="170"/>
        <v>1233.5216078232284</v>
      </c>
      <c r="AF209" s="27">
        <f t="shared" si="170"/>
        <v>722.41669175224956</v>
      </c>
      <c r="AG209" s="27"/>
      <c r="AH209" s="27"/>
    </row>
    <row r="210" spans="1:34" x14ac:dyDescent="0.25">
      <c r="B210" s="3">
        <f t="shared" ref="B210:AF210" si="171">$C18*EXP(-B$207/$A18/EXP(-$D$126))</f>
        <v>0.10924684220978353</v>
      </c>
      <c r="C210" s="3">
        <f t="shared" si="171"/>
        <v>0.1092468422096876</v>
      </c>
      <c r="D210" s="3">
        <f t="shared" si="171"/>
        <v>0.10924684220872817</v>
      </c>
      <c r="E210" s="3">
        <f t="shared" si="171"/>
        <v>0.10924684219913408</v>
      </c>
      <c r="F210" s="3">
        <f t="shared" si="171"/>
        <v>0.10924684210319308</v>
      </c>
      <c r="G210" s="3">
        <f t="shared" si="171"/>
        <v>0.10924684114378302</v>
      </c>
      <c r="H210" s="3">
        <f t="shared" si="171"/>
        <v>0.109246831549683</v>
      </c>
      <c r="I210" s="3">
        <f t="shared" si="171"/>
        <v>0.10924673560872906</v>
      </c>
      <c r="J210" s="3">
        <f t="shared" si="171"/>
        <v>0.10924577620382372</v>
      </c>
      <c r="K210" s="3">
        <f t="shared" si="171"/>
        <v>0.10923618261816032</v>
      </c>
      <c r="L210" s="3">
        <f t="shared" si="171"/>
        <v>0.10914029308547153</v>
      </c>
      <c r="M210" s="3">
        <f t="shared" si="171"/>
        <v>0.1081860151361228</v>
      </c>
      <c r="N210" s="3">
        <f t="shared" si="171"/>
        <v>9.9090315853564231E-2</v>
      </c>
      <c r="O210" s="3">
        <f t="shared" si="171"/>
        <v>4.117485655965436E-2</v>
      </c>
      <c r="P210" s="3">
        <f t="shared" si="171"/>
        <v>6.3188917647501196E-6</v>
      </c>
      <c r="Q210" s="3">
        <f t="shared" si="171"/>
        <v>4.5785623445225556E-44</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7.1825631805889176E-2</v>
      </c>
      <c r="C211" s="3">
        <f t="shared" si="172"/>
        <v>7.1825631805889176E-2</v>
      </c>
      <c r="D211" s="3">
        <f t="shared" si="172"/>
        <v>7.1825631805889176E-2</v>
      </c>
      <c r="E211" s="3">
        <f t="shared" si="172"/>
        <v>7.1825631805889176E-2</v>
      </c>
      <c r="F211" s="3">
        <f t="shared" si="172"/>
        <v>7.1825631805889162E-2</v>
      </c>
      <c r="G211" s="3">
        <f t="shared" si="172"/>
        <v>7.1825631805888995E-2</v>
      </c>
      <c r="H211" s="3">
        <f t="shared" si="172"/>
        <v>7.1825631805887385E-2</v>
      </c>
      <c r="I211" s="3">
        <f t="shared" si="172"/>
        <v>7.1825631805871232E-2</v>
      </c>
      <c r="J211" s="3">
        <f t="shared" si="172"/>
        <v>7.1825631805709639E-2</v>
      </c>
      <c r="K211" s="3">
        <f t="shared" si="172"/>
        <v>7.182563180409389E-2</v>
      </c>
      <c r="L211" s="3">
        <f t="shared" si="172"/>
        <v>7.1825631787936287E-2</v>
      </c>
      <c r="M211" s="3">
        <f t="shared" si="172"/>
        <v>7.1825631626360339E-2</v>
      </c>
      <c r="N211" s="3">
        <f t="shared" si="172"/>
        <v>7.1825630010600786E-2</v>
      </c>
      <c r="O211" s="3">
        <f t="shared" si="172"/>
        <v>7.1825613853007245E-2</v>
      </c>
      <c r="P211" s="3">
        <f t="shared" si="172"/>
        <v>7.1825452277271801E-2</v>
      </c>
      <c r="Q211" s="3">
        <f t="shared" si="172"/>
        <v>7.1823836539908328E-2</v>
      </c>
      <c r="R211" s="3">
        <f t="shared" si="172"/>
        <v>7.18076811651987E-2</v>
      </c>
      <c r="S211" s="3">
        <f t="shared" si="172"/>
        <v>7.164632714434685E-2</v>
      </c>
      <c r="T211" s="3">
        <f t="shared" si="172"/>
        <v>7.0052594316364639E-2</v>
      </c>
      <c r="U211" s="3">
        <f t="shared" si="172"/>
        <v>5.5940602683244772E-2</v>
      </c>
      <c r="V211" s="3">
        <f t="shared" si="172"/>
        <v>5.8987000905425732E-3</v>
      </c>
      <c r="W211" s="3">
        <f t="shared" si="172"/>
        <v>1.0024161695922E-12</v>
      </c>
      <c r="X211" s="3">
        <f t="shared" si="172"/>
        <v>2.0135644762576877E-110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3.596772409142239E-2</v>
      </c>
      <c r="C212" s="3">
        <f t="shared" si="173"/>
        <v>3.596772409142239E-2</v>
      </c>
      <c r="D212" s="3">
        <f t="shared" si="173"/>
        <v>3.596772409142239E-2</v>
      </c>
      <c r="E212" s="3">
        <f t="shared" si="173"/>
        <v>3.596772409142239E-2</v>
      </c>
      <c r="F212" s="3">
        <f t="shared" si="173"/>
        <v>3.596772409142239E-2</v>
      </c>
      <c r="G212" s="3">
        <f t="shared" si="173"/>
        <v>3.5967724091422383E-2</v>
      </c>
      <c r="H212" s="3">
        <f t="shared" si="173"/>
        <v>3.5967724091422307E-2</v>
      </c>
      <c r="I212" s="3">
        <f t="shared" si="173"/>
        <v>3.5967724091421578E-2</v>
      </c>
      <c r="J212" s="3">
        <f t="shared" si="173"/>
        <v>3.5967724091414278E-2</v>
      </c>
      <c r="K212" s="3">
        <f t="shared" si="173"/>
        <v>3.5967724091341295E-2</v>
      </c>
      <c r="L212" s="3">
        <f t="shared" si="173"/>
        <v>3.59677240906114E-2</v>
      </c>
      <c r="M212" s="3">
        <f t="shared" si="173"/>
        <v>3.5967724083312509E-2</v>
      </c>
      <c r="N212" s="3">
        <f t="shared" si="173"/>
        <v>3.596772401032361E-2</v>
      </c>
      <c r="O212" s="3">
        <f t="shared" si="173"/>
        <v>3.5967723280434599E-2</v>
      </c>
      <c r="P212" s="3">
        <f t="shared" si="173"/>
        <v>3.5967715981545266E-2</v>
      </c>
      <c r="Q212" s="3">
        <f t="shared" si="173"/>
        <v>3.5967642992733431E-2</v>
      </c>
      <c r="R212" s="3">
        <f t="shared" si="173"/>
        <v>3.5966913112761373E-2</v>
      </c>
      <c r="S212" s="3">
        <f t="shared" si="173"/>
        <v>3.595961512760848E-2</v>
      </c>
      <c r="T212" s="3">
        <f t="shared" si="173"/>
        <v>3.5886716671718291E-2</v>
      </c>
      <c r="U212" s="3">
        <f t="shared" si="173"/>
        <v>3.5165810892164737E-2</v>
      </c>
      <c r="V212" s="3">
        <f t="shared" si="173"/>
        <v>2.8707127637061378E-2</v>
      </c>
      <c r="W212" s="3">
        <f t="shared" si="173"/>
        <v>3.7729476534078513E-3</v>
      </c>
      <c r="X212" s="3">
        <f t="shared" si="173"/>
        <v>5.8021796934398075E-12</v>
      </c>
      <c r="Y212" s="3">
        <f t="shared" si="173"/>
        <v>4.292349976226548E-100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4.9137716927094087E-2</v>
      </c>
      <c r="C213" s="3">
        <f t="shared" si="174"/>
        <v>4.9137716927094087E-2</v>
      </c>
      <c r="D213" s="3">
        <f t="shared" si="174"/>
        <v>4.9137716927094087E-2</v>
      </c>
      <c r="E213" s="3">
        <f t="shared" si="174"/>
        <v>4.9137716927094087E-2</v>
      </c>
      <c r="F213" s="3">
        <f t="shared" si="174"/>
        <v>4.9137716927094087E-2</v>
      </c>
      <c r="G213" s="3">
        <f t="shared" si="174"/>
        <v>4.9137716927094087E-2</v>
      </c>
      <c r="H213" s="3">
        <f t="shared" si="174"/>
        <v>4.9137716927094073E-2</v>
      </c>
      <c r="I213" s="3">
        <f t="shared" si="174"/>
        <v>4.913771692709399E-2</v>
      </c>
      <c r="J213" s="3">
        <f t="shared" si="174"/>
        <v>4.9137716927093088E-2</v>
      </c>
      <c r="K213" s="3">
        <f t="shared" si="174"/>
        <v>4.9137716927084095E-2</v>
      </c>
      <c r="L213" s="3">
        <f t="shared" si="174"/>
        <v>4.9137716926994139E-2</v>
      </c>
      <c r="M213" s="3">
        <f t="shared" si="174"/>
        <v>4.9137716926094636E-2</v>
      </c>
      <c r="N213" s="3">
        <f t="shared" si="174"/>
        <v>4.913771691709954E-2</v>
      </c>
      <c r="O213" s="3">
        <f t="shared" si="174"/>
        <v>4.913771682714866E-2</v>
      </c>
      <c r="P213" s="3">
        <f t="shared" si="174"/>
        <v>4.9137715927639818E-2</v>
      </c>
      <c r="Q213" s="3">
        <f t="shared" si="174"/>
        <v>4.9137706932552351E-2</v>
      </c>
      <c r="R213" s="3">
        <f t="shared" si="174"/>
        <v>4.913761698176821E-2</v>
      </c>
      <c r="S213" s="3">
        <f t="shared" si="174"/>
        <v>4.913671748298324E-2</v>
      </c>
      <c r="T213" s="3">
        <f t="shared" si="174"/>
        <v>4.9127723400711559E-2</v>
      </c>
      <c r="U213" s="3">
        <f t="shared" si="174"/>
        <v>4.9037873074498368E-2</v>
      </c>
      <c r="V213" s="3">
        <f t="shared" si="174"/>
        <v>4.8148358466853454E-2</v>
      </c>
      <c r="W213" s="3">
        <f t="shared" si="174"/>
        <v>4.0094064545380205E-2</v>
      </c>
      <c r="X213" s="3">
        <f t="shared" si="174"/>
        <v>6.4278552015824423E-3</v>
      </c>
      <c r="Y213" s="3">
        <f t="shared" si="174"/>
        <v>7.2098475675197232E-11</v>
      </c>
      <c r="Z213" s="3">
        <f t="shared" si="174"/>
        <v>2.272616008582281E-90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4.6762783367912203E-2</v>
      </c>
      <c r="C214" s="3">
        <f t="shared" si="175"/>
        <v>4.6762783367912203E-2</v>
      </c>
      <c r="D214" s="3">
        <f t="shared" si="175"/>
        <v>4.6762783367912203E-2</v>
      </c>
      <c r="E214" s="3">
        <f t="shared" si="175"/>
        <v>4.6762783367912203E-2</v>
      </c>
      <c r="F214" s="3">
        <f t="shared" si="175"/>
        <v>4.6762783367912203E-2</v>
      </c>
      <c r="G214" s="3">
        <f t="shared" si="175"/>
        <v>4.6762783367912203E-2</v>
      </c>
      <c r="H214" s="3">
        <f t="shared" si="175"/>
        <v>4.6762783367912203E-2</v>
      </c>
      <c r="I214" s="3">
        <f t="shared" si="175"/>
        <v>4.6762783367912196E-2</v>
      </c>
      <c r="J214" s="3">
        <f t="shared" si="175"/>
        <v>4.6762783367912113E-2</v>
      </c>
      <c r="K214" s="3">
        <f t="shared" si="175"/>
        <v>4.6762783367911349E-2</v>
      </c>
      <c r="L214" s="3">
        <f t="shared" si="175"/>
        <v>4.676278336790362E-2</v>
      </c>
      <c r="M214" s="3">
        <f t="shared" si="175"/>
        <v>4.6762783367826397E-2</v>
      </c>
      <c r="N214" s="3">
        <f t="shared" si="175"/>
        <v>4.6762783367054188E-2</v>
      </c>
      <c r="O214" s="3">
        <f t="shared" si="175"/>
        <v>4.6762783359332052E-2</v>
      </c>
      <c r="P214" s="3">
        <f t="shared" si="175"/>
        <v>4.6762783282110705E-2</v>
      </c>
      <c r="Q214" s="3">
        <f t="shared" si="175"/>
        <v>4.6762782509897176E-2</v>
      </c>
      <c r="R214" s="3">
        <f t="shared" si="175"/>
        <v>4.6762774787762605E-2</v>
      </c>
      <c r="S214" s="3">
        <f t="shared" si="175"/>
        <v>4.6762697566487085E-2</v>
      </c>
      <c r="T214" s="3">
        <f t="shared" si="175"/>
        <v>4.6761925360745346E-2</v>
      </c>
      <c r="U214" s="3">
        <f t="shared" si="175"/>
        <v>4.6754204004634176E-2</v>
      </c>
      <c r="V214" s="3">
        <f t="shared" si="175"/>
        <v>4.6677060531310759E-2</v>
      </c>
      <c r="W214" s="3">
        <f t="shared" si="175"/>
        <v>4.5912591942006226E-2</v>
      </c>
      <c r="X214" s="3">
        <f t="shared" si="175"/>
        <v>3.8923773289002463E-2</v>
      </c>
      <c r="Y214" s="3">
        <f t="shared" si="175"/>
        <v>7.4652811332904237E-3</v>
      </c>
      <c r="Z214" s="3">
        <f t="shared" si="175"/>
        <v>5.0275742996797452E-10</v>
      </c>
      <c r="AA214" s="3">
        <f t="shared" si="175"/>
        <v>9.6489887257680892E-82</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5.0407962506303181E-2</v>
      </c>
      <c r="C215" s="3">
        <f t="shared" si="176"/>
        <v>5.0407962506303181E-2</v>
      </c>
      <c r="D215" s="3">
        <f t="shared" si="176"/>
        <v>5.0407962506303181E-2</v>
      </c>
      <c r="E215" s="3">
        <f t="shared" si="176"/>
        <v>5.0407962506303181E-2</v>
      </c>
      <c r="F215" s="3">
        <f t="shared" si="176"/>
        <v>5.0407962506303181E-2</v>
      </c>
      <c r="G215" s="3">
        <f t="shared" si="176"/>
        <v>5.0407962506303181E-2</v>
      </c>
      <c r="H215" s="3">
        <f t="shared" si="176"/>
        <v>5.0407962506303181E-2</v>
      </c>
      <c r="I215" s="3">
        <f t="shared" si="176"/>
        <v>5.0407962506303181E-2</v>
      </c>
      <c r="J215" s="3">
        <f t="shared" si="176"/>
        <v>5.0407962506303174E-2</v>
      </c>
      <c r="K215" s="3">
        <f t="shared" si="176"/>
        <v>5.0407962506303097E-2</v>
      </c>
      <c r="L215" s="3">
        <f t="shared" si="176"/>
        <v>5.0407962506302348E-2</v>
      </c>
      <c r="M215" s="3">
        <f t="shared" si="176"/>
        <v>5.0407962506294833E-2</v>
      </c>
      <c r="N215" s="3">
        <f t="shared" si="176"/>
        <v>5.0407962506219747E-2</v>
      </c>
      <c r="O215" s="3">
        <f t="shared" si="176"/>
        <v>5.0407962505468848E-2</v>
      </c>
      <c r="P215" s="3">
        <f t="shared" si="176"/>
        <v>5.0407962497959834E-2</v>
      </c>
      <c r="Q215" s="3">
        <f t="shared" si="176"/>
        <v>5.0407962422869712E-2</v>
      </c>
      <c r="R215" s="3">
        <f t="shared" si="176"/>
        <v>5.0407961671968531E-2</v>
      </c>
      <c r="S215" s="3">
        <f t="shared" si="176"/>
        <v>5.0407954162957354E-2</v>
      </c>
      <c r="T215" s="3">
        <f t="shared" si="176"/>
        <v>5.0407879072907016E-2</v>
      </c>
      <c r="U215" s="3">
        <f t="shared" si="176"/>
        <v>5.0407128178555832E-2</v>
      </c>
      <c r="V215" s="3">
        <f t="shared" si="176"/>
        <v>5.0399619850224446E-2</v>
      </c>
      <c r="W215" s="3">
        <f t="shared" si="176"/>
        <v>5.0324598051062978E-2</v>
      </c>
      <c r="X215" s="3">
        <f t="shared" si="176"/>
        <v>4.958049472109597E-2</v>
      </c>
      <c r="Y215" s="3">
        <f t="shared" si="176"/>
        <v>4.2718526774814733E-2</v>
      </c>
      <c r="Z215" s="3">
        <f t="shared" si="176"/>
        <v>9.6309776791882497E-3</v>
      </c>
      <c r="AA215" s="3">
        <f t="shared" si="176"/>
        <v>3.2674689644102925E-9</v>
      </c>
      <c r="AB215" s="3">
        <f t="shared" si="176"/>
        <v>6.6011928361616805E-74</v>
      </c>
      <c r="AC215" s="3">
        <f t="shared" si="176"/>
        <v>0</v>
      </c>
      <c r="AD215" s="3">
        <f t="shared" si="176"/>
        <v>0</v>
      </c>
      <c r="AE215" s="3">
        <f t="shared" si="176"/>
        <v>0</v>
      </c>
      <c r="AF215" s="3">
        <f t="shared" si="176"/>
        <v>0</v>
      </c>
      <c r="AG215" s="3"/>
      <c r="AH215" s="3"/>
    </row>
    <row r="216" spans="1:34" x14ac:dyDescent="0.25">
      <c r="B216" s="3">
        <f t="shared" ref="B216:AF216" si="177">$C24*EXP(-B$207/$A24/EXP(-$D$126))</f>
        <v>5.7182312842770561E-2</v>
      </c>
      <c r="C216" s="3">
        <f t="shared" si="177"/>
        <v>5.7182312842770561E-2</v>
      </c>
      <c r="D216" s="3">
        <f t="shared" si="177"/>
        <v>5.7182312842770561E-2</v>
      </c>
      <c r="E216" s="3">
        <f t="shared" si="177"/>
        <v>5.7182312842770561E-2</v>
      </c>
      <c r="F216" s="3">
        <f t="shared" si="177"/>
        <v>5.7182312842770561E-2</v>
      </c>
      <c r="G216" s="3">
        <f t="shared" si="177"/>
        <v>5.7182312842770561E-2</v>
      </c>
      <c r="H216" s="3">
        <f t="shared" si="177"/>
        <v>5.7182312842770561E-2</v>
      </c>
      <c r="I216" s="3">
        <f t="shared" si="177"/>
        <v>5.7182312842770561E-2</v>
      </c>
      <c r="J216" s="3">
        <f t="shared" si="177"/>
        <v>5.7182312842770561E-2</v>
      </c>
      <c r="K216" s="3">
        <f t="shared" si="177"/>
        <v>5.7182312842770554E-2</v>
      </c>
      <c r="L216" s="3">
        <f t="shared" si="177"/>
        <v>5.7182312842770477E-2</v>
      </c>
      <c r="M216" s="3">
        <f t="shared" si="177"/>
        <v>5.7182312842769707E-2</v>
      </c>
      <c r="N216" s="3">
        <f t="shared" si="177"/>
        <v>5.7182312842762019E-2</v>
      </c>
      <c r="O216" s="3">
        <f t="shared" si="177"/>
        <v>5.7182312842685178E-2</v>
      </c>
      <c r="P216" s="3">
        <f t="shared" si="177"/>
        <v>5.7182312841916771E-2</v>
      </c>
      <c r="Q216" s="3">
        <f t="shared" si="177"/>
        <v>5.7182312834232696E-2</v>
      </c>
      <c r="R216" s="3">
        <f t="shared" si="177"/>
        <v>5.7182312757391877E-2</v>
      </c>
      <c r="S216" s="3">
        <f t="shared" si="177"/>
        <v>5.7182311988983749E-2</v>
      </c>
      <c r="T216" s="3">
        <f t="shared" si="177"/>
        <v>5.7182304304903009E-2</v>
      </c>
      <c r="U216" s="3">
        <f t="shared" si="177"/>
        <v>5.7182227464152365E-2</v>
      </c>
      <c r="V216" s="3">
        <f t="shared" si="177"/>
        <v>5.7181459062325156E-2</v>
      </c>
      <c r="W216" s="3">
        <f t="shared" si="177"/>
        <v>5.717377561193869E-2</v>
      </c>
      <c r="X216" s="3">
        <f t="shared" si="177"/>
        <v>5.7096997868413331E-2</v>
      </c>
      <c r="Y216" s="3">
        <f t="shared" si="177"/>
        <v>5.6334868346951908E-2</v>
      </c>
      <c r="Z216" s="3">
        <f t="shared" si="177"/>
        <v>4.9251264167465204E-2</v>
      </c>
      <c r="AA216" s="3">
        <f t="shared" si="177"/>
        <v>1.284749236798997E-2</v>
      </c>
      <c r="AB216" s="3">
        <f t="shared" si="177"/>
        <v>1.8742530609311285E-8</v>
      </c>
      <c r="AC216" s="3">
        <f t="shared" si="177"/>
        <v>8.1832691029427709E-67</v>
      </c>
      <c r="AD216" s="3">
        <f t="shared" si="177"/>
        <v>0</v>
      </c>
      <c r="AE216" s="3">
        <f t="shared" si="177"/>
        <v>0</v>
      </c>
      <c r="AF216" s="3">
        <f t="shared" si="177"/>
        <v>0</v>
      </c>
      <c r="AG216" s="3"/>
      <c r="AH216" s="3"/>
    </row>
    <row r="217" spans="1:34" x14ac:dyDescent="0.25">
      <c r="B217" s="3">
        <f t="shared" ref="B217:AF217" si="178">$C25*EXP(-B$207/$A25/EXP(-$D$126))</f>
        <v>8.0089931313285845E-2</v>
      </c>
      <c r="C217" s="3">
        <f t="shared" si="178"/>
        <v>8.0089931313285845E-2</v>
      </c>
      <c r="D217" s="3">
        <f t="shared" si="178"/>
        <v>8.0089931313285845E-2</v>
      </c>
      <c r="E217" s="3">
        <f t="shared" si="178"/>
        <v>8.0089931313285845E-2</v>
      </c>
      <c r="F217" s="3">
        <f t="shared" si="178"/>
        <v>8.0089931313285845E-2</v>
      </c>
      <c r="G217" s="3">
        <f t="shared" si="178"/>
        <v>8.0089931313285845E-2</v>
      </c>
      <c r="H217" s="3">
        <f t="shared" si="178"/>
        <v>8.0089931313285845E-2</v>
      </c>
      <c r="I217" s="3">
        <f t="shared" si="178"/>
        <v>8.0089931313285845E-2</v>
      </c>
      <c r="J217" s="3">
        <f t="shared" si="178"/>
        <v>8.0089931313285845E-2</v>
      </c>
      <c r="K217" s="3">
        <f t="shared" si="178"/>
        <v>8.0089931313285845E-2</v>
      </c>
      <c r="L217" s="3">
        <f t="shared" si="178"/>
        <v>8.0089931313285831E-2</v>
      </c>
      <c r="M217" s="3">
        <f t="shared" si="178"/>
        <v>8.0089931313285734E-2</v>
      </c>
      <c r="N217" s="3">
        <f t="shared" si="178"/>
        <v>8.0089931313284762E-2</v>
      </c>
      <c r="O217" s="3">
        <f t="shared" si="178"/>
        <v>8.0089931313275062E-2</v>
      </c>
      <c r="P217" s="3">
        <f t="shared" si="178"/>
        <v>8.0089931313177973E-2</v>
      </c>
      <c r="Q217" s="3">
        <f t="shared" si="178"/>
        <v>8.008993131220711E-2</v>
      </c>
      <c r="R217" s="3">
        <f t="shared" si="178"/>
        <v>8.0089931302498557E-2</v>
      </c>
      <c r="S217" s="3">
        <f t="shared" si="178"/>
        <v>8.0089931205412968E-2</v>
      </c>
      <c r="T217" s="3">
        <f t="shared" si="178"/>
        <v>8.0089930234557141E-2</v>
      </c>
      <c r="U217" s="3">
        <f t="shared" si="178"/>
        <v>8.0089920525999392E-2</v>
      </c>
      <c r="V217" s="3">
        <f t="shared" si="178"/>
        <v>8.0089823440486665E-2</v>
      </c>
      <c r="W217" s="3">
        <f t="shared" si="178"/>
        <v>8.0088852591832183E-2</v>
      </c>
      <c r="X217" s="3">
        <f t="shared" si="178"/>
        <v>8.0079144752538189E-2</v>
      </c>
      <c r="Y217" s="3">
        <f t="shared" si="178"/>
        <v>7.9982131055662015E-2</v>
      </c>
      <c r="Z217" s="3">
        <f t="shared" si="178"/>
        <v>7.9018434769849891E-2</v>
      </c>
      <c r="AA217" s="3">
        <f t="shared" si="178"/>
        <v>6.999756566103521E-2</v>
      </c>
      <c r="AB217" s="3">
        <f t="shared" si="178"/>
        <v>2.0827065135197047E-2</v>
      </c>
      <c r="AC217" s="3">
        <f t="shared" si="178"/>
        <v>1.1326075745771435E-7</v>
      </c>
      <c r="AD217" s="3">
        <f t="shared" si="178"/>
        <v>2.5620837775125203E-60</v>
      </c>
      <c r="AE217" s="3">
        <f t="shared" si="178"/>
        <v>0</v>
      </c>
      <c r="AF217" s="3">
        <f t="shared" si="178"/>
        <v>0</v>
      </c>
      <c r="AG217" s="3"/>
      <c r="AH217" s="3"/>
    </row>
    <row r="218" spans="1:34" x14ac:dyDescent="0.25">
      <c r="B218" s="3">
        <f t="shared" ref="B218:AF218" si="179">$C26*EXP(-B$207/$A26/EXP(-$D$126))</f>
        <v>9.4725402978259585E-2</v>
      </c>
      <c r="C218" s="3">
        <f t="shared" si="179"/>
        <v>9.4725402978259585E-2</v>
      </c>
      <c r="D218" s="3">
        <f t="shared" si="179"/>
        <v>9.4725402978259585E-2</v>
      </c>
      <c r="E218" s="3">
        <f t="shared" si="179"/>
        <v>9.4725402978259585E-2</v>
      </c>
      <c r="F218" s="3">
        <f t="shared" si="179"/>
        <v>9.4725402978259585E-2</v>
      </c>
      <c r="G218" s="3">
        <f t="shared" si="179"/>
        <v>9.4725402978259585E-2</v>
      </c>
      <c r="H218" s="3">
        <f t="shared" si="179"/>
        <v>9.4725402978259585E-2</v>
      </c>
      <c r="I218" s="3">
        <f t="shared" si="179"/>
        <v>9.4725402978259585E-2</v>
      </c>
      <c r="J218" s="3">
        <f t="shared" si="179"/>
        <v>9.4725402978259585E-2</v>
      </c>
      <c r="K218" s="3">
        <f t="shared" si="179"/>
        <v>9.4725402978259585E-2</v>
      </c>
      <c r="L218" s="3">
        <f t="shared" si="179"/>
        <v>9.4725402978259585E-2</v>
      </c>
      <c r="M218" s="3">
        <f t="shared" si="179"/>
        <v>9.4725402978259571E-2</v>
      </c>
      <c r="N218" s="3">
        <f t="shared" si="179"/>
        <v>9.4725402978259474E-2</v>
      </c>
      <c r="O218" s="3">
        <f t="shared" si="179"/>
        <v>9.4725402978258433E-2</v>
      </c>
      <c r="P218" s="3">
        <f t="shared" si="179"/>
        <v>9.472540297824808E-2</v>
      </c>
      <c r="Q218" s="3">
        <f t="shared" si="179"/>
        <v>9.4725402978144496E-2</v>
      </c>
      <c r="R218" s="3">
        <f t="shared" si="179"/>
        <v>9.4725402977108658E-2</v>
      </c>
      <c r="S218" s="3">
        <f t="shared" si="179"/>
        <v>9.4725402966750333E-2</v>
      </c>
      <c r="T218" s="3">
        <f t="shared" si="179"/>
        <v>9.4725402863166996E-2</v>
      </c>
      <c r="U218" s="3">
        <f t="shared" si="179"/>
        <v>9.4725401827333661E-2</v>
      </c>
      <c r="V218" s="3">
        <f t="shared" si="179"/>
        <v>9.4725391469001052E-2</v>
      </c>
      <c r="W218" s="3">
        <f t="shared" si="179"/>
        <v>9.4725287885737197E-2</v>
      </c>
      <c r="X218" s="3">
        <f t="shared" si="179"/>
        <v>9.472425205932844E-2</v>
      </c>
      <c r="Y218" s="3">
        <f t="shared" si="179"/>
        <v>9.4713894418195582E-2</v>
      </c>
      <c r="Z218" s="3">
        <f t="shared" si="179"/>
        <v>9.461038027713975E-2</v>
      </c>
      <c r="AA218" s="3">
        <f t="shared" si="179"/>
        <v>9.3581440772870575E-2</v>
      </c>
      <c r="AB218" s="3">
        <f t="shared" si="179"/>
        <v>8.3887860679549078E-2</v>
      </c>
      <c r="AC218" s="3">
        <f t="shared" si="179"/>
        <v>2.8105611406780983E-2</v>
      </c>
      <c r="AD218" s="3">
        <f t="shared" si="179"/>
        <v>5.0087830336988987E-7</v>
      </c>
      <c r="AE218" s="3">
        <f t="shared" si="179"/>
        <v>1.6185422599357877E-54</v>
      </c>
      <c r="AF218" s="3">
        <f t="shared" si="179"/>
        <v>0</v>
      </c>
      <c r="AG218" s="3"/>
      <c r="AH218" s="3"/>
    </row>
    <row r="219" spans="1:34" x14ac:dyDescent="0.25">
      <c r="B219" s="3">
        <f t="shared" ref="B219:AF219" si="180">$C27*EXP(-B$207/$A27/EXP(-$D$126))</f>
        <v>0.11171287761739628</v>
      </c>
      <c r="C219" s="3">
        <f t="shared" si="180"/>
        <v>0.11171287761739628</v>
      </c>
      <c r="D219" s="3">
        <f t="shared" si="180"/>
        <v>0.11171287761739628</v>
      </c>
      <c r="E219" s="3">
        <f t="shared" si="180"/>
        <v>0.11171287761739628</v>
      </c>
      <c r="F219" s="3">
        <f t="shared" si="180"/>
        <v>0.11171287761739628</v>
      </c>
      <c r="G219" s="3">
        <f t="shared" si="180"/>
        <v>0.11171287761739628</v>
      </c>
      <c r="H219" s="3">
        <f t="shared" si="180"/>
        <v>0.11171287761739628</v>
      </c>
      <c r="I219" s="3">
        <f t="shared" si="180"/>
        <v>0.11171287761739628</v>
      </c>
      <c r="J219" s="3">
        <f t="shared" si="180"/>
        <v>0.11171287761739628</v>
      </c>
      <c r="K219" s="3">
        <f t="shared" si="180"/>
        <v>0.11171287761739628</v>
      </c>
      <c r="L219" s="3">
        <f t="shared" si="180"/>
        <v>0.11171287761739628</v>
      </c>
      <c r="M219" s="3">
        <f t="shared" si="180"/>
        <v>0.11171287761739628</v>
      </c>
      <c r="N219" s="3">
        <f t="shared" si="180"/>
        <v>0.11171287761739626</v>
      </c>
      <c r="O219" s="3">
        <f t="shared" si="180"/>
        <v>0.11171287761739615</v>
      </c>
      <c r="P219" s="3">
        <f t="shared" si="180"/>
        <v>0.11171287761739505</v>
      </c>
      <c r="Q219" s="3">
        <f t="shared" si="180"/>
        <v>0.11171287761738403</v>
      </c>
      <c r="R219" s="3">
        <f t="shared" si="180"/>
        <v>0.11171287761727383</v>
      </c>
      <c r="S219" s="3">
        <f t="shared" si="180"/>
        <v>0.11171287761617185</v>
      </c>
      <c r="T219" s="3">
        <f t="shared" si="180"/>
        <v>0.11171287760515206</v>
      </c>
      <c r="U219" s="3">
        <f t="shared" si="180"/>
        <v>0.11171287749495418</v>
      </c>
      <c r="V219" s="3">
        <f t="shared" si="180"/>
        <v>0.11171287639297536</v>
      </c>
      <c r="W219" s="3">
        <f t="shared" si="180"/>
        <v>0.11171286537318777</v>
      </c>
      <c r="X219" s="3">
        <f t="shared" si="180"/>
        <v>0.11171275517537159</v>
      </c>
      <c r="Y219" s="3">
        <f t="shared" si="180"/>
        <v>0.11171165320318838</v>
      </c>
      <c r="Z219" s="3">
        <f t="shared" si="180"/>
        <v>0.11170063407920106</v>
      </c>
      <c r="AA219" s="3">
        <f t="shared" si="180"/>
        <v>0.11159050260197707</v>
      </c>
      <c r="AB219" s="3">
        <f t="shared" si="180"/>
        <v>0.11049514233979313</v>
      </c>
      <c r="AC219" s="3">
        <f t="shared" si="180"/>
        <v>0.10011581941935907</v>
      </c>
      <c r="AD219" s="3">
        <f t="shared" si="180"/>
        <v>3.7333431693012849E-2</v>
      </c>
      <c r="AE219" s="3">
        <f t="shared" si="180"/>
        <v>1.9411092128722075E-6</v>
      </c>
      <c r="AF219" s="3">
        <f t="shared" si="180"/>
        <v>2.8026609192182643E-49</v>
      </c>
      <c r="AG219" s="3"/>
      <c r="AH219" s="3"/>
    </row>
    <row r="220" spans="1:34" x14ac:dyDescent="0.25">
      <c r="B220" s="3">
        <f t="shared" ref="B220:AF220" si="181">$C28*EXP(-B$207/$A28/EXP(-$D$126))</f>
        <v>0.12486929252202905</v>
      </c>
      <c r="C220" s="3">
        <f t="shared" si="181"/>
        <v>0.12486929252202905</v>
      </c>
      <c r="D220" s="3">
        <f t="shared" si="181"/>
        <v>0.12486929252202905</v>
      </c>
      <c r="E220" s="3">
        <f t="shared" si="181"/>
        <v>0.12486929252202905</v>
      </c>
      <c r="F220" s="3">
        <f t="shared" si="181"/>
        <v>0.12486929252202905</v>
      </c>
      <c r="G220" s="3">
        <f t="shared" si="181"/>
        <v>0.12486929252202905</v>
      </c>
      <c r="H220" s="3">
        <f t="shared" si="181"/>
        <v>0.12486929252202905</v>
      </c>
      <c r="I220" s="3">
        <f t="shared" si="181"/>
        <v>0.12486929252202905</v>
      </c>
      <c r="J220" s="3">
        <f t="shared" si="181"/>
        <v>0.12486929252202905</v>
      </c>
      <c r="K220" s="3">
        <f t="shared" si="181"/>
        <v>0.12486929252202905</v>
      </c>
      <c r="L220" s="3">
        <f t="shared" si="181"/>
        <v>0.12486929252202905</v>
      </c>
      <c r="M220" s="3">
        <f t="shared" si="181"/>
        <v>0.12486929252202905</v>
      </c>
      <c r="N220" s="3">
        <f t="shared" si="181"/>
        <v>0.12486929252202905</v>
      </c>
      <c r="O220" s="3">
        <f t="shared" si="181"/>
        <v>0.12486929252202904</v>
      </c>
      <c r="P220" s="3">
        <f t="shared" si="181"/>
        <v>0.12486929252202893</v>
      </c>
      <c r="Q220" s="3">
        <f t="shared" si="181"/>
        <v>0.12486929252202782</v>
      </c>
      <c r="R220" s="3">
        <f t="shared" si="181"/>
        <v>0.1248692925220167</v>
      </c>
      <c r="S220" s="3">
        <f t="shared" si="181"/>
        <v>0.12486929252190558</v>
      </c>
      <c r="T220" s="3">
        <f t="shared" si="181"/>
        <v>0.12486929252079444</v>
      </c>
      <c r="U220" s="3">
        <f t="shared" si="181"/>
        <v>0.12486929250968296</v>
      </c>
      <c r="V220" s="3">
        <f t="shared" si="181"/>
        <v>0.12486929239856806</v>
      </c>
      <c r="W220" s="3">
        <f t="shared" si="181"/>
        <v>0.12486929128741918</v>
      </c>
      <c r="X220" s="3">
        <f t="shared" si="181"/>
        <v>0.12486928017593099</v>
      </c>
      <c r="Y220" s="3">
        <f t="shared" si="181"/>
        <v>0.12486916906110339</v>
      </c>
      <c r="Z220" s="3">
        <f t="shared" si="181"/>
        <v>0.12486805791826543</v>
      </c>
      <c r="AA220" s="3">
        <f t="shared" si="181"/>
        <v>0.12485694703368143</v>
      </c>
      <c r="AB220" s="3">
        <f t="shared" si="181"/>
        <v>0.12474589254949738</v>
      </c>
      <c r="AC220" s="3">
        <f t="shared" si="181"/>
        <v>0.12364076601751531</v>
      </c>
      <c r="AD220" s="3">
        <f t="shared" si="181"/>
        <v>0.11311390890332323</v>
      </c>
      <c r="AE220" s="3">
        <f t="shared" si="181"/>
        <v>4.6457864877734692E-2</v>
      </c>
      <c r="AF220" s="3">
        <f t="shared" si="181"/>
        <v>6.3458763413315466E-6</v>
      </c>
      <c r="AG220" s="3"/>
      <c r="AH220" s="3"/>
    </row>
    <row r="221" spans="1:34" x14ac:dyDescent="0.25">
      <c r="B221" s="3">
        <f t="shared" ref="B221:AF221" si="182">$C29*EXP(-B$207/$A29/EXP(-$D$126))</f>
        <v>7.1899142973036512E-2</v>
      </c>
      <c r="C221" s="3">
        <f t="shared" si="182"/>
        <v>7.1899142973036512E-2</v>
      </c>
      <c r="D221" s="3">
        <f t="shared" si="182"/>
        <v>7.1899142973036512E-2</v>
      </c>
      <c r="E221" s="3">
        <f t="shared" si="182"/>
        <v>7.1899142973036512E-2</v>
      </c>
      <c r="F221" s="3">
        <f t="shared" si="182"/>
        <v>7.1899142973036512E-2</v>
      </c>
      <c r="G221" s="3">
        <f t="shared" si="182"/>
        <v>7.1899142973036512E-2</v>
      </c>
      <c r="H221" s="3">
        <f t="shared" si="182"/>
        <v>7.1899142973036512E-2</v>
      </c>
      <c r="I221" s="3">
        <f t="shared" si="182"/>
        <v>7.1899142973036512E-2</v>
      </c>
      <c r="J221" s="3">
        <f t="shared" si="182"/>
        <v>7.1899142973036512E-2</v>
      </c>
      <c r="K221" s="3">
        <f t="shared" si="182"/>
        <v>7.1899142973036512E-2</v>
      </c>
      <c r="L221" s="3">
        <f t="shared" si="182"/>
        <v>7.1899142973036512E-2</v>
      </c>
      <c r="M221" s="3">
        <f t="shared" si="182"/>
        <v>7.1899142973036512E-2</v>
      </c>
      <c r="N221" s="3">
        <f t="shared" si="182"/>
        <v>7.1899142973036512E-2</v>
      </c>
      <c r="O221" s="3">
        <f t="shared" si="182"/>
        <v>7.1899142973036512E-2</v>
      </c>
      <c r="P221" s="3">
        <f t="shared" si="182"/>
        <v>7.1899142973036498E-2</v>
      </c>
      <c r="Q221" s="3">
        <f t="shared" si="182"/>
        <v>7.1899142973036442E-2</v>
      </c>
      <c r="R221" s="3">
        <f t="shared" si="182"/>
        <v>7.1899142973035873E-2</v>
      </c>
      <c r="S221" s="3">
        <f t="shared" si="182"/>
        <v>7.18991429730301E-2</v>
      </c>
      <c r="T221" s="3">
        <f t="shared" si="182"/>
        <v>7.1899142972972382E-2</v>
      </c>
      <c r="U221" s="3">
        <f t="shared" si="182"/>
        <v>7.1899142972395233E-2</v>
      </c>
      <c r="V221" s="3">
        <f t="shared" si="182"/>
        <v>7.1899142966623766E-2</v>
      </c>
      <c r="W221" s="3">
        <f t="shared" si="182"/>
        <v>7.1899142908908989E-2</v>
      </c>
      <c r="X221" s="3">
        <f t="shared" si="182"/>
        <v>7.1899142331761381E-2</v>
      </c>
      <c r="Y221" s="3">
        <f t="shared" si="182"/>
        <v>7.1899136560285501E-2</v>
      </c>
      <c r="Z221" s="3">
        <f t="shared" si="182"/>
        <v>7.1899078845552161E-2</v>
      </c>
      <c r="AA221" s="3">
        <f t="shared" si="182"/>
        <v>7.1898501700766823E-2</v>
      </c>
      <c r="AB221" s="3">
        <f t="shared" si="182"/>
        <v>7.1892730507712888E-2</v>
      </c>
      <c r="AC221" s="3">
        <f t="shared" si="182"/>
        <v>7.1835044049550656E-2</v>
      </c>
      <c r="AD221" s="3">
        <f t="shared" si="182"/>
        <v>7.1260719156423291E-2</v>
      </c>
      <c r="AE221" s="3">
        <f t="shared" si="182"/>
        <v>6.5764055284713283E-2</v>
      </c>
      <c r="AF221" s="3">
        <f t="shared" si="182"/>
        <v>2.9469477405099823E-2</v>
      </c>
      <c r="AG221" s="3"/>
      <c r="AH221" s="3"/>
    </row>
    <row r="222" spans="1:34" x14ac:dyDescent="0.25">
      <c r="B222" s="3">
        <f t="shared" ref="B222:AF222" si="183">$C30*EXP(-B$207/$A30/EXP(-$D$126))</f>
        <v>4.7675556768581172E-2</v>
      </c>
      <c r="C222" s="3">
        <f t="shared" si="183"/>
        <v>4.7675556768581172E-2</v>
      </c>
      <c r="D222" s="3">
        <f t="shared" si="183"/>
        <v>4.7675556768581172E-2</v>
      </c>
      <c r="E222" s="3">
        <f t="shared" si="183"/>
        <v>4.7675556768581172E-2</v>
      </c>
      <c r="F222" s="3">
        <f t="shared" si="183"/>
        <v>4.7675556768581172E-2</v>
      </c>
      <c r="G222" s="3">
        <f t="shared" si="183"/>
        <v>4.7675556768581172E-2</v>
      </c>
      <c r="H222" s="3">
        <f t="shared" si="183"/>
        <v>4.7675556768581172E-2</v>
      </c>
      <c r="I222" s="3">
        <f t="shared" si="183"/>
        <v>4.7675556768581172E-2</v>
      </c>
      <c r="J222" s="3">
        <f t="shared" si="183"/>
        <v>4.7675556768581172E-2</v>
      </c>
      <c r="K222" s="3">
        <f t="shared" si="183"/>
        <v>4.7675556768581172E-2</v>
      </c>
      <c r="L222" s="3">
        <f t="shared" si="183"/>
        <v>4.7675556768581172E-2</v>
      </c>
      <c r="M222" s="3">
        <f t="shared" si="183"/>
        <v>4.7675556768581172E-2</v>
      </c>
      <c r="N222" s="3">
        <f t="shared" si="183"/>
        <v>4.7675556768581172E-2</v>
      </c>
      <c r="O222" s="3">
        <f t="shared" si="183"/>
        <v>4.7675556768581172E-2</v>
      </c>
      <c r="P222" s="3">
        <f t="shared" si="183"/>
        <v>4.7675556768581172E-2</v>
      </c>
      <c r="Q222" s="3">
        <f t="shared" si="183"/>
        <v>4.7675556768581165E-2</v>
      </c>
      <c r="R222" s="3">
        <f t="shared" si="183"/>
        <v>4.7675556768581137E-2</v>
      </c>
      <c r="S222" s="3">
        <f t="shared" si="183"/>
        <v>4.767555676858079E-2</v>
      </c>
      <c r="T222" s="3">
        <f t="shared" si="183"/>
        <v>4.7675556768577335E-2</v>
      </c>
      <c r="U222" s="3">
        <f t="shared" si="183"/>
        <v>4.7675556768542814E-2</v>
      </c>
      <c r="V222" s="3">
        <f t="shared" si="183"/>
        <v>4.7675556768197583E-2</v>
      </c>
      <c r="W222" s="3">
        <f t="shared" si="183"/>
        <v>4.767555676474531E-2</v>
      </c>
      <c r="X222" s="3">
        <f t="shared" si="183"/>
        <v>4.7675556730222543E-2</v>
      </c>
      <c r="Y222" s="3">
        <f t="shared" si="183"/>
        <v>4.7675556384994905E-2</v>
      </c>
      <c r="Z222" s="3">
        <f t="shared" si="183"/>
        <v>4.7675552932718683E-2</v>
      </c>
      <c r="AA222" s="3">
        <f t="shared" si="183"/>
        <v>4.7675518409970127E-2</v>
      </c>
      <c r="AB222" s="3">
        <f t="shared" si="183"/>
        <v>4.7675173183859505E-2</v>
      </c>
      <c r="AC222" s="3">
        <f t="shared" si="183"/>
        <v>4.7671721060241409E-2</v>
      </c>
      <c r="AD222" s="3">
        <f t="shared" si="183"/>
        <v>4.7637213569187258E-2</v>
      </c>
      <c r="AE222" s="3">
        <f t="shared" si="183"/>
        <v>4.729350949580078E-2</v>
      </c>
      <c r="AF222" s="3">
        <f t="shared" si="183"/>
        <v>4.3989949733384645E-2</v>
      </c>
      <c r="AG222" s="3"/>
      <c r="AH222" s="3"/>
    </row>
    <row r="223" spans="1:34" x14ac:dyDescent="0.25">
      <c r="B223" s="3">
        <f t="shared" ref="B223:AF223" si="184">$C31*EXP(-B$207/$A31/EXP(-$D$126))</f>
        <v>1.9951380582978136E-2</v>
      </c>
      <c r="C223" s="3">
        <f t="shared" si="184"/>
        <v>1.9951380582978136E-2</v>
      </c>
      <c r="D223" s="3">
        <f t="shared" si="184"/>
        <v>1.9951380582978136E-2</v>
      </c>
      <c r="E223" s="3">
        <f t="shared" si="184"/>
        <v>1.9951380582978136E-2</v>
      </c>
      <c r="F223" s="3">
        <f t="shared" si="184"/>
        <v>1.9951380582978136E-2</v>
      </c>
      <c r="G223" s="3">
        <f t="shared" si="184"/>
        <v>1.9951380582978136E-2</v>
      </c>
      <c r="H223" s="3">
        <f t="shared" si="184"/>
        <v>1.9951380582978136E-2</v>
      </c>
      <c r="I223" s="3">
        <f t="shared" si="184"/>
        <v>1.9951380582978136E-2</v>
      </c>
      <c r="J223" s="3">
        <f t="shared" si="184"/>
        <v>1.9951380582978136E-2</v>
      </c>
      <c r="K223" s="3">
        <f t="shared" si="184"/>
        <v>1.9951380582978136E-2</v>
      </c>
      <c r="L223" s="3">
        <f t="shared" si="184"/>
        <v>1.9951380582978136E-2</v>
      </c>
      <c r="M223" s="3">
        <f t="shared" si="184"/>
        <v>1.9951380582978136E-2</v>
      </c>
      <c r="N223" s="3">
        <f t="shared" si="184"/>
        <v>1.9951380582978136E-2</v>
      </c>
      <c r="O223" s="3">
        <f t="shared" si="184"/>
        <v>1.9951380582978136E-2</v>
      </c>
      <c r="P223" s="3">
        <f t="shared" si="184"/>
        <v>1.9951380582978136E-2</v>
      </c>
      <c r="Q223" s="3">
        <f t="shared" si="184"/>
        <v>1.9951380582978136E-2</v>
      </c>
      <c r="R223" s="3">
        <f t="shared" si="184"/>
        <v>1.9951380582978132E-2</v>
      </c>
      <c r="S223" s="3">
        <f t="shared" si="184"/>
        <v>1.9951380582978122E-2</v>
      </c>
      <c r="T223" s="3">
        <f t="shared" si="184"/>
        <v>1.9951380582977993E-2</v>
      </c>
      <c r="U223" s="3">
        <f t="shared" si="184"/>
        <v>1.9951380582976685E-2</v>
      </c>
      <c r="V223" s="3">
        <f t="shared" si="184"/>
        <v>1.9951380582963654E-2</v>
      </c>
      <c r="W223" s="3">
        <f t="shared" si="184"/>
        <v>1.9951380582833328E-2</v>
      </c>
      <c r="X223" s="3">
        <f t="shared" si="184"/>
        <v>1.9951380581530075E-2</v>
      </c>
      <c r="Y223" s="3">
        <f t="shared" si="184"/>
        <v>1.9951380568497525E-2</v>
      </c>
      <c r="Z223" s="3">
        <f t="shared" si="184"/>
        <v>1.9951380438172048E-2</v>
      </c>
      <c r="AA223" s="3">
        <f t="shared" si="184"/>
        <v>1.9951379134917319E-2</v>
      </c>
      <c r="AB223" s="3">
        <f t="shared" si="184"/>
        <v>1.9951366102374683E-2</v>
      </c>
      <c r="AC223" s="3">
        <f t="shared" si="184"/>
        <v>1.9951235777416546E-2</v>
      </c>
      <c r="AD223" s="3">
        <f t="shared" si="184"/>
        <v>1.9949932574655764E-2</v>
      </c>
      <c r="AE223" s="3">
        <f t="shared" si="184"/>
        <v>1.9936905227973888E-2</v>
      </c>
      <c r="AF223" s="3">
        <f t="shared" si="184"/>
        <v>1.9807098724392215E-2</v>
      </c>
      <c r="AG223" s="3"/>
      <c r="AH223" s="3"/>
    </row>
    <row r="224" spans="1:34" x14ac:dyDescent="0.25">
      <c r="B224" s="3">
        <f t="shared" ref="B224:AF224" si="185">$C32*EXP(-B$207/$A32/EXP(-$D$126))</f>
        <v>3.7229726854135226E-3</v>
      </c>
      <c r="C224" s="3">
        <f t="shared" si="185"/>
        <v>3.7229726854135226E-3</v>
      </c>
      <c r="D224" s="3">
        <f t="shared" si="185"/>
        <v>3.7229726854135226E-3</v>
      </c>
      <c r="E224" s="3">
        <f t="shared" si="185"/>
        <v>3.7229726854135226E-3</v>
      </c>
      <c r="F224" s="3">
        <f t="shared" si="185"/>
        <v>3.7229726854135226E-3</v>
      </c>
      <c r="G224" s="3">
        <f t="shared" si="185"/>
        <v>3.7229726854135226E-3</v>
      </c>
      <c r="H224" s="3">
        <f t="shared" si="185"/>
        <v>3.7229726854135226E-3</v>
      </c>
      <c r="I224" s="3">
        <f t="shared" si="185"/>
        <v>3.7229726854135226E-3</v>
      </c>
      <c r="J224" s="3">
        <f t="shared" si="185"/>
        <v>3.7229726854135226E-3</v>
      </c>
      <c r="K224" s="3">
        <f t="shared" si="185"/>
        <v>3.7229726854135226E-3</v>
      </c>
      <c r="L224" s="3">
        <f t="shared" si="185"/>
        <v>3.7229726854135226E-3</v>
      </c>
      <c r="M224" s="3">
        <f t="shared" si="185"/>
        <v>3.7229726854135226E-3</v>
      </c>
      <c r="N224" s="3">
        <f t="shared" si="185"/>
        <v>3.7229726854135226E-3</v>
      </c>
      <c r="O224" s="3">
        <f t="shared" si="185"/>
        <v>3.7229726854135226E-3</v>
      </c>
      <c r="P224" s="3">
        <f t="shared" si="185"/>
        <v>3.7229726854135226E-3</v>
      </c>
      <c r="Q224" s="3">
        <f t="shared" si="185"/>
        <v>3.7229726854135226E-3</v>
      </c>
      <c r="R224" s="3">
        <f t="shared" si="185"/>
        <v>3.7229726854135226E-3</v>
      </c>
      <c r="S224" s="3">
        <f t="shared" si="185"/>
        <v>3.7229726854135221E-3</v>
      </c>
      <c r="T224" s="3">
        <f t="shared" si="185"/>
        <v>3.72297268541352E-3</v>
      </c>
      <c r="U224" s="3">
        <f t="shared" si="185"/>
        <v>3.7229726854134983E-3</v>
      </c>
      <c r="V224" s="3">
        <f t="shared" si="185"/>
        <v>3.7229726854132788E-3</v>
      </c>
      <c r="W224" s="3">
        <f t="shared" si="185"/>
        <v>3.7229726854110853E-3</v>
      </c>
      <c r="X224" s="3">
        <f t="shared" si="185"/>
        <v>3.7229726853891471E-3</v>
      </c>
      <c r="Y224" s="3">
        <f t="shared" si="185"/>
        <v>3.7229726851697692E-3</v>
      </c>
      <c r="Z224" s="3">
        <f t="shared" si="185"/>
        <v>3.7229726829759906E-3</v>
      </c>
      <c r="AA224" s="3">
        <f t="shared" si="185"/>
        <v>3.7229726610382039E-3</v>
      </c>
      <c r="AB224" s="3">
        <f t="shared" si="185"/>
        <v>3.7229724416603417E-3</v>
      </c>
      <c r="AC224" s="3">
        <f t="shared" si="185"/>
        <v>3.7229702478824315E-3</v>
      </c>
      <c r="AD224" s="3">
        <f t="shared" si="185"/>
        <v>3.7229483101744298E-3</v>
      </c>
      <c r="AE224" s="3">
        <f t="shared" si="185"/>
        <v>3.7227289402040537E-3</v>
      </c>
      <c r="AF224" s="3">
        <f t="shared" si="185"/>
        <v>3.7205359513098712E-3</v>
      </c>
      <c r="AG224" s="3"/>
      <c r="AH224" s="3"/>
    </row>
    <row r="225" spans="2:34" x14ac:dyDescent="0.25">
      <c r="B225" s="3">
        <f t="shared" ref="B225:AF225" si="186">$C33*EXP(-B$207/$A33/EXP(-$D$126))</f>
        <v>3.2258116785225384E-3</v>
      </c>
      <c r="C225" s="3">
        <f t="shared" si="186"/>
        <v>3.2258116785225384E-3</v>
      </c>
      <c r="D225" s="3">
        <f t="shared" si="186"/>
        <v>3.2258116785225384E-3</v>
      </c>
      <c r="E225" s="3">
        <f t="shared" si="186"/>
        <v>3.2258116785225384E-3</v>
      </c>
      <c r="F225" s="3">
        <f t="shared" si="186"/>
        <v>3.2258116785225384E-3</v>
      </c>
      <c r="G225" s="3">
        <f t="shared" si="186"/>
        <v>3.2258116785225384E-3</v>
      </c>
      <c r="H225" s="3">
        <f t="shared" si="186"/>
        <v>3.2258116785225384E-3</v>
      </c>
      <c r="I225" s="3">
        <f t="shared" si="186"/>
        <v>3.2258116785225384E-3</v>
      </c>
      <c r="J225" s="3">
        <f t="shared" si="186"/>
        <v>3.2258116785225384E-3</v>
      </c>
      <c r="K225" s="3">
        <f t="shared" si="186"/>
        <v>3.2258116785225384E-3</v>
      </c>
      <c r="L225" s="3">
        <f t="shared" si="186"/>
        <v>3.2258116785225384E-3</v>
      </c>
      <c r="M225" s="3">
        <f t="shared" si="186"/>
        <v>3.2258116785225384E-3</v>
      </c>
      <c r="N225" s="3">
        <f t="shared" si="186"/>
        <v>3.2258116785225384E-3</v>
      </c>
      <c r="O225" s="3">
        <f t="shared" si="186"/>
        <v>3.2258116785225384E-3</v>
      </c>
      <c r="P225" s="3">
        <f t="shared" si="186"/>
        <v>3.2258116785225384E-3</v>
      </c>
      <c r="Q225" s="3">
        <f t="shared" si="186"/>
        <v>3.2258116785225384E-3</v>
      </c>
      <c r="R225" s="3">
        <f t="shared" si="186"/>
        <v>3.2258116785225384E-3</v>
      </c>
      <c r="S225" s="3">
        <f t="shared" si="186"/>
        <v>3.2258116785225384E-3</v>
      </c>
      <c r="T225" s="3">
        <f t="shared" si="186"/>
        <v>3.2258116785225379E-3</v>
      </c>
      <c r="U225" s="3">
        <f t="shared" si="186"/>
        <v>3.2258116785225366E-3</v>
      </c>
      <c r="V225" s="3">
        <f t="shared" si="186"/>
        <v>3.2258116785225193E-3</v>
      </c>
      <c r="W225" s="3">
        <f t="shared" si="186"/>
        <v>3.225811678522348E-3</v>
      </c>
      <c r="X225" s="3">
        <f t="shared" si="186"/>
        <v>3.2258116785206332E-3</v>
      </c>
      <c r="Y225" s="3">
        <f t="shared" si="186"/>
        <v>3.2258116785034863E-3</v>
      </c>
      <c r="Z225" s="3">
        <f t="shared" si="186"/>
        <v>3.2258116783320159E-3</v>
      </c>
      <c r="AA225" s="3">
        <f t="shared" si="186"/>
        <v>3.2258116766173141E-3</v>
      </c>
      <c r="AB225" s="3">
        <f t="shared" si="186"/>
        <v>3.2258116594702977E-3</v>
      </c>
      <c r="AC225" s="3">
        <f t="shared" si="186"/>
        <v>3.225811488000138E-3</v>
      </c>
      <c r="AD225" s="3">
        <f t="shared" si="186"/>
        <v>3.2258097732990429E-3</v>
      </c>
      <c r="AE225" s="3">
        <f t="shared" si="186"/>
        <v>3.225792626338219E-3</v>
      </c>
      <c r="AF225" s="3">
        <f t="shared" si="186"/>
        <v>3.2256211617429087E-3</v>
      </c>
      <c r="AG225" s="3"/>
      <c r="AH225" s="3"/>
    </row>
    <row r="226" spans="2:34" x14ac:dyDescent="0.25">
      <c r="B226" s="3">
        <f t="shared" ref="B226:AF226" si="187">$C34*EXP(-B$207/$A34/EXP(-$D$126))</f>
        <v>4.6514491459037388E-4</v>
      </c>
      <c r="C226" s="3">
        <f t="shared" si="187"/>
        <v>4.6514491459037388E-4</v>
      </c>
      <c r="D226" s="3">
        <f t="shared" si="187"/>
        <v>4.6514491459037388E-4</v>
      </c>
      <c r="E226" s="3">
        <f t="shared" si="187"/>
        <v>4.6514491459037388E-4</v>
      </c>
      <c r="F226" s="3">
        <f t="shared" si="187"/>
        <v>4.6514491459037388E-4</v>
      </c>
      <c r="G226" s="3">
        <f t="shared" si="187"/>
        <v>4.6514491459037388E-4</v>
      </c>
      <c r="H226" s="3">
        <f t="shared" si="187"/>
        <v>4.6514491459037388E-4</v>
      </c>
      <c r="I226" s="3">
        <f t="shared" si="187"/>
        <v>4.6514491459037388E-4</v>
      </c>
      <c r="J226" s="3">
        <f t="shared" si="187"/>
        <v>4.6514491459037388E-4</v>
      </c>
      <c r="K226" s="3">
        <f t="shared" si="187"/>
        <v>4.6514491459037388E-4</v>
      </c>
      <c r="L226" s="3">
        <f t="shared" si="187"/>
        <v>4.6514491459037388E-4</v>
      </c>
      <c r="M226" s="3">
        <f t="shared" si="187"/>
        <v>4.6514491459037388E-4</v>
      </c>
      <c r="N226" s="3">
        <f t="shared" si="187"/>
        <v>4.6514491459037388E-4</v>
      </c>
      <c r="O226" s="3">
        <f t="shared" si="187"/>
        <v>4.6514491459037388E-4</v>
      </c>
      <c r="P226" s="3">
        <f t="shared" si="187"/>
        <v>4.6514491459037388E-4</v>
      </c>
      <c r="Q226" s="3">
        <f t="shared" si="187"/>
        <v>4.6514491459037388E-4</v>
      </c>
      <c r="R226" s="3">
        <f t="shared" si="187"/>
        <v>4.6514491459037388E-4</v>
      </c>
      <c r="S226" s="3">
        <f t="shared" si="187"/>
        <v>4.6514491459037388E-4</v>
      </c>
      <c r="T226" s="3">
        <f t="shared" si="187"/>
        <v>4.6514491459037388E-4</v>
      </c>
      <c r="U226" s="3">
        <f t="shared" si="187"/>
        <v>4.6514491459037388E-4</v>
      </c>
      <c r="V226" s="3">
        <f t="shared" si="187"/>
        <v>4.6514491459037361E-4</v>
      </c>
      <c r="W226" s="3">
        <f t="shared" si="187"/>
        <v>4.6514491459037139E-4</v>
      </c>
      <c r="X226" s="3">
        <f t="shared" si="187"/>
        <v>4.6514491459034911E-4</v>
      </c>
      <c r="Y226" s="3">
        <f t="shared" si="187"/>
        <v>4.6514491459012604E-4</v>
      </c>
      <c r="Z226" s="3">
        <f t="shared" si="187"/>
        <v>4.6514491458789567E-4</v>
      </c>
      <c r="AA226" s="3">
        <f t="shared" si="187"/>
        <v>4.6514491456559157E-4</v>
      </c>
      <c r="AB226" s="3">
        <f t="shared" si="187"/>
        <v>4.6514491434255069E-4</v>
      </c>
      <c r="AC226" s="3">
        <f t="shared" si="187"/>
        <v>4.6514491211214213E-4</v>
      </c>
      <c r="AD226" s="3">
        <f t="shared" si="187"/>
        <v>4.6514488980805711E-4</v>
      </c>
      <c r="AE226" s="3">
        <f t="shared" si="187"/>
        <v>4.6514466676726577E-4</v>
      </c>
      <c r="AF226" s="3">
        <f t="shared" si="187"/>
        <v>4.6514243636523419E-4</v>
      </c>
      <c r="AG226" s="3"/>
      <c r="AH226" s="3"/>
    </row>
    <row r="227" spans="2:34" x14ac:dyDescent="0.25">
      <c r="B227" s="3">
        <f t="shared" ref="B227:AF227" si="188">$C35*EXP(-B$207/$A35/EXP(-$D$126))</f>
        <v>1.1429544870574336E-5</v>
      </c>
      <c r="C227" s="3">
        <f t="shared" si="188"/>
        <v>1.1429544870574336E-5</v>
      </c>
      <c r="D227" s="3">
        <f t="shared" si="188"/>
        <v>1.1429544870574336E-5</v>
      </c>
      <c r="E227" s="3">
        <f t="shared" si="188"/>
        <v>1.1429544870574336E-5</v>
      </c>
      <c r="F227" s="3">
        <f t="shared" si="188"/>
        <v>1.1429544870574336E-5</v>
      </c>
      <c r="G227" s="3">
        <f t="shared" si="188"/>
        <v>1.1429544870574336E-5</v>
      </c>
      <c r="H227" s="3">
        <f t="shared" si="188"/>
        <v>1.1429544870574336E-5</v>
      </c>
      <c r="I227" s="3">
        <f t="shared" si="188"/>
        <v>1.1429544870574336E-5</v>
      </c>
      <c r="J227" s="3">
        <f t="shared" si="188"/>
        <v>1.1429544870574336E-5</v>
      </c>
      <c r="K227" s="3">
        <f t="shared" si="188"/>
        <v>1.1429544870574336E-5</v>
      </c>
      <c r="L227" s="3">
        <f t="shared" si="188"/>
        <v>1.1429544870574336E-5</v>
      </c>
      <c r="M227" s="3">
        <f t="shared" si="188"/>
        <v>1.1429544870574336E-5</v>
      </c>
      <c r="N227" s="3">
        <f t="shared" si="188"/>
        <v>1.1429544870574336E-5</v>
      </c>
      <c r="O227" s="3">
        <f t="shared" si="188"/>
        <v>1.1429544870574336E-5</v>
      </c>
      <c r="P227" s="3">
        <f t="shared" si="188"/>
        <v>1.1429544870574336E-5</v>
      </c>
      <c r="Q227" s="3">
        <f t="shared" si="188"/>
        <v>1.1429544870574336E-5</v>
      </c>
      <c r="R227" s="3">
        <f t="shared" si="188"/>
        <v>1.1429544870574336E-5</v>
      </c>
      <c r="S227" s="3">
        <f t="shared" si="188"/>
        <v>1.1429544870574336E-5</v>
      </c>
      <c r="T227" s="3">
        <f t="shared" si="188"/>
        <v>1.1429544870574336E-5</v>
      </c>
      <c r="U227" s="3">
        <f t="shared" si="188"/>
        <v>1.1429544870574336E-5</v>
      </c>
      <c r="V227" s="3">
        <f t="shared" si="188"/>
        <v>1.1429544870574336E-5</v>
      </c>
      <c r="W227" s="3">
        <f t="shared" si="188"/>
        <v>1.1429544870574331E-5</v>
      </c>
      <c r="X227" s="3">
        <f t="shared" si="188"/>
        <v>1.1429544870574281E-5</v>
      </c>
      <c r="Y227" s="3">
        <f t="shared" si="188"/>
        <v>1.1429544870573787E-5</v>
      </c>
      <c r="Z227" s="3">
        <f t="shared" si="188"/>
        <v>1.1429544870568842E-5</v>
      </c>
      <c r="AA227" s="3">
        <f t="shared" si="188"/>
        <v>1.1429544870519404E-5</v>
      </c>
      <c r="AB227" s="3">
        <f t="shared" si="188"/>
        <v>1.1429544870025011E-5</v>
      </c>
      <c r="AC227" s="3">
        <f t="shared" si="188"/>
        <v>1.1429544865081088E-5</v>
      </c>
      <c r="AD227" s="3">
        <f t="shared" si="188"/>
        <v>1.1429544815641862E-5</v>
      </c>
      <c r="AE227" s="3">
        <f t="shared" si="188"/>
        <v>1.14295443212496E-5</v>
      </c>
      <c r="AF227" s="3">
        <f t="shared" si="188"/>
        <v>1.1429539377328166E-5</v>
      </c>
      <c r="AG227" s="3"/>
      <c r="AH227" s="3"/>
    </row>
    <row r="228" spans="2:34" x14ac:dyDescent="0.25">
      <c r="B228" s="3">
        <f t="shared" ref="B228:AF228" si="189">$C36*EXP(-B$207/$A36/EXP(-$D$126))</f>
        <v>2.5915484418969715E-5</v>
      </c>
      <c r="C228" s="3">
        <f t="shared" si="189"/>
        <v>2.5915484418969715E-5</v>
      </c>
      <c r="D228" s="3">
        <f t="shared" si="189"/>
        <v>2.5915484418969715E-5</v>
      </c>
      <c r="E228" s="3">
        <f t="shared" si="189"/>
        <v>2.5915484418969715E-5</v>
      </c>
      <c r="F228" s="3">
        <f t="shared" si="189"/>
        <v>2.5915484418969715E-5</v>
      </c>
      <c r="G228" s="3">
        <f t="shared" si="189"/>
        <v>2.5915484418969715E-5</v>
      </c>
      <c r="H228" s="3">
        <f t="shared" si="189"/>
        <v>2.5915484418969715E-5</v>
      </c>
      <c r="I228" s="3">
        <f t="shared" si="189"/>
        <v>2.5915484418969715E-5</v>
      </c>
      <c r="J228" s="3">
        <f t="shared" si="189"/>
        <v>2.5915484418969715E-5</v>
      </c>
      <c r="K228" s="3">
        <f t="shared" si="189"/>
        <v>2.5915484418969715E-5</v>
      </c>
      <c r="L228" s="3">
        <f t="shared" si="189"/>
        <v>2.5915484418969715E-5</v>
      </c>
      <c r="M228" s="3">
        <f t="shared" si="189"/>
        <v>2.5915484418969715E-5</v>
      </c>
      <c r="N228" s="3">
        <f t="shared" si="189"/>
        <v>2.5915484418969715E-5</v>
      </c>
      <c r="O228" s="3">
        <f t="shared" si="189"/>
        <v>2.5915484418969715E-5</v>
      </c>
      <c r="P228" s="3">
        <f t="shared" si="189"/>
        <v>2.5915484418969715E-5</v>
      </c>
      <c r="Q228" s="3">
        <f t="shared" si="189"/>
        <v>2.5915484418969715E-5</v>
      </c>
      <c r="R228" s="3">
        <f t="shared" si="189"/>
        <v>2.5915484418969715E-5</v>
      </c>
      <c r="S228" s="3">
        <f t="shared" si="189"/>
        <v>2.5915484418969715E-5</v>
      </c>
      <c r="T228" s="3">
        <f t="shared" si="189"/>
        <v>2.5915484418969715E-5</v>
      </c>
      <c r="U228" s="3">
        <f t="shared" si="189"/>
        <v>2.5915484418969715E-5</v>
      </c>
      <c r="V228" s="3">
        <f t="shared" si="189"/>
        <v>2.5915484418969715E-5</v>
      </c>
      <c r="W228" s="3">
        <f t="shared" si="189"/>
        <v>2.5915484418969715E-5</v>
      </c>
      <c r="X228" s="3">
        <f t="shared" si="189"/>
        <v>2.5915484418969705E-5</v>
      </c>
      <c r="Y228" s="3">
        <f t="shared" si="189"/>
        <v>2.5915484418969603E-5</v>
      </c>
      <c r="Z228" s="3">
        <f t="shared" si="189"/>
        <v>2.591548441896859E-5</v>
      </c>
      <c r="AA228" s="3">
        <f t="shared" si="189"/>
        <v>2.591548441895848E-5</v>
      </c>
      <c r="AB228" s="3">
        <f t="shared" si="189"/>
        <v>2.5915484418857358E-5</v>
      </c>
      <c r="AC228" s="3">
        <f t="shared" si="189"/>
        <v>2.5915484417846129E-5</v>
      </c>
      <c r="AD228" s="3">
        <f t="shared" si="189"/>
        <v>2.591548440773386E-5</v>
      </c>
      <c r="AE228" s="3">
        <f t="shared" si="189"/>
        <v>2.591548430661116E-5</v>
      </c>
      <c r="AF228" s="3">
        <f t="shared" si="189"/>
        <v>2.5915483295384176E-5</v>
      </c>
      <c r="AG228" s="3"/>
      <c r="AH228" s="3"/>
    </row>
    <row r="229" spans="2:34" x14ac:dyDescent="0.25">
      <c r="B229" s="3">
        <f t="shared" ref="B229:AF229" si="190">$C37*EXP(-B$207/$A37/EXP(-$D$126))</f>
        <v>2.9552981931303355E-5</v>
      </c>
      <c r="C229" s="3">
        <f t="shared" si="190"/>
        <v>2.9552981931303355E-5</v>
      </c>
      <c r="D229" s="3">
        <f t="shared" si="190"/>
        <v>2.9552981931303355E-5</v>
      </c>
      <c r="E229" s="3">
        <f t="shared" si="190"/>
        <v>2.9552981931303355E-5</v>
      </c>
      <c r="F229" s="3">
        <f t="shared" si="190"/>
        <v>2.9552981931303355E-5</v>
      </c>
      <c r="G229" s="3">
        <f t="shared" si="190"/>
        <v>2.9552981931303355E-5</v>
      </c>
      <c r="H229" s="3">
        <f t="shared" si="190"/>
        <v>2.9552981931303355E-5</v>
      </c>
      <c r="I229" s="3">
        <f t="shared" si="190"/>
        <v>2.9552981931303355E-5</v>
      </c>
      <c r="J229" s="3">
        <f t="shared" si="190"/>
        <v>2.9552981931303355E-5</v>
      </c>
      <c r="K229" s="3">
        <f t="shared" si="190"/>
        <v>2.9552981931303355E-5</v>
      </c>
      <c r="L229" s="3">
        <f t="shared" si="190"/>
        <v>2.9552981931303355E-5</v>
      </c>
      <c r="M229" s="3">
        <f t="shared" si="190"/>
        <v>2.9552981931303355E-5</v>
      </c>
      <c r="N229" s="3">
        <f t="shared" si="190"/>
        <v>2.9552981931303355E-5</v>
      </c>
      <c r="O229" s="3">
        <f t="shared" si="190"/>
        <v>2.9552981931303355E-5</v>
      </c>
      <c r="P229" s="3">
        <f t="shared" si="190"/>
        <v>2.9552981931303355E-5</v>
      </c>
      <c r="Q229" s="3">
        <f t="shared" si="190"/>
        <v>2.9552981931303355E-5</v>
      </c>
      <c r="R229" s="3">
        <f t="shared" si="190"/>
        <v>2.9552981931303355E-5</v>
      </c>
      <c r="S229" s="3">
        <f t="shared" si="190"/>
        <v>2.9552981931303355E-5</v>
      </c>
      <c r="T229" s="3">
        <f t="shared" si="190"/>
        <v>2.9552981931303355E-5</v>
      </c>
      <c r="U229" s="3">
        <f t="shared" si="190"/>
        <v>2.9552981931303355E-5</v>
      </c>
      <c r="V229" s="3">
        <f t="shared" si="190"/>
        <v>2.9552981931303355E-5</v>
      </c>
      <c r="W229" s="3">
        <f t="shared" si="190"/>
        <v>2.9552981931303355E-5</v>
      </c>
      <c r="X229" s="3">
        <f t="shared" si="190"/>
        <v>2.9552981931303355E-5</v>
      </c>
      <c r="Y229" s="3">
        <f t="shared" si="190"/>
        <v>2.9552981931303342E-5</v>
      </c>
      <c r="Z229" s="3">
        <f t="shared" si="190"/>
        <v>2.955298193130324E-5</v>
      </c>
      <c r="AA229" s="3">
        <f t="shared" si="190"/>
        <v>2.95529819313022E-5</v>
      </c>
      <c r="AB229" s="3">
        <f t="shared" si="190"/>
        <v>2.9552981931291795E-5</v>
      </c>
      <c r="AC229" s="3">
        <f t="shared" si="190"/>
        <v>2.9552981931187769E-5</v>
      </c>
      <c r="AD229" s="3">
        <f t="shared" si="190"/>
        <v>2.9552981930147524E-5</v>
      </c>
      <c r="AE229" s="3">
        <f t="shared" si="190"/>
        <v>2.9552981919745035E-5</v>
      </c>
      <c r="AF229" s="3">
        <f t="shared" si="190"/>
        <v>2.9552981815720153E-5</v>
      </c>
      <c r="AG229" s="3"/>
      <c r="AH229" s="3"/>
    </row>
    <row r="230" spans="2:34" x14ac:dyDescent="0.25">
      <c r="B230" s="3">
        <f t="shared" ref="B230:AF230" si="191">$C38*EXP(-B$207/$A38/EXP(-$D$126))</f>
        <v>3.2731039559542382E-6</v>
      </c>
      <c r="C230" s="3">
        <f t="shared" si="191"/>
        <v>3.2731039559542382E-6</v>
      </c>
      <c r="D230" s="3">
        <f t="shared" si="191"/>
        <v>3.2731039559542382E-6</v>
      </c>
      <c r="E230" s="3">
        <f t="shared" si="191"/>
        <v>3.2731039559542382E-6</v>
      </c>
      <c r="F230" s="3">
        <f t="shared" si="191"/>
        <v>3.2731039559542382E-6</v>
      </c>
      <c r="G230" s="3">
        <f t="shared" si="191"/>
        <v>3.2731039559542382E-6</v>
      </c>
      <c r="H230" s="3">
        <f t="shared" si="191"/>
        <v>3.2731039559542382E-6</v>
      </c>
      <c r="I230" s="3">
        <f t="shared" si="191"/>
        <v>3.2731039559542382E-6</v>
      </c>
      <c r="J230" s="3">
        <f t="shared" si="191"/>
        <v>3.2731039559542382E-6</v>
      </c>
      <c r="K230" s="3">
        <f t="shared" si="191"/>
        <v>3.2731039559542382E-6</v>
      </c>
      <c r="L230" s="3">
        <f t="shared" si="191"/>
        <v>3.2731039559542382E-6</v>
      </c>
      <c r="M230" s="3">
        <f t="shared" si="191"/>
        <v>3.2731039559542382E-6</v>
      </c>
      <c r="N230" s="3">
        <f t="shared" si="191"/>
        <v>3.2731039559542382E-6</v>
      </c>
      <c r="O230" s="3">
        <f t="shared" si="191"/>
        <v>3.2731039559542382E-6</v>
      </c>
      <c r="P230" s="3">
        <f t="shared" si="191"/>
        <v>3.2731039559542382E-6</v>
      </c>
      <c r="Q230" s="3">
        <f t="shared" si="191"/>
        <v>3.2731039559542382E-6</v>
      </c>
      <c r="R230" s="3">
        <f t="shared" si="191"/>
        <v>3.2731039559542382E-6</v>
      </c>
      <c r="S230" s="3">
        <f t="shared" si="191"/>
        <v>3.2731039559542382E-6</v>
      </c>
      <c r="T230" s="3">
        <f t="shared" si="191"/>
        <v>3.2731039559542382E-6</v>
      </c>
      <c r="U230" s="3">
        <f t="shared" si="191"/>
        <v>3.2731039559542382E-6</v>
      </c>
      <c r="V230" s="3">
        <f t="shared" si="191"/>
        <v>3.2731039559542382E-6</v>
      </c>
      <c r="W230" s="3">
        <f t="shared" si="191"/>
        <v>3.2731039559542382E-6</v>
      </c>
      <c r="X230" s="3">
        <f t="shared" si="191"/>
        <v>3.2731039559542382E-6</v>
      </c>
      <c r="Y230" s="3">
        <f t="shared" si="191"/>
        <v>3.2731039559542382E-6</v>
      </c>
      <c r="Z230" s="3">
        <f t="shared" si="191"/>
        <v>3.2731039559542369E-6</v>
      </c>
      <c r="AA230" s="3">
        <f t="shared" si="191"/>
        <v>3.2731039559542268E-6</v>
      </c>
      <c r="AB230" s="3">
        <f t="shared" si="191"/>
        <v>3.2731039559541226E-6</v>
      </c>
      <c r="AC230" s="3">
        <f t="shared" si="191"/>
        <v>3.2731039559530833E-6</v>
      </c>
      <c r="AD230" s="3">
        <f t="shared" si="191"/>
        <v>3.2731039559426906E-6</v>
      </c>
      <c r="AE230" s="3">
        <f t="shared" si="191"/>
        <v>3.2731039558387601E-6</v>
      </c>
      <c r="AF230" s="3">
        <f t="shared" si="191"/>
        <v>3.273103954799457E-6</v>
      </c>
      <c r="AG230" s="3"/>
      <c r="AH230" s="3"/>
    </row>
    <row r="231" spans="2:34" x14ac:dyDescent="0.25">
      <c r="B231" s="3">
        <f t="shared" ref="B231:AF231" si="192">$C39*EXP(-B$207/$A39/EXP(-$D$126))</f>
        <v>4.7316671387144988E-5</v>
      </c>
      <c r="C231" s="3">
        <f t="shared" si="192"/>
        <v>4.7316671387144988E-5</v>
      </c>
      <c r="D231" s="3">
        <f t="shared" si="192"/>
        <v>4.7316671387144988E-5</v>
      </c>
      <c r="E231" s="3">
        <f t="shared" si="192"/>
        <v>4.7316671387144988E-5</v>
      </c>
      <c r="F231" s="3">
        <f t="shared" si="192"/>
        <v>4.7316671387144988E-5</v>
      </c>
      <c r="G231" s="3">
        <f t="shared" si="192"/>
        <v>4.7316671387144988E-5</v>
      </c>
      <c r="H231" s="3">
        <f t="shared" si="192"/>
        <v>4.7316671387144988E-5</v>
      </c>
      <c r="I231" s="3">
        <f t="shared" si="192"/>
        <v>4.7316671387144988E-5</v>
      </c>
      <c r="J231" s="3">
        <f t="shared" si="192"/>
        <v>4.7316671387144988E-5</v>
      </c>
      <c r="K231" s="3">
        <f t="shared" si="192"/>
        <v>4.7316671387144988E-5</v>
      </c>
      <c r="L231" s="3">
        <f t="shared" si="192"/>
        <v>4.7316671387144988E-5</v>
      </c>
      <c r="M231" s="3">
        <f t="shared" si="192"/>
        <v>4.7316671387144988E-5</v>
      </c>
      <c r="N231" s="3">
        <f t="shared" si="192"/>
        <v>4.7316671387144988E-5</v>
      </c>
      <c r="O231" s="3">
        <f t="shared" si="192"/>
        <v>4.7316671387144988E-5</v>
      </c>
      <c r="P231" s="3">
        <f t="shared" si="192"/>
        <v>4.7316671387144988E-5</v>
      </c>
      <c r="Q231" s="3">
        <f t="shared" si="192"/>
        <v>4.7316671387144988E-5</v>
      </c>
      <c r="R231" s="3">
        <f t="shared" si="192"/>
        <v>4.7316671387144988E-5</v>
      </c>
      <c r="S231" s="3">
        <f t="shared" si="192"/>
        <v>4.7316671387144988E-5</v>
      </c>
      <c r="T231" s="3">
        <f t="shared" si="192"/>
        <v>4.7316671387144988E-5</v>
      </c>
      <c r="U231" s="3">
        <f t="shared" si="192"/>
        <v>4.7316671387144988E-5</v>
      </c>
      <c r="V231" s="3">
        <f t="shared" si="192"/>
        <v>4.7316671387144988E-5</v>
      </c>
      <c r="W231" s="3">
        <f t="shared" si="192"/>
        <v>4.7316671387144988E-5</v>
      </c>
      <c r="X231" s="3">
        <f t="shared" si="192"/>
        <v>4.7316671387144988E-5</v>
      </c>
      <c r="Y231" s="3">
        <f t="shared" si="192"/>
        <v>4.7316671387144988E-5</v>
      </c>
      <c r="Z231" s="3">
        <f t="shared" si="192"/>
        <v>4.7316671387144982E-5</v>
      </c>
      <c r="AA231" s="3">
        <f t="shared" si="192"/>
        <v>4.7316671387144941E-5</v>
      </c>
      <c r="AB231" s="3">
        <f t="shared" si="192"/>
        <v>4.7316671387144528E-5</v>
      </c>
      <c r="AC231" s="3">
        <f t="shared" si="192"/>
        <v>4.7316671387140374E-5</v>
      </c>
      <c r="AD231" s="3">
        <f t="shared" si="192"/>
        <v>4.7316671387098815E-5</v>
      </c>
      <c r="AE231" s="3">
        <f t="shared" si="192"/>
        <v>4.7316671386683281E-5</v>
      </c>
      <c r="AF231" s="3">
        <f t="shared" si="192"/>
        <v>4.7316671382527914E-5</v>
      </c>
      <c r="AG231" s="3"/>
      <c r="AH231" s="3"/>
    </row>
    <row r="232" spans="2:34" x14ac:dyDescent="0.25">
      <c r="B232" s="3">
        <f t="shared" ref="B232:AF232" si="193">$C40*EXP(-B$207/$A40/EXP(-$D$126))</f>
        <v>2.2741722122049058E-5</v>
      </c>
      <c r="C232" s="3">
        <f t="shared" si="193"/>
        <v>2.2741722122049058E-5</v>
      </c>
      <c r="D232" s="3">
        <f t="shared" si="193"/>
        <v>2.2741722122049058E-5</v>
      </c>
      <c r="E232" s="3">
        <f t="shared" si="193"/>
        <v>2.2741722122049058E-5</v>
      </c>
      <c r="F232" s="3">
        <f t="shared" si="193"/>
        <v>2.2741722122049058E-5</v>
      </c>
      <c r="G232" s="3">
        <f t="shared" si="193"/>
        <v>2.2741722122049058E-5</v>
      </c>
      <c r="H232" s="3">
        <f t="shared" si="193"/>
        <v>2.2741722122049058E-5</v>
      </c>
      <c r="I232" s="3">
        <f t="shared" si="193"/>
        <v>2.2741722122049058E-5</v>
      </c>
      <c r="J232" s="3">
        <f t="shared" si="193"/>
        <v>2.2741722122049058E-5</v>
      </c>
      <c r="K232" s="3">
        <f t="shared" si="193"/>
        <v>2.2741722122049058E-5</v>
      </c>
      <c r="L232" s="3">
        <f t="shared" si="193"/>
        <v>2.2741722122049058E-5</v>
      </c>
      <c r="M232" s="3">
        <f t="shared" si="193"/>
        <v>2.2741722122049058E-5</v>
      </c>
      <c r="N232" s="3">
        <f t="shared" si="193"/>
        <v>2.2741722122049058E-5</v>
      </c>
      <c r="O232" s="3">
        <f t="shared" si="193"/>
        <v>2.2741722122049058E-5</v>
      </c>
      <c r="P232" s="3">
        <f t="shared" si="193"/>
        <v>2.2741722122049058E-5</v>
      </c>
      <c r="Q232" s="3">
        <f t="shared" si="193"/>
        <v>2.2741722122049058E-5</v>
      </c>
      <c r="R232" s="3">
        <f t="shared" si="193"/>
        <v>2.2741722122049058E-5</v>
      </c>
      <c r="S232" s="3">
        <f t="shared" si="193"/>
        <v>2.2741722122049058E-5</v>
      </c>
      <c r="T232" s="3">
        <f t="shared" si="193"/>
        <v>2.2741722122049058E-5</v>
      </c>
      <c r="U232" s="3">
        <f t="shared" si="193"/>
        <v>2.2741722122049058E-5</v>
      </c>
      <c r="V232" s="3">
        <f t="shared" si="193"/>
        <v>2.2741722122049058E-5</v>
      </c>
      <c r="W232" s="3">
        <f t="shared" si="193"/>
        <v>2.2741722122049058E-5</v>
      </c>
      <c r="X232" s="3">
        <f t="shared" si="193"/>
        <v>2.2741722122049058E-5</v>
      </c>
      <c r="Y232" s="3">
        <f t="shared" si="193"/>
        <v>2.2741722122049058E-5</v>
      </c>
      <c r="Z232" s="3">
        <f t="shared" si="193"/>
        <v>2.2741722122049058E-5</v>
      </c>
      <c r="AA232" s="3">
        <f t="shared" si="193"/>
        <v>2.2741722122049055E-5</v>
      </c>
      <c r="AB232" s="3">
        <f t="shared" si="193"/>
        <v>2.2741722122049035E-5</v>
      </c>
      <c r="AC232" s="3">
        <f t="shared" si="193"/>
        <v>2.2741722122048835E-5</v>
      </c>
      <c r="AD232" s="3">
        <f t="shared" si="193"/>
        <v>2.2741722122046839E-5</v>
      </c>
      <c r="AE232" s="3">
        <f t="shared" si="193"/>
        <v>2.2741722122026866E-5</v>
      </c>
      <c r="AF232" s="3">
        <f t="shared" si="193"/>
        <v>2.2741722121827149E-5</v>
      </c>
      <c r="AG232" s="3"/>
      <c r="AH232" s="3"/>
    </row>
    <row r="233" spans="2:34" x14ac:dyDescent="0.25">
      <c r="B233" s="3">
        <f t="shared" ref="B233:AF233" si="194">$C41*EXP(-B$207/$A41/EXP(-$D$126))</f>
        <v>1.7857506760164985E-5</v>
      </c>
      <c r="C233" s="3">
        <f t="shared" si="194"/>
        <v>1.7857506760164985E-5</v>
      </c>
      <c r="D233" s="3">
        <f t="shared" si="194"/>
        <v>1.7857506760164985E-5</v>
      </c>
      <c r="E233" s="3">
        <f t="shared" si="194"/>
        <v>1.7857506760164985E-5</v>
      </c>
      <c r="F233" s="3">
        <f t="shared" si="194"/>
        <v>1.7857506760164985E-5</v>
      </c>
      <c r="G233" s="3">
        <f t="shared" si="194"/>
        <v>1.7857506760164985E-5</v>
      </c>
      <c r="H233" s="3">
        <f t="shared" si="194"/>
        <v>1.7857506760164985E-5</v>
      </c>
      <c r="I233" s="3">
        <f t="shared" si="194"/>
        <v>1.7857506760164985E-5</v>
      </c>
      <c r="J233" s="3">
        <f t="shared" si="194"/>
        <v>1.7857506760164985E-5</v>
      </c>
      <c r="K233" s="3">
        <f t="shared" si="194"/>
        <v>1.7857506760164985E-5</v>
      </c>
      <c r="L233" s="3">
        <f t="shared" si="194"/>
        <v>1.7857506760164985E-5</v>
      </c>
      <c r="M233" s="3">
        <f t="shared" si="194"/>
        <v>1.7857506760164985E-5</v>
      </c>
      <c r="N233" s="3">
        <f t="shared" si="194"/>
        <v>1.7857506760164985E-5</v>
      </c>
      <c r="O233" s="3">
        <f t="shared" si="194"/>
        <v>1.7857506760164985E-5</v>
      </c>
      <c r="P233" s="3">
        <f t="shared" si="194"/>
        <v>1.7857506760164985E-5</v>
      </c>
      <c r="Q233" s="3">
        <f t="shared" si="194"/>
        <v>1.7857506760164985E-5</v>
      </c>
      <c r="R233" s="3">
        <f t="shared" si="194"/>
        <v>1.7857506760164985E-5</v>
      </c>
      <c r="S233" s="3">
        <f t="shared" si="194"/>
        <v>1.7857506760164985E-5</v>
      </c>
      <c r="T233" s="3">
        <f t="shared" si="194"/>
        <v>1.7857506760164985E-5</v>
      </c>
      <c r="U233" s="3">
        <f t="shared" si="194"/>
        <v>1.7857506760164985E-5</v>
      </c>
      <c r="V233" s="3">
        <f t="shared" si="194"/>
        <v>1.7857506760164985E-5</v>
      </c>
      <c r="W233" s="3">
        <f t="shared" si="194"/>
        <v>1.7857506760164985E-5</v>
      </c>
      <c r="X233" s="3">
        <f t="shared" si="194"/>
        <v>1.7857506760164985E-5</v>
      </c>
      <c r="Y233" s="3">
        <f t="shared" si="194"/>
        <v>1.7857506760164985E-5</v>
      </c>
      <c r="Z233" s="3">
        <f t="shared" si="194"/>
        <v>1.7857506760164985E-5</v>
      </c>
      <c r="AA233" s="3">
        <f t="shared" si="194"/>
        <v>1.7857506760164985E-5</v>
      </c>
      <c r="AB233" s="3">
        <f t="shared" si="194"/>
        <v>1.7857506760164981E-5</v>
      </c>
      <c r="AC233" s="3">
        <f t="shared" si="194"/>
        <v>1.7857506760164968E-5</v>
      </c>
      <c r="AD233" s="3">
        <f t="shared" si="194"/>
        <v>1.7857506760164812E-5</v>
      </c>
      <c r="AE233" s="3">
        <f t="shared" si="194"/>
        <v>1.7857506760163243E-5</v>
      </c>
      <c r="AF233" s="3">
        <f t="shared" si="194"/>
        <v>1.785750676014756E-5</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1.5759572914912317E-6</v>
      </c>
      <c r="C235" s="3">
        <f t="shared" si="196"/>
        <v>1.5759572914912317E-6</v>
      </c>
      <c r="D235" s="3">
        <f t="shared" si="196"/>
        <v>1.5759572914912317E-6</v>
      </c>
      <c r="E235" s="3">
        <f t="shared" si="196"/>
        <v>1.5759572914912317E-6</v>
      </c>
      <c r="F235" s="3">
        <f t="shared" si="196"/>
        <v>1.5759572914912317E-6</v>
      </c>
      <c r="G235" s="3">
        <f t="shared" si="196"/>
        <v>1.5759572914912317E-6</v>
      </c>
      <c r="H235" s="3">
        <f t="shared" si="196"/>
        <v>1.5759572914912317E-6</v>
      </c>
      <c r="I235" s="3">
        <f t="shared" si="196"/>
        <v>1.5759572914912317E-6</v>
      </c>
      <c r="J235" s="3">
        <f t="shared" si="196"/>
        <v>1.5759572914912317E-6</v>
      </c>
      <c r="K235" s="3">
        <f t="shared" si="196"/>
        <v>1.5759572914912317E-6</v>
      </c>
      <c r="L235" s="3">
        <f t="shared" si="196"/>
        <v>1.5759572914912317E-6</v>
      </c>
      <c r="M235" s="3">
        <f t="shared" si="196"/>
        <v>1.5759572914912317E-6</v>
      </c>
      <c r="N235" s="3">
        <f t="shared" si="196"/>
        <v>1.5759572914912317E-6</v>
      </c>
      <c r="O235" s="3">
        <f t="shared" si="196"/>
        <v>1.5759572914912317E-6</v>
      </c>
      <c r="P235" s="3">
        <f t="shared" si="196"/>
        <v>1.5759572914912317E-6</v>
      </c>
      <c r="Q235" s="3">
        <f t="shared" si="196"/>
        <v>1.5759572914912317E-6</v>
      </c>
      <c r="R235" s="3">
        <f t="shared" si="196"/>
        <v>1.5759572914912317E-6</v>
      </c>
      <c r="S235" s="3">
        <f t="shared" si="196"/>
        <v>1.5759572914912317E-6</v>
      </c>
      <c r="T235" s="3">
        <f t="shared" si="196"/>
        <v>1.5759572914912317E-6</v>
      </c>
      <c r="U235" s="3">
        <f t="shared" si="196"/>
        <v>1.5759572914912317E-6</v>
      </c>
      <c r="V235" s="3">
        <f t="shared" si="196"/>
        <v>1.5759572914912317E-6</v>
      </c>
      <c r="W235" s="3">
        <f t="shared" si="196"/>
        <v>1.5759572914912317E-6</v>
      </c>
      <c r="X235" s="3">
        <f t="shared" si="196"/>
        <v>1.5759572914912317E-6</v>
      </c>
      <c r="Y235" s="3">
        <f t="shared" si="196"/>
        <v>1.5759572914912317E-6</v>
      </c>
      <c r="Z235" s="3">
        <f t="shared" si="196"/>
        <v>1.5759572914912317E-6</v>
      </c>
      <c r="AA235" s="3">
        <f t="shared" si="196"/>
        <v>1.5759572914912317E-6</v>
      </c>
      <c r="AB235" s="3">
        <f t="shared" si="196"/>
        <v>1.5759572914912317E-6</v>
      </c>
      <c r="AC235" s="3">
        <f t="shared" si="196"/>
        <v>1.5759572914912317E-6</v>
      </c>
      <c r="AD235" s="3">
        <f t="shared" si="196"/>
        <v>1.5759572914912315E-6</v>
      </c>
      <c r="AE235" s="3">
        <f t="shared" si="196"/>
        <v>1.5759572914912302E-6</v>
      </c>
      <c r="AF235" s="3">
        <f t="shared" si="196"/>
        <v>1.5759572914912162E-6</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1.823122872957775E-3</v>
      </c>
      <c r="C240" s="3">
        <f t="shared" si="201"/>
        <v>1.823122872957775E-3</v>
      </c>
      <c r="D240" s="3">
        <f t="shared" si="201"/>
        <v>1.823122872957775E-3</v>
      </c>
      <c r="E240" s="3">
        <f t="shared" si="201"/>
        <v>1.823122872957775E-3</v>
      </c>
      <c r="F240" s="3">
        <f t="shared" si="201"/>
        <v>1.823122872957775E-3</v>
      </c>
      <c r="G240" s="3">
        <f t="shared" si="201"/>
        <v>1.823122872957775E-3</v>
      </c>
      <c r="H240" s="3">
        <f t="shared" si="201"/>
        <v>1.823122872957775E-3</v>
      </c>
      <c r="I240" s="3">
        <f t="shared" si="201"/>
        <v>1.823122872957775E-3</v>
      </c>
      <c r="J240" s="3">
        <f t="shared" si="201"/>
        <v>1.823122872957775E-3</v>
      </c>
      <c r="K240" s="3">
        <f t="shared" si="201"/>
        <v>1.823122872957775E-3</v>
      </c>
      <c r="L240" s="3">
        <f t="shared" si="201"/>
        <v>1.823122872957775E-3</v>
      </c>
      <c r="M240" s="3">
        <f t="shared" si="201"/>
        <v>1.823122872957775E-3</v>
      </c>
      <c r="N240" s="3">
        <f t="shared" si="201"/>
        <v>1.823122872957775E-3</v>
      </c>
      <c r="O240" s="3">
        <f t="shared" si="201"/>
        <v>1.823122872957775E-3</v>
      </c>
      <c r="P240" s="3">
        <f t="shared" si="201"/>
        <v>1.823122872957775E-3</v>
      </c>
      <c r="Q240" s="3">
        <f t="shared" si="201"/>
        <v>1.823122872957775E-3</v>
      </c>
      <c r="R240" s="3">
        <f t="shared" si="201"/>
        <v>1.823122872957775E-3</v>
      </c>
      <c r="S240" s="3">
        <f t="shared" si="201"/>
        <v>1.823122872957775E-3</v>
      </c>
      <c r="T240" s="3">
        <f t="shared" si="201"/>
        <v>1.823122872957775E-3</v>
      </c>
      <c r="U240" s="3">
        <f t="shared" si="201"/>
        <v>1.823122872957775E-3</v>
      </c>
      <c r="V240" s="3">
        <f t="shared" si="201"/>
        <v>1.823122872957775E-3</v>
      </c>
      <c r="W240" s="3">
        <f t="shared" si="201"/>
        <v>1.823122872957775E-3</v>
      </c>
      <c r="X240" s="3">
        <f t="shared" si="201"/>
        <v>1.823122872957775E-3</v>
      </c>
      <c r="Y240" s="3">
        <f t="shared" si="201"/>
        <v>1.823122872957775E-3</v>
      </c>
      <c r="Z240" s="3">
        <f t="shared" si="201"/>
        <v>1.823122872957775E-3</v>
      </c>
      <c r="AA240" s="3">
        <f t="shared" si="201"/>
        <v>1.823122872957775E-3</v>
      </c>
      <c r="AB240" s="3">
        <f t="shared" si="201"/>
        <v>1.823122872957775E-3</v>
      </c>
      <c r="AC240" s="3">
        <f t="shared" si="201"/>
        <v>1.823122872957775E-3</v>
      </c>
      <c r="AD240" s="3">
        <f t="shared" si="201"/>
        <v>1.823122872957775E-3</v>
      </c>
      <c r="AE240" s="3">
        <f t="shared" si="201"/>
        <v>1.823122872957775E-3</v>
      </c>
      <c r="AF240" s="3">
        <f t="shared" si="201"/>
        <v>1.823122872957775E-3</v>
      </c>
      <c r="AG240" s="3"/>
      <c r="AH240" s="3"/>
    </row>
    <row r="241" spans="1:34" x14ac:dyDescent="0.25">
      <c r="A241" s="80">
        <f>AVERAGE(B241:AF241)</f>
        <v>1.5801411093799855E-2</v>
      </c>
      <c r="B241" s="81">
        <f>IF($A$64&lt;=B207,IF($B$64&gt;=B207,ABS((B209-B208)/B208),0),0)</f>
        <v>0</v>
      </c>
      <c r="C241" s="81">
        <f t="shared" ref="C241:AF241" si="202">IF($A$64&lt;=C207,IF($B$64&gt;=C207,ABS((C209-C208)/C208),0),0)</f>
        <v>0</v>
      </c>
      <c r="D241" s="81">
        <f t="shared" si="202"/>
        <v>0</v>
      </c>
      <c r="E241" s="81">
        <f t="shared" si="202"/>
        <v>0</v>
      </c>
      <c r="F241" s="81">
        <f t="shared" si="202"/>
        <v>0</v>
      </c>
      <c r="G241" s="81">
        <f t="shared" si="202"/>
        <v>0</v>
      </c>
      <c r="H241" s="81">
        <f t="shared" si="202"/>
        <v>0</v>
      </c>
      <c r="I241" s="81">
        <f t="shared" si="202"/>
        <v>0</v>
      </c>
      <c r="J241" s="81">
        <f t="shared" si="202"/>
        <v>0</v>
      </c>
      <c r="K241" s="81">
        <f t="shared" si="202"/>
        <v>0</v>
      </c>
      <c r="L241" s="81">
        <f t="shared" si="202"/>
        <v>1.0263609028383573E-4</v>
      </c>
      <c r="M241" s="81">
        <f t="shared" si="202"/>
        <v>1.0175344157998636E-3</v>
      </c>
      <c r="N241" s="81">
        <f t="shared" si="202"/>
        <v>9.7261980079720537E-3</v>
      </c>
      <c r="O241" s="81">
        <f t="shared" si="202"/>
        <v>6.4275263684539632E-2</v>
      </c>
      <c r="P241" s="81">
        <f t="shared" si="202"/>
        <v>8.7229250507385336E-2</v>
      </c>
      <c r="Q241" s="81">
        <f t="shared" si="202"/>
        <v>6.4341105618478278E-2</v>
      </c>
      <c r="R241" s="81">
        <f t="shared" si="202"/>
        <v>3.7597073789539866E-2</v>
      </c>
      <c r="S241" s="81">
        <f t="shared" si="202"/>
        <v>2.6922152852772497E-3</v>
      </c>
      <c r="T241" s="81">
        <f t="shared" si="202"/>
        <v>4.124608643850039E-2</v>
      </c>
      <c r="U241" s="81">
        <f t="shared" si="202"/>
        <v>8.8337640358504235E-2</v>
      </c>
      <c r="V241" s="81">
        <f t="shared" si="202"/>
        <v>9.3278739711514805E-2</v>
      </c>
      <c r="W241" s="81">
        <f t="shared" si="202"/>
        <v>0</v>
      </c>
      <c r="X241" s="81">
        <f t="shared" si="202"/>
        <v>0</v>
      </c>
      <c r="Y241" s="81">
        <f t="shared" si="202"/>
        <v>0</v>
      </c>
      <c r="Z241" s="81">
        <f t="shared" si="202"/>
        <v>0</v>
      </c>
      <c r="AA241" s="81">
        <f t="shared" si="202"/>
        <v>0</v>
      </c>
      <c r="AB241" s="81">
        <f t="shared" si="202"/>
        <v>0</v>
      </c>
      <c r="AC241" s="81">
        <f t="shared" si="202"/>
        <v>0</v>
      </c>
      <c r="AD241" s="81">
        <f t="shared" si="202"/>
        <v>0</v>
      </c>
      <c r="AE241" s="81">
        <f t="shared" si="202"/>
        <v>0</v>
      </c>
      <c r="AF241" s="81">
        <f t="shared" si="202"/>
        <v>0</v>
      </c>
    </row>
    <row r="242" spans="1:34" x14ac:dyDescent="0.25">
      <c r="B242" s="21">
        <f>(B209-B208)^2</f>
        <v>2.3220175673397558E-6</v>
      </c>
      <c r="C242" s="21">
        <f t="shared" ref="C242:AF242" si="203">(C209-C208)^2</f>
        <v>1.2414201722333817E-3</v>
      </c>
      <c r="D242" s="21">
        <f t="shared" si="203"/>
        <v>1.6346327510939176E-4</v>
      </c>
      <c r="E242" s="21">
        <f t="shared" si="203"/>
        <v>3.591038522764684E-5</v>
      </c>
      <c r="F242" s="21">
        <f t="shared" si="203"/>
        <v>1.5390734562043784E-5</v>
      </c>
      <c r="G242" s="21">
        <f t="shared" si="203"/>
        <v>9.765073070707058E-6</v>
      </c>
      <c r="H242" s="21">
        <f t="shared" si="203"/>
        <v>9.6188095557499869E-6</v>
      </c>
      <c r="I242" s="21">
        <f t="shared" si="203"/>
        <v>1.1759587576533585E-5</v>
      </c>
      <c r="J242" s="21">
        <f t="shared" si="203"/>
        <v>7.8101950441155279E-5</v>
      </c>
      <c r="K242" s="21">
        <f t="shared" si="203"/>
        <v>4.0297805827256804E-3</v>
      </c>
      <c r="L242" s="21">
        <f t="shared" si="203"/>
        <v>0.37048099324058326</v>
      </c>
      <c r="M242" s="21">
        <f t="shared" si="203"/>
        <v>36.410756545550527</v>
      </c>
      <c r="N242" s="21">
        <f t="shared" si="203"/>
        <v>3324.1285589868094</v>
      </c>
      <c r="O242" s="21">
        <f t="shared" si="203"/>
        <v>144120.36755550539</v>
      </c>
      <c r="P242" s="21">
        <f t="shared" si="203"/>
        <v>254853.55935336847</v>
      </c>
      <c r="Q242" s="21">
        <f t="shared" si="203"/>
        <v>131954.42857645286</v>
      </c>
      <c r="R242" s="21">
        <f t="shared" si="203"/>
        <v>42585.298005742807</v>
      </c>
      <c r="S242" s="21">
        <f t="shared" si="203"/>
        <v>203.26433744955625</v>
      </c>
      <c r="T242" s="21">
        <f t="shared" si="203"/>
        <v>43603.576518269998</v>
      </c>
      <c r="U242" s="21">
        <f t="shared" si="203"/>
        <v>176975.6078349996</v>
      </c>
      <c r="V242" s="21">
        <f t="shared" si="203"/>
        <v>170673.10004029592</v>
      </c>
      <c r="W242" s="21">
        <f t="shared" si="203"/>
        <v>244731.33821825148</v>
      </c>
      <c r="X242" s="21">
        <f t="shared" si="203"/>
        <v>274349.63134835061</v>
      </c>
      <c r="Y242" s="21">
        <f t="shared" si="203"/>
        <v>302160.15981707245</v>
      </c>
      <c r="Z242" s="21">
        <f t="shared" si="203"/>
        <v>340268.14793326933</v>
      </c>
      <c r="AA242" s="21">
        <f t="shared" si="203"/>
        <v>427485.66864681587</v>
      </c>
      <c r="AB242" s="21">
        <f t="shared" si="203"/>
        <v>490826.01646120352</v>
      </c>
      <c r="AC242" s="21">
        <f t="shared" si="203"/>
        <v>530794.83085240168</v>
      </c>
      <c r="AD242" s="21">
        <f t="shared" si="203"/>
        <v>518166.96971662709</v>
      </c>
      <c r="AE242" s="21">
        <f t="shared" si="203"/>
        <v>292299.67401268223</v>
      </c>
      <c r="AF242" s="21">
        <f t="shared" si="203"/>
        <v>107929.17792162279</v>
      </c>
      <c r="AG242" s="3"/>
      <c r="AH242" s="3"/>
    </row>
    <row r="243" spans="1:34" x14ac:dyDescent="0.25">
      <c r="A243" s="72">
        <f>SUM(B243:AF243)</f>
        <v>968330.11201861012</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0.37048099324058326</v>
      </c>
      <c r="M243" s="60">
        <f t="shared" ref="M243" si="214">IF($A$64&lt;=M207,IF($B$64&gt;=M207,ABS(M242),0),0)</f>
        <v>36.410756545550527</v>
      </c>
      <c r="N243" s="60">
        <f t="shared" ref="N243" si="215">IF($A$64&lt;=N207,IF($B$64&gt;=N207,ABS(N242),0),0)</f>
        <v>3324.1285589868094</v>
      </c>
      <c r="O243" s="60">
        <f t="shared" ref="O243" si="216">IF($A$64&lt;=O207,IF($B$64&gt;=O207,ABS(O242),0),0)</f>
        <v>144120.36755550539</v>
      </c>
      <c r="P243" s="60">
        <f t="shared" ref="P243" si="217">IF($A$64&lt;=P207,IF($B$64&gt;=P207,ABS(P242),0),0)</f>
        <v>254853.55935336847</v>
      </c>
      <c r="Q243" s="60">
        <f t="shared" ref="Q243" si="218">IF($A$64&lt;=Q207,IF($B$64&gt;=Q207,ABS(Q242),0),0)</f>
        <v>131954.42857645286</v>
      </c>
      <c r="R243" s="60">
        <f t="shared" ref="R243" si="219">IF($A$64&lt;=R207,IF($B$64&gt;=R207,ABS(R242),0),0)</f>
        <v>42585.298005742807</v>
      </c>
      <c r="S243" s="60">
        <f t="shared" ref="S243" si="220">IF($A$64&lt;=S207,IF($B$64&gt;=S207,ABS(S242),0),0)</f>
        <v>203.26433744955625</v>
      </c>
      <c r="T243" s="60">
        <f t="shared" ref="T243" si="221">IF($A$64&lt;=T207,IF($B$64&gt;=T207,ABS(T242),0),0)</f>
        <v>43603.576518269998</v>
      </c>
      <c r="U243" s="60">
        <f t="shared" ref="U243" si="222">IF($A$64&lt;=U207,IF($B$64&gt;=U207,ABS(U242),0),0)</f>
        <v>176975.6078349996</v>
      </c>
      <c r="V243" s="60">
        <f t="shared" ref="V243" si="223">IF($A$64&lt;=V207,IF($B$64&gt;=V207,ABS(V242),0),0)</f>
        <v>170673.10004029592</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1" t="s">
        <v>22</v>
      </c>
      <c r="B248" s="27">
        <f>($C$17+SUM(B249:B279))*$B$51</f>
        <v>5930.4078992247814</v>
      </c>
      <c r="C248" s="27">
        <f t="shared" ref="C248:AF248" si="234">($C$17+SUM(C249:C279))*$B$51</f>
        <v>5930.407892247792</v>
      </c>
      <c r="D248" s="27">
        <f t="shared" si="234"/>
        <v>5930.4078224779096</v>
      </c>
      <c r="E248" s="27">
        <f t="shared" si="234"/>
        <v>5930.4071247794973</v>
      </c>
      <c r="F248" s="27">
        <f t="shared" si="234"/>
        <v>5930.4001478366954</v>
      </c>
      <c r="G248" s="27">
        <f t="shared" si="234"/>
        <v>5930.3303825409148</v>
      </c>
      <c r="H248" s="27">
        <f t="shared" si="234"/>
        <v>5929.633142642846</v>
      </c>
      <c r="I248" s="27">
        <f t="shared" si="234"/>
        <v>5922.7018855240976</v>
      </c>
      <c r="J248" s="27">
        <f t="shared" si="234"/>
        <v>5857.3441856874833</v>
      </c>
      <c r="K248" s="27">
        <f t="shared" si="234"/>
        <v>5478.3404105174786</v>
      </c>
      <c r="L248" s="27">
        <f t="shared" si="234"/>
        <v>5282.5323117165535</v>
      </c>
      <c r="M248" s="27">
        <f t="shared" si="234"/>
        <v>5282.5158391148252</v>
      </c>
      <c r="N248" s="27">
        <f t="shared" si="234"/>
        <v>5282.3923340466745</v>
      </c>
      <c r="O248" s="27">
        <f t="shared" si="234"/>
        <v>5281.1590713952755</v>
      </c>
      <c r="P248" s="27">
        <f t="shared" si="234"/>
        <v>5269.003443094246</v>
      </c>
      <c r="Q248" s="27">
        <f t="shared" si="234"/>
        <v>5163.4725701999469</v>
      </c>
      <c r="R248" s="27">
        <f t="shared" si="234"/>
        <v>4817.0515322922511</v>
      </c>
      <c r="S248" s="27">
        <f t="shared" si="234"/>
        <v>4585.53159279173</v>
      </c>
      <c r="T248" s="27">
        <f t="shared" si="234"/>
        <v>4313.3348098608039</v>
      </c>
      <c r="U248" s="27">
        <f t="shared" si="234"/>
        <v>4041.8299689783012</v>
      </c>
      <c r="V248" s="27">
        <f t="shared" si="234"/>
        <v>3749.4259165597173</v>
      </c>
      <c r="W248" s="27">
        <f t="shared" si="234"/>
        <v>3409.2335187791691</v>
      </c>
      <c r="X248" s="27">
        <f t="shared" si="234"/>
        <v>2965.0380603070503</v>
      </c>
      <c r="Y248" s="27">
        <f t="shared" si="234"/>
        <v>2433.6416672039281</v>
      </c>
      <c r="Z248" s="27">
        <f t="shared" si="234"/>
        <v>1820.5546314992632</v>
      </c>
      <c r="AA248" s="27">
        <f t="shared" si="234"/>
        <v>1169.9648179337487</v>
      </c>
      <c r="AB248" s="27">
        <f t="shared" si="234"/>
        <v>685.54459296515233</v>
      </c>
      <c r="AC248" s="27">
        <f t="shared" si="234"/>
        <v>382.76187819233826</v>
      </c>
      <c r="AD248" s="27">
        <f t="shared" si="234"/>
        <v>216.04602872469601</v>
      </c>
      <c r="AE248" s="27">
        <f t="shared" si="234"/>
        <v>155.7612544820814</v>
      </c>
      <c r="AF248" s="27">
        <f t="shared" si="234"/>
        <v>137.18153541954544</v>
      </c>
      <c r="AG248" s="27"/>
      <c r="AH248" s="27"/>
    </row>
    <row r="249" spans="1:34" x14ac:dyDescent="0.25">
      <c r="B249" s="3">
        <f t="shared" ref="B249:AF249" si="235">$C18*EXP(-B$246/$A18/EXP(-$E$126))</f>
        <v>0.10924684207907455</v>
      </c>
      <c r="C249" s="3">
        <f t="shared" si="235"/>
        <v>0.10924684090259773</v>
      </c>
      <c r="D249" s="3">
        <f t="shared" si="235"/>
        <v>0.1092468291378302</v>
      </c>
      <c r="E249" s="3">
        <f t="shared" si="235"/>
        <v>0.10924671149022469</v>
      </c>
      <c r="F249" s="3">
        <f t="shared" si="235"/>
        <v>0.10924553502113779</v>
      </c>
      <c r="G249" s="3">
        <f t="shared" si="235"/>
        <v>0.10923377102705775</v>
      </c>
      <c r="H249" s="3">
        <f t="shared" si="235"/>
        <v>0.10911620073740809</v>
      </c>
      <c r="I249" s="3">
        <f t="shared" si="235"/>
        <v>0.10794743528309617</v>
      </c>
      <c r="J249" s="3">
        <f t="shared" si="235"/>
        <v>9.6926660896882469E-2</v>
      </c>
      <c r="K249" s="3">
        <f t="shared" si="235"/>
        <v>3.301813082004413E-2</v>
      </c>
      <c r="L249" s="3">
        <f t="shared" si="235"/>
        <v>6.9477599764798059E-7</v>
      </c>
      <c r="M249" s="3">
        <f t="shared" si="235"/>
        <v>1.1824098327100893E-53</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7.1825631805889148E-2</v>
      </c>
      <c r="C250" s="3">
        <f t="shared" si="236"/>
        <v>7.1825631805888954E-2</v>
      </c>
      <c r="D250" s="3">
        <f t="shared" si="236"/>
        <v>7.1825631805886969E-2</v>
      </c>
      <c r="E250" s="3">
        <f t="shared" si="236"/>
        <v>7.1825631805867166E-2</v>
      </c>
      <c r="F250" s="3">
        <f t="shared" si="236"/>
        <v>7.1825631805669032E-2</v>
      </c>
      <c r="G250" s="3">
        <f t="shared" si="236"/>
        <v>7.1825631803687701E-2</v>
      </c>
      <c r="H250" s="3">
        <f t="shared" si="236"/>
        <v>7.1825631783874452E-2</v>
      </c>
      <c r="I250" s="3">
        <f t="shared" si="236"/>
        <v>7.1825631585741886E-2</v>
      </c>
      <c r="J250" s="3">
        <f t="shared" si="236"/>
        <v>7.1825629604416324E-2</v>
      </c>
      <c r="K250" s="3">
        <f t="shared" si="236"/>
        <v>7.1825609791163647E-2</v>
      </c>
      <c r="L250" s="3">
        <f t="shared" si="236"/>
        <v>7.1825411658937549E-2</v>
      </c>
      <c r="M250" s="3">
        <f t="shared" si="236"/>
        <v>7.1823430366736579E-2</v>
      </c>
      <c r="N250" s="3">
        <f t="shared" si="236"/>
        <v>7.1803620450427361E-2</v>
      </c>
      <c r="O250" s="3">
        <f t="shared" si="236"/>
        <v>7.1605821550821791E-2</v>
      </c>
      <c r="P250" s="3">
        <f t="shared" si="236"/>
        <v>6.9657554686761311E-2</v>
      </c>
      <c r="Q250" s="3">
        <f t="shared" si="236"/>
        <v>5.2864867940311949E-2</v>
      </c>
      <c r="R250" s="3">
        <f t="shared" si="236"/>
        <v>3.3508610734619584E-3</v>
      </c>
      <c r="S250" s="3">
        <f t="shared" si="236"/>
        <v>3.5079155510019058E-15</v>
      </c>
      <c r="T250" s="3">
        <f t="shared" si="236"/>
        <v>5.5459532292938443E-135</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3.596772409142239E-2</v>
      </c>
      <c r="C251" s="3">
        <f t="shared" si="237"/>
        <v>3.5967724091422383E-2</v>
      </c>
      <c r="D251" s="3">
        <f t="shared" si="237"/>
        <v>3.5967724091422293E-2</v>
      </c>
      <c r="E251" s="3">
        <f t="shared" si="237"/>
        <v>3.5967724091421398E-2</v>
      </c>
      <c r="F251" s="3">
        <f t="shared" si="237"/>
        <v>3.5967724091412447E-2</v>
      </c>
      <c r="G251" s="3">
        <f t="shared" si="237"/>
        <v>3.5967724091322942E-2</v>
      </c>
      <c r="H251" s="3">
        <f t="shared" si="237"/>
        <v>3.5967724090427915E-2</v>
      </c>
      <c r="I251" s="3">
        <f t="shared" si="237"/>
        <v>3.5967724081477651E-2</v>
      </c>
      <c r="J251" s="3">
        <f t="shared" si="237"/>
        <v>3.5967723991974988E-2</v>
      </c>
      <c r="K251" s="3">
        <f t="shared" si="237"/>
        <v>3.5967723096948401E-2</v>
      </c>
      <c r="L251" s="3">
        <f t="shared" si="237"/>
        <v>3.5967714146683705E-2</v>
      </c>
      <c r="M251" s="3">
        <f t="shared" si="237"/>
        <v>3.5967624644159264E-2</v>
      </c>
      <c r="N251" s="3">
        <f t="shared" si="237"/>
        <v>3.5966729631164353E-2</v>
      </c>
      <c r="O251" s="3">
        <f t="shared" si="237"/>
        <v>3.5957780726049111E-2</v>
      </c>
      <c r="P251" s="3">
        <f t="shared" si="237"/>
        <v>3.5868414045588368E-2</v>
      </c>
      <c r="Q251" s="3">
        <f t="shared" si="237"/>
        <v>3.4986872387762893E-2</v>
      </c>
      <c r="R251" s="3">
        <f t="shared" si="237"/>
        <v>2.7279385724613935E-2</v>
      </c>
      <c r="S251" s="3">
        <f t="shared" si="237"/>
        <v>2.2653183553382056E-3</v>
      </c>
      <c r="T251" s="3">
        <f t="shared" si="237"/>
        <v>3.5324483220489768E-14</v>
      </c>
      <c r="U251" s="3">
        <f t="shared" si="237"/>
        <v>3.0029046866567867E-122</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4.9137716927094087E-2</v>
      </c>
      <c r="C252" s="3">
        <f t="shared" si="238"/>
        <v>4.9137716927094087E-2</v>
      </c>
      <c r="D252" s="3">
        <f t="shared" si="238"/>
        <v>4.9137716927094073E-2</v>
      </c>
      <c r="E252" s="3">
        <f t="shared" si="238"/>
        <v>4.9137716927093969E-2</v>
      </c>
      <c r="F252" s="3">
        <f t="shared" si="238"/>
        <v>4.9137716927092859E-2</v>
      </c>
      <c r="G252" s="3">
        <f t="shared" si="238"/>
        <v>4.9137716927081826E-2</v>
      </c>
      <c r="H252" s="3">
        <f t="shared" si="238"/>
        <v>4.9137716926971525E-2</v>
      </c>
      <c r="I252" s="3">
        <f t="shared" si="238"/>
        <v>4.9137716925868505E-2</v>
      </c>
      <c r="J252" s="3">
        <f t="shared" si="238"/>
        <v>4.9137716914838273E-2</v>
      </c>
      <c r="K252" s="3">
        <f t="shared" si="238"/>
        <v>4.9137716804535977E-2</v>
      </c>
      <c r="L252" s="3">
        <f t="shared" si="238"/>
        <v>4.9137715701513041E-2</v>
      </c>
      <c r="M252" s="3">
        <f t="shared" si="238"/>
        <v>4.9137704671284956E-2</v>
      </c>
      <c r="N252" s="3">
        <f t="shared" si="238"/>
        <v>4.9137594369140364E-2</v>
      </c>
      <c r="O252" s="3">
        <f t="shared" si="238"/>
        <v>4.9136491361312415E-2</v>
      </c>
      <c r="P252" s="3">
        <f t="shared" si="238"/>
        <v>4.9125462644718225E-2</v>
      </c>
      <c r="Q252" s="3">
        <f t="shared" si="238"/>
        <v>4.9015311534275664E-2</v>
      </c>
      <c r="R252" s="3">
        <f t="shared" si="238"/>
        <v>4.7927293652768467E-2</v>
      </c>
      <c r="S252" s="3">
        <f t="shared" si="238"/>
        <v>3.8290787082020585E-2</v>
      </c>
      <c r="T252" s="3">
        <f t="shared" si="238"/>
        <v>4.0570295260085104E-3</v>
      </c>
      <c r="U252" s="3">
        <f t="shared" si="238"/>
        <v>7.2334738716644371E-13</v>
      </c>
      <c r="V252" s="3">
        <f t="shared" si="238"/>
        <v>2.3481963235695801E-110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4.6762783367912203E-2</v>
      </c>
      <c r="C253" s="3">
        <f t="shared" si="239"/>
        <v>4.6762783367912203E-2</v>
      </c>
      <c r="D253" s="3">
        <f t="shared" si="239"/>
        <v>4.6762783367912203E-2</v>
      </c>
      <c r="E253" s="3">
        <f t="shared" si="239"/>
        <v>4.6762783367912196E-2</v>
      </c>
      <c r="F253" s="3">
        <f t="shared" si="239"/>
        <v>4.6762783367912099E-2</v>
      </c>
      <c r="G253" s="3">
        <f t="shared" si="239"/>
        <v>4.6762783367911148E-2</v>
      </c>
      <c r="H253" s="3">
        <f t="shared" si="239"/>
        <v>4.6762783367901677E-2</v>
      </c>
      <c r="I253" s="3">
        <f t="shared" si="239"/>
        <v>4.6762783367806988E-2</v>
      </c>
      <c r="J253" s="3">
        <f t="shared" si="239"/>
        <v>4.6762783366860058E-2</v>
      </c>
      <c r="K253" s="3">
        <f t="shared" si="239"/>
        <v>4.6762783357390793E-2</v>
      </c>
      <c r="L253" s="3">
        <f t="shared" si="239"/>
        <v>4.6762783262698088E-2</v>
      </c>
      <c r="M253" s="3">
        <f t="shared" si="239"/>
        <v>4.6762782315771051E-2</v>
      </c>
      <c r="N253" s="3">
        <f t="shared" si="239"/>
        <v>4.6762772846501738E-2</v>
      </c>
      <c r="O253" s="3">
        <f t="shared" si="239"/>
        <v>4.6762678153914113E-2</v>
      </c>
      <c r="P253" s="3">
        <f t="shared" si="239"/>
        <v>4.676173123858389E-2</v>
      </c>
      <c r="Q253" s="3">
        <f t="shared" si="239"/>
        <v>4.6752263139812379E-2</v>
      </c>
      <c r="R253" s="3">
        <f t="shared" si="239"/>
        <v>4.6657687526200767E-2</v>
      </c>
      <c r="S253" s="3">
        <f t="shared" si="239"/>
        <v>4.5722390276305362E-2</v>
      </c>
      <c r="T253" s="3">
        <f t="shared" si="239"/>
        <v>3.7341012325210581E-2</v>
      </c>
      <c r="U253" s="3">
        <f t="shared" si="239"/>
        <v>4.9289873099668622E-3</v>
      </c>
      <c r="V253" s="3">
        <f t="shared" si="239"/>
        <v>7.9154174538528356E-12</v>
      </c>
      <c r="W253" s="3">
        <f t="shared" si="239"/>
        <v>9.0289046342930717E-100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5.0407962506303181E-2</v>
      </c>
      <c r="C254" s="3">
        <f t="shared" si="240"/>
        <v>5.0407962506303181E-2</v>
      </c>
      <c r="D254" s="3">
        <f t="shared" si="240"/>
        <v>5.0407962506303181E-2</v>
      </c>
      <c r="E254" s="3">
        <f t="shared" si="240"/>
        <v>5.0407962506303181E-2</v>
      </c>
      <c r="F254" s="3">
        <f t="shared" si="240"/>
        <v>5.0407962506303167E-2</v>
      </c>
      <c r="G254" s="3">
        <f t="shared" si="240"/>
        <v>5.0407962506303076E-2</v>
      </c>
      <c r="H254" s="3">
        <f t="shared" si="240"/>
        <v>5.0407962506302154E-2</v>
      </c>
      <c r="I254" s="3">
        <f t="shared" si="240"/>
        <v>5.0407962506292953E-2</v>
      </c>
      <c r="J254" s="3">
        <f t="shared" si="240"/>
        <v>5.0407962506200873E-2</v>
      </c>
      <c r="K254" s="3">
        <f t="shared" si="240"/>
        <v>5.0407962505280082E-2</v>
      </c>
      <c r="L254" s="3">
        <f t="shared" si="240"/>
        <v>5.0407962496072149E-2</v>
      </c>
      <c r="M254" s="3">
        <f t="shared" si="240"/>
        <v>5.0407962403992874E-2</v>
      </c>
      <c r="N254" s="3">
        <f t="shared" si="240"/>
        <v>5.0407961483200106E-2</v>
      </c>
      <c r="O254" s="3">
        <f t="shared" si="240"/>
        <v>5.0407952275273372E-2</v>
      </c>
      <c r="P254" s="3">
        <f t="shared" si="240"/>
        <v>5.0407860196098532E-2</v>
      </c>
      <c r="Q254" s="3">
        <f t="shared" si="240"/>
        <v>5.0406939413601012E-2</v>
      </c>
      <c r="R254" s="3">
        <f t="shared" si="240"/>
        <v>5.0397732513653523E-2</v>
      </c>
      <c r="S254" s="3">
        <f t="shared" si="240"/>
        <v>5.0305755954459443E-2</v>
      </c>
      <c r="T254" s="3">
        <f t="shared" si="240"/>
        <v>4.9395172216900068E-2</v>
      </c>
      <c r="U254" s="3">
        <f t="shared" si="240"/>
        <v>4.114838051251829E-2</v>
      </c>
      <c r="V254" s="3">
        <f t="shared" si="240"/>
        <v>6.6227014906645098E-3</v>
      </c>
      <c r="W254" s="3">
        <f t="shared" si="240"/>
        <v>7.7243067149125855E-11</v>
      </c>
      <c r="X254" s="3">
        <f t="shared" si="240"/>
        <v>3.598345090133986E-90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5.7182312842770561E-2</v>
      </c>
      <c r="C255" s="3">
        <f t="shared" si="241"/>
        <v>5.7182312842770561E-2</v>
      </c>
      <c r="D255" s="3">
        <f t="shared" si="241"/>
        <v>5.7182312842770561E-2</v>
      </c>
      <c r="E255" s="3">
        <f t="shared" si="241"/>
        <v>5.7182312842770561E-2</v>
      </c>
      <c r="F255" s="3">
        <f t="shared" si="241"/>
        <v>5.7182312842770561E-2</v>
      </c>
      <c r="G255" s="3">
        <f t="shared" si="241"/>
        <v>5.7182312842770547E-2</v>
      </c>
      <c r="H255" s="3">
        <f t="shared" si="241"/>
        <v>5.7182312842770457E-2</v>
      </c>
      <c r="I255" s="3">
        <f t="shared" si="241"/>
        <v>5.7182312842769513E-2</v>
      </c>
      <c r="J255" s="3">
        <f t="shared" si="241"/>
        <v>5.718231284276009E-2</v>
      </c>
      <c r="K255" s="3">
        <f t="shared" si="241"/>
        <v>5.7182312842665867E-2</v>
      </c>
      <c r="L255" s="3">
        <f t="shared" si="241"/>
        <v>5.71823128417236E-2</v>
      </c>
      <c r="M255" s="3">
        <f t="shared" si="241"/>
        <v>5.7182312832300998E-2</v>
      </c>
      <c r="N255" s="3">
        <f t="shared" si="241"/>
        <v>5.7182312738074934E-2</v>
      </c>
      <c r="O255" s="3">
        <f t="shared" si="241"/>
        <v>5.7182311795814261E-2</v>
      </c>
      <c r="P255" s="3">
        <f t="shared" si="241"/>
        <v>5.718230237320842E-2</v>
      </c>
      <c r="Q255" s="3">
        <f t="shared" si="241"/>
        <v>5.7182208147235417E-2</v>
      </c>
      <c r="R255" s="3">
        <f t="shared" si="241"/>
        <v>5.7181265896045046E-2</v>
      </c>
      <c r="S255" s="3">
        <f t="shared" si="241"/>
        <v>5.7171844238054444E-2</v>
      </c>
      <c r="T255" s="3">
        <f t="shared" si="241"/>
        <v>5.7077712997421232E-2</v>
      </c>
      <c r="U255" s="3">
        <f t="shared" si="241"/>
        <v>5.6144882716173711E-2</v>
      </c>
      <c r="V255" s="3">
        <f t="shared" si="241"/>
        <v>4.7615279135533116E-2</v>
      </c>
      <c r="W255" s="3">
        <f t="shared" si="241"/>
        <v>9.1644813457269821E-3</v>
      </c>
      <c r="X255" s="3">
        <f t="shared" si="241"/>
        <v>6.3932761050896724E-10</v>
      </c>
      <c r="Y255" s="3">
        <f t="shared" si="241"/>
        <v>1.7453364206091125E-81</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8.0089931313285845E-2</v>
      </c>
      <c r="C256" s="3">
        <f t="shared" si="242"/>
        <v>8.0089931313285845E-2</v>
      </c>
      <c r="D256" s="3">
        <f t="shared" si="242"/>
        <v>8.0089931313285845E-2</v>
      </c>
      <c r="E256" s="3">
        <f t="shared" si="242"/>
        <v>8.0089931313285845E-2</v>
      </c>
      <c r="F256" s="3">
        <f t="shared" si="242"/>
        <v>8.0089931313285845E-2</v>
      </c>
      <c r="G256" s="3">
        <f t="shared" si="242"/>
        <v>8.0089931313285845E-2</v>
      </c>
      <c r="H256" s="3">
        <f t="shared" si="242"/>
        <v>8.0089931313285831E-2</v>
      </c>
      <c r="I256" s="3">
        <f t="shared" si="242"/>
        <v>8.0089931313285706E-2</v>
      </c>
      <c r="J256" s="3">
        <f t="shared" si="242"/>
        <v>8.0089931313284526E-2</v>
      </c>
      <c r="K256" s="3">
        <f t="shared" si="242"/>
        <v>8.0089931313272619E-2</v>
      </c>
      <c r="L256" s="3">
        <f t="shared" si="242"/>
        <v>8.0089931313153562E-2</v>
      </c>
      <c r="M256" s="3">
        <f t="shared" si="242"/>
        <v>8.0089931311963056E-2</v>
      </c>
      <c r="N256" s="3">
        <f t="shared" si="242"/>
        <v>8.008993130005794E-2</v>
      </c>
      <c r="O256" s="3">
        <f t="shared" si="242"/>
        <v>8.0089931181006713E-2</v>
      </c>
      <c r="P256" s="3">
        <f t="shared" si="242"/>
        <v>8.0089929990494482E-2</v>
      </c>
      <c r="Q256" s="3">
        <f t="shared" si="242"/>
        <v>8.0089918085373205E-2</v>
      </c>
      <c r="R256" s="3">
        <f t="shared" si="242"/>
        <v>8.0089799034257864E-2</v>
      </c>
      <c r="S256" s="3">
        <f t="shared" si="242"/>
        <v>8.0088608532837405E-2</v>
      </c>
      <c r="T256" s="3">
        <f t="shared" si="242"/>
        <v>8.0076704491886239E-2</v>
      </c>
      <c r="U256" s="3">
        <f t="shared" si="242"/>
        <v>7.9957761354213189E-2</v>
      </c>
      <c r="V256" s="3">
        <f t="shared" si="242"/>
        <v>7.8778003874504898E-2</v>
      </c>
      <c r="W256" s="3">
        <f t="shared" si="242"/>
        <v>6.7896663169088545E-2</v>
      </c>
      <c r="X256" s="3">
        <f t="shared" si="242"/>
        <v>1.5356173844160046E-2</v>
      </c>
      <c r="Y256" s="3">
        <f t="shared" si="242"/>
        <v>5.3781004495577065E-9</v>
      </c>
      <c r="Z256" s="3">
        <f t="shared" si="242"/>
        <v>1.4930962483175E-73</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9.4725402978259585E-2</v>
      </c>
      <c r="C257" s="3">
        <f t="shared" si="243"/>
        <v>9.4725402978259585E-2</v>
      </c>
      <c r="D257" s="3">
        <f t="shared" si="243"/>
        <v>9.4725402978259585E-2</v>
      </c>
      <c r="E257" s="3">
        <f t="shared" si="243"/>
        <v>9.4725402978259585E-2</v>
      </c>
      <c r="F257" s="3">
        <f t="shared" si="243"/>
        <v>9.4725402978259585E-2</v>
      </c>
      <c r="G257" s="3">
        <f t="shared" si="243"/>
        <v>9.4725402978259585E-2</v>
      </c>
      <c r="H257" s="3">
        <f t="shared" si="243"/>
        <v>9.4725402978259585E-2</v>
      </c>
      <c r="I257" s="3">
        <f t="shared" si="243"/>
        <v>9.4725402978259571E-2</v>
      </c>
      <c r="J257" s="3">
        <f t="shared" si="243"/>
        <v>9.4725402978259446E-2</v>
      </c>
      <c r="K257" s="3">
        <f t="shared" si="243"/>
        <v>9.4725402978258169E-2</v>
      </c>
      <c r="L257" s="3">
        <f t="shared" si="243"/>
        <v>9.4725402978245471E-2</v>
      </c>
      <c r="M257" s="3">
        <f t="shared" si="243"/>
        <v>9.4725402978118448E-2</v>
      </c>
      <c r="N257" s="3">
        <f t="shared" si="243"/>
        <v>9.4725402976848269E-2</v>
      </c>
      <c r="O257" s="3">
        <f t="shared" si="243"/>
        <v>9.4725402964146346E-2</v>
      </c>
      <c r="P257" s="3">
        <f t="shared" si="243"/>
        <v>9.4725402837127257E-2</v>
      </c>
      <c r="Q257" s="3">
        <f t="shared" si="243"/>
        <v>9.4725401566936374E-2</v>
      </c>
      <c r="R257" s="3">
        <f t="shared" si="243"/>
        <v>9.4725388865028501E-2</v>
      </c>
      <c r="S257" s="3">
        <f t="shared" si="243"/>
        <v>9.4725261846043379E-2</v>
      </c>
      <c r="T257" s="3">
        <f t="shared" si="243"/>
        <v>9.4723991665559878E-2</v>
      </c>
      <c r="U257" s="3">
        <f t="shared" si="243"/>
        <v>9.471129079744596E-2</v>
      </c>
      <c r="V257" s="3">
        <f t="shared" si="243"/>
        <v>9.4584375741953053E-2</v>
      </c>
      <c r="W257" s="3">
        <f t="shared" si="243"/>
        <v>9.3324541466364985E-2</v>
      </c>
      <c r="X257" s="3">
        <f t="shared" si="243"/>
        <v>8.1613216446737566E-2</v>
      </c>
      <c r="Y257" s="3">
        <f t="shared" si="243"/>
        <v>2.1350437928945126E-2</v>
      </c>
      <c r="Z257" s="3">
        <f t="shared" si="243"/>
        <v>3.2053076575970202E-8</v>
      </c>
      <c r="AA257" s="3">
        <f t="shared" si="243"/>
        <v>1.8642281314607943E-66</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0.11171287761739628</v>
      </c>
      <c r="C258" s="3">
        <f t="shared" si="244"/>
        <v>0.11171287761739628</v>
      </c>
      <c r="D258" s="3">
        <f t="shared" si="244"/>
        <v>0.11171287761739628</v>
      </c>
      <c r="E258" s="3">
        <f t="shared" si="244"/>
        <v>0.11171287761739628</v>
      </c>
      <c r="F258" s="3">
        <f t="shared" si="244"/>
        <v>0.11171287761739628</v>
      </c>
      <c r="G258" s="3">
        <f t="shared" si="244"/>
        <v>0.11171287761739628</v>
      </c>
      <c r="H258" s="3">
        <f t="shared" si="244"/>
        <v>0.11171287761739628</v>
      </c>
      <c r="I258" s="3">
        <f t="shared" si="244"/>
        <v>0.11171287761739628</v>
      </c>
      <c r="J258" s="3">
        <f t="shared" si="244"/>
        <v>0.11171287761739626</v>
      </c>
      <c r="K258" s="3">
        <f t="shared" si="244"/>
        <v>0.11171287761739612</v>
      </c>
      <c r="L258" s="3">
        <f t="shared" si="244"/>
        <v>0.11171287761739478</v>
      </c>
      <c r="M258" s="3">
        <f t="shared" si="244"/>
        <v>0.11171287761738126</v>
      </c>
      <c r="N258" s="3">
        <f t="shared" si="244"/>
        <v>0.11171287761724613</v>
      </c>
      <c r="O258" s="3">
        <f t="shared" si="244"/>
        <v>0.11171287761589482</v>
      </c>
      <c r="P258" s="3">
        <f t="shared" si="244"/>
        <v>0.11171287760238181</v>
      </c>
      <c r="Q258" s="3">
        <f t="shared" si="244"/>
        <v>0.11171287746725163</v>
      </c>
      <c r="R258" s="3">
        <f t="shared" si="244"/>
        <v>0.11171287611594981</v>
      </c>
      <c r="S258" s="3">
        <f t="shared" si="244"/>
        <v>0.11171286260293259</v>
      </c>
      <c r="T258" s="3">
        <f t="shared" si="244"/>
        <v>0.11171272747285017</v>
      </c>
      <c r="U258" s="3">
        <f t="shared" si="244"/>
        <v>0.11171137618101609</v>
      </c>
      <c r="V258" s="3">
        <f t="shared" si="244"/>
        <v>0.11169786416163996</v>
      </c>
      <c r="W258" s="3">
        <f t="shared" si="244"/>
        <v>0.11156283382411522</v>
      </c>
      <c r="X258" s="3">
        <f t="shared" si="244"/>
        <v>0.11022147598631295</v>
      </c>
      <c r="Y258" s="3">
        <f t="shared" si="244"/>
        <v>9.7663677466776691E-2</v>
      </c>
      <c r="Z258" s="3">
        <f t="shared" si="244"/>
        <v>2.9134098405860894E-2</v>
      </c>
      <c r="AA258" s="3">
        <f t="shared" si="244"/>
        <v>1.6258732182096778E-7</v>
      </c>
      <c r="AB258" s="3">
        <f t="shared" si="244"/>
        <v>4.7636256204811808E-60</v>
      </c>
      <c r="AC258" s="3">
        <f t="shared" si="244"/>
        <v>0</v>
      </c>
      <c r="AD258" s="3">
        <f t="shared" si="244"/>
        <v>0</v>
      </c>
      <c r="AE258" s="3">
        <f t="shared" si="244"/>
        <v>0</v>
      </c>
      <c r="AF258" s="3">
        <f t="shared" si="244"/>
        <v>0</v>
      </c>
      <c r="AG258" s="3"/>
      <c r="AH258" s="3"/>
    </row>
    <row r="259" spans="2:34" x14ac:dyDescent="0.25">
      <c r="B259" s="3">
        <f t="shared" ref="B259:AF259" si="245">$C28*EXP(-B$246/$A28/EXP(-$E$126))</f>
        <v>0.12486929252202905</v>
      </c>
      <c r="C259" s="3">
        <f t="shared" si="245"/>
        <v>0.12486929252202905</v>
      </c>
      <c r="D259" s="3">
        <f t="shared" si="245"/>
        <v>0.12486929252202905</v>
      </c>
      <c r="E259" s="3">
        <f t="shared" si="245"/>
        <v>0.12486929252202905</v>
      </c>
      <c r="F259" s="3">
        <f t="shared" si="245"/>
        <v>0.12486929252202905</v>
      </c>
      <c r="G259" s="3">
        <f t="shared" si="245"/>
        <v>0.12486929252202905</v>
      </c>
      <c r="H259" s="3">
        <f t="shared" si="245"/>
        <v>0.12486929252202905</v>
      </c>
      <c r="I259" s="3">
        <f t="shared" si="245"/>
        <v>0.12486929252202905</v>
      </c>
      <c r="J259" s="3">
        <f t="shared" si="245"/>
        <v>0.12486929252202905</v>
      </c>
      <c r="K259" s="3">
        <f t="shared" si="245"/>
        <v>0.12486929252202904</v>
      </c>
      <c r="L259" s="3">
        <f t="shared" si="245"/>
        <v>0.1248692925220289</v>
      </c>
      <c r="M259" s="3">
        <f t="shared" si="245"/>
        <v>0.12486929252202754</v>
      </c>
      <c r="N259" s="3">
        <f t="shared" si="245"/>
        <v>0.12486929252201391</v>
      </c>
      <c r="O259" s="3">
        <f t="shared" si="245"/>
        <v>0.12486929252187765</v>
      </c>
      <c r="P259" s="3">
        <f t="shared" si="245"/>
        <v>0.12486929252051511</v>
      </c>
      <c r="Q259" s="3">
        <f t="shared" si="245"/>
        <v>0.12486929250688965</v>
      </c>
      <c r="R259" s="3">
        <f t="shared" si="245"/>
        <v>0.12486929237063499</v>
      </c>
      <c r="S259" s="3">
        <f t="shared" si="245"/>
        <v>0.12486929100808838</v>
      </c>
      <c r="T259" s="3">
        <f t="shared" si="245"/>
        <v>0.12486927738262325</v>
      </c>
      <c r="U259" s="3">
        <f t="shared" si="245"/>
        <v>0.12486914112805368</v>
      </c>
      <c r="V259" s="3">
        <f t="shared" si="245"/>
        <v>0.12486777859053519</v>
      </c>
      <c r="W259" s="3">
        <f t="shared" si="245"/>
        <v>0.1248541540330433</v>
      </c>
      <c r="X259" s="3">
        <f t="shared" si="245"/>
        <v>0.12471799019442238</v>
      </c>
      <c r="Y259" s="3">
        <f t="shared" si="245"/>
        <v>0.1233644925342198</v>
      </c>
      <c r="Z259" s="3">
        <f t="shared" si="245"/>
        <v>0.11061165892355923</v>
      </c>
      <c r="AA259" s="3">
        <f t="shared" si="245"/>
        <v>3.7145670153371196E-2</v>
      </c>
      <c r="AB259" s="3">
        <f t="shared" si="245"/>
        <v>6.7761204850030346E-7</v>
      </c>
      <c r="AC259" s="3">
        <f t="shared" si="245"/>
        <v>2.7650967703906328E-54</v>
      </c>
      <c r="AD259" s="3">
        <f t="shared" si="245"/>
        <v>0</v>
      </c>
      <c r="AE259" s="3">
        <f t="shared" si="245"/>
        <v>0</v>
      </c>
      <c r="AF259" s="3">
        <f t="shared" si="245"/>
        <v>0</v>
      </c>
      <c r="AG259" s="3"/>
      <c r="AH259" s="3"/>
    </row>
    <row r="260" spans="2:34" x14ac:dyDescent="0.25">
      <c r="B260" s="3">
        <f t="shared" ref="B260:AF260" si="246">$C29*EXP(-B$246/$A29/EXP(-$E$126))</f>
        <v>7.1899142973036512E-2</v>
      </c>
      <c r="C260" s="3">
        <f t="shared" si="246"/>
        <v>7.1899142973036512E-2</v>
      </c>
      <c r="D260" s="3">
        <f t="shared" si="246"/>
        <v>7.1899142973036512E-2</v>
      </c>
      <c r="E260" s="3">
        <f t="shared" si="246"/>
        <v>7.1899142973036512E-2</v>
      </c>
      <c r="F260" s="3">
        <f t="shared" si="246"/>
        <v>7.1899142973036512E-2</v>
      </c>
      <c r="G260" s="3">
        <f t="shared" si="246"/>
        <v>7.1899142973036512E-2</v>
      </c>
      <c r="H260" s="3">
        <f t="shared" si="246"/>
        <v>7.1899142973036512E-2</v>
      </c>
      <c r="I260" s="3">
        <f t="shared" si="246"/>
        <v>7.1899142973036512E-2</v>
      </c>
      <c r="J260" s="3">
        <f t="shared" si="246"/>
        <v>7.1899142973036512E-2</v>
      </c>
      <c r="K260" s="3">
        <f t="shared" si="246"/>
        <v>7.1899142973036512E-2</v>
      </c>
      <c r="L260" s="3">
        <f t="shared" si="246"/>
        <v>7.1899142973036498E-2</v>
      </c>
      <c r="M260" s="3">
        <f t="shared" si="246"/>
        <v>7.1899142973036428E-2</v>
      </c>
      <c r="N260" s="3">
        <f t="shared" si="246"/>
        <v>7.1899142973035721E-2</v>
      </c>
      <c r="O260" s="3">
        <f t="shared" si="246"/>
        <v>7.1899142973028643E-2</v>
      </c>
      <c r="P260" s="3">
        <f t="shared" si="246"/>
        <v>7.189914297295788E-2</v>
      </c>
      <c r="Q260" s="3">
        <f t="shared" si="246"/>
        <v>7.1899142972250155E-2</v>
      </c>
      <c r="R260" s="3">
        <f t="shared" si="246"/>
        <v>7.1899142965172871E-2</v>
      </c>
      <c r="S260" s="3">
        <f t="shared" si="246"/>
        <v>7.1899142894400137E-2</v>
      </c>
      <c r="T260" s="3">
        <f t="shared" si="246"/>
        <v>7.1899142186672718E-2</v>
      </c>
      <c r="U260" s="3">
        <f t="shared" si="246"/>
        <v>7.1899135109398993E-2</v>
      </c>
      <c r="V260" s="3">
        <f t="shared" si="246"/>
        <v>7.1899064336700041E-2</v>
      </c>
      <c r="W260" s="3">
        <f t="shared" si="246"/>
        <v>7.189835661354195E-2</v>
      </c>
      <c r="X260" s="3">
        <f t="shared" si="246"/>
        <v>7.1891279765097557E-2</v>
      </c>
      <c r="Y260" s="3">
        <f t="shared" si="246"/>
        <v>7.1820549580345519E-2</v>
      </c>
      <c r="Z260" s="3">
        <f t="shared" si="246"/>
        <v>7.1117063789794599E-2</v>
      </c>
      <c r="AA260" s="3">
        <f t="shared" si="246"/>
        <v>6.4450271764200304E-2</v>
      </c>
      <c r="AB260" s="3">
        <f t="shared" si="246"/>
        <v>2.4084304334472787E-2</v>
      </c>
      <c r="AC260" s="3">
        <f t="shared" si="246"/>
        <v>1.2788736548916338E-6</v>
      </c>
      <c r="AD260" s="3">
        <f t="shared" si="246"/>
        <v>2.2790979247287827E-49</v>
      </c>
      <c r="AE260" s="3">
        <f t="shared" si="246"/>
        <v>0</v>
      </c>
      <c r="AF260" s="3">
        <f t="shared" si="246"/>
        <v>0</v>
      </c>
      <c r="AG260" s="3"/>
      <c r="AH260" s="3"/>
    </row>
    <row r="261" spans="2:34" x14ac:dyDescent="0.25">
      <c r="B261" s="3">
        <f t="shared" ref="B261:AF261" si="247">$C30*EXP(-B$246/$A30/EXP(-$E$126))</f>
        <v>4.7675556768581172E-2</v>
      </c>
      <c r="C261" s="3">
        <f t="shared" si="247"/>
        <v>4.7675556768581172E-2</v>
      </c>
      <c r="D261" s="3">
        <f t="shared" si="247"/>
        <v>4.7675556768581172E-2</v>
      </c>
      <c r="E261" s="3">
        <f t="shared" si="247"/>
        <v>4.7675556768581172E-2</v>
      </c>
      <c r="F261" s="3">
        <f t="shared" si="247"/>
        <v>4.7675556768581172E-2</v>
      </c>
      <c r="G261" s="3">
        <f t="shared" si="247"/>
        <v>4.7675556768581172E-2</v>
      </c>
      <c r="H261" s="3">
        <f t="shared" si="247"/>
        <v>4.7675556768581172E-2</v>
      </c>
      <c r="I261" s="3">
        <f t="shared" si="247"/>
        <v>4.7675556768581172E-2</v>
      </c>
      <c r="J261" s="3">
        <f t="shared" si="247"/>
        <v>4.7675556768581172E-2</v>
      </c>
      <c r="K261" s="3">
        <f t="shared" si="247"/>
        <v>4.7675556768581172E-2</v>
      </c>
      <c r="L261" s="3">
        <f t="shared" si="247"/>
        <v>4.7675556768581172E-2</v>
      </c>
      <c r="M261" s="3">
        <f t="shared" si="247"/>
        <v>4.7675556768581165E-2</v>
      </c>
      <c r="N261" s="3">
        <f t="shared" si="247"/>
        <v>4.7675556768581123E-2</v>
      </c>
      <c r="O261" s="3">
        <f t="shared" si="247"/>
        <v>4.76755567685807E-2</v>
      </c>
      <c r="P261" s="3">
        <f t="shared" si="247"/>
        <v>4.7675556768576467E-2</v>
      </c>
      <c r="Q261" s="3">
        <f t="shared" si="247"/>
        <v>4.7675556768534133E-2</v>
      </c>
      <c r="R261" s="3">
        <f t="shared" si="247"/>
        <v>4.7675556768110798E-2</v>
      </c>
      <c r="S261" s="3">
        <f t="shared" si="247"/>
        <v>4.7675556763877441E-2</v>
      </c>
      <c r="T261" s="3">
        <f t="shared" si="247"/>
        <v>4.7675556721543895E-2</v>
      </c>
      <c r="U261" s="3">
        <f t="shared" si="247"/>
        <v>4.7675556298208417E-2</v>
      </c>
      <c r="V261" s="3">
        <f t="shared" si="247"/>
        <v>4.7675552064853834E-2</v>
      </c>
      <c r="W261" s="3">
        <f t="shared" si="247"/>
        <v>4.7675509731328648E-2</v>
      </c>
      <c r="X261" s="3">
        <f t="shared" si="247"/>
        <v>4.7675086398144294E-2</v>
      </c>
      <c r="Y261" s="3">
        <f t="shared" si="247"/>
        <v>4.7670853273038771E-2</v>
      </c>
      <c r="Z261" s="3">
        <f t="shared" si="247"/>
        <v>4.7628542688997293E-2</v>
      </c>
      <c r="AA261" s="3">
        <f t="shared" si="247"/>
        <v>4.7207496776079681E-2</v>
      </c>
      <c r="AB261" s="3">
        <f t="shared" si="247"/>
        <v>4.3196420424946709E-2</v>
      </c>
      <c r="AC261" s="3">
        <f t="shared" si="247"/>
        <v>1.7775246516367877E-2</v>
      </c>
      <c r="AD261" s="3">
        <f t="shared" si="247"/>
        <v>2.4745393401693068E-6</v>
      </c>
      <c r="AE261" s="3">
        <f t="shared" si="247"/>
        <v>6.7652159483997709E-45</v>
      </c>
      <c r="AF261" s="3">
        <f t="shared" si="247"/>
        <v>0</v>
      </c>
      <c r="AG261" s="3"/>
      <c r="AH261" s="3"/>
    </row>
    <row r="262" spans="2:34" x14ac:dyDescent="0.25">
      <c r="B262" s="3">
        <f t="shared" ref="B262:AF262" si="248">$C31*EXP(-B$246/$A31/EXP(-$E$126))</f>
        <v>1.9951380582978136E-2</v>
      </c>
      <c r="C262" s="3">
        <f t="shared" si="248"/>
        <v>1.9951380582978136E-2</v>
      </c>
      <c r="D262" s="3">
        <f t="shared" si="248"/>
        <v>1.9951380582978136E-2</v>
      </c>
      <c r="E262" s="3">
        <f t="shared" si="248"/>
        <v>1.9951380582978136E-2</v>
      </c>
      <c r="F262" s="3">
        <f t="shared" si="248"/>
        <v>1.9951380582978136E-2</v>
      </c>
      <c r="G262" s="3">
        <f t="shared" si="248"/>
        <v>1.9951380582978136E-2</v>
      </c>
      <c r="H262" s="3">
        <f t="shared" si="248"/>
        <v>1.9951380582978136E-2</v>
      </c>
      <c r="I262" s="3">
        <f t="shared" si="248"/>
        <v>1.9951380582978136E-2</v>
      </c>
      <c r="J262" s="3">
        <f t="shared" si="248"/>
        <v>1.9951380582978136E-2</v>
      </c>
      <c r="K262" s="3">
        <f t="shared" si="248"/>
        <v>1.9951380582978136E-2</v>
      </c>
      <c r="L262" s="3">
        <f t="shared" si="248"/>
        <v>1.9951380582978136E-2</v>
      </c>
      <c r="M262" s="3">
        <f t="shared" si="248"/>
        <v>1.9951380582978136E-2</v>
      </c>
      <c r="N262" s="3">
        <f t="shared" si="248"/>
        <v>1.9951380582978132E-2</v>
      </c>
      <c r="O262" s="3">
        <f t="shared" si="248"/>
        <v>1.9951380582978118E-2</v>
      </c>
      <c r="P262" s="3">
        <f t="shared" si="248"/>
        <v>1.9951380582977959E-2</v>
      </c>
      <c r="Q262" s="3">
        <f t="shared" si="248"/>
        <v>1.9951380582976359E-2</v>
      </c>
      <c r="R262" s="3">
        <f t="shared" si="248"/>
        <v>1.9951380582960379E-2</v>
      </c>
      <c r="S262" s="3">
        <f t="shared" si="248"/>
        <v>1.9951380582800566E-2</v>
      </c>
      <c r="T262" s="3">
        <f t="shared" si="248"/>
        <v>1.9951380581202452E-2</v>
      </c>
      <c r="U262" s="3">
        <f t="shared" si="248"/>
        <v>1.9951380565221288E-2</v>
      </c>
      <c r="V262" s="3">
        <f t="shared" si="248"/>
        <v>1.9951380405409634E-2</v>
      </c>
      <c r="W262" s="3">
        <f t="shared" si="248"/>
        <v>1.9951378807293193E-2</v>
      </c>
      <c r="X262" s="3">
        <f t="shared" si="248"/>
        <v>1.995136282613583E-2</v>
      </c>
      <c r="Y262" s="3">
        <f t="shared" si="248"/>
        <v>1.9951203015266258E-2</v>
      </c>
      <c r="Z262" s="3">
        <f t="shared" si="248"/>
        <v>1.994960497697372E-2</v>
      </c>
      <c r="AA262" s="3">
        <f t="shared" si="248"/>
        <v>1.9933631632280849E-2</v>
      </c>
      <c r="AB262" s="3">
        <f t="shared" si="248"/>
        <v>1.9774599927133134E-2</v>
      </c>
      <c r="AC262" s="3">
        <f t="shared" si="248"/>
        <v>1.8252421098843823E-2</v>
      </c>
      <c r="AD262" s="3">
        <f t="shared" si="248"/>
        <v>8.1930993225141895E-3</v>
      </c>
      <c r="AE262" s="3">
        <f t="shared" si="248"/>
        <v>2.7209816895976375E-6</v>
      </c>
      <c r="AF262" s="3">
        <f t="shared" si="248"/>
        <v>4.441192675406331E-41</v>
      </c>
      <c r="AG262" s="3"/>
      <c r="AH262" s="3"/>
    </row>
    <row r="263" spans="2:34" x14ac:dyDescent="0.25">
      <c r="B263" s="3">
        <f t="shared" ref="B263:AF263" si="249">$C32*EXP(-B$246/$A32/EXP(-$E$126))</f>
        <v>3.7229726854135226E-3</v>
      </c>
      <c r="C263" s="3">
        <f t="shared" si="249"/>
        <v>3.7229726854135226E-3</v>
      </c>
      <c r="D263" s="3">
        <f t="shared" si="249"/>
        <v>3.7229726854135226E-3</v>
      </c>
      <c r="E263" s="3">
        <f t="shared" si="249"/>
        <v>3.7229726854135226E-3</v>
      </c>
      <c r="F263" s="3">
        <f t="shared" si="249"/>
        <v>3.7229726854135226E-3</v>
      </c>
      <c r="G263" s="3">
        <f t="shared" si="249"/>
        <v>3.7229726854135226E-3</v>
      </c>
      <c r="H263" s="3">
        <f t="shared" si="249"/>
        <v>3.7229726854135226E-3</v>
      </c>
      <c r="I263" s="3">
        <f t="shared" si="249"/>
        <v>3.7229726854135226E-3</v>
      </c>
      <c r="J263" s="3">
        <f t="shared" si="249"/>
        <v>3.7229726854135226E-3</v>
      </c>
      <c r="K263" s="3">
        <f t="shared" si="249"/>
        <v>3.7229726854135226E-3</v>
      </c>
      <c r="L263" s="3">
        <f t="shared" si="249"/>
        <v>3.7229726854135226E-3</v>
      </c>
      <c r="M263" s="3">
        <f t="shared" si="249"/>
        <v>3.7229726854135226E-3</v>
      </c>
      <c r="N263" s="3">
        <f t="shared" si="249"/>
        <v>3.7229726854135226E-3</v>
      </c>
      <c r="O263" s="3">
        <f t="shared" si="249"/>
        <v>3.7229726854135221E-3</v>
      </c>
      <c r="P263" s="3">
        <f t="shared" si="249"/>
        <v>3.7229726854135195E-3</v>
      </c>
      <c r="Q263" s="3">
        <f t="shared" si="249"/>
        <v>3.7229726854134926E-3</v>
      </c>
      <c r="R263" s="3">
        <f t="shared" si="249"/>
        <v>3.7229726854132237E-3</v>
      </c>
      <c r="S263" s="3">
        <f t="shared" si="249"/>
        <v>3.7229726854105332E-3</v>
      </c>
      <c r="T263" s="3">
        <f t="shared" si="249"/>
        <v>3.7229726853836324E-3</v>
      </c>
      <c r="U263" s="3">
        <f t="shared" si="249"/>
        <v>3.7229726851146202E-3</v>
      </c>
      <c r="V263" s="3">
        <f t="shared" si="249"/>
        <v>3.7229726824244982E-3</v>
      </c>
      <c r="W263" s="3">
        <f t="shared" si="249"/>
        <v>3.7229726555232812E-3</v>
      </c>
      <c r="X263" s="3">
        <f t="shared" si="249"/>
        <v>3.7229723865111232E-3</v>
      </c>
      <c r="Y263" s="3">
        <f t="shared" si="249"/>
        <v>3.7229696963906075E-3</v>
      </c>
      <c r="Z263" s="3">
        <f t="shared" si="249"/>
        <v>3.7229427952923649E-3</v>
      </c>
      <c r="AA263" s="3">
        <f t="shared" si="249"/>
        <v>3.7226737950005798E-3</v>
      </c>
      <c r="AB263" s="3">
        <f t="shared" si="249"/>
        <v>3.7199848608611831E-3</v>
      </c>
      <c r="AC263" s="3">
        <f t="shared" si="249"/>
        <v>3.6932021121243437E-3</v>
      </c>
      <c r="AD263" s="3">
        <f t="shared" si="249"/>
        <v>3.4357543370090744E-3</v>
      </c>
      <c r="AE263" s="3">
        <f t="shared" si="249"/>
        <v>1.6680627520365265E-3</v>
      </c>
      <c r="AF263" s="3">
        <f t="shared" si="249"/>
        <v>1.2137107462016552E-6</v>
      </c>
      <c r="AG263" s="3"/>
      <c r="AH263" s="3"/>
    </row>
    <row r="264" spans="2:34" x14ac:dyDescent="0.25">
      <c r="B264" s="3">
        <f t="shared" ref="B264:AF264" si="250">$C33*EXP(-B$246/$A33/EXP(-$E$126))</f>
        <v>3.2258116785225384E-3</v>
      </c>
      <c r="C264" s="3">
        <f t="shared" si="250"/>
        <v>3.2258116785225384E-3</v>
      </c>
      <c r="D264" s="3">
        <f t="shared" si="250"/>
        <v>3.2258116785225384E-3</v>
      </c>
      <c r="E264" s="3">
        <f t="shared" si="250"/>
        <v>3.2258116785225384E-3</v>
      </c>
      <c r="F264" s="3">
        <f t="shared" si="250"/>
        <v>3.2258116785225384E-3</v>
      </c>
      <c r="G264" s="3">
        <f t="shared" si="250"/>
        <v>3.2258116785225384E-3</v>
      </c>
      <c r="H264" s="3">
        <f t="shared" si="250"/>
        <v>3.2258116785225384E-3</v>
      </c>
      <c r="I264" s="3">
        <f t="shared" si="250"/>
        <v>3.2258116785225384E-3</v>
      </c>
      <c r="J264" s="3">
        <f t="shared" si="250"/>
        <v>3.2258116785225384E-3</v>
      </c>
      <c r="K264" s="3">
        <f t="shared" si="250"/>
        <v>3.2258116785225384E-3</v>
      </c>
      <c r="L264" s="3">
        <f t="shared" si="250"/>
        <v>3.2258116785225384E-3</v>
      </c>
      <c r="M264" s="3">
        <f t="shared" si="250"/>
        <v>3.2258116785225384E-3</v>
      </c>
      <c r="N264" s="3">
        <f t="shared" si="250"/>
        <v>3.2258116785225384E-3</v>
      </c>
      <c r="O264" s="3">
        <f t="shared" si="250"/>
        <v>3.2258116785225384E-3</v>
      </c>
      <c r="P264" s="3">
        <f t="shared" si="250"/>
        <v>3.2258116785225379E-3</v>
      </c>
      <c r="Q264" s="3">
        <f t="shared" si="250"/>
        <v>3.2258116785225358E-3</v>
      </c>
      <c r="R264" s="3">
        <f t="shared" si="250"/>
        <v>3.225811678522515E-3</v>
      </c>
      <c r="S264" s="3">
        <f t="shared" si="250"/>
        <v>3.2258116785223051E-3</v>
      </c>
      <c r="T264" s="3">
        <f t="shared" si="250"/>
        <v>3.2258116785202021E-3</v>
      </c>
      <c r="U264" s="3">
        <f t="shared" si="250"/>
        <v>3.2258116784991755E-3</v>
      </c>
      <c r="V264" s="3">
        <f t="shared" si="250"/>
        <v>3.2258116782889102E-3</v>
      </c>
      <c r="W264" s="3">
        <f t="shared" si="250"/>
        <v>3.225811676186257E-3</v>
      </c>
      <c r="X264" s="3">
        <f t="shared" si="250"/>
        <v>3.2258116551597237E-3</v>
      </c>
      <c r="Y264" s="3">
        <f t="shared" si="250"/>
        <v>3.2258114448943972E-3</v>
      </c>
      <c r="Z264" s="3">
        <f t="shared" si="250"/>
        <v>3.2258093422418864E-3</v>
      </c>
      <c r="AA264" s="3">
        <f t="shared" si="250"/>
        <v>3.2257883157921566E-3</v>
      </c>
      <c r="AB264" s="3">
        <f t="shared" si="250"/>
        <v>3.2255780588327128E-3</v>
      </c>
      <c r="AC264" s="3">
        <f t="shared" si="250"/>
        <v>3.2234762428413515E-3</v>
      </c>
      <c r="AD264" s="3">
        <f t="shared" si="250"/>
        <v>3.2025332618028563E-3</v>
      </c>
      <c r="AE264" s="3">
        <f t="shared" si="250"/>
        <v>3.0004431449640228E-3</v>
      </c>
      <c r="AF264" s="3">
        <f t="shared" si="250"/>
        <v>1.5635181569761977E-3</v>
      </c>
      <c r="AG264" s="3"/>
      <c r="AH264" s="3"/>
    </row>
    <row r="265" spans="2:34" x14ac:dyDescent="0.25">
      <c r="B265" s="3">
        <f t="shared" ref="B265:AF265" si="251">$C34*EXP(-B$246/$A34/EXP(-$E$126))</f>
        <v>4.6514491459037388E-4</v>
      </c>
      <c r="C265" s="3">
        <f t="shared" si="251"/>
        <v>4.6514491459037388E-4</v>
      </c>
      <c r="D265" s="3">
        <f t="shared" si="251"/>
        <v>4.6514491459037388E-4</v>
      </c>
      <c r="E265" s="3">
        <f t="shared" si="251"/>
        <v>4.6514491459037388E-4</v>
      </c>
      <c r="F265" s="3">
        <f t="shared" si="251"/>
        <v>4.6514491459037388E-4</v>
      </c>
      <c r="G265" s="3">
        <f t="shared" si="251"/>
        <v>4.6514491459037388E-4</v>
      </c>
      <c r="H265" s="3">
        <f t="shared" si="251"/>
        <v>4.6514491459037388E-4</v>
      </c>
      <c r="I265" s="3">
        <f t="shared" si="251"/>
        <v>4.6514491459037388E-4</v>
      </c>
      <c r="J265" s="3">
        <f t="shared" si="251"/>
        <v>4.6514491459037388E-4</v>
      </c>
      <c r="K265" s="3">
        <f t="shared" si="251"/>
        <v>4.6514491459037388E-4</v>
      </c>
      <c r="L265" s="3">
        <f t="shared" si="251"/>
        <v>4.6514491459037388E-4</v>
      </c>
      <c r="M265" s="3">
        <f t="shared" si="251"/>
        <v>4.6514491459037388E-4</v>
      </c>
      <c r="N265" s="3">
        <f t="shared" si="251"/>
        <v>4.6514491459037388E-4</v>
      </c>
      <c r="O265" s="3">
        <f t="shared" si="251"/>
        <v>4.6514491459037388E-4</v>
      </c>
      <c r="P265" s="3">
        <f t="shared" si="251"/>
        <v>4.6514491459037388E-4</v>
      </c>
      <c r="Q265" s="3">
        <f t="shared" si="251"/>
        <v>4.6514491459037383E-4</v>
      </c>
      <c r="R265" s="3">
        <f t="shared" si="251"/>
        <v>4.6514491459037356E-4</v>
      </c>
      <c r="S265" s="3">
        <f t="shared" si="251"/>
        <v>4.6514491459037085E-4</v>
      </c>
      <c r="T265" s="3">
        <f t="shared" si="251"/>
        <v>4.6514491459034353E-4</v>
      </c>
      <c r="U265" s="3">
        <f t="shared" si="251"/>
        <v>4.6514491459006998E-4</v>
      </c>
      <c r="V265" s="3">
        <f t="shared" si="251"/>
        <v>4.6514491458733492E-4</v>
      </c>
      <c r="W265" s="3">
        <f t="shared" si="251"/>
        <v>4.6514491455998456E-4</v>
      </c>
      <c r="X265" s="3">
        <f t="shared" si="251"/>
        <v>4.6514491428648063E-4</v>
      </c>
      <c r="Y265" s="3">
        <f t="shared" si="251"/>
        <v>4.6514491155144155E-4</v>
      </c>
      <c r="Z265" s="3">
        <f t="shared" si="251"/>
        <v>4.651448842010517E-4</v>
      </c>
      <c r="AA265" s="3">
        <f t="shared" si="251"/>
        <v>4.6514461069724122E-4</v>
      </c>
      <c r="AB265" s="3">
        <f t="shared" si="251"/>
        <v>4.6514187566798151E-4</v>
      </c>
      <c r="AC265" s="3">
        <f t="shared" si="251"/>
        <v>4.6511452625987062E-4</v>
      </c>
      <c r="AD265" s="3">
        <f t="shared" si="251"/>
        <v>4.6484112060812686E-4</v>
      </c>
      <c r="AE265" s="3">
        <f t="shared" si="251"/>
        <v>4.6211588781885839E-4</v>
      </c>
      <c r="AF265" s="3">
        <f t="shared" si="251"/>
        <v>4.3572703412463309E-4</v>
      </c>
      <c r="AG265" s="3"/>
      <c r="AH265" s="3"/>
    </row>
    <row r="266" spans="2:34" x14ac:dyDescent="0.25">
      <c r="B266" s="3">
        <f t="shared" ref="B266:AF266" si="252">$C35*EXP(-B$246/$A35/EXP(-$E$126))</f>
        <v>1.1429544870574336E-5</v>
      </c>
      <c r="C266" s="3">
        <f t="shared" si="252"/>
        <v>1.1429544870574336E-5</v>
      </c>
      <c r="D266" s="3">
        <f t="shared" si="252"/>
        <v>1.1429544870574336E-5</v>
      </c>
      <c r="E266" s="3">
        <f t="shared" si="252"/>
        <v>1.1429544870574336E-5</v>
      </c>
      <c r="F266" s="3">
        <f t="shared" si="252"/>
        <v>1.1429544870574336E-5</v>
      </c>
      <c r="G266" s="3">
        <f t="shared" si="252"/>
        <v>1.1429544870574336E-5</v>
      </c>
      <c r="H266" s="3">
        <f t="shared" si="252"/>
        <v>1.1429544870574336E-5</v>
      </c>
      <c r="I266" s="3">
        <f t="shared" si="252"/>
        <v>1.1429544870574336E-5</v>
      </c>
      <c r="J266" s="3">
        <f t="shared" si="252"/>
        <v>1.1429544870574336E-5</v>
      </c>
      <c r="K266" s="3">
        <f t="shared" si="252"/>
        <v>1.1429544870574336E-5</v>
      </c>
      <c r="L266" s="3">
        <f t="shared" si="252"/>
        <v>1.1429544870574336E-5</v>
      </c>
      <c r="M266" s="3">
        <f t="shared" si="252"/>
        <v>1.1429544870574336E-5</v>
      </c>
      <c r="N266" s="3">
        <f t="shared" si="252"/>
        <v>1.1429544870574336E-5</v>
      </c>
      <c r="O266" s="3">
        <f t="shared" si="252"/>
        <v>1.1429544870574336E-5</v>
      </c>
      <c r="P266" s="3">
        <f t="shared" si="252"/>
        <v>1.1429544870574336E-5</v>
      </c>
      <c r="Q266" s="3">
        <f t="shared" si="252"/>
        <v>1.1429544870574336E-5</v>
      </c>
      <c r="R266" s="3">
        <f t="shared" si="252"/>
        <v>1.1429544870574334E-5</v>
      </c>
      <c r="S266" s="3">
        <f t="shared" si="252"/>
        <v>1.1429544870574329E-5</v>
      </c>
      <c r="T266" s="3">
        <f t="shared" si="252"/>
        <v>1.1429544870574268E-5</v>
      </c>
      <c r="U266" s="3">
        <f t="shared" si="252"/>
        <v>1.1429544870573661E-5</v>
      </c>
      <c r="V266" s="3">
        <f t="shared" si="252"/>
        <v>1.14295448705676E-5</v>
      </c>
      <c r="W266" s="3">
        <f t="shared" si="252"/>
        <v>1.1429544870506975E-5</v>
      </c>
      <c r="X266" s="3">
        <f t="shared" si="252"/>
        <v>1.1429544869900726E-5</v>
      </c>
      <c r="Y266" s="3">
        <f t="shared" si="252"/>
        <v>1.142954486383824E-5</v>
      </c>
      <c r="Z266" s="3">
        <f t="shared" si="252"/>
        <v>1.1429544803213373E-5</v>
      </c>
      <c r="AA266" s="3">
        <f t="shared" si="252"/>
        <v>1.1429544196964739E-5</v>
      </c>
      <c r="AB266" s="3">
        <f t="shared" si="252"/>
        <v>1.1429538134480155E-5</v>
      </c>
      <c r="AC266" s="3">
        <f t="shared" si="252"/>
        <v>1.1429477509811174E-5</v>
      </c>
      <c r="AD266" s="3">
        <f t="shared" si="252"/>
        <v>1.1428871280807201E-5</v>
      </c>
      <c r="AE266" s="3">
        <f t="shared" si="252"/>
        <v>1.1422810759005119E-5</v>
      </c>
      <c r="AF266" s="3">
        <f t="shared" si="252"/>
        <v>1.1362382018211583E-5</v>
      </c>
      <c r="AG266" s="3"/>
      <c r="AH266" s="3"/>
    </row>
    <row r="267" spans="2:34" x14ac:dyDescent="0.25">
      <c r="B267" s="3">
        <f t="shared" ref="B267:AF267" si="253">$C36*EXP(-B$246/$A36/EXP(-$E$126))</f>
        <v>2.5915484418969715E-5</v>
      </c>
      <c r="C267" s="3">
        <f t="shared" si="253"/>
        <v>2.5915484418969715E-5</v>
      </c>
      <c r="D267" s="3">
        <f t="shared" si="253"/>
        <v>2.5915484418969715E-5</v>
      </c>
      <c r="E267" s="3">
        <f t="shared" si="253"/>
        <v>2.5915484418969715E-5</v>
      </c>
      <c r="F267" s="3">
        <f t="shared" si="253"/>
        <v>2.5915484418969715E-5</v>
      </c>
      <c r="G267" s="3">
        <f t="shared" si="253"/>
        <v>2.5915484418969715E-5</v>
      </c>
      <c r="H267" s="3">
        <f t="shared" si="253"/>
        <v>2.5915484418969715E-5</v>
      </c>
      <c r="I267" s="3">
        <f t="shared" si="253"/>
        <v>2.5915484418969715E-5</v>
      </c>
      <c r="J267" s="3">
        <f t="shared" si="253"/>
        <v>2.5915484418969715E-5</v>
      </c>
      <c r="K267" s="3">
        <f t="shared" si="253"/>
        <v>2.5915484418969715E-5</v>
      </c>
      <c r="L267" s="3">
        <f t="shared" si="253"/>
        <v>2.5915484418969715E-5</v>
      </c>
      <c r="M267" s="3">
        <f t="shared" si="253"/>
        <v>2.5915484418969715E-5</v>
      </c>
      <c r="N267" s="3">
        <f t="shared" si="253"/>
        <v>2.5915484418969715E-5</v>
      </c>
      <c r="O267" s="3">
        <f t="shared" si="253"/>
        <v>2.5915484418969715E-5</v>
      </c>
      <c r="P267" s="3">
        <f t="shared" si="253"/>
        <v>2.5915484418969715E-5</v>
      </c>
      <c r="Q267" s="3">
        <f t="shared" si="253"/>
        <v>2.5915484418969715E-5</v>
      </c>
      <c r="R267" s="3">
        <f t="shared" si="253"/>
        <v>2.5915484418969715E-5</v>
      </c>
      <c r="S267" s="3">
        <f t="shared" si="253"/>
        <v>2.5915484418969715E-5</v>
      </c>
      <c r="T267" s="3">
        <f t="shared" si="253"/>
        <v>2.5915484418969701E-5</v>
      </c>
      <c r="U267" s="3">
        <f t="shared" si="253"/>
        <v>2.5915484418969576E-5</v>
      </c>
      <c r="V267" s="3">
        <f t="shared" si="253"/>
        <v>2.5915484418968336E-5</v>
      </c>
      <c r="W267" s="3">
        <f t="shared" si="253"/>
        <v>2.5915484418955935E-5</v>
      </c>
      <c r="X267" s="3">
        <f t="shared" si="253"/>
        <v>2.5915484418831933E-5</v>
      </c>
      <c r="Y267" s="3">
        <f t="shared" si="253"/>
        <v>2.5915484417591918E-5</v>
      </c>
      <c r="Z267" s="3">
        <f t="shared" si="253"/>
        <v>2.5915484405191745E-5</v>
      </c>
      <c r="AA267" s="3">
        <f t="shared" si="253"/>
        <v>2.5915484281190008E-5</v>
      </c>
      <c r="AB267" s="3">
        <f t="shared" si="253"/>
        <v>2.5915483041172658E-5</v>
      </c>
      <c r="AC267" s="3">
        <f t="shared" si="253"/>
        <v>2.5915470641002456E-5</v>
      </c>
      <c r="AD267" s="3">
        <f t="shared" si="253"/>
        <v>2.5915346639626761E-5</v>
      </c>
      <c r="AE267" s="3">
        <f t="shared" si="253"/>
        <v>2.5914106658502305E-5</v>
      </c>
      <c r="AF267" s="3">
        <f t="shared" si="253"/>
        <v>2.5901710109930206E-5</v>
      </c>
      <c r="AG267" s="3"/>
      <c r="AH267" s="3"/>
    </row>
    <row r="268" spans="2:34" x14ac:dyDescent="0.25">
      <c r="B268" s="3">
        <f t="shared" ref="B268:AF268" si="254">$C37*EXP(-B$246/$A37/EXP(-$E$126))</f>
        <v>2.9552981931303355E-5</v>
      </c>
      <c r="C268" s="3">
        <f t="shared" si="254"/>
        <v>2.9552981931303355E-5</v>
      </c>
      <c r="D268" s="3">
        <f t="shared" si="254"/>
        <v>2.9552981931303355E-5</v>
      </c>
      <c r="E268" s="3">
        <f t="shared" si="254"/>
        <v>2.9552981931303355E-5</v>
      </c>
      <c r="F268" s="3">
        <f t="shared" si="254"/>
        <v>2.9552981931303355E-5</v>
      </c>
      <c r="G268" s="3">
        <f t="shared" si="254"/>
        <v>2.9552981931303355E-5</v>
      </c>
      <c r="H268" s="3">
        <f t="shared" si="254"/>
        <v>2.9552981931303355E-5</v>
      </c>
      <c r="I268" s="3">
        <f t="shared" si="254"/>
        <v>2.9552981931303355E-5</v>
      </c>
      <c r="J268" s="3">
        <f t="shared" si="254"/>
        <v>2.9552981931303355E-5</v>
      </c>
      <c r="K268" s="3">
        <f t="shared" si="254"/>
        <v>2.9552981931303355E-5</v>
      </c>
      <c r="L268" s="3">
        <f t="shared" si="254"/>
        <v>2.9552981931303355E-5</v>
      </c>
      <c r="M268" s="3">
        <f t="shared" si="254"/>
        <v>2.9552981931303355E-5</v>
      </c>
      <c r="N268" s="3">
        <f t="shared" si="254"/>
        <v>2.9552981931303355E-5</v>
      </c>
      <c r="O268" s="3">
        <f t="shared" si="254"/>
        <v>2.9552981931303355E-5</v>
      </c>
      <c r="P268" s="3">
        <f t="shared" si="254"/>
        <v>2.9552981931303355E-5</v>
      </c>
      <c r="Q268" s="3">
        <f t="shared" si="254"/>
        <v>2.9552981931303355E-5</v>
      </c>
      <c r="R268" s="3">
        <f t="shared" si="254"/>
        <v>2.9552981931303355E-5</v>
      </c>
      <c r="S268" s="3">
        <f t="shared" si="254"/>
        <v>2.9552981931303355E-5</v>
      </c>
      <c r="T268" s="3">
        <f t="shared" si="254"/>
        <v>2.9552981931303355E-5</v>
      </c>
      <c r="U268" s="3">
        <f t="shared" si="254"/>
        <v>2.9552981931303342E-5</v>
      </c>
      <c r="V268" s="3">
        <f t="shared" si="254"/>
        <v>2.9552981931303213E-5</v>
      </c>
      <c r="W268" s="3">
        <f t="shared" si="254"/>
        <v>2.9552981931301939E-5</v>
      </c>
      <c r="X268" s="3">
        <f t="shared" si="254"/>
        <v>2.9552981931289183E-5</v>
      </c>
      <c r="Y268" s="3">
        <f t="shared" si="254"/>
        <v>2.9552981931161619E-5</v>
      </c>
      <c r="Z268" s="3">
        <f t="shared" si="254"/>
        <v>2.9552981929886015E-5</v>
      </c>
      <c r="AA268" s="3">
        <f t="shared" si="254"/>
        <v>2.955298191712996E-5</v>
      </c>
      <c r="AB268" s="3">
        <f t="shared" si="254"/>
        <v>2.9552981789569424E-5</v>
      </c>
      <c r="AC268" s="3">
        <f t="shared" si="254"/>
        <v>2.9552980513964083E-5</v>
      </c>
      <c r="AD268" s="3">
        <f t="shared" si="254"/>
        <v>2.9552967757913676E-5</v>
      </c>
      <c r="AE268" s="3">
        <f t="shared" si="254"/>
        <v>2.9552840197712447E-5</v>
      </c>
      <c r="AF268" s="3">
        <f t="shared" si="254"/>
        <v>2.9551564625982296E-5</v>
      </c>
      <c r="AG268" s="3"/>
      <c r="AH268" s="3"/>
    </row>
    <row r="269" spans="2:34" x14ac:dyDescent="0.25">
      <c r="B269" s="3">
        <f t="shared" ref="B269:AF269" si="255">$C38*EXP(-B$246/$A38/EXP(-$E$126))</f>
        <v>3.2731039559542382E-6</v>
      </c>
      <c r="C269" s="3">
        <f t="shared" si="255"/>
        <v>3.2731039559542382E-6</v>
      </c>
      <c r="D269" s="3">
        <f t="shared" si="255"/>
        <v>3.2731039559542382E-6</v>
      </c>
      <c r="E269" s="3">
        <f t="shared" si="255"/>
        <v>3.2731039559542382E-6</v>
      </c>
      <c r="F269" s="3">
        <f t="shared" si="255"/>
        <v>3.2731039559542382E-6</v>
      </c>
      <c r="G269" s="3">
        <f t="shared" si="255"/>
        <v>3.2731039559542382E-6</v>
      </c>
      <c r="H269" s="3">
        <f t="shared" si="255"/>
        <v>3.2731039559542382E-6</v>
      </c>
      <c r="I269" s="3">
        <f t="shared" si="255"/>
        <v>3.2731039559542382E-6</v>
      </c>
      <c r="J269" s="3">
        <f t="shared" si="255"/>
        <v>3.2731039559542382E-6</v>
      </c>
      <c r="K269" s="3">
        <f t="shared" si="255"/>
        <v>3.2731039559542382E-6</v>
      </c>
      <c r="L269" s="3">
        <f t="shared" si="255"/>
        <v>3.2731039559542382E-6</v>
      </c>
      <c r="M269" s="3">
        <f t="shared" si="255"/>
        <v>3.2731039559542382E-6</v>
      </c>
      <c r="N269" s="3">
        <f t="shared" si="255"/>
        <v>3.2731039559542382E-6</v>
      </c>
      <c r="O269" s="3">
        <f t="shared" si="255"/>
        <v>3.2731039559542382E-6</v>
      </c>
      <c r="P269" s="3">
        <f t="shared" si="255"/>
        <v>3.2731039559542382E-6</v>
      </c>
      <c r="Q269" s="3">
        <f t="shared" si="255"/>
        <v>3.2731039559542382E-6</v>
      </c>
      <c r="R269" s="3">
        <f t="shared" si="255"/>
        <v>3.2731039559542382E-6</v>
      </c>
      <c r="S269" s="3">
        <f t="shared" si="255"/>
        <v>3.2731039559542382E-6</v>
      </c>
      <c r="T269" s="3">
        <f t="shared" si="255"/>
        <v>3.2731039559542382E-6</v>
      </c>
      <c r="U269" s="3">
        <f t="shared" si="255"/>
        <v>3.2731039559542382E-6</v>
      </c>
      <c r="V269" s="3">
        <f t="shared" si="255"/>
        <v>3.2731039559542369E-6</v>
      </c>
      <c r="W269" s="3">
        <f t="shared" si="255"/>
        <v>3.2731039559542242E-6</v>
      </c>
      <c r="X269" s="3">
        <f t="shared" si="255"/>
        <v>3.2731039559540963E-6</v>
      </c>
      <c r="Y269" s="3">
        <f t="shared" si="255"/>
        <v>3.273103955952822E-6</v>
      </c>
      <c r="Z269" s="3">
        <f t="shared" si="255"/>
        <v>3.2731039559400775E-6</v>
      </c>
      <c r="AA269" s="3">
        <f t="shared" si="255"/>
        <v>3.2731039558126329E-6</v>
      </c>
      <c r="AB269" s="3">
        <f t="shared" si="255"/>
        <v>3.2731039545381872E-6</v>
      </c>
      <c r="AC269" s="3">
        <f t="shared" si="255"/>
        <v>3.2731039417937277E-6</v>
      </c>
      <c r="AD269" s="3">
        <f t="shared" si="255"/>
        <v>3.2731038143491352E-6</v>
      </c>
      <c r="AE269" s="3">
        <f t="shared" si="255"/>
        <v>3.2731025399034844E-6</v>
      </c>
      <c r="AF269" s="3">
        <f t="shared" si="255"/>
        <v>3.2730897954742681E-6</v>
      </c>
      <c r="AG269" s="3"/>
      <c r="AH269" s="3"/>
    </row>
    <row r="270" spans="2:34" x14ac:dyDescent="0.25">
      <c r="B270" s="3">
        <f t="shared" ref="B270:AF270" si="256">$C39*EXP(-B$246/$A39/EXP(-$E$126))</f>
        <v>4.7316671387144988E-5</v>
      </c>
      <c r="C270" s="3">
        <f t="shared" si="256"/>
        <v>4.7316671387144988E-5</v>
      </c>
      <c r="D270" s="3">
        <f t="shared" si="256"/>
        <v>4.7316671387144988E-5</v>
      </c>
      <c r="E270" s="3">
        <f t="shared" si="256"/>
        <v>4.7316671387144988E-5</v>
      </c>
      <c r="F270" s="3">
        <f t="shared" si="256"/>
        <v>4.7316671387144988E-5</v>
      </c>
      <c r="G270" s="3">
        <f t="shared" si="256"/>
        <v>4.7316671387144988E-5</v>
      </c>
      <c r="H270" s="3">
        <f t="shared" si="256"/>
        <v>4.7316671387144988E-5</v>
      </c>
      <c r="I270" s="3">
        <f t="shared" si="256"/>
        <v>4.7316671387144988E-5</v>
      </c>
      <c r="J270" s="3">
        <f t="shared" si="256"/>
        <v>4.7316671387144988E-5</v>
      </c>
      <c r="K270" s="3">
        <f t="shared" si="256"/>
        <v>4.7316671387144988E-5</v>
      </c>
      <c r="L270" s="3">
        <f t="shared" si="256"/>
        <v>4.7316671387144988E-5</v>
      </c>
      <c r="M270" s="3">
        <f t="shared" si="256"/>
        <v>4.7316671387144988E-5</v>
      </c>
      <c r="N270" s="3">
        <f t="shared" si="256"/>
        <v>4.7316671387144988E-5</v>
      </c>
      <c r="O270" s="3">
        <f t="shared" si="256"/>
        <v>4.7316671387144988E-5</v>
      </c>
      <c r="P270" s="3">
        <f t="shared" si="256"/>
        <v>4.7316671387144988E-5</v>
      </c>
      <c r="Q270" s="3">
        <f t="shared" si="256"/>
        <v>4.7316671387144988E-5</v>
      </c>
      <c r="R270" s="3">
        <f t="shared" si="256"/>
        <v>4.7316671387144988E-5</v>
      </c>
      <c r="S270" s="3">
        <f t="shared" si="256"/>
        <v>4.7316671387144988E-5</v>
      </c>
      <c r="T270" s="3">
        <f t="shared" si="256"/>
        <v>4.7316671387144988E-5</v>
      </c>
      <c r="U270" s="3">
        <f t="shared" si="256"/>
        <v>4.7316671387144988E-5</v>
      </c>
      <c r="V270" s="3">
        <f t="shared" si="256"/>
        <v>4.7316671387144982E-5</v>
      </c>
      <c r="W270" s="3">
        <f t="shared" si="256"/>
        <v>4.7316671387144927E-5</v>
      </c>
      <c r="X270" s="3">
        <f t="shared" si="256"/>
        <v>4.7316671387144419E-5</v>
      </c>
      <c r="Y270" s="3">
        <f t="shared" si="256"/>
        <v>4.7316671387139324E-5</v>
      </c>
      <c r="Z270" s="3">
        <f t="shared" si="256"/>
        <v>4.7316671387088373E-5</v>
      </c>
      <c r="AA270" s="3">
        <f t="shared" si="256"/>
        <v>4.7316671386578818E-5</v>
      </c>
      <c r="AB270" s="3">
        <f t="shared" si="256"/>
        <v>4.7316671381483298E-5</v>
      </c>
      <c r="AC270" s="3">
        <f t="shared" si="256"/>
        <v>4.731667133052808E-5</v>
      </c>
      <c r="AD270" s="3">
        <f t="shared" si="256"/>
        <v>4.7316670820975895E-5</v>
      </c>
      <c r="AE270" s="3">
        <f t="shared" si="256"/>
        <v>4.7316665725454342E-5</v>
      </c>
      <c r="AF270" s="3">
        <f t="shared" si="256"/>
        <v>4.7316614770269033E-5</v>
      </c>
      <c r="AG270" s="3"/>
      <c r="AH270" s="3"/>
    </row>
    <row r="271" spans="2:34" x14ac:dyDescent="0.25">
      <c r="B271" s="3">
        <f t="shared" ref="B271:AF271" si="257">$C40*EXP(-B$246/$A40/EXP(-$E$126))</f>
        <v>2.2741722122049058E-5</v>
      </c>
      <c r="C271" s="3">
        <f t="shared" si="257"/>
        <v>2.2741722122049058E-5</v>
      </c>
      <c r="D271" s="3">
        <f t="shared" si="257"/>
        <v>2.2741722122049058E-5</v>
      </c>
      <c r="E271" s="3">
        <f t="shared" si="257"/>
        <v>2.2741722122049058E-5</v>
      </c>
      <c r="F271" s="3">
        <f t="shared" si="257"/>
        <v>2.2741722122049058E-5</v>
      </c>
      <c r="G271" s="3">
        <f t="shared" si="257"/>
        <v>2.2741722122049058E-5</v>
      </c>
      <c r="H271" s="3">
        <f t="shared" si="257"/>
        <v>2.2741722122049058E-5</v>
      </c>
      <c r="I271" s="3">
        <f t="shared" si="257"/>
        <v>2.2741722122049058E-5</v>
      </c>
      <c r="J271" s="3">
        <f t="shared" si="257"/>
        <v>2.2741722122049058E-5</v>
      </c>
      <c r="K271" s="3">
        <f t="shared" si="257"/>
        <v>2.2741722122049058E-5</v>
      </c>
      <c r="L271" s="3">
        <f t="shared" si="257"/>
        <v>2.2741722122049058E-5</v>
      </c>
      <c r="M271" s="3">
        <f t="shared" si="257"/>
        <v>2.2741722122049058E-5</v>
      </c>
      <c r="N271" s="3">
        <f t="shared" si="257"/>
        <v>2.2741722122049058E-5</v>
      </c>
      <c r="O271" s="3">
        <f t="shared" si="257"/>
        <v>2.2741722122049058E-5</v>
      </c>
      <c r="P271" s="3">
        <f t="shared" si="257"/>
        <v>2.2741722122049058E-5</v>
      </c>
      <c r="Q271" s="3">
        <f t="shared" si="257"/>
        <v>2.2741722122049058E-5</v>
      </c>
      <c r="R271" s="3">
        <f t="shared" si="257"/>
        <v>2.2741722122049058E-5</v>
      </c>
      <c r="S271" s="3">
        <f t="shared" si="257"/>
        <v>2.2741722122049058E-5</v>
      </c>
      <c r="T271" s="3">
        <f t="shared" si="257"/>
        <v>2.2741722122049058E-5</v>
      </c>
      <c r="U271" s="3">
        <f t="shared" si="257"/>
        <v>2.2741722122049058E-5</v>
      </c>
      <c r="V271" s="3">
        <f t="shared" si="257"/>
        <v>2.2741722122049058E-5</v>
      </c>
      <c r="W271" s="3">
        <f t="shared" si="257"/>
        <v>2.2741722122049055E-5</v>
      </c>
      <c r="X271" s="3">
        <f t="shared" si="257"/>
        <v>2.2741722122049031E-5</v>
      </c>
      <c r="Y271" s="3">
        <f t="shared" si="257"/>
        <v>2.2741722122048787E-5</v>
      </c>
      <c r="Z271" s="3">
        <f t="shared" si="257"/>
        <v>2.2741722122046338E-5</v>
      </c>
      <c r="AA271" s="3">
        <f t="shared" si="257"/>
        <v>2.2741722122021845E-5</v>
      </c>
      <c r="AB271" s="3">
        <f t="shared" si="257"/>
        <v>2.2741722121776941E-5</v>
      </c>
      <c r="AC271" s="3">
        <f t="shared" si="257"/>
        <v>2.274172211932789E-5</v>
      </c>
      <c r="AD271" s="3">
        <f t="shared" si="257"/>
        <v>2.274172209483738E-5</v>
      </c>
      <c r="AE271" s="3">
        <f t="shared" si="257"/>
        <v>2.274172184993228E-5</v>
      </c>
      <c r="AF271" s="3">
        <f t="shared" si="257"/>
        <v>2.274171940088141E-5</v>
      </c>
      <c r="AG271" s="3"/>
      <c r="AH271" s="3"/>
    </row>
    <row r="272" spans="2:34" x14ac:dyDescent="0.25">
      <c r="B272" s="3">
        <f t="shared" ref="B272:AF272" si="258">$C41*EXP(-B$246/$A41/EXP(-$E$126))</f>
        <v>1.7857506760164985E-5</v>
      </c>
      <c r="C272" s="3">
        <f t="shared" si="258"/>
        <v>1.7857506760164985E-5</v>
      </c>
      <c r="D272" s="3">
        <f t="shared" si="258"/>
        <v>1.7857506760164985E-5</v>
      </c>
      <c r="E272" s="3">
        <f t="shared" si="258"/>
        <v>1.7857506760164985E-5</v>
      </c>
      <c r="F272" s="3">
        <f t="shared" si="258"/>
        <v>1.7857506760164985E-5</v>
      </c>
      <c r="G272" s="3">
        <f t="shared" si="258"/>
        <v>1.7857506760164985E-5</v>
      </c>
      <c r="H272" s="3">
        <f t="shared" si="258"/>
        <v>1.7857506760164985E-5</v>
      </c>
      <c r="I272" s="3">
        <f t="shared" si="258"/>
        <v>1.7857506760164985E-5</v>
      </c>
      <c r="J272" s="3">
        <f t="shared" si="258"/>
        <v>1.7857506760164985E-5</v>
      </c>
      <c r="K272" s="3">
        <f t="shared" si="258"/>
        <v>1.7857506760164985E-5</v>
      </c>
      <c r="L272" s="3">
        <f t="shared" si="258"/>
        <v>1.7857506760164985E-5</v>
      </c>
      <c r="M272" s="3">
        <f t="shared" si="258"/>
        <v>1.7857506760164985E-5</v>
      </c>
      <c r="N272" s="3">
        <f t="shared" si="258"/>
        <v>1.7857506760164985E-5</v>
      </c>
      <c r="O272" s="3">
        <f t="shared" si="258"/>
        <v>1.7857506760164985E-5</v>
      </c>
      <c r="P272" s="3">
        <f t="shared" si="258"/>
        <v>1.7857506760164985E-5</v>
      </c>
      <c r="Q272" s="3">
        <f t="shared" si="258"/>
        <v>1.7857506760164985E-5</v>
      </c>
      <c r="R272" s="3">
        <f t="shared" si="258"/>
        <v>1.7857506760164985E-5</v>
      </c>
      <c r="S272" s="3">
        <f t="shared" si="258"/>
        <v>1.7857506760164985E-5</v>
      </c>
      <c r="T272" s="3">
        <f t="shared" si="258"/>
        <v>1.7857506760164985E-5</v>
      </c>
      <c r="U272" s="3">
        <f t="shared" si="258"/>
        <v>1.7857506760164985E-5</v>
      </c>
      <c r="V272" s="3">
        <f t="shared" si="258"/>
        <v>1.7857506760164985E-5</v>
      </c>
      <c r="W272" s="3">
        <f t="shared" si="258"/>
        <v>1.7857506760164985E-5</v>
      </c>
      <c r="X272" s="3">
        <f t="shared" si="258"/>
        <v>1.7857506760164981E-5</v>
      </c>
      <c r="Y272" s="3">
        <f t="shared" si="258"/>
        <v>1.7857506760164964E-5</v>
      </c>
      <c r="Z272" s="3">
        <f t="shared" si="258"/>
        <v>1.7857506760164771E-5</v>
      </c>
      <c r="AA272" s="3">
        <f t="shared" si="258"/>
        <v>1.7857506760162847E-5</v>
      </c>
      <c r="AB272" s="3">
        <f t="shared" si="258"/>
        <v>1.7857506760143616E-5</v>
      </c>
      <c r="AC272" s="3">
        <f t="shared" si="258"/>
        <v>1.7857506759951309E-5</v>
      </c>
      <c r="AD272" s="3">
        <f t="shared" si="258"/>
        <v>1.7857506758028239E-5</v>
      </c>
      <c r="AE272" s="3">
        <f t="shared" si="258"/>
        <v>1.7857506738797532E-5</v>
      </c>
      <c r="AF272" s="3">
        <f t="shared" si="258"/>
        <v>1.7857506546490434E-5</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1.5759572914912317E-6</v>
      </c>
      <c r="C274" s="3">
        <f t="shared" si="260"/>
        <v>1.5759572914912317E-6</v>
      </c>
      <c r="D274" s="3">
        <f t="shared" si="260"/>
        <v>1.5759572914912317E-6</v>
      </c>
      <c r="E274" s="3">
        <f t="shared" si="260"/>
        <v>1.5759572914912317E-6</v>
      </c>
      <c r="F274" s="3">
        <f t="shared" si="260"/>
        <v>1.5759572914912317E-6</v>
      </c>
      <c r="G274" s="3">
        <f t="shared" si="260"/>
        <v>1.5759572914912317E-6</v>
      </c>
      <c r="H274" s="3">
        <f t="shared" si="260"/>
        <v>1.5759572914912317E-6</v>
      </c>
      <c r="I274" s="3">
        <f t="shared" si="260"/>
        <v>1.5759572914912317E-6</v>
      </c>
      <c r="J274" s="3">
        <f t="shared" si="260"/>
        <v>1.5759572914912317E-6</v>
      </c>
      <c r="K274" s="3">
        <f t="shared" si="260"/>
        <v>1.5759572914912317E-6</v>
      </c>
      <c r="L274" s="3">
        <f t="shared" si="260"/>
        <v>1.5759572914912317E-6</v>
      </c>
      <c r="M274" s="3">
        <f t="shared" si="260"/>
        <v>1.5759572914912317E-6</v>
      </c>
      <c r="N274" s="3">
        <f t="shared" si="260"/>
        <v>1.5759572914912317E-6</v>
      </c>
      <c r="O274" s="3">
        <f t="shared" si="260"/>
        <v>1.5759572914912317E-6</v>
      </c>
      <c r="P274" s="3">
        <f t="shared" si="260"/>
        <v>1.5759572914912317E-6</v>
      </c>
      <c r="Q274" s="3">
        <f t="shared" si="260"/>
        <v>1.5759572914912317E-6</v>
      </c>
      <c r="R274" s="3">
        <f t="shared" si="260"/>
        <v>1.5759572914912317E-6</v>
      </c>
      <c r="S274" s="3">
        <f t="shared" si="260"/>
        <v>1.5759572914912317E-6</v>
      </c>
      <c r="T274" s="3">
        <f t="shared" si="260"/>
        <v>1.5759572914912317E-6</v>
      </c>
      <c r="U274" s="3">
        <f t="shared" si="260"/>
        <v>1.5759572914912317E-6</v>
      </c>
      <c r="V274" s="3">
        <f t="shared" si="260"/>
        <v>1.5759572914912317E-6</v>
      </c>
      <c r="W274" s="3">
        <f t="shared" si="260"/>
        <v>1.5759572914912317E-6</v>
      </c>
      <c r="X274" s="3">
        <f t="shared" si="260"/>
        <v>1.5759572914912317E-6</v>
      </c>
      <c r="Y274" s="3">
        <f t="shared" si="260"/>
        <v>1.5759572914912317E-6</v>
      </c>
      <c r="Z274" s="3">
        <f t="shared" si="260"/>
        <v>1.5759572914912315E-6</v>
      </c>
      <c r="AA274" s="3">
        <f t="shared" si="260"/>
        <v>1.5759572914912298E-6</v>
      </c>
      <c r="AB274" s="3">
        <f t="shared" si="260"/>
        <v>1.5759572914912128E-6</v>
      </c>
      <c r="AC274" s="3">
        <f t="shared" si="260"/>
        <v>1.575957291491043E-6</v>
      </c>
      <c r="AD274" s="3">
        <f t="shared" si="260"/>
        <v>1.575957291489346E-6</v>
      </c>
      <c r="AE274" s="3">
        <f t="shared" si="260"/>
        <v>1.5759572914723744E-6</v>
      </c>
      <c r="AF274" s="3">
        <f t="shared" si="260"/>
        <v>1.5759572913026601E-6</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1.823122872957775E-3</v>
      </c>
      <c r="C279" s="3">
        <f t="shared" si="265"/>
        <v>1.823122872957775E-3</v>
      </c>
      <c r="D279" s="3">
        <f t="shared" si="265"/>
        <v>1.823122872957775E-3</v>
      </c>
      <c r="E279" s="3">
        <f t="shared" si="265"/>
        <v>1.823122872957775E-3</v>
      </c>
      <c r="F279" s="3">
        <f t="shared" si="265"/>
        <v>1.823122872957775E-3</v>
      </c>
      <c r="G279" s="3">
        <f t="shared" si="265"/>
        <v>1.823122872957775E-3</v>
      </c>
      <c r="H279" s="3">
        <f t="shared" si="265"/>
        <v>1.823122872957775E-3</v>
      </c>
      <c r="I279" s="3">
        <f t="shared" si="265"/>
        <v>1.823122872957775E-3</v>
      </c>
      <c r="J279" s="3">
        <f t="shared" si="265"/>
        <v>1.823122872957775E-3</v>
      </c>
      <c r="K279" s="3">
        <f t="shared" si="265"/>
        <v>1.823122872957775E-3</v>
      </c>
      <c r="L279" s="3">
        <f t="shared" si="265"/>
        <v>1.823122872957775E-3</v>
      </c>
      <c r="M279" s="3">
        <f t="shared" si="265"/>
        <v>1.823122872957775E-3</v>
      </c>
      <c r="N279" s="3">
        <f t="shared" si="265"/>
        <v>1.823122872957775E-3</v>
      </c>
      <c r="O279" s="3">
        <f t="shared" si="265"/>
        <v>1.823122872957775E-3</v>
      </c>
      <c r="P279" s="3">
        <f t="shared" si="265"/>
        <v>1.823122872957775E-3</v>
      </c>
      <c r="Q279" s="3">
        <f t="shared" si="265"/>
        <v>1.823122872957775E-3</v>
      </c>
      <c r="R279" s="3">
        <f t="shared" si="265"/>
        <v>1.823122872957775E-3</v>
      </c>
      <c r="S279" s="3">
        <f t="shared" si="265"/>
        <v>1.823122872957775E-3</v>
      </c>
      <c r="T279" s="3">
        <f t="shared" si="265"/>
        <v>1.823122872957775E-3</v>
      </c>
      <c r="U279" s="3">
        <f t="shared" si="265"/>
        <v>1.823122872957775E-3</v>
      </c>
      <c r="V279" s="3">
        <f t="shared" si="265"/>
        <v>1.823122872957775E-3</v>
      </c>
      <c r="W279" s="3">
        <f t="shared" si="265"/>
        <v>1.823122872957775E-3</v>
      </c>
      <c r="X279" s="3">
        <f t="shared" si="265"/>
        <v>1.823122872957775E-3</v>
      </c>
      <c r="Y279" s="3">
        <f t="shared" si="265"/>
        <v>1.823122872957775E-3</v>
      </c>
      <c r="Z279" s="3">
        <f t="shared" si="265"/>
        <v>1.823122872957775E-3</v>
      </c>
      <c r="AA279" s="3">
        <f t="shared" si="265"/>
        <v>1.823122872957775E-3</v>
      </c>
      <c r="AB279" s="3">
        <f t="shared" si="265"/>
        <v>1.823122872957775E-3</v>
      </c>
      <c r="AC279" s="3">
        <f t="shared" si="265"/>
        <v>1.823122872957775E-3</v>
      </c>
      <c r="AD279" s="3">
        <f t="shared" si="265"/>
        <v>1.823122872957775E-3</v>
      </c>
      <c r="AE279" s="3">
        <f t="shared" si="265"/>
        <v>1.8231228729577748E-3</v>
      </c>
      <c r="AF279" s="3">
        <f t="shared" si="265"/>
        <v>1.8231228729577728E-3</v>
      </c>
      <c r="AG279" s="3"/>
      <c r="AH279" s="3"/>
    </row>
    <row r="280" spans="1:34" x14ac:dyDescent="0.25">
      <c r="A280" s="80">
        <f>AVERAGE(B280:AF280)</f>
        <v>2.006173959005407E-2</v>
      </c>
      <c r="B280" s="81">
        <f>IF($D$61&lt;=B246,IF($E$61&gt;=B246,ABS((B248-B247)/B247),0),0)</f>
        <v>1.0331034364364031E-3</v>
      </c>
      <c r="C280" s="81">
        <f t="shared" ref="C280:AF280" si="266">IF($D$61&lt;=C246,IF($E$61&gt;=C246,ABS((C248-C247)/C247),0),0)</f>
        <v>1.0269007464907525E-3</v>
      </c>
      <c r="D280" s="81">
        <f t="shared" si="266"/>
        <v>1.0306776530373872E-3</v>
      </c>
      <c r="E280" s="81">
        <f t="shared" si="266"/>
        <v>1.0317052999290791E-3</v>
      </c>
      <c r="F280" s="81">
        <f t="shared" si="266"/>
        <v>1.0308766631190521E-3</v>
      </c>
      <c r="G280" s="81">
        <f t="shared" si="266"/>
        <v>1.0192496297827614E-3</v>
      </c>
      <c r="H280" s="81">
        <f t="shared" si="266"/>
        <v>9.0196793921615184E-4</v>
      </c>
      <c r="I280" s="81">
        <f t="shared" si="266"/>
        <v>2.6446467599873204E-4</v>
      </c>
      <c r="J280" s="81">
        <f t="shared" si="266"/>
        <v>1.1261671754388369E-2</v>
      </c>
      <c r="K280" s="81">
        <f t="shared" si="266"/>
        <v>7.4913507642974525E-2</v>
      </c>
      <c r="L280" s="81">
        <f t="shared" si="266"/>
        <v>0.10504101579999915</v>
      </c>
      <c r="M280" s="81">
        <f t="shared" si="266"/>
        <v>8.7454390199903725E-2</v>
      </c>
      <c r="N280" s="81">
        <f t="shared" si="266"/>
        <v>6.4690606100138742E-2</v>
      </c>
      <c r="O280" s="81">
        <f t="shared" si="266"/>
        <v>3.857975113764317E-2</v>
      </c>
      <c r="P280" s="81">
        <f t="shared" si="266"/>
        <v>7.7528603932070887E-3</v>
      </c>
      <c r="Q280" s="81">
        <f t="shared" si="266"/>
        <v>9.0980994175531675E-3</v>
      </c>
      <c r="R280" s="81">
        <f t="shared" si="266"/>
        <v>1.4717857296172544E-2</v>
      </c>
      <c r="S280" s="81">
        <f t="shared" si="266"/>
        <v>2.959113964711236E-3</v>
      </c>
      <c r="T280" s="81">
        <f t="shared" si="266"/>
        <v>9.5829659782798882E-3</v>
      </c>
      <c r="U280" s="81">
        <f t="shared" si="266"/>
        <v>2.5546613557963772E-2</v>
      </c>
      <c r="V280" s="81">
        <f t="shared" si="266"/>
        <v>3.9055307792548608E-2</v>
      </c>
      <c r="W280" s="81">
        <f t="shared" si="266"/>
        <v>4.4960990383497067E-2</v>
      </c>
      <c r="X280" s="81">
        <f t="shared" si="266"/>
        <v>4.3544450659006535E-2</v>
      </c>
      <c r="Y280" s="81">
        <f t="shared" si="266"/>
        <v>3.5415779169678245E-2</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37.459317851381691</v>
      </c>
      <c r="C281" s="21">
        <f t="shared" ref="C281:AF281" si="267">(C248-C247)^2</f>
        <v>37.011319821296368</v>
      </c>
      <c r="D281" s="21">
        <f t="shared" si="267"/>
        <v>37.283791054939655</v>
      </c>
      <c r="E281" s="21">
        <f t="shared" si="267"/>
        <v>37.358090938995602</v>
      </c>
      <c r="F281" s="21">
        <f t="shared" si="267"/>
        <v>37.298079082134159</v>
      </c>
      <c r="G281" s="21">
        <f t="shared" si="267"/>
        <v>36.46145912393699</v>
      </c>
      <c r="H281" s="21">
        <f t="shared" si="267"/>
        <v>28.553198540289404</v>
      </c>
      <c r="I281" s="21">
        <f t="shared" si="267"/>
        <v>2.4547362327042688</v>
      </c>
      <c r="J281" s="21">
        <f t="shared" si="267"/>
        <v>4450.8655849579336</v>
      </c>
      <c r="K281" s="21">
        <f t="shared" si="267"/>
        <v>196812.92456118672</v>
      </c>
      <c r="L281" s="21">
        <f t="shared" si="267"/>
        <v>384411.07027487783</v>
      </c>
      <c r="M281" s="21">
        <f t="shared" si="267"/>
        <v>256292.37609927123</v>
      </c>
      <c r="N281" s="21">
        <f t="shared" si="267"/>
        <v>133485.21207286077</v>
      </c>
      <c r="O281" s="21">
        <f t="shared" si="267"/>
        <v>44910.802142981309</v>
      </c>
      <c r="P281" s="21">
        <f t="shared" si="267"/>
        <v>1694.8886865814618</v>
      </c>
      <c r="Q281" s="21">
        <f t="shared" si="267"/>
        <v>2167.2964942680869</v>
      </c>
      <c r="R281" s="21">
        <f t="shared" si="267"/>
        <v>5177.6243348135158</v>
      </c>
      <c r="S281" s="21">
        <f t="shared" si="267"/>
        <v>185.2152861799598</v>
      </c>
      <c r="T281" s="21">
        <f t="shared" si="267"/>
        <v>1676.2631752109703</v>
      </c>
      <c r="U281" s="21">
        <f t="shared" si="267"/>
        <v>10137.058358471095</v>
      </c>
      <c r="V281" s="21">
        <f t="shared" si="267"/>
        <v>19861.514109645603</v>
      </c>
      <c r="W281" s="21">
        <f t="shared" si="267"/>
        <v>21517.166555290652</v>
      </c>
      <c r="X281" s="21">
        <f t="shared" si="267"/>
        <v>15307.500107708825</v>
      </c>
      <c r="Y281" s="21">
        <f t="shared" si="267"/>
        <v>6929.1076528888407</v>
      </c>
      <c r="Z281" s="21">
        <f t="shared" si="267"/>
        <v>690.36810715052252</v>
      </c>
      <c r="AA281" s="21">
        <f t="shared" si="267"/>
        <v>519.283909594286</v>
      </c>
      <c r="AB281" s="21">
        <f t="shared" si="267"/>
        <v>729.94423637040427</v>
      </c>
      <c r="AC281" s="21">
        <f t="shared" si="267"/>
        <v>530.45592286928979</v>
      </c>
      <c r="AD281" s="21">
        <f t="shared" si="267"/>
        <v>137.13527225297267</v>
      </c>
      <c r="AE281" s="21">
        <f t="shared" si="267"/>
        <v>2.2909434720844857</v>
      </c>
      <c r="AF281" s="21">
        <f t="shared" si="267"/>
        <v>2.1540444793499824E-2</v>
      </c>
      <c r="AG281" s="3"/>
      <c r="AH281" s="3"/>
    </row>
    <row r="282" spans="1:34" s="3" customFormat="1" x14ac:dyDescent="0.25">
      <c r="A282" s="72">
        <f>SUM(B282:AF282)</f>
        <v>1105270.7654898404</v>
      </c>
      <c r="B282" s="21">
        <f>IF($D$61&lt;=B246,IF($E$61&gt;=B246,ABS(B281),0),0)</f>
        <v>37.459317851381691</v>
      </c>
      <c r="C282" s="21">
        <f t="shared" ref="C282:AF282" si="268">IF($D$61&lt;=C246,IF($E$61&gt;=C246,ABS(C281),0),0)</f>
        <v>37.011319821296368</v>
      </c>
      <c r="D282" s="21">
        <f t="shared" si="268"/>
        <v>37.283791054939655</v>
      </c>
      <c r="E282" s="21">
        <f t="shared" si="268"/>
        <v>37.358090938995602</v>
      </c>
      <c r="F282" s="21">
        <f t="shared" si="268"/>
        <v>37.298079082134159</v>
      </c>
      <c r="G282" s="21">
        <f t="shared" si="268"/>
        <v>36.46145912393699</v>
      </c>
      <c r="H282" s="21">
        <f t="shared" si="268"/>
        <v>28.553198540289404</v>
      </c>
      <c r="I282" s="21">
        <f t="shared" si="268"/>
        <v>2.4547362327042688</v>
      </c>
      <c r="J282" s="21">
        <f t="shared" si="268"/>
        <v>4450.8655849579336</v>
      </c>
      <c r="K282" s="21">
        <f t="shared" si="268"/>
        <v>196812.92456118672</v>
      </c>
      <c r="L282" s="21">
        <f t="shared" si="268"/>
        <v>384411.07027487783</v>
      </c>
      <c r="M282" s="21">
        <f t="shared" si="268"/>
        <v>256292.37609927123</v>
      </c>
      <c r="N282" s="21">
        <f t="shared" si="268"/>
        <v>133485.21207286077</v>
      </c>
      <c r="O282" s="21">
        <f t="shared" si="268"/>
        <v>44910.802142981309</v>
      </c>
      <c r="P282" s="21">
        <f t="shared" si="268"/>
        <v>1694.8886865814618</v>
      </c>
      <c r="Q282" s="21">
        <f t="shared" si="268"/>
        <v>2167.2964942680869</v>
      </c>
      <c r="R282" s="21">
        <f t="shared" si="268"/>
        <v>5177.6243348135158</v>
      </c>
      <c r="S282" s="21">
        <f t="shared" si="268"/>
        <v>185.2152861799598</v>
      </c>
      <c r="T282" s="21">
        <f t="shared" si="268"/>
        <v>1676.2631752109703</v>
      </c>
      <c r="U282" s="21">
        <f t="shared" si="268"/>
        <v>10137.058358471095</v>
      </c>
      <c r="V282" s="21">
        <f t="shared" si="268"/>
        <v>19861.514109645603</v>
      </c>
      <c r="W282" s="21">
        <f t="shared" si="268"/>
        <v>21517.166555290652</v>
      </c>
      <c r="X282" s="21">
        <f t="shared" si="268"/>
        <v>15307.500107708825</v>
      </c>
      <c r="Y282" s="21">
        <f t="shared" si="268"/>
        <v>6929.1076528888407</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1" t="s">
        <v>22</v>
      </c>
      <c r="B287" s="27">
        <f>($C$17+SUM(B288:B318))*$B$51</f>
        <v>5930.2354705355074</v>
      </c>
      <c r="C287" s="27">
        <f t="shared" ref="C287:AF287" si="269">($C$17+SUM(C288:C318))*$B$51</f>
        <v>5928.6856689937649</v>
      </c>
      <c r="D287" s="27">
        <f t="shared" si="269"/>
        <v>5913.3901526813306</v>
      </c>
      <c r="E287" s="27">
        <f t="shared" si="269"/>
        <v>5778.9993691987083</v>
      </c>
      <c r="F287" s="27">
        <f t="shared" si="269"/>
        <v>5327.7656077241827</v>
      </c>
      <c r="G287" s="27">
        <f t="shared" si="269"/>
        <v>5282.5265107157174</v>
      </c>
      <c r="H287" s="27">
        <f t="shared" si="269"/>
        <v>5282.4990328532267</v>
      </c>
      <c r="I287" s="27">
        <f t="shared" si="269"/>
        <v>5282.2243428074225</v>
      </c>
      <c r="J287" s="27">
        <f t="shared" si="269"/>
        <v>5279.486278475506</v>
      </c>
      <c r="K287" s="27">
        <f t="shared" si="269"/>
        <v>5252.9695842102883</v>
      </c>
      <c r="L287" s="27">
        <f t="shared" si="269"/>
        <v>5057.484864608803</v>
      </c>
      <c r="M287" s="27">
        <f t="shared" si="269"/>
        <v>4741.7858125166313</v>
      </c>
      <c r="N287" s="27">
        <f t="shared" si="269"/>
        <v>4504.5905883079213</v>
      </c>
      <c r="O287" s="27">
        <f t="shared" si="269"/>
        <v>4229.023536063718</v>
      </c>
      <c r="P287" s="27">
        <f t="shared" si="269"/>
        <v>3952.3021037082817</v>
      </c>
      <c r="Q287" s="27">
        <f t="shared" si="269"/>
        <v>3646.2093972337966</v>
      </c>
      <c r="R287" s="27">
        <f t="shared" si="269"/>
        <v>3275.7178438169558</v>
      </c>
      <c r="S287" s="27">
        <f t="shared" si="269"/>
        <v>2793.4743051681844</v>
      </c>
      <c r="T287" s="27">
        <f t="shared" si="269"/>
        <v>2228.1679248822534</v>
      </c>
      <c r="U287" s="27">
        <f t="shared" si="269"/>
        <v>1584.6265976002214</v>
      </c>
      <c r="V287" s="27">
        <f t="shared" si="269"/>
        <v>948.18325143900199</v>
      </c>
      <c r="W287" s="27">
        <f t="shared" si="269"/>
        <v>549.68838154298987</v>
      </c>
      <c r="X287" s="27">
        <f t="shared" si="269"/>
        <v>297.42344124999437</v>
      </c>
      <c r="Y287" s="27">
        <f t="shared" si="269"/>
        <v>181.70359106408034</v>
      </c>
      <c r="Z287" s="27">
        <f t="shared" si="269"/>
        <v>148.02179718658903</v>
      </c>
      <c r="AA287" s="27">
        <f t="shared" si="269"/>
        <v>131.52237865553639</v>
      </c>
      <c r="AB287" s="27">
        <f t="shared" si="269"/>
        <v>125.95304090770824</v>
      </c>
      <c r="AC287" s="27">
        <f t="shared" si="269"/>
        <v>125.24987591525863</v>
      </c>
      <c r="AD287" s="27">
        <f t="shared" si="269"/>
        <v>125.12540866815802</v>
      </c>
      <c r="AE287" s="27">
        <f t="shared" si="269"/>
        <v>124.97252100167771</v>
      </c>
      <c r="AF287" s="27">
        <f t="shared" si="269"/>
        <v>124.84036012901483</v>
      </c>
      <c r="AG287" s="27"/>
      <c r="AH287" s="27"/>
    </row>
    <row r="288" spans="1:34" x14ac:dyDescent="0.25">
      <c r="B288" s="3">
        <f t="shared" ref="B288:AF288" si="270">$C18*EXP(-B$285/$A18/EXP(-$F$126))</f>
        <v>0.10921776673355864</v>
      </c>
      <c r="C288" s="3">
        <f t="shared" si="270"/>
        <v>0.10895643542328677</v>
      </c>
      <c r="D288" s="3">
        <f t="shared" si="270"/>
        <v>0.10637726821886044</v>
      </c>
      <c r="E288" s="3">
        <f t="shared" si="270"/>
        <v>8.3715967635509925E-2</v>
      </c>
      <c r="F288" s="3">
        <f t="shared" si="270"/>
        <v>7.6278647098789419E-3</v>
      </c>
      <c r="G288" s="3">
        <f t="shared" si="270"/>
        <v>3.0084983949264516E-13</v>
      </c>
      <c r="H288" s="3">
        <f t="shared" si="270"/>
        <v>2.7404242929980795E-117</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7.1825631800991871E-2</v>
      </c>
      <c r="C289" s="3">
        <f t="shared" si="271"/>
        <v>7.1825631756916128E-2</v>
      </c>
      <c r="D289" s="3">
        <f t="shared" si="271"/>
        <v>7.1825631316158725E-2</v>
      </c>
      <c r="E289" s="3">
        <f t="shared" si="271"/>
        <v>7.1825626908584836E-2</v>
      </c>
      <c r="F289" s="3">
        <f t="shared" si="271"/>
        <v>7.1825582832860779E-2</v>
      </c>
      <c r="G289" s="3">
        <f t="shared" si="271"/>
        <v>7.1825142077107745E-2</v>
      </c>
      <c r="H289" s="3">
        <f t="shared" si="271"/>
        <v>7.1820734668332428E-2</v>
      </c>
      <c r="I289" s="3">
        <f t="shared" si="271"/>
        <v>7.1776675452700431E-2</v>
      </c>
      <c r="J289" s="3">
        <f t="shared" si="271"/>
        <v>7.1337567137308835E-2</v>
      </c>
      <c r="K289" s="3">
        <f t="shared" si="271"/>
        <v>6.7091553599169435E-2</v>
      </c>
      <c r="L289" s="3">
        <f t="shared" si="271"/>
        <v>3.6321467980358339E-2</v>
      </c>
      <c r="M289" s="3">
        <f t="shared" si="271"/>
        <v>7.8545052405922037E-5</v>
      </c>
      <c r="N289" s="3">
        <f t="shared" si="271"/>
        <v>1.756601478211105E-31</v>
      </c>
      <c r="O289" s="3">
        <f t="shared" si="271"/>
        <v>5.4981596299163154E-298</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3.5967724091201164E-2</v>
      </c>
      <c r="C290" s="3">
        <f t="shared" si="272"/>
        <v>3.5967724089210125E-2</v>
      </c>
      <c r="D290" s="3">
        <f t="shared" si="272"/>
        <v>3.5967724069299739E-2</v>
      </c>
      <c r="E290" s="3">
        <f t="shared" si="272"/>
        <v>3.596772387019586E-2</v>
      </c>
      <c r="F290" s="3">
        <f t="shared" si="272"/>
        <v>3.5967721879157179E-2</v>
      </c>
      <c r="G290" s="3">
        <f t="shared" si="272"/>
        <v>3.5967701968776411E-2</v>
      </c>
      <c r="H290" s="3">
        <f t="shared" si="272"/>
        <v>3.596750286557495E-2</v>
      </c>
      <c r="I290" s="3">
        <f t="shared" si="272"/>
        <v>3.596551189417798E-2</v>
      </c>
      <c r="J290" s="3">
        <f t="shared" si="272"/>
        <v>3.5945608240734346E-2</v>
      </c>
      <c r="K290" s="3">
        <f t="shared" si="272"/>
        <v>3.5747176519437568E-2</v>
      </c>
      <c r="L290" s="3">
        <f t="shared" si="272"/>
        <v>3.3822119981933338E-2</v>
      </c>
      <c r="M290" s="3">
        <f t="shared" si="272"/>
        <v>1.9444269668528611E-2</v>
      </c>
      <c r="N290" s="3">
        <f t="shared" si="272"/>
        <v>7.6683112646438195E-5</v>
      </c>
      <c r="O290" s="3">
        <f t="shared" si="272"/>
        <v>6.9787992772567287E-29</v>
      </c>
      <c r="P290" s="3">
        <f t="shared" si="272"/>
        <v>2.7201349550633816E-269</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4.9137716927066824E-2</v>
      </c>
      <c r="C291" s="3">
        <f t="shared" si="273"/>
        <v>4.9137716926821451E-2</v>
      </c>
      <c r="D291" s="3">
        <f t="shared" si="273"/>
        <v>4.9137716924367712E-2</v>
      </c>
      <c r="E291" s="3">
        <f t="shared" si="273"/>
        <v>4.9137716899830319E-2</v>
      </c>
      <c r="F291" s="3">
        <f t="shared" si="273"/>
        <v>4.9137716654456452E-2</v>
      </c>
      <c r="G291" s="3">
        <f t="shared" si="273"/>
        <v>4.9137714200717782E-2</v>
      </c>
      <c r="H291" s="3">
        <f t="shared" si="273"/>
        <v>4.913768966333789E-2</v>
      </c>
      <c r="I291" s="3">
        <f t="shared" si="273"/>
        <v>4.9137444290212835E-2</v>
      </c>
      <c r="J291" s="3">
        <f t="shared" si="273"/>
        <v>4.9134990626352321E-2</v>
      </c>
      <c r="K291" s="3">
        <f t="shared" si="273"/>
        <v>4.9110460725501903E-2</v>
      </c>
      <c r="L291" s="3">
        <f t="shared" si="273"/>
        <v>4.886583424924798E-2</v>
      </c>
      <c r="M291" s="3">
        <f t="shared" si="273"/>
        <v>4.6485596543720371E-2</v>
      </c>
      <c r="N291" s="3">
        <f t="shared" si="273"/>
        <v>2.8213003247147726E-2</v>
      </c>
      <c r="O291" s="3">
        <f t="shared" si="273"/>
        <v>1.913191406844304E-4</v>
      </c>
      <c r="P291" s="3">
        <f t="shared" si="273"/>
        <v>3.9341367210666704E-26</v>
      </c>
      <c r="Q291" s="3">
        <f t="shared" si="273"/>
        <v>5.3181394338026534E-243</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4.6762783367909865E-2</v>
      </c>
      <c r="C292" s="3">
        <f t="shared" si="274"/>
        <v>4.6762783367888798E-2</v>
      </c>
      <c r="D292" s="3">
        <f t="shared" si="274"/>
        <v>4.6762783367678147E-2</v>
      </c>
      <c r="E292" s="3">
        <f t="shared" si="274"/>
        <v>4.6762783365571652E-2</v>
      </c>
      <c r="F292" s="3">
        <f t="shared" si="274"/>
        <v>4.676278334450671E-2</v>
      </c>
      <c r="G292" s="3">
        <f t="shared" si="274"/>
        <v>4.6762783133857282E-2</v>
      </c>
      <c r="H292" s="3">
        <f t="shared" si="274"/>
        <v>4.6762781027363039E-2</v>
      </c>
      <c r="I292" s="3">
        <f t="shared" si="274"/>
        <v>4.6762759962425793E-2</v>
      </c>
      <c r="J292" s="3">
        <f t="shared" si="274"/>
        <v>4.676254931357527E-2</v>
      </c>
      <c r="K292" s="3">
        <f t="shared" si="274"/>
        <v>4.6760442877258598E-2</v>
      </c>
      <c r="L292" s="3">
        <f t="shared" si="274"/>
        <v>4.6739383732072808E-2</v>
      </c>
      <c r="M292" s="3">
        <f t="shared" si="274"/>
        <v>4.6529313209668716E-2</v>
      </c>
      <c r="N292" s="3">
        <f t="shared" si="274"/>
        <v>4.4479843051839912E-2</v>
      </c>
      <c r="O292" s="3">
        <f t="shared" si="274"/>
        <v>2.8348447869981797E-2</v>
      </c>
      <c r="P292" s="3">
        <f t="shared" si="274"/>
        <v>3.1346544877557559E-4</v>
      </c>
      <c r="Q292" s="3">
        <f t="shared" si="274"/>
        <v>8.5663064712551704E-24</v>
      </c>
      <c r="R292" s="3">
        <f t="shared" si="274"/>
        <v>1.9899075601130796E-219</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5.0407962506302952E-2</v>
      </c>
      <c r="C293" s="3">
        <f t="shared" si="275"/>
        <v>5.0407962506300905E-2</v>
      </c>
      <c r="D293" s="3">
        <f t="shared" si="275"/>
        <v>5.0407962506280421E-2</v>
      </c>
      <c r="E293" s="3">
        <f t="shared" si="275"/>
        <v>5.0407962506075585E-2</v>
      </c>
      <c r="F293" s="3">
        <f t="shared" si="275"/>
        <v>5.040796250402723E-2</v>
      </c>
      <c r="G293" s="3">
        <f t="shared" si="275"/>
        <v>5.0407962483543657E-2</v>
      </c>
      <c r="H293" s="3">
        <f t="shared" si="275"/>
        <v>5.0407962278707946E-2</v>
      </c>
      <c r="I293" s="3">
        <f t="shared" si="275"/>
        <v>5.04079602303509E-2</v>
      </c>
      <c r="J293" s="3">
        <f t="shared" si="275"/>
        <v>5.0407939746785028E-2</v>
      </c>
      <c r="K293" s="3">
        <f t="shared" si="275"/>
        <v>5.0407734911584089E-2</v>
      </c>
      <c r="L293" s="3">
        <f t="shared" si="275"/>
        <v>5.0405686605353821E-2</v>
      </c>
      <c r="M293" s="3">
        <f t="shared" si="275"/>
        <v>5.0385208120276921E-2</v>
      </c>
      <c r="N293" s="3">
        <f t="shared" si="275"/>
        <v>5.0180880304642059E-2</v>
      </c>
      <c r="O293" s="3">
        <f t="shared" si="275"/>
        <v>4.8182625906852544E-2</v>
      </c>
      <c r="P293" s="3">
        <f t="shared" si="275"/>
        <v>3.2093150830492113E-2</v>
      </c>
      <c r="Q293" s="3">
        <f t="shared" si="275"/>
        <v>5.5160891921030822E-4</v>
      </c>
      <c r="R293" s="3">
        <f t="shared" si="275"/>
        <v>1.241139239679864E-21</v>
      </c>
      <c r="S293" s="3">
        <f t="shared" si="275"/>
        <v>4.1277441640279175E-198</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5.7182312842770533E-2</v>
      </c>
      <c r="C294" s="3">
        <f t="shared" si="276"/>
        <v>5.7182312842770325E-2</v>
      </c>
      <c r="D294" s="3">
        <f t="shared" si="276"/>
        <v>5.7182312842768229E-2</v>
      </c>
      <c r="E294" s="3">
        <f t="shared" si="276"/>
        <v>5.7182312842747267E-2</v>
      </c>
      <c r="F294" s="3">
        <f t="shared" si="276"/>
        <v>5.7182312842537657E-2</v>
      </c>
      <c r="G294" s="3">
        <f t="shared" si="276"/>
        <v>5.7182312840441549E-2</v>
      </c>
      <c r="H294" s="3">
        <f t="shared" si="276"/>
        <v>5.7182312819480406E-2</v>
      </c>
      <c r="I294" s="3">
        <f t="shared" si="276"/>
        <v>5.7182312609869043E-2</v>
      </c>
      <c r="J294" s="3">
        <f t="shared" si="276"/>
        <v>5.7182310513755392E-2</v>
      </c>
      <c r="K294" s="3">
        <f t="shared" si="276"/>
        <v>5.7182289552623146E-2</v>
      </c>
      <c r="L294" s="3">
        <f t="shared" si="276"/>
        <v>5.7182079941723279E-2</v>
      </c>
      <c r="M294" s="3">
        <f t="shared" si="276"/>
        <v>5.7179983874984137E-2</v>
      </c>
      <c r="N294" s="3">
        <f t="shared" si="276"/>
        <v>5.7159027432967045E-2</v>
      </c>
      <c r="O294" s="3">
        <f t="shared" si="276"/>
        <v>5.6949884977711238E-2</v>
      </c>
      <c r="P294" s="3">
        <f t="shared" si="276"/>
        <v>5.4900090175090149E-2</v>
      </c>
      <c r="Q294" s="3">
        <f t="shared" si="276"/>
        <v>3.8051792782085453E-2</v>
      </c>
      <c r="R294" s="3">
        <f t="shared" si="276"/>
        <v>9.7363409927588734E-4</v>
      </c>
      <c r="S294" s="3">
        <f t="shared" si="276"/>
        <v>1.1711224371903791E-19</v>
      </c>
      <c r="T294" s="3">
        <f t="shared" si="276"/>
        <v>7.4245059715770793E-179</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8.0089931313285845E-2</v>
      </c>
      <c r="C295" s="3">
        <f t="shared" si="277"/>
        <v>8.0089931313285817E-2</v>
      </c>
      <c r="D295" s="3">
        <f t="shared" si="277"/>
        <v>8.0089931313285553E-2</v>
      </c>
      <c r="E295" s="3">
        <f t="shared" si="277"/>
        <v>8.0089931313282903E-2</v>
      </c>
      <c r="F295" s="3">
        <f t="shared" si="277"/>
        <v>8.0089931313256424E-2</v>
      </c>
      <c r="G295" s="3">
        <f t="shared" si="277"/>
        <v>8.008993131299158E-2</v>
      </c>
      <c r="H295" s="3">
        <f t="shared" si="277"/>
        <v>8.0089931310343226E-2</v>
      </c>
      <c r="I295" s="3">
        <f t="shared" si="277"/>
        <v>8.0089931283859578E-2</v>
      </c>
      <c r="J295" s="3">
        <f t="shared" si="277"/>
        <v>8.0089931019023217E-2</v>
      </c>
      <c r="K295" s="3">
        <f t="shared" si="277"/>
        <v>8.0089928370659536E-2</v>
      </c>
      <c r="L295" s="3">
        <f t="shared" si="277"/>
        <v>8.0089901887027679E-2</v>
      </c>
      <c r="M295" s="3">
        <f t="shared" si="277"/>
        <v>8.0089637051190612E-2</v>
      </c>
      <c r="N295" s="3">
        <f t="shared" si="277"/>
        <v>8.008698874098541E-2</v>
      </c>
      <c r="O295" s="3">
        <f t="shared" si="277"/>
        <v>8.0060510454872461E-2</v>
      </c>
      <c r="P295" s="3">
        <f t="shared" si="277"/>
        <v>7.9796208598951701E-2</v>
      </c>
      <c r="Q295" s="3">
        <f t="shared" si="277"/>
        <v>7.7200707223294932E-2</v>
      </c>
      <c r="R295" s="3">
        <f t="shared" si="277"/>
        <v>5.5464039658856351E-2</v>
      </c>
      <c r="S295" s="3">
        <f t="shared" si="277"/>
        <v>2.0319531316802487E-3</v>
      </c>
      <c r="T295" s="3">
        <f t="shared" si="277"/>
        <v>8.8498431507887478E-18</v>
      </c>
      <c r="U295" s="3">
        <f t="shared" si="277"/>
        <v>2.1734739788859969E-161</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9.4725402978259585E-2</v>
      </c>
      <c r="C296" s="3">
        <f t="shared" si="278"/>
        <v>9.4725402978259585E-2</v>
      </c>
      <c r="D296" s="3">
        <f t="shared" si="278"/>
        <v>9.4725402978259557E-2</v>
      </c>
      <c r="E296" s="3">
        <f t="shared" si="278"/>
        <v>9.4725402978259265E-2</v>
      </c>
      <c r="F296" s="3">
        <f t="shared" si="278"/>
        <v>9.4725402978256434E-2</v>
      </c>
      <c r="G296" s="3">
        <f t="shared" si="278"/>
        <v>9.4725402978228193E-2</v>
      </c>
      <c r="H296" s="3">
        <f t="shared" si="278"/>
        <v>9.4725402977945627E-2</v>
      </c>
      <c r="I296" s="3">
        <f t="shared" si="278"/>
        <v>9.4725402975120013E-2</v>
      </c>
      <c r="J296" s="3">
        <f t="shared" si="278"/>
        <v>9.4725402946863879E-2</v>
      </c>
      <c r="K296" s="3">
        <f t="shared" si="278"/>
        <v>9.472540266430253E-2</v>
      </c>
      <c r="L296" s="3">
        <f t="shared" si="278"/>
        <v>9.4725399838689037E-2</v>
      </c>
      <c r="M296" s="3">
        <f t="shared" si="278"/>
        <v>9.4725371582558893E-2</v>
      </c>
      <c r="N296" s="3">
        <f t="shared" si="278"/>
        <v>9.4725089021720985E-2</v>
      </c>
      <c r="O296" s="3">
        <f t="shared" si="278"/>
        <v>9.4722263459698974E-2</v>
      </c>
      <c r="P296" s="3">
        <f t="shared" si="278"/>
        <v>9.4694012474679026E-2</v>
      </c>
      <c r="Q296" s="3">
        <f t="shared" si="278"/>
        <v>9.4411965633320591E-2</v>
      </c>
      <c r="R296" s="3">
        <f t="shared" si="278"/>
        <v>9.1637291136331428E-2</v>
      </c>
      <c r="S296" s="3">
        <f t="shared" si="278"/>
        <v>6.8002405075656983E-2</v>
      </c>
      <c r="T296" s="3">
        <f t="shared" si="278"/>
        <v>3.4438527609766557E-3</v>
      </c>
      <c r="U296" s="3">
        <f t="shared" si="278"/>
        <v>3.8216208631917087E-16</v>
      </c>
      <c r="V296" s="3">
        <f t="shared" si="278"/>
        <v>1.0821260163320287E-145</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0.11171287761739628</v>
      </c>
      <c r="C297" s="3">
        <f t="shared" si="279"/>
        <v>0.11171287761739628</v>
      </c>
      <c r="D297" s="3">
        <f t="shared" si="279"/>
        <v>0.11171287761739628</v>
      </c>
      <c r="E297" s="3">
        <f t="shared" si="279"/>
        <v>0.11171287761739623</v>
      </c>
      <c r="F297" s="3">
        <f t="shared" si="279"/>
        <v>0.11171287761739594</v>
      </c>
      <c r="G297" s="3">
        <f t="shared" si="279"/>
        <v>0.11171287761739294</v>
      </c>
      <c r="H297" s="3">
        <f t="shared" si="279"/>
        <v>0.11171287761736287</v>
      </c>
      <c r="I297" s="3">
        <f t="shared" si="279"/>
        <v>0.11171287761706228</v>
      </c>
      <c r="J297" s="3">
        <f t="shared" si="279"/>
        <v>0.11171287761405622</v>
      </c>
      <c r="K297" s="3">
        <f t="shared" si="279"/>
        <v>0.11171287758399571</v>
      </c>
      <c r="L297" s="3">
        <f t="shared" si="279"/>
        <v>0.11171287728339079</v>
      </c>
      <c r="M297" s="3">
        <f t="shared" si="279"/>
        <v>0.11171287427734131</v>
      </c>
      <c r="N297" s="3">
        <f t="shared" si="279"/>
        <v>0.1117128442168511</v>
      </c>
      <c r="O297" s="3">
        <f t="shared" si="279"/>
        <v>0.11171254361239398</v>
      </c>
      <c r="P297" s="3">
        <f t="shared" si="279"/>
        <v>0.11170953761231119</v>
      </c>
      <c r="Q297" s="3">
        <f t="shared" si="279"/>
        <v>0.11167948205988149</v>
      </c>
      <c r="R297" s="3">
        <f t="shared" si="279"/>
        <v>0.11137937093284193</v>
      </c>
      <c r="S297" s="3">
        <f t="shared" si="279"/>
        <v>0.1084222601029726</v>
      </c>
      <c r="T297" s="3">
        <f t="shared" si="279"/>
        <v>8.2842922239233799E-2</v>
      </c>
      <c r="U297" s="3">
        <f t="shared" si="279"/>
        <v>5.6185590454168955E-3</v>
      </c>
      <c r="V297" s="3">
        <f t="shared" si="279"/>
        <v>1.1569653208716089E-14</v>
      </c>
      <c r="W297" s="3">
        <f t="shared" si="279"/>
        <v>1.5858943956834599E-131</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0.12486929252202905</v>
      </c>
      <c r="C298" s="3">
        <f t="shared" si="280"/>
        <v>0.12486929252202905</v>
      </c>
      <c r="D298" s="3">
        <f t="shared" si="280"/>
        <v>0.12486929252202905</v>
      </c>
      <c r="E298" s="3">
        <f t="shared" si="280"/>
        <v>0.12486929252202905</v>
      </c>
      <c r="F298" s="3">
        <f t="shared" si="280"/>
        <v>0.12486929252202902</v>
      </c>
      <c r="G298" s="3">
        <f t="shared" si="280"/>
        <v>0.12486929252202872</v>
      </c>
      <c r="H298" s="3">
        <f t="shared" si="280"/>
        <v>0.12486929252202568</v>
      </c>
      <c r="I298" s="3">
        <f t="shared" si="280"/>
        <v>0.12486929252199538</v>
      </c>
      <c r="J298" s="3">
        <f t="shared" si="280"/>
        <v>0.12486929252169227</v>
      </c>
      <c r="K298" s="3">
        <f t="shared" si="280"/>
        <v>0.1248692925186612</v>
      </c>
      <c r="L298" s="3">
        <f t="shared" si="280"/>
        <v>0.12486929248835056</v>
      </c>
      <c r="M298" s="3">
        <f t="shared" si="280"/>
        <v>0.12486929218524415</v>
      </c>
      <c r="N298" s="3">
        <f t="shared" si="280"/>
        <v>0.12486928915418</v>
      </c>
      <c r="O298" s="3">
        <f t="shared" si="280"/>
        <v>0.12486925884354266</v>
      </c>
      <c r="P298" s="3">
        <f t="shared" si="280"/>
        <v>0.12486895573757383</v>
      </c>
      <c r="Q298" s="3">
        <f t="shared" si="280"/>
        <v>0.12486592471835176</v>
      </c>
      <c r="R298" s="3">
        <f t="shared" si="280"/>
        <v>0.12483561857239278</v>
      </c>
      <c r="S298" s="3">
        <f t="shared" si="280"/>
        <v>0.12453296137579782</v>
      </c>
      <c r="T298" s="3">
        <f t="shared" si="280"/>
        <v>0.12154645497235628</v>
      </c>
      <c r="U298" s="3">
        <f t="shared" si="280"/>
        <v>9.5350309503412181E-2</v>
      </c>
      <c r="V298" s="3">
        <f t="shared" si="280"/>
        <v>8.416280683164544E-3</v>
      </c>
      <c r="W298" s="3">
        <f t="shared" si="280"/>
        <v>2.4160240201623489E-13</v>
      </c>
      <c r="X298" s="3">
        <f t="shared" si="280"/>
        <v>9.1814572676246198E-119</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7.1899142973036512E-2</v>
      </c>
      <c r="C299" s="3">
        <f t="shared" si="281"/>
        <v>7.1899142973036512E-2</v>
      </c>
      <c r="D299" s="3">
        <f t="shared" si="281"/>
        <v>7.1899142973036512E-2</v>
      </c>
      <c r="E299" s="3">
        <f t="shared" si="281"/>
        <v>7.1899142973036512E-2</v>
      </c>
      <c r="F299" s="3">
        <f t="shared" si="281"/>
        <v>7.1899142973036512E-2</v>
      </c>
      <c r="G299" s="3">
        <f t="shared" si="281"/>
        <v>7.1899142973036498E-2</v>
      </c>
      <c r="H299" s="3">
        <f t="shared" si="281"/>
        <v>7.1899142973036331E-2</v>
      </c>
      <c r="I299" s="3">
        <f t="shared" si="281"/>
        <v>7.1899142973034763E-2</v>
      </c>
      <c r="J299" s="3">
        <f t="shared" si="281"/>
        <v>7.1899142973019026E-2</v>
      </c>
      <c r="K299" s="3">
        <f t="shared" si="281"/>
        <v>7.1899142972861582E-2</v>
      </c>
      <c r="L299" s="3">
        <f t="shared" si="281"/>
        <v>7.1899142971287203E-2</v>
      </c>
      <c r="M299" s="3">
        <f t="shared" si="281"/>
        <v>7.1899142955543394E-2</v>
      </c>
      <c r="N299" s="3">
        <f t="shared" si="281"/>
        <v>7.1899142798105317E-2</v>
      </c>
      <c r="O299" s="3">
        <f t="shared" si="281"/>
        <v>7.1899141223724525E-2</v>
      </c>
      <c r="P299" s="3">
        <f t="shared" si="281"/>
        <v>7.1899125479918571E-2</v>
      </c>
      <c r="Q299" s="3">
        <f t="shared" si="281"/>
        <v>7.1898968042048664E-2</v>
      </c>
      <c r="R299" s="3">
        <f t="shared" si="281"/>
        <v>7.189739368231024E-2</v>
      </c>
      <c r="S299" s="3">
        <f t="shared" si="281"/>
        <v>7.1881651980843592E-2</v>
      </c>
      <c r="T299" s="3">
        <f t="shared" si="281"/>
        <v>7.1724424404419285E-2</v>
      </c>
      <c r="U299" s="3">
        <f t="shared" si="281"/>
        <v>7.0170939877928315E-2</v>
      </c>
      <c r="V299" s="3">
        <f t="shared" si="281"/>
        <v>5.637148977168064E-2</v>
      </c>
      <c r="W299" s="3">
        <f t="shared" si="281"/>
        <v>6.3107605323576088E-3</v>
      </c>
      <c r="X299" s="3">
        <f t="shared" si="281"/>
        <v>1.9512080749911197E-12</v>
      </c>
      <c r="Y299" s="3">
        <f t="shared" si="281"/>
        <v>1.5578384652510726E-107</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4.7675556768581172E-2</v>
      </c>
      <c r="C300" s="3">
        <f t="shared" si="282"/>
        <v>4.7675556768581172E-2</v>
      </c>
      <c r="D300" s="3">
        <f t="shared" si="282"/>
        <v>4.7675556768581172E-2</v>
      </c>
      <c r="E300" s="3">
        <f t="shared" si="282"/>
        <v>4.7675556768581172E-2</v>
      </c>
      <c r="F300" s="3">
        <f t="shared" si="282"/>
        <v>4.7675556768581172E-2</v>
      </c>
      <c r="G300" s="3">
        <f t="shared" si="282"/>
        <v>4.7675556768581172E-2</v>
      </c>
      <c r="H300" s="3">
        <f t="shared" si="282"/>
        <v>4.7675556768581158E-2</v>
      </c>
      <c r="I300" s="3">
        <f t="shared" si="282"/>
        <v>4.7675556768581068E-2</v>
      </c>
      <c r="J300" s="3">
        <f t="shared" si="282"/>
        <v>4.7675556768580124E-2</v>
      </c>
      <c r="K300" s="3">
        <f t="shared" si="282"/>
        <v>4.7675556768570708E-2</v>
      </c>
      <c r="L300" s="3">
        <f t="shared" si="282"/>
        <v>4.7675556768476533E-2</v>
      </c>
      <c r="M300" s="3">
        <f t="shared" si="282"/>
        <v>4.76755567675348E-2</v>
      </c>
      <c r="N300" s="3">
        <f t="shared" si="282"/>
        <v>4.7675556758117459E-2</v>
      </c>
      <c r="O300" s="3">
        <f t="shared" si="282"/>
        <v>4.7675556663944012E-2</v>
      </c>
      <c r="P300" s="3">
        <f t="shared" si="282"/>
        <v>4.7675555722209627E-2</v>
      </c>
      <c r="Q300" s="3">
        <f t="shared" si="282"/>
        <v>4.7675546304866707E-2</v>
      </c>
      <c r="R300" s="3">
        <f t="shared" si="282"/>
        <v>4.7675452131539856E-2</v>
      </c>
      <c r="S300" s="3">
        <f t="shared" si="282"/>
        <v>4.7674510408502409E-2</v>
      </c>
      <c r="T300" s="3">
        <f t="shared" si="282"/>
        <v>4.7665094201158303E-2</v>
      </c>
      <c r="U300" s="3">
        <f t="shared" si="282"/>
        <v>4.7571034356023743E-2</v>
      </c>
      <c r="V300" s="3">
        <f t="shared" si="282"/>
        <v>4.6640584413840849E-2</v>
      </c>
      <c r="W300" s="3">
        <f t="shared" si="282"/>
        <v>3.8280523967383427E-2</v>
      </c>
      <c r="X300" s="3">
        <f t="shared" si="282"/>
        <v>5.3102720845292408E-3</v>
      </c>
      <c r="Y300" s="3">
        <f t="shared" si="282"/>
        <v>1.401218219555782E-11</v>
      </c>
      <c r="Z300" s="3">
        <f t="shared" si="282"/>
        <v>2.2929563882694138E-97</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1.9951380582978136E-2</v>
      </c>
      <c r="C301" s="3">
        <f t="shared" si="283"/>
        <v>1.9951380582978136E-2</v>
      </c>
      <c r="D301" s="3">
        <f t="shared" si="283"/>
        <v>1.9951380582978136E-2</v>
      </c>
      <c r="E301" s="3">
        <f t="shared" si="283"/>
        <v>1.9951380582978136E-2</v>
      </c>
      <c r="F301" s="3">
        <f t="shared" si="283"/>
        <v>1.9951380582978136E-2</v>
      </c>
      <c r="G301" s="3">
        <f t="shared" si="283"/>
        <v>1.9951380582978136E-2</v>
      </c>
      <c r="H301" s="3">
        <f t="shared" si="283"/>
        <v>1.9951380582978136E-2</v>
      </c>
      <c r="I301" s="3">
        <f t="shared" si="283"/>
        <v>1.9951380582978132E-2</v>
      </c>
      <c r="J301" s="3">
        <f t="shared" si="283"/>
        <v>1.9951380582978098E-2</v>
      </c>
      <c r="K301" s="3">
        <f t="shared" si="283"/>
        <v>1.995138058297774E-2</v>
      </c>
      <c r="L301" s="3">
        <f t="shared" si="283"/>
        <v>1.9951380582974187E-2</v>
      </c>
      <c r="M301" s="3">
        <f t="shared" si="283"/>
        <v>1.9951380582938636E-2</v>
      </c>
      <c r="N301" s="3">
        <f t="shared" si="283"/>
        <v>1.9951380582583125E-2</v>
      </c>
      <c r="O301" s="3">
        <f t="shared" si="283"/>
        <v>1.9951380579028021E-2</v>
      </c>
      <c r="P301" s="3">
        <f t="shared" si="283"/>
        <v>1.995138054347699E-2</v>
      </c>
      <c r="Q301" s="3">
        <f t="shared" si="283"/>
        <v>1.9951380187966678E-2</v>
      </c>
      <c r="R301" s="3">
        <f t="shared" si="283"/>
        <v>1.9951376632863903E-2</v>
      </c>
      <c r="S301" s="3">
        <f t="shared" si="283"/>
        <v>1.995134108187099E-2</v>
      </c>
      <c r="T301" s="3">
        <f t="shared" si="283"/>
        <v>1.9950985575425965E-2</v>
      </c>
      <c r="U301" s="3">
        <f t="shared" si="283"/>
        <v>1.9947430859363038E-2</v>
      </c>
      <c r="V301" s="3">
        <f t="shared" si="283"/>
        <v>1.9911918514507482E-2</v>
      </c>
      <c r="W301" s="3">
        <f t="shared" si="283"/>
        <v>1.9560253798390121E-2</v>
      </c>
      <c r="X301" s="3">
        <f t="shared" si="283"/>
        <v>1.6367723414752823E-2</v>
      </c>
      <c r="Y301" s="3">
        <f t="shared" si="283"/>
        <v>2.7550291506474246E-3</v>
      </c>
      <c r="Z301" s="3">
        <f t="shared" si="283"/>
        <v>5.0292752666385937E-11</v>
      </c>
      <c r="AA301" s="3">
        <f t="shared" si="283"/>
        <v>2.0667954017742935E-88</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3.7229726854135226E-3</v>
      </c>
      <c r="C302" s="3">
        <f t="shared" si="284"/>
        <v>3.7229726854135226E-3</v>
      </c>
      <c r="D302" s="3">
        <f t="shared" si="284"/>
        <v>3.7229726854135226E-3</v>
      </c>
      <c r="E302" s="3">
        <f t="shared" si="284"/>
        <v>3.7229726854135226E-3</v>
      </c>
      <c r="F302" s="3">
        <f t="shared" si="284"/>
        <v>3.7229726854135226E-3</v>
      </c>
      <c r="G302" s="3">
        <f t="shared" si="284"/>
        <v>3.7229726854135226E-3</v>
      </c>
      <c r="H302" s="3">
        <f t="shared" si="284"/>
        <v>3.7229726854135226E-3</v>
      </c>
      <c r="I302" s="3">
        <f t="shared" si="284"/>
        <v>3.7229726854135226E-3</v>
      </c>
      <c r="J302" s="3">
        <f t="shared" si="284"/>
        <v>3.7229726854135217E-3</v>
      </c>
      <c r="K302" s="3">
        <f t="shared" si="284"/>
        <v>3.722972685413516E-3</v>
      </c>
      <c r="L302" s="3">
        <f t="shared" si="284"/>
        <v>3.7229726854134562E-3</v>
      </c>
      <c r="M302" s="3">
        <f t="shared" si="284"/>
        <v>3.7229726854128573E-3</v>
      </c>
      <c r="N302" s="3">
        <f t="shared" si="284"/>
        <v>3.7229726854068734E-3</v>
      </c>
      <c r="O302" s="3">
        <f t="shared" si="284"/>
        <v>3.7229726853470302E-3</v>
      </c>
      <c r="P302" s="3">
        <f t="shared" si="284"/>
        <v>3.7229726847485965E-3</v>
      </c>
      <c r="Q302" s="3">
        <f t="shared" si="284"/>
        <v>3.7229726787642642E-3</v>
      </c>
      <c r="R302" s="3">
        <f t="shared" si="284"/>
        <v>3.7229726189209429E-3</v>
      </c>
      <c r="S302" s="3">
        <f t="shared" si="284"/>
        <v>3.7229720204877796E-3</v>
      </c>
      <c r="T302" s="3">
        <f t="shared" si="284"/>
        <v>3.7229660361614374E-3</v>
      </c>
      <c r="U302" s="3">
        <f t="shared" si="284"/>
        <v>3.722906193427071E-3</v>
      </c>
      <c r="V302" s="3">
        <f t="shared" si="284"/>
        <v>3.7223078189858251E-3</v>
      </c>
      <c r="W302" s="3">
        <f t="shared" si="284"/>
        <v>3.7163293616703065E-3</v>
      </c>
      <c r="X302" s="3">
        <f t="shared" si="284"/>
        <v>3.6570703672322317E-3</v>
      </c>
      <c r="Y302" s="3">
        <f t="shared" si="284"/>
        <v>3.1140423848801928E-3</v>
      </c>
      <c r="Z302" s="3">
        <f t="shared" si="284"/>
        <v>6.2407465432451521E-4</v>
      </c>
      <c r="AA302" s="3">
        <f t="shared" si="284"/>
        <v>6.5216396626489182E-11</v>
      </c>
      <c r="AB302" s="3">
        <f t="shared" si="284"/>
        <v>1.012883142645306E-80</v>
      </c>
      <c r="AC302" s="3">
        <f t="shared" si="284"/>
        <v>0</v>
      </c>
      <c r="AD302" s="3">
        <f t="shared" si="284"/>
        <v>0</v>
      </c>
      <c r="AE302" s="3">
        <f t="shared" si="284"/>
        <v>0</v>
      </c>
      <c r="AF302" s="3">
        <f t="shared" si="284"/>
        <v>0</v>
      </c>
      <c r="AG302" s="3"/>
      <c r="AH302" s="3"/>
    </row>
    <row r="303" spans="2:34" x14ac:dyDescent="0.25">
      <c r="B303" s="3">
        <f t="shared" ref="B303:AF303" si="285">$C33*EXP(-B$285/$A33/EXP(-$F$126))</f>
        <v>3.2258116785225384E-3</v>
      </c>
      <c r="C303" s="3">
        <f t="shared" si="285"/>
        <v>3.2258116785225384E-3</v>
      </c>
      <c r="D303" s="3">
        <f t="shared" si="285"/>
        <v>3.2258116785225384E-3</v>
      </c>
      <c r="E303" s="3">
        <f t="shared" si="285"/>
        <v>3.2258116785225384E-3</v>
      </c>
      <c r="F303" s="3">
        <f t="shared" si="285"/>
        <v>3.2258116785225384E-3</v>
      </c>
      <c r="G303" s="3">
        <f t="shared" si="285"/>
        <v>3.2258116785225384E-3</v>
      </c>
      <c r="H303" s="3">
        <f t="shared" si="285"/>
        <v>3.2258116785225384E-3</v>
      </c>
      <c r="I303" s="3">
        <f t="shared" si="285"/>
        <v>3.2258116785225384E-3</v>
      </c>
      <c r="J303" s="3">
        <f t="shared" si="285"/>
        <v>3.2258116785225384E-3</v>
      </c>
      <c r="K303" s="3">
        <f t="shared" si="285"/>
        <v>3.2258116785225379E-3</v>
      </c>
      <c r="L303" s="3">
        <f t="shared" si="285"/>
        <v>3.2258116785225332E-3</v>
      </c>
      <c r="M303" s="3">
        <f t="shared" si="285"/>
        <v>3.2258116785224863E-3</v>
      </c>
      <c r="N303" s="3">
        <f t="shared" si="285"/>
        <v>3.2258116785220188E-3</v>
      </c>
      <c r="O303" s="3">
        <f t="shared" si="285"/>
        <v>3.2258116785173411E-3</v>
      </c>
      <c r="P303" s="3">
        <f t="shared" si="285"/>
        <v>3.2258116784705665E-3</v>
      </c>
      <c r="Q303" s="3">
        <f t="shared" si="285"/>
        <v>3.2258116780028187E-3</v>
      </c>
      <c r="R303" s="3">
        <f t="shared" si="285"/>
        <v>3.2258116733253441E-3</v>
      </c>
      <c r="S303" s="3">
        <f t="shared" si="285"/>
        <v>3.2258116265505982E-3</v>
      </c>
      <c r="T303" s="3">
        <f t="shared" si="285"/>
        <v>3.2258111588031701E-3</v>
      </c>
      <c r="U303" s="3">
        <f t="shared" si="285"/>
        <v>3.2258064813326238E-3</v>
      </c>
      <c r="V303" s="3">
        <f t="shared" si="285"/>
        <v>3.2257597070001901E-3</v>
      </c>
      <c r="W303" s="3">
        <f t="shared" si="285"/>
        <v>3.2252920009768729E-3</v>
      </c>
      <c r="X303" s="3">
        <f t="shared" si="285"/>
        <v>3.2206186688450485E-3</v>
      </c>
      <c r="Y303" s="3">
        <f t="shared" si="285"/>
        <v>3.1742561652489008E-3</v>
      </c>
      <c r="Z303" s="3">
        <f t="shared" si="285"/>
        <v>2.7457982818975923E-3</v>
      </c>
      <c r="AA303" s="3">
        <f t="shared" si="285"/>
        <v>6.440731586237167E-4</v>
      </c>
      <c r="AB303" s="3">
        <f t="shared" si="285"/>
        <v>3.2478870438063176E-10</v>
      </c>
      <c r="AC303" s="3">
        <f t="shared" si="285"/>
        <v>3.4534890153843508E-73</v>
      </c>
      <c r="AD303" s="3">
        <f t="shared" si="285"/>
        <v>0</v>
      </c>
      <c r="AE303" s="3">
        <f t="shared" si="285"/>
        <v>0</v>
      </c>
      <c r="AF303" s="3">
        <f t="shared" si="285"/>
        <v>0</v>
      </c>
      <c r="AG303" s="3"/>
      <c r="AH303" s="3"/>
    </row>
    <row r="304" spans="2:34" x14ac:dyDescent="0.25">
      <c r="B304" s="3">
        <f t="shared" ref="B304:AF304" si="286">$C34*EXP(-B$285/$A34/EXP(-$F$126))</f>
        <v>4.6514491459037388E-4</v>
      </c>
      <c r="C304" s="3">
        <f t="shared" si="286"/>
        <v>4.6514491459037388E-4</v>
      </c>
      <c r="D304" s="3">
        <f t="shared" si="286"/>
        <v>4.6514491459037388E-4</v>
      </c>
      <c r="E304" s="3">
        <f t="shared" si="286"/>
        <v>4.6514491459037388E-4</v>
      </c>
      <c r="F304" s="3">
        <f t="shared" si="286"/>
        <v>4.6514491459037388E-4</v>
      </c>
      <c r="G304" s="3">
        <f t="shared" si="286"/>
        <v>4.6514491459037388E-4</v>
      </c>
      <c r="H304" s="3">
        <f t="shared" si="286"/>
        <v>4.6514491459037388E-4</v>
      </c>
      <c r="I304" s="3">
        <f t="shared" si="286"/>
        <v>4.6514491459037388E-4</v>
      </c>
      <c r="J304" s="3">
        <f t="shared" si="286"/>
        <v>4.6514491459037388E-4</v>
      </c>
      <c r="K304" s="3">
        <f t="shared" si="286"/>
        <v>4.6514491459037388E-4</v>
      </c>
      <c r="L304" s="3">
        <f t="shared" si="286"/>
        <v>4.6514491459037383E-4</v>
      </c>
      <c r="M304" s="3">
        <f t="shared" si="286"/>
        <v>4.6514491459037323E-4</v>
      </c>
      <c r="N304" s="3">
        <f t="shared" si="286"/>
        <v>4.6514491459036711E-4</v>
      </c>
      <c r="O304" s="3">
        <f t="shared" si="286"/>
        <v>4.6514491459030628E-4</v>
      </c>
      <c r="P304" s="3">
        <f t="shared" si="286"/>
        <v>4.6514491458969783E-4</v>
      </c>
      <c r="Q304" s="3">
        <f t="shared" si="286"/>
        <v>4.6514491458361361E-4</v>
      </c>
      <c r="R304" s="3">
        <f t="shared" si="286"/>
        <v>4.6514491452277106E-4</v>
      </c>
      <c r="S304" s="3">
        <f t="shared" si="286"/>
        <v>4.6514491391434569E-4</v>
      </c>
      <c r="T304" s="3">
        <f t="shared" si="286"/>
        <v>4.6514490783009221E-4</v>
      </c>
      <c r="U304" s="3">
        <f t="shared" si="286"/>
        <v>4.6514484698756154E-4</v>
      </c>
      <c r="V304" s="3">
        <f t="shared" si="286"/>
        <v>4.651442385626923E-4</v>
      </c>
      <c r="W304" s="3">
        <f t="shared" si="286"/>
        <v>4.651381543577715E-4</v>
      </c>
      <c r="X304" s="3">
        <f t="shared" si="286"/>
        <v>4.6507731668545362E-4</v>
      </c>
      <c r="Y304" s="3">
        <f t="shared" si="286"/>
        <v>4.644693774395551E-4</v>
      </c>
      <c r="Z304" s="3">
        <f t="shared" si="286"/>
        <v>4.5843352172037031E-4</v>
      </c>
      <c r="AA304" s="3">
        <f t="shared" si="286"/>
        <v>4.0222510397637095E-4</v>
      </c>
      <c r="AB304" s="3">
        <f t="shared" si="286"/>
        <v>1.0874197874154497E-4</v>
      </c>
      <c r="AC304" s="3">
        <f t="shared" si="286"/>
        <v>2.2681815828055245E-10</v>
      </c>
      <c r="AD304" s="3">
        <f t="shared" si="286"/>
        <v>3.5357675245153143E-67</v>
      </c>
      <c r="AE304" s="3">
        <f t="shared" si="286"/>
        <v>0</v>
      </c>
      <c r="AF304" s="3">
        <f t="shared" si="286"/>
        <v>0</v>
      </c>
      <c r="AG304" s="3"/>
      <c r="AH304" s="3"/>
    </row>
    <row r="305" spans="1:34" x14ac:dyDescent="0.25">
      <c r="B305" s="3">
        <f t="shared" ref="B305:AF305" si="287">$C35*EXP(-B$285/$A35/EXP(-$F$126))</f>
        <v>1.1429544870574336E-5</v>
      </c>
      <c r="C305" s="3">
        <f t="shared" si="287"/>
        <v>1.1429544870574336E-5</v>
      </c>
      <c r="D305" s="3">
        <f t="shared" si="287"/>
        <v>1.1429544870574336E-5</v>
      </c>
      <c r="E305" s="3">
        <f t="shared" si="287"/>
        <v>1.1429544870574336E-5</v>
      </c>
      <c r="F305" s="3">
        <f t="shared" si="287"/>
        <v>1.1429544870574336E-5</v>
      </c>
      <c r="G305" s="3">
        <f t="shared" si="287"/>
        <v>1.1429544870574336E-5</v>
      </c>
      <c r="H305" s="3">
        <f t="shared" si="287"/>
        <v>1.1429544870574336E-5</v>
      </c>
      <c r="I305" s="3">
        <f t="shared" si="287"/>
        <v>1.1429544870574336E-5</v>
      </c>
      <c r="J305" s="3">
        <f t="shared" si="287"/>
        <v>1.1429544870574336E-5</v>
      </c>
      <c r="K305" s="3">
        <f t="shared" si="287"/>
        <v>1.1429544870574336E-5</v>
      </c>
      <c r="L305" s="3">
        <f t="shared" si="287"/>
        <v>1.1429544870574336E-5</v>
      </c>
      <c r="M305" s="3">
        <f t="shared" si="287"/>
        <v>1.1429544870574334E-5</v>
      </c>
      <c r="N305" s="3">
        <f t="shared" si="287"/>
        <v>1.142954487057432E-5</v>
      </c>
      <c r="O305" s="3">
        <f t="shared" si="287"/>
        <v>1.1429544870574187E-5</v>
      </c>
      <c r="P305" s="3">
        <f t="shared" si="287"/>
        <v>1.1429544870572836E-5</v>
      </c>
      <c r="Q305" s="3">
        <f t="shared" si="287"/>
        <v>1.1429544870559352E-5</v>
      </c>
      <c r="R305" s="3">
        <f t="shared" si="287"/>
        <v>1.1429544870424487E-5</v>
      </c>
      <c r="S305" s="3">
        <f t="shared" si="287"/>
        <v>1.1429544869075853E-5</v>
      </c>
      <c r="T305" s="3">
        <f t="shared" si="287"/>
        <v>1.1429544855589498E-5</v>
      </c>
      <c r="U305" s="3">
        <f t="shared" si="287"/>
        <v>1.1429544720725959E-5</v>
      </c>
      <c r="V305" s="3">
        <f t="shared" si="287"/>
        <v>1.1429543372090656E-5</v>
      </c>
      <c r="W305" s="3">
        <f t="shared" si="287"/>
        <v>1.1429529885746379E-5</v>
      </c>
      <c r="X305" s="3">
        <f t="shared" si="287"/>
        <v>1.1429395023178837E-5</v>
      </c>
      <c r="Y305" s="3">
        <f t="shared" si="287"/>
        <v>1.1428046485022308E-5</v>
      </c>
      <c r="Z305" s="3">
        <f t="shared" si="287"/>
        <v>1.1414569851526192E-5</v>
      </c>
      <c r="AA305" s="3">
        <f t="shared" si="287"/>
        <v>1.1280674516244371E-5</v>
      </c>
      <c r="AB305" s="3">
        <f t="shared" si="287"/>
        <v>1.0025135554190341E-5</v>
      </c>
      <c r="AC305" s="3">
        <f t="shared" si="287"/>
        <v>3.0806481823626803E-6</v>
      </c>
      <c r="AD305" s="3">
        <f t="shared" si="287"/>
        <v>2.3129199596844508E-11</v>
      </c>
      <c r="AE305" s="3">
        <f t="shared" si="287"/>
        <v>1.3162718907911676E-62</v>
      </c>
      <c r="AF305" s="3">
        <f t="shared" si="287"/>
        <v>0</v>
      </c>
      <c r="AG305" s="3"/>
      <c r="AH305" s="3"/>
    </row>
    <row r="306" spans="1:34" x14ac:dyDescent="0.25">
      <c r="B306" s="3">
        <f t="shared" ref="B306:AF306" si="288">$C36*EXP(-B$285/$A36/EXP(-$F$126))</f>
        <v>2.5915484418969715E-5</v>
      </c>
      <c r="C306" s="3">
        <f t="shared" si="288"/>
        <v>2.5915484418969715E-5</v>
      </c>
      <c r="D306" s="3">
        <f t="shared" si="288"/>
        <v>2.5915484418969715E-5</v>
      </c>
      <c r="E306" s="3">
        <f t="shared" si="288"/>
        <v>2.5915484418969715E-5</v>
      </c>
      <c r="F306" s="3">
        <f t="shared" si="288"/>
        <v>2.5915484418969715E-5</v>
      </c>
      <c r="G306" s="3">
        <f t="shared" si="288"/>
        <v>2.5915484418969715E-5</v>
      </c>
      <c r="H306" s="3">
        <f t="shared" si="288"/>
        <v>2.5915484418969715E-5</v>
      </c>
      <c r="I306" s="3">
        <f t="shared" si="288"/>
        <v>2.5915484418969715E-5</v>
      </c>
      <c r="J306" s="3">
        <f t="shared" si="288"/>
        <v>2.5915484418969715E-5</v>
      </c>
      <c r="K306" s="3">
        <f t="shared" si="288"/>
        <v>2.5915484418969715E-5</v>
      </c>
      <c r="L306" s="3">
        <f t="shared" si="288"/>
        <v>2.5915484418969715E-5</v>
      </c>
      <c r="M306" s="3">
        <f t="shared" si="288"/>
        <v>2.5915484418969715E-5</v>
      </c>
      <c r="N306" s="3">
        <f t="shared" si="288"/>
        <v>2.5915484418969712E-5</v>
      </c>
      <c r="O306" s="3">
        <f t="shared" si="288"/>
        <v>2.5915484418969684E-5</v>
      </c>
      <c r="P306" s="3">
        <f t="shared" si="288"/>
        <v>2.5915484418969407E-5</v>
      </c>
      <c r="Q306" s="3">
        <f t="shared" si="288"/>
        <v>2.5915484418966652E-5</v>
      </c>
      <c r="R306" s="3">
        <f t="shared" si="288"/>
        <v>2.5915484418939063E-5</v>
      </c>
      <c r="S306" s="3">
        <f t="shared" si="288"/>
        <v>2.5915484418663214E-5</v>
      </c>
      <c r="T306" s="3">
        <f t="shared" si="288"/>
        <v>2.5915484415904726E-5</v>
      </c>
      <c r="U306" s="3">
        <f t="shared" si="288"/>
        <v>2.5915484388319818E-5</v>
      </c>
      <c r="V306" s="3">
        <f t="shared" si="288"/>
        <v>2.5915484112470738E-5</v>
      </c>
      <c r="W306" s="3">
        <f t="shared" si="288"/>
        <v>2.5915481353980114E-5</v>
      </c>
      <c r="X306" s="3">
        <f t="shared" si="288"/>
        <v>2.5915453769090023E-5</v>
      </c>
      <c r="Y306" s="3">
        <f t="shared" si="288"/>
        <v>2.5915177921803997E-5</v>
      </c>
      <c r="Z306" s="3">
        <f t="shared" si="288"/>
        <v>2.5912419610426987E-5</v>
      </c>
      <c r="AA306" s="3">
        <f t="shared" si="288"/>
        <v>2.588485263862216E-5</v>
      </c>
      <c r="AB306" s="3">
        <f t="shared" si="288"/>
        <v>2.5610790777899424E-5</v>
      </c>
      <c r="AC306" s="3">
        <f t="shared" si="288"/>
        <v>2.3024801882713397E-5</v>
      </c>
      <c r="AD306" s="3">
        <f t="shared" si="288"/>
        <v>7.9419114251471504E-6</v>
      </c>
      <c r="AE306" s="3">
        <f t="shared" si="288"/>
        <v>1.8932868157571309E-10</v>
      </c>
      <c r="AF306" s="3">
        <f t="shared" si="288"/>
        <v>1.1223546892401668E-56</v>
      </c>
      <c r="AG306" s="3"/>
      <c r="AH306" s="3"/>
    </row>
    <row r="307" spans="1:34" x14ac:dyDescent="0.25">
      <c r="B307" s="3">
        <f t="shared" ref="B307:AF307" si="289">$C37*EXP(-B$285/$A37/EXP(-$F$126))</f>
        <v>2.9552981931303355E-5</v>
      </c>
      <c r="C307" s="3">
        <f t="shared" si="289"/>
        <v>2.9552981931303355E-5</v>
      </c>
      <c r="D307" s="3">
        <f t="shared" si="289"/>
        <v>2.9552981931303355E-5</v>
      </c>
      <c r="E307" s="3">
        <f t="shared" si="289"/>
        <v>2.9552981931303355E-5</v>
      </c>
      <c r="F307" s="3">
        <f t="shared" si="289"/>
        <v>2.9552981931303355E-5</v>
      </c>
      <c r="G307" s="3">
        <f t="shared" si="289"/>
        <v>2.9552981931303355E-5</v>
      </c>
      <c r="H307" s="3">
        <f t="shared" si="289"/>
        <v>2.9552981931303355E-5</v>
      </c>
      <c r="I307" s="3">
        <f t="shared" si="289"/>
        <v>2.9552981931303355E-5</v>
      </c>
      <c r="J307" s="3">
        <f t="shared" si="289"/>
        <v>2.9552981931303355E-5</v>
      </c>
      <c r="K307" s="3">
        <f t="shared" si="289"/>
        <v>2.9552981931303355E-5</v>
      </c>
      <c r="L307" s="3">
        <f t="shared" si="289"/>
        <v>2.9552981931303355E-5</v>
      </c>
      <c r="M307" s="3">
        <f t="shared" si="289"/>
        <v>2.9552981931303355E-5</v>
      </c>
      <c r="N307" s="3">
        <f t="shared" si="289"/>
        <v>2.9552981931303355E-5</v>
      </c>
      <c r="O307" s="3">
        <f t="shared" si="289"/>
        <v>2.9552981931303352E-5</v>
      </c>
      <c r="P307" s="3">
        <f t="shared" si="289"/>
        <v>2.9552981931303321E-5</v>
      </c>
      <c r="Q307" s="3">
        <f t="shared" si="289"/>
        <v>2.955298193130304E-5</v>
      </c>
      <c r="R307" s="3">
        <f t="shared" si="289"/>
        <v>2.9552981931300201E-5</v>
      </c>
      <c r="S307" s="3">
        <f t="shared" si="289"/>
        <v>2.9552981931271825E-5</v>
      </c>
      <c r="T307" s="3">
        <f t="shared" si="289"/>
        <v>2.9552981930988059E-5</v>
      </c>
      <c r="U307" s="3">
        <f t="shared" si="289"/>
        <v>2.95529819281504E-5</v>
      </c>
      <c r="V307" s="3">
        <f t="shared" si="289"/>
        <v>2.9552981899773817E-5</v>
      </c>
      <c r="W307" s="3">
        <f t="shared" si="289"/>
        <v>2.9552981616007982E-5</v>
      </c>
      <c r="X307" s="3">
        <f t="shared" si="289"/>
        <v>2.9552978778349783E-5</v>
      </c>
      <c r="Y307" s="3">
        <f t="shared" si="289"/>
        <v>2.9552950401782767E-5</v>
      </c>
      <c r="Z307" s="3">
        <f t="shared" si="289"/>
        <v>2.9552666637611176E-5</v>
      </c>
      <c r="AA307" s="3">
        <f t="shared" si="289"/>
        <v>2.9549829145747925E-5</v>
      </c>
      <c r="AB307" s="3">
        <f t="shared" si="289"/>
        <v>2.9521469207058892E-5</v>
      </c>
      <c r="AC307" s="3">
        <f t="shared" si="289"/>
        <v>2.9239362506207577E-5</v>
      </c>
      <c r="AD307" s="3">
        <f t="shared" si="289"/>
        <v>2.6562394476590974E-5</v>
      </c>
      <c r="AE307" s="3">
        <f t="shared" si="289"/>
        <v>1.0168583203838463E-5</v>
      </c>
      <c r="AF307" s="3">
        <f t="shared" si="289"/>
        <v>6.873733518016516E-10</v>
      </c>
      <c r="AG307" s="3"/>
      <c r="AH307" s="3"/>
    </row>
    <row r="308" spans="1:34" x14ac:dyDescent="0.25">
      <c r="B308" s="3">
        <f t="shared" ref="B308:AF308" si="290">$C38*EXP(-B$285/$A38/EXP(-$F$126))</f>
        <v>3.2731039559542382E-6</v>
      </c>
      <c r="C308" s="3">
        <f t="shared" si="290"/>
        <v>3.2731039559542382E-6</v>
      </c>
      <c r="D308" s="3">
        <f t="shared" si="290"/>
        <v>3.2731039559542382E-6</v>
      </c>
      <c r="E308" s="3">
        <f t="shared" si="290"/>
        <v>3.2731039559542382E-6</v>
      </c>
      <c r="F308" s="3">
        <f t="shared" si="290"/>
        <v>3.2731039559542382E-6</v>
      </c>
      <c r="G308" s="3">
        <f t="shared" si="290"/>
        <v>3.2731039559542382E-6</v>
      </c>
      <c r="H308" s="3">
        <f t="shared" si="290"/>
        <v>3.2731039559542382E-6</v>
      </c>
      <c r="I308" s="3">
        <f t="shared" si="290"/>
        <v>3.2731039559542382E-6</v>
      </c>
      <c r="J308" s="3">
        <f t="shared" si="290"/>
        <v>3.2731039559542382E-6</v>
      </c>
      <c r="K308" s="3">
        <f t="shared" si="290"/>
        <v>3.2731039559542382E-6</v>
      </c>
      <c r="L308" s="3">
        <f t="shared" si="290"/>
        <v>3.2731039559542382E-6</v>
      </c>
      <c r="M308" s="3">
        <f t="shared" si="290"/>
        <v>3.2731039559542382E-6</v>
      </c>
      <c r="N308" s="3">
        <f t="shared" si="290"/>
        <v>3.2731039559542382E-6</v>
      </c>
      <c r="O308" s="3">
        <f t="shared" si="290"/>
        <v>3.2731039559542382E-6</v>
      </c>
      <c r="P308" s="3">
        <f t="shared" si="290"/>
        <v>3.2731039559542378E-6</v>
      </c>
      <c r="Q308" s="3">
        <f t="shared" si="290"/>
        <v>3.2731039559542348E-6</v>
      </c>
      <c r="R308" s="3">
        <f t="shared" si="290"/>
        <v>3.2731039559542064E-6</v>
      </c>
      <c r="S308" s="3">
        <f t="shared" si="290"/>
        <v>3.2731039559539231E-6</v>
      </c>
      <c r="T308" s="3">
        <f t="shared" si="290"/>
        <v>3.2731039559510881E-6</v>
      </c>
      <c r="U308" s="3">
        <f t="shared" si="290"/>
        <v>3.273103955922737E-6</v>
      </c>
      <c r="V308" s="3">
        <f t="shared" si="290"/>
        <v>3.2731039556392296E-6</v>
      </c>
      <c r="W308" s="3">
        <f t="shared" si="290"/>
        <v>3.2731039528041502E-6</v>
      </c>
      <c r="X308" s="3">
        <f t="shared" si="290"/>
        <v>3.2731039244533586E-6</v>
      </c>
      <c r="Y308" s="3">
        <f t="shared" si="290"/>
        <v>3.2731036409454575E-6</v>
      </c>
      <c r="Z308" s="3">
        <f t="shared" si="290"/>
        <v>3.2731008058677949E-6</v>
      </c>
      <c r="AA308" s="3">
        <f t="shared" si="290"/>
        <v>3.2730724552262321E-6</v>
      </c>
      <c r="AB308" s="3">
        <f t="shared" si="290"/>
        <v>3.2727889623163268E-6</v>
      </c>
      <c r="AC308" s="3">
        <f t="shared" si="290"/>
        <v>3.2699553833567314E-6</v>
      </c>
      <c r="AD308" s="3">
        <f t="shared" si="290"/>
        <v>3.2417541760088475E-6</v>
      </c>
      <c r="AE308" s="3">
        <f t="shared" si="290"/>
        <v>2.9727788236213932E-6</v>
      </c>
      <c r="AF308" s="3">
        <f t="shared" si="290"/>
        <v>1.2502238960987479E-6</v>
      </c>
      <c r="AG308" s="3"/>
      <c r="AH308" s="3"/>
    </row>
    <row r="309" spans="1:34" x14ac:dyDescent="0.25">
      <c r="B309" s="3">
        <f t="shared" ref="B309:AF309" si="291">$C39*EXP(-B$285/$A39/EXP(-$F$126))</f>
        <v>4.7316671387144988E-5</v>
      </c>
      <c r="C309" s="3">
        <f t="shared" si="291"/>
        <v>4.7316671387144988E-5</v>
      </c>
      <c r="D309" s="3">
        <f t="shared" si="291"/>
        <v>4.7316671387144988E-5</v>
      </c>
      <c r="E309" s="3">
        <f t="shared" si="291"/>
        <v>4.7316671387144988E-5</v>
      </c>
      <c r="F309" s="3">
        <f t="shared" si="291"/>
        <v>4.7316671387144988E-5</v>
      </c>
      <c r="G309" s="3">
        <f t="shared" si="291"/>
        <v>4.7316671387144988E-5</v>
      </c>
      <c r="H309" s="3">
        <f t="shared" si="291"/>
        <v>4.7316671387144988E-5</v>
      </c>
      <c r="I309" s="3">
        <f t="shared" si="291"/>
        <v>4.7316671387144988E-5</v>
      </c>
      <c r="J309" s="3">
        <f t="shared" si="291"/>
        <v>4.7316671387144988E-5</v>
      </c>
      <c r="K309" s="3">
        <f t="shared" si="291"/>
        <v>4.7316671387144988E-5</v>
      </c>
      <c r="L309" s="3">
        <f t="shared" si="291"/>
        <v>4.7316671387144988E-5</v>
      </c>
      <c r="M309" s="3">
        <f t="shared" si="291"/>
        <v>4.7316671387144988E-5</v>
      </c>
      <c r="N309" s="3">
        <f t="shared" si="291"/>
        <v>4.7316671387144988E-5</v>
      </c>
      <c r="O309" s="3">
        <f t="shared" si="291"/>
        <v>4.7316671387144988E-5</v>
      </c>
      <c r="P309" s="3">
        <f t="shared" si="291"/>
        <v>4.7316671387144988E-5</v>
      </c>
      <c r="Q309" s="3">
        <f t="shared" si="291"/>
        <v>4.7316671387144975E-5</v>
      </c>
      <c r="R309" s="3">
        <f t="shared" si="291"/>
        <v>4.731667138714486E-5</v>
      </c>
      <c r="S309" s="3">
        <f t="shared" si="291"/>
        <v>4.7316671387143728E-5</v>
      </c>
      <c r="T309" s="3">
        <f t="shared" si="291"/>
        <v>4.7316671387132391E-5</v>
      </c>
      <c r="U309" s="3">
        <f t="shared" si="291"/>
        <v>4.7316671387019045E-5</v>
      </c>
      <c r="V309" s="3">
        <f t="shared" si="291"/>
        <v>4.7316671385885511E-5</v>
      </c>
      <c r="W309" s="3">
        <f t="shared" si="291"/>
        <v>4.7316671374550225E-5</v>
      </c>
      <c r="X309" s="3">
        <f t="shared" si="291"/>
        <v>4.7316671261197376E-5</v>
      </c>
      <c r="Y309" s="3">
        <f t="shared" si="291"/>
        <v>4.7316670127668911E-5</v>
      </c>
      <c r="Z309" s="3">
        <f t="shared" si="291"/>
        <v>4.7316658792385714E-5</v>
      </c>
      <c r="AA309" s="3">
        <f t="shared" si="291"/>
        <v>4.7316545439703134E-5</v>
      </c>
      <c r="AB309" s="3">
        <f t="shared" si="291"/>
        <v>4.7315411927812454E-5</v>
      </c>
      <c r="AC309" s="3">
        <f t="shared" si="291"/>
        <v>4.730407830228657E-5</v>
      </c>
      <c r="AD309" s="3">
        <f t="shared" si="291"/>
        <v>4.7190891252837943E-5</v>
      </c>
      <c r="AE309" s="3">
        <f t="shared" si="291"/>
        <v>4.6073809929517087E-5</v>
      </c>
      <c r="AF309" s="3">
        <f t="shared" si="291"/>
        <v>3.625881398804553E-5</v>
      </c>
      <c r="AG309" s="3"/>
      <c r="AH309" s="3"/>
    </row>
    <row r="310" spans="1:34" x14ac:dyDescent="0.25">
      <c r="B310" s="3">
        <f t="shared" ref="B310:AF310" si="292">$C40*EXP(-B$285/$A40/EXP(-$F$126))</f>
        <v>2.2741722122049058E-5</v>
      </c>
      <c r="C310" s="3">
        <f t="shared" si="292"/>
        <v>2.2741722122049058E-5</v>
      </c>
      <c r="D310" s="3">
        <f t="shared" si="292"/>
        <v>2.2741722122049058E-5</v>
      </c>
      <c r="E310" s="3">
        <f t="shared" si="292"/>
        <v>2.2741722122049058E-5</v>
      </c>
      <c r="F310" s="3">
        <f t="shared" si="292"/>
        <v>2.2741722122049058E-5</v>
      </c>
      <c r="G310" s="3">
        <f t="shared" si="292"/>
        <v>2.2741722122049058E-5</v>
      </c>
      <c r="H310" s="3">
        <f t="shared" si="292"/>
        <v>2.2741722122049058E-5</v>
      </c>
      <c r="I310" s="3">
        <f t="shared" si="292"/>
        <v>2.2741722122049058E-5</v>
      </c>
      <c r="J310" s="3">
        <f t="shared" si="292"/>
        <v>2.2741722122049058E-5</v>
      </c>
      <c r="K310" s="3">
        <f t="shared" si="292"/>
        <v>2.2741722122049058E-5</v>
      </c>
      <c r="L310" s="3">
        <f t="shared" si="292"/>
        <v>2.2741722122049058E-5</v>
      </c>
      <c r="M310" s="3">
        <f t="shared" si="292"/>
        <v>2.2741722122049058E-5</v>
      </c>
      <c r="N310" s="3">
        <f t="shared" si="292"/>
        <v>2.2741722122049058E-5</v>
      </c>
      <c r="O310" s="3">
        <f t="shared" si="292"/>
        <v>2.2741722122049058E-5</v>
      </c>
      <c r="P310" s="3">
        <f t="shared" si="292"/>
        <v>2.2741722122049058E-5</v>
      </c>
      <c r="Q310" s="3">
        <f t="shared" si="292"/>
        <v>2.2741722122049058E-5</v>
      </c>
      <c r="R310" s="3">
        <f t="shared" si="292"/>
        <v>2.2741722122049055E-5</v>
      </c>
      <c r="S310" s="3">
        <f t="shared" si="292"/>
        <v>2.2741722122048997E-5</v>
      </c>
      <c r="T310" s="3">
        <f t="shared" si="292"/>
        <v>2.2741722122048452E-5</v>
      </c>
      <c r="U310" s="3">
        <f t="shared" si="292"/>
        <v>2.2741722122043004E-5</v>
      </c>
      <c r="V310" s="3">
        <f t="shared" si="292"/>
        <v>2.2741722121988526E-5</v>
      </c>
      <c r="W310" s="3">
        <f t="shared" si="292"/>
        <v>2.2741722121443718E-5</v>
      </c>
      <c r="X310" s="3">
        <f t="shared" si="292"/>
        <v>2.2741722115995663E-5</v>
      </c>
      <c r="Y310" s="3">
        <f t="shared" si="292"/>
        <v>2.2741722061515097E-5</v>
      </c>
      <c r="Z310" s="3">
        <f t="shared" si="292"/>
        <v>2.2741721516709458E-5</v>
      </c>
      <c r="AA310" s="3">
        <f t="shared" si="292"/>
        <v>2.2741716068653772E-5</v>
      </c>
      <c r="AB310" s="3">
        <f t="shared" si="292"/>
        <v>2.27416615881687E-5</v>
      </c>
      <c r="AC310" s="3">
        <f t="shared" si="292"/>
        <v>2.2741116790496248E-5</v>
      </c>
      <c r="AD310" s="3">
        <f t="shared" si="292"/>
        <v>2.273566953153257E-5</v>
      </c>
      <c r="AE310" s="3">
        <f t="shared" si="292"/>
        <v>2.2681268654401672E-5</v>
      </c>
      <c r="AF310" s="3">
        <f t="shared" si="292"/>
        <v>2.2144367974410142E-5</v>
      </c>
      <c r="AG310" s="3"/>
      <c r="AH310" s="3"/>
    </row>
    <row r="311" spans="1:34" x14ac:dyDescent="0.25">
      <c r="B311" s="3">
        <f t="shared" ref="B311:AF311" si="293">$C41*EXP(-B$285/$A41/EXP(-$F$126))</f>
        <v>1.7857506760164985E-5</v>
      </c>
      <c r="C311" s="3">
        <f t="shared" si="293"/>
        <v>1.7857506760164985E-5</v>
      </c>
      <c r="D311" s="3">
        <f t="shared" si="293"/>
        <v>1.7857506760164985E-5</v>
      </c>
      <c r="E311" s="3">
        <f t="shared" si="293"/>
        <v>1.7857506760164985E-5</v>
      </c>
      <c r="F311" s="3">
        <f t="shared" si="293"/>
        <v>1.7857506760164985E-5</v>
      </c>
      <c r="G311" s="3">
        <f t="shared" si="293"/>
        <v>1.7857506760164985E-5</v>
      </c>
      <c r="H311" s="3">
        <f t="shared" si="293"/>
        <v>1.7857506760164985E-5</v>
      </c>
      <c r="I311" s="3">
        <f t="shared" si="293"/>
        <v>1.7857506760164985E-5</v>
      </c>
      <c r="J311" s="3">
        <f t="shared" si="293"/>
        <v>1.7857506760164985E-5</v>
      </c>
      <c r="K311" s="3">
        <f t="shared" si="293"/>
        <v>1.7857506760164985E-5</v>
      </c>
      <c r="L311" s="3">
        <f t="shared" si="293"/>
        <v>1.7857506760164985E-5</v>
      </c>
      <c r="M311" s="3">
        <f t="shared" si="293"/>
        <v>1.7857506760164985E-5</v>
      </c>
      <c r="N311" s="3">
        <f t="shared" si="293"/>
        <v>1.7857506760164985E-5</v>
      </c>
      <c r="O311" s="3">
        <f t="shared" si="293"/>
        <v>1.7857506760164985E-5</v>
      </c>
      <c r="P311" s="3">
        <f t="shared" si="293"/>
        <v>1.7857506760164985E-5</v>
      </c>
      <c r="Q311" s="3">
        <f t="shared" si="293"/>
        <v>1.7857506760164985E-5</v>
      </c>
      <c r="R311" s="3">
        <f t="shared" si="293"/>
        <v>1.7857506760164985E-5</v>
      </c>
      <c r="S311" s="3">
        <f t="shared" si="293"/>
        <v>1.7857506760164981E-5</v>
      </c>
      <c r="T311" s="3">
        <f t="shared" si="293"/>
        <v>1.7857506760164937E-5</v>
      </c>
      <c r="U311" s="3">
        <f t="shared" si="293"/>
        <v>1.785750676016451E-5</v>
      </c>
      <c r="V311" s="3">
        <f t="shared" si="293"/>
        <v>1.7857506760160231E-5</v>
      </c>
      <c r="W311" s="3">
        <f t="shared" si="293"/>
        <v>1.7857506760117453E-5</v>
      </c>
      <c r="X311" s="3">
        <f t="shared" si="293"/>
        <v>1.7857506759689654E-5</v>
      </c>
      <c r="Y311" s="3">
        <f t="shared" si="293"/>
        <v>1.785750675541167E-5</v>
      </c>
      <c r="Z311" s="3">
        <f t="shared" si="293"/>
        <v>1.7857506712631837E-5</v>
      </c>
      <c r="AA311" s="3">
        <f t="shared" si="293"/>
        <v>1.7857506284833524E-5</v>
      </c>
      <c r="AB311" s="3">
        <f t="shared" si="293"/>
        <v>1.7857502006850936E-5</v>
      </c>
      <c r="AC311" s="3">
        <f t="shared" si="293"/>
        <v>1.7857459227081436E-5</v>
      </c>
      <c r="AD311" s="3">
        <f t="shared" si="293"/>
        <v>1.785703143502301E-5</v>
      </c>
      <c r="AE311" s="3">
        <f t="shared" si="293"/>
        <v>1.7852754078046866E-5</v>
      </c>
      <c r="AF311" s="3">
        <f t="shared" si="293"/>
        <v>1.781003681917305E-5</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1.5759572914912317E-6</v>
      </c>
      <c r="C313" s="3">
        <f t="shared" si="295"/>
        <v>1.5759572914912317E-6</v>
      </c>
      <c r="D313" s="3">
        <f t="shared" si="295"/>
        <v>1.5759572914912317E-6</v>
      </c>
      <c r="E313" s="3">
        <f t="shared" si="295"/>
        <v>1.5759572914912317E-6</v>
      </c>
      <c r="F313" s="3">
        <f t="shared" si="295"/>
        <v>1.5759572914912317E-6</v>
      </c>
      <c r="G313" s="3">
        <f t="shared" si="295"/>
        <v>1.5759572914912317E-6</v>
      </c>
      <c r="H313" s="3">
        <f t="shared" si="295"/>
        <v>1.5759572914912317E-6</v>
      </c>
      <c r="I313" s="3">
        <f t="shared" si="295"/>
        <v>1.5759572914912317E-6</v>
      </c>
      <c r="J313" s="3">
        <f t="shared" si="295"/>
        <v>1.5759572914912317E-6</v>
      </c>
      <c r="K313" s="3">
        <f t="shared" si="295"/>
        <v>1.5759572914912317E-6</v>
      </c>
      <c r="L313" s="3">
        <f t="shared" si="295"/>
        <v>1.5759572914912317E-6</v>
      </c>
      <c r="M313" s="3">
        <f t="shared" si="295"/>
        <v>1.5759572914912317E-6</v>
      </c>
      <c r="N313" s="3">
        <f t="shared" si="295"/>
        <v>1.5759572914912317E-6</v>
      </c>
      <c r="O313" s="3">
        <f t="shared" si="295"/>
        <v>1.5759572914912317E-6</v>
      </c>
      <c r="P313" s="3">
        <f t="shared" si="295"/>
        <v>1.5759572914912317E-6</v>
      </c>
      <c r="Q313" s="3">
        <f t="shared" si="295"/>
        <v>1.5759572914912317E-6</v>
      </c>
      <c r="R313" s="3">
        <f t="shared" si="295"/>
        <v>1.5759572914912317E-6</v>
      </c>
      <c r="S313" s="3">
        <f t="shared" si="295"/>
        <v>1.5759572914912317E-6</v>
      </c>
      <c r="T313" s="3">
        <f t="shared" si="295"/>
        <v>1.5759572914912317E-6</v>
      </c>
      <c r="U313" s="3">
        <f t="shared" si="295"/>
        <v>1.5759572914912313E-6</v>
      </c>
      <c r="V313" s="3">
        <f t="shared" si="295"/>
        <v>1.5759572914912274E-6</v>
      </c>
      <c r="W313" s="3">
        <f t="shared" si="295"/>
        <v>1.5759572914911898E-6</v>
      </c>
      <c r="X313" s="3">
        <f t="shared" si="295"/>
        <v>1.5759572914908122E-6</v>
      </c>
      <c r="Y313" s="3">
        <f t="shared" si="295"/>
        <v>1.575957291487037E-6</v>
      </c>
      <c r="Z313" s="3">
        <f t="shared" si="295"/>
        <v>1.5759572914492828E-6</v>
      </c>
      <c r="AA313" s="3">
        <f t="shared" si="295"/>
        <v>1.5759572910717431E-6</v>
      </c>
      <c r="AB313" s="3">
        <f t="shared" si="295"/>
        <v>1.5759572872963455E-6</v>
      </c>
      <c r="AC313" s="3">
        <f t="shared" si="295"/>
        <v>1.5759572495423699E-6</v>
      </c>
      <c r="AD313" s="3">
        <f t="shared" si="295"/>
        <v>1.575956872002664E-6</v>
      </c>
      <c r="AE313" s="3">
        <f t="shared" si="295"/>
        <v>1.5759530966105794E-6</v>
      </c>
      <c r="AF313" s="3">
        <f t="shared" si="295"/>
        <v>1.5759153431871719E-6</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1.823122872957775E-3</v>
      </c>
      <c r="C318" s="3">
        <f t="shared" si="300"/>
        <v>1.823122872957775E-3</v>
      </c>
      <c r="D318" s="3">
        <f t="shared" si="300"/>
        <v>1.823122872957775E-3</v>
      </c>
      <c r="E318" s="3">
        <f t="shared" si="300"/>
        <v>1.823122872957775E-3</v>
      </c>
      <c r="F318" s="3">
        <f t="shared" si="300"/>
        <v>1.823122872957775E-3</v>
      </c>
      <c r="G318" s="3">
        <f t="shared" si="300"/>
        <v>1.823122872957775E-3</v>
      </c>
      <c r="H318" s="3">
        <f t="shared" si="300"/>
        <v>1.823122872957775E-3</v>
      </c>
      <c r="I318" s="3">
        <f t="shared" si="300"/>
        <v>1.823122872957775E-3</v>
      </c>
      <c r="J318" s="3">
        <f t="shared" si="300"/>
        <v>1.823122872957775E-3</v>
      </c>
      <c r="K318" s="3">
        <f t="shared" si="300"/>
        <v>1.823122872957775E-3</v>
      </c>
      <c r="L318" s="3">
        <f t="shared" si="300"/>
        <v>1.823122872957775E-3</v>
      </c>
      <c r="M318" s="3">
        <f t="shared" si="300"/>
        <v>1.823122872957775E-3</v>
      </c>
      <c r="N318" s="3">
        <f t="shared" si="300"/>
        <v>1.823122872957775E-3</v>
      </c>
      <c r="O318" s="3">
        <f t="shared" si="300"/>
        <v>1.823122872957775E-3</v>
      </c>
      <c r="P318" s="3">
        <f t="shared" si="300"/>
        <v>1.823122872957775E-3</v>
      </c>
      <c r="Q318" s="3">
        <f t="shared" si="300"/>
        <v>1.823122872957775E-3</v>
      </c>
      <c r="R318" s="3">
        <f t="shared" si="300"/>
        <v>1.823122872957775E-3</v>
      </c>
      <c r="S318" s="3">
        <f t="shared" si="300"/>
        <v>1.823122872957775E-3</v>
      </c>
      <c r="T318" s="3">
        <f t="shared" si="300"/>
        <v>1.823122872957775E-3</v>
      </c>
      <c r="U318" s="3">
        <f t="shared" si="300"/>
        <v>1.823122872957775E-3</v>
      </c>
      <c r="V318" s="3">
        <f t="shared" si="300"/>
        <v>1.823122872957775E-3</v>
      </c>
      <c r="W318" s="3">
        <f t="shared" si="300"/>
        <v>1.823122872957775E-3</v>
      </c>
      <c r="X318" s="3">
        <f t="shared" si="300"/>
        <v>1.823122872957775E-3</v>
      </c>
      <c r="Y318" s="3">
        <f t="shared" si="300"/>
        <v>1.823122872957775E-3</v>
      </c>
      <c r="Z318" s="3">
        <f t="shared" si="300"/>
        <v>1.8231228729577746E-3</v>
      </c>
      <c r="AA318" s="3">
        <f t="shared" si="300"/>
        <v>1.8231228729577702E-3</v>
      </c>
      <c r="AB318" s="3">
        <f t="shared" si="300"/>
        <v>1.8231228729577264E-3</v>
      </c>
      <c r="AC318" s="3">
        <f t="shared" si="300"/>
        <v>1.8231228729572897E-3</v>
      </c>
      <c r="AD318" s="3">
        <f t="shared" si="300"/>
        <v>1.8231228729529223E-3</v>
      </c>
      <c r="AE318" s="3">
        <f t="shared" si="300"/>
        <v>1.823122872909247E-3</v>
      </c>
      <c r="AF318" s="3">
        <f t="shared" si="300"/>
        <v>1.8231228724724959E-3</v>
      </c>
      <c r="AG318" s="3"/>
      <c r="AH318" s="3"/>
    </row>
    <row r="319" spans="1:34" x14ac:dyDescent="0.25">
      <c r="A319" s="80">
        <f>AVERAGE(B319:AF319)</f>
        <v>3.1342458248226532E-3</v>
      </c>
      <c r="B319" s="81">
        <f>IF($A$64&lt;=B285,IF($B$64&gt;=B285,ABS((B287-B286)/B286),0),0)</f>
        <v>0</v>
      </c>
      <c r="C319" s="81">
        <f t="shared" ref="C319:AF319" si="301">IF($A$64&lt;=C285,IF($B$64&gt;=C285,ABS((C287-C286)/C286),0),0)</f>
        <v>0</v>
      </c>
      <c r="D319" s="81">
        <f t="shared" si="301"/>
        <v>0</v>
      </c>
      <c r="E319" s="81">
        <f t="shared" si="301"/>
        <v>0</v>
      </c>
      <c r="F319" s="81">
        <f t="shared" si="301"/>
        <v>0</v>
      </c>
      <c r="G319" s="81">
        <f t="shared" si="301"/>
        <v>0</v>
      </c>
      <c r="H319" s="81">
        <f t="shared" si="301"/>
        <v>0</v>
      </c>
      <c r="I319" s="81">
        <f t="shared" si="301"/>
        <v>0</v>
      </c>
      <c r="J319" s="81">
        <f t="shared" si="301"/>
        <v>0</v>
      </c>
      <c r="K319" s="81">
        <f t="shared" si="301"/>
        <v>0</v>
      </c>
      <c r="L319" s="81">
        <f t="shared" si="301"/>
        <v>7.7732046157762916E-3</v>
      </c>
      <c r="M319" s="81">
        <f t="shared" si="301"/>
        <v>6.1843123651583653E-3</v>
      </c>
      <c r="N319" s="81">
        <f t="shared" si="301"/>
        <v>5.1757572860198467E-4</v>
      </c>
      <c r="O319" s="81">
        <f t="shared" si="301"/>
        <v>2.5634364090527297E-3</v>
      </c>
      <c r="P319" s="81">
        <f t="shared" si="301"/>
        <v>1.5626671861788436E-3</v>
      </c>
      <c r="Q319" s="81">
        <f t="shared" si="301"/>
        <v>3.7039728712487245E-3</v>
      </c>
      <c r="R319" s="81">
        <f t="shared" si="301"/>
        <v>2.3229578307293604E-3</v>
      </c>
      <c r="S319" s="81">
        <f t="shared" si="301"/>
        <v>8.8511615397812403E-3</v>
      </c>
      <c r="T319" s="81">
        <f t="shared" si="301"/>
        <v>1.0691508532077166E-2</v>
      </c>
      <c r="U319" s="81">
        <f t="shared" si="301"/>
        <v>1.1519849692360352E-3</v>
      </c>
      <c r="V319" s="81">
        <f t="shared" si="301"/>
        <v>5.1838838521661511E-2</v>
      </c>
      <c r="W319" s="81">
        <f t="shared" si="301"/>
        <v>0</v>
      </c>
      <c r="X319" s="81">
        <f t="shared" si="301"/>
        <v>0</v>
      </c>
      <c r="Y319" s="81">
        <f t="shared" si="301"/>
        <v>0</v>
      </c>
      <c r="Z319" s="81">
        <f t="shared" si="301"/>
        <v>0</v>
      </c>
      <c r="AA319" s="81">
        <f t="shared" si="301"/>
        <v>0</v>
      </c>
      <c r="AB319" s="81">
        <f t="shared" si="301"/>
        <v>0</v>
      </c>
      <c r="AC319" s="81">
        <f t="shared" si="301"/>
        <v>0</v>
      </c>
      <c r="AD319" s="81">
        <f t="shared" si="301"/>
        <v>0</v>
      </c>
      <c r="AE319" s="81">
        <f t="shared" si="301"/>
        <v>0</v>
      </c>
      <c r="AF319" s="81">
        <f t="shared" si="301"/>
        <v>0</v>
      </c>
    </row>
    <row r="320" spans="1:34" x14ac:dyDescent="0.25">
      <c r="B320" s="21">
        <f>(B287-B286)^2</f>
        <v>183.43725639764409</v>
      </c>
      <c r="C320" s="21">
        <f t="shared" ref="C320:AF320" si="302">(C287-C286)^2</f>
        <v>143.11224283076899</v>
      </c>
      <c r="D320" s="21">
        <f t="shared" si="302"/>
        <v>10.591688525237489</v>
      </c>
      <c r="E320" s="21">
        <f t="shared" si="302"/>
        <v>18791.709683702447</v>
      </c>
      <c r="F320" s="21">
        <f t="shared" si="302"/>
        <v>339725.07150864031</v>
      </c>
      <c r="G320" s="21">
        <f t="shared" si="302"/>
        <v>339323.56086646643</v>
      </c>
      <c r="H320" s="21">
        <f t="shared" si="302"/>
        <v>193578.97613907099</v>
      </c>
      <c r="I320" s="21">
        <f t="shared" si="302"/>
        <v>86872.113750932142</v>
      </c>
      <c r="J320" s="21">
        <f t="shared" si="302"/>
        <v>17183.947794555257</v>
      </c>
      <c r="K320" s="21">
        <f t="shared" si="302"/>
        <v>1357.3242170441481</v>
      </c>
      <c r="L320" s="21">
        <f t="shared" si="302"/>
        <v>1521.7516088171087</v>
      </c>
      <c r="M320" s="21">
        <f t="shared" si="302"/>
        <v>870.67285513963873</v>
      </c>
      <c r="N320" s="21">
        <f t="shared" si="302"/>
        <v>5.4301147875077351</v>
      </c>
      <c r="O320" s="21">
        <f t="shared" si="302"/>
        <v>118.12851172838496</v>
      </c>
      <c r="P320" s="21">
        <f t="shared" si="302"/>
        <v>38.26411115738</v>
      </c>
      <c r="Q320" s="21">
        <f t="shared" si="302"/>
        <v>183.75620341289485</v>
      </c>
      <c r="R320" s="21">
        <f t="shared" si="302"/>
        <v>57.634200002496762</v>
      </c>
      <c r="S320" s="21">
        <f t="shared" si="302"/>
        <v>600.66966431157971</v>
      </c>
      <c r="T320" s="21">
        <f t="shared" si="302"/>
        <v>555.56717256449497</v>
      </c>
      <c r="U320" s="21">
        <f t="shared" si="302"/>
        <v>3.3400170650020735</v>
      </c>
      <c r="V320" s="21">
        <f t="shared" si="302"/>
        <v>2687.3903948521811</v>
      </c>
      <c r="W320" s="21">
        <f t="shared" si="302"/>
        <v>692.64894407345332</v>
      </c>
      <c r="X320" s="21">
        <f t="shared" si="302"/>
        <v>594.2219479928367</v>
      </c>
      <c r="Y320" s="21">
        <f t="shared" si="302"/>
        <v>38.367888301037858</v>
      </c>
      <c r="Z320" s="21">
        <f t="shared" si="302"/>
        <v>2.8809687451622579</v>
      </c>
      <c r="AA320" s="21">
        <f t="shared" si="302"/>
        <v>1.3298707158296332</v>
      </c>
      <c r="AB320" s="21">
        <f t="shared" si="302"/>
        <v>3.4609902830104406</v>
      </c>
      <c r="AC320" s="21">
        <f t="shared" si="302"/>
        <v>1.6324432404311617</v>
      </c>
      <c r="AD320" s="21">
        <f t="shared" si="302"/>
        <v>1.3345397260161442</v>
      </c>
      <c r="AE320" s="21">
        <f t="shared" si="302"/>
        <v>1.0080710545382274</v>
      </c>
      <c r="AF320" s="21">
        <f t="shared" si="302"/>
        <v>0.76283953766512502</v>
      </c>
      <c r="AG320" s="3"/>
      <c r="AH320" s="3"/>
    </row>
    <row r="321" spans="1:34" x14ac:dyDescent="0.25">
      <c r="A321" s="72">
        <f>SUM(B321:AF321)</f>
        <v>6642.6048538386694</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1521.7516088171087</v>
      </c>
      <c r="M321" s="60">
        <f t="shared" ref="M321" si="313">IF($A$64&lt;=M285,IF($B$64&gt;=M285,ABS(M320),0),0)</f>
        <v>870.67285513963873</v>
      </c>
      <c r="N321" s="60">
        <f t="shared" ref="N321" si="314">IF($A$64&lt;=N285,IF($B$64&gt;=N285,ABS(N320),0),0)</f>
        <v>5.4301147875077351</v>
      </c>
      <c r="O321" s="60">
        <f t="shared" ref="O321" si="315">IF($A$64&lt;=O285,IF($B$64&gt;=O285,ABS(O320),0),0)</f>
        <v>118.12851172838496</v>
      </c>
      <c r="P321" s="60">
        <f t="shared" ref="P321" si="316">IF($A$64&lt;=P285,IF($B$64&gt;=P285,ABS(P320),0),0)</f>
        <v>38.26411115738</v>
      </c>
      <c r="Q321" s="60">
        <f t="shared" ref="Q321" si="317">IF($A$64&lt;=Q285,IF($B$64&gt;=Q285,ABS(Q320),0),0)</f>
        <v>183.75620341289485</v>
      </c>
      <c r="R321" s="60">
        <f t="shared" ref="R321" si="318">IF($A$64&lt;=R285,IF($B$64&gt;=R285,ABS(R320),0),0)</f>
        <v>57.634200002496762</v>
      </c>
      <c r="S321" s="60">
        <f t="shared" ref="S321" si="319">IF($A$64&lt;=S285,IF($B$64&gt;=S285,ABS(S320),0),0)</f>
        <v>600.66966431157971</v>
      </c>
      <c r="T321" s="60">
        <f t="shared" ref="T321" si="320">IF($A$64&lt;=T285,IF($B$64&gt;=T285,ABS(T320),0),0)</f>
        <v>555.56717256449497</v>
      </c>
      <c r="U321" s="60">
        <f t="shared" ref="U321" si="321">IF($A$64&lt;=U285,IF($B$64&gt;=U285,ABS(U320),0),0)</f>
        <v>3.3400170650020735</v>
      </c>
      <c r="V321" s="60">
        <f t="shared" ref="V321" si="322">IF($A$64&lt;=V285,IF($B$64&gt;=V285,ABS(V320),0),0)</f>
        <v>2687.3903948521811</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8" t="s">
        <v>22</v>
      </c>
      <c r="B326" s="27">
        <f>($C$17+SUM(B327:B357))*$B$51</f>
        <v>5271.1986234051192</v>
      </c>
      <c r="C326" s="27">
        <f t="shared" ref="C326:AF326" si="333">($C$17+SUM(C327:C357))*$B$51</f>
        <v>5180.7392247199969</v>
      </c>
      <c r="D326" s="27">
        <f t="shared" si="333"/>
        <v>4838.8587298891362</v>
      </c>
      <c r="E326" s="27">
        <f t="shared" si="333"/>
        <v>4603.870135207545</v>
      </c>
      <c r="F326" s="27">
        <f t="shared" si="333"/>
        <v>4334.9544309330622</v>
      </c>
      <c r="G326" s="27">
        <f t="shared" si="333"/>
        <v>4064.3245608490529</v>
      </c>
      <c r="H326" s="27">
        <f t="shared" si="333"/>
        <v>3775.0166532287599</v>
      </c>
      <c r="I326" s="27">
        <f t="shared" si="333"/>
        <v>3440.9010729872962</v>
      </c>
      <c r="J326" s="27">
        <f t="shared" si="333"/>
        <v>3007.0216710686741</v>
      </c>
      <c r="K326" s="27">
        <f t="shared" si="333"/>
        <v>2483.2300185325398</v>
      </c>
      <c r="L326" s="27">
        <f t="shared" si="333"/>
        <v>1877.2520200323984</v>
      </c>
      <c r="M326" s="27">
        <f t="shared" si="333"/>
        <v>1225.9299634603278</v>
      </c>
      <c r="N326" s="27">
        <f t="shared" si="333"/>
        <v>718.04626275150633</v>
      </c>
      <c r="O326" s="27">
        <f t="shared" si="333"/>
        <v>402.97551302145104</v>
      </c>
      <c r="P326" s="27">
        <f t="shared" si="333"/>
        <v>224.04944189198545</v>
      </c>
      <c r="Q326" s="27">
        <f t="shared" si="333"/>
        <v>157.42550751644168</v>
      </c>
      <c r="R326" s="27">
        <f t="shared" si="333"/>
        <v>138.40084710269392</v>
      </c>
      <c r="S326" s="27">
        <f t="shared" si="333"/>
        <v>126.95737182056442</v>
      </c>
      <c r="T326" s="27">
        <f t="shared" si="333"/>
        <v>125.29644289691355</v>
      </c>
      <c r="U326" s="27">
        <f t="shared" si="333"/>
        <v>125.18881377554399</v>
      </c>
      <c r="V326" s="27">
        <f t="shared" si="333"/>
        <v>125.03732256857991</v>
      </c>
      <c r="W326" s="27">
        <f t="shared" si="333"/>
        <v>124.89089926721962</v>
      </c>
      <c r="X326" s="27">
        <f t="shared" si="333"/>
        <v>124.71160306595108</v>
      </c>
      <c r="Y326" s="27">
        <f t="shared" si="333"/>
        <v>124.52641114533989</v>
      </c>
      <c r="Z326" s="27">
        <f t="shared" si="333"/>
        <v>124.41983910322395</v>
      </c>
      <c r="AA326" s="27">
        <f t="shared" si="333"/>
        <v>124.38007112156775</v>
      </c>
      <c r="AB326" s="27">
        <f t="shared" si="333"/>
        <v>124.37495064762672</v>
      </c>
      <c r="AC326" s="27">
        <f t="shared" si="333"/>
        <v>124.37053975008966</v>
      </c>
      <c r="AD326" s="27">
        <f t="shared" si="333"/>
        <v>124.36081431919531</v>
      </c>
      <c r="AE326" s="27">
        <f t="shared" si="333"/>
        <v>124.26404411404479</v>
      </c>
      <c r="AF326" s="27">
        <f t="shared" si="333"/>
        <v>123.34276785258302</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7.0009209526796151E-2</v>
      </c>
      <c r="C328" s="3">
        <f t="shared" si="335"/>
        <v>5.5595116743289451E-2</v>
      </c>
      <c r="D328" s="3">
        <f t="shared" si="335"/>
        <v>5.5443593566873277E-3</v>
      </c>
      <c r="E328" s="3">
        <f t="shared" si="335"/>
        <v>5.3950890601756898E-13</v>
      </c>
      <c r="F328" s="3">
        <f t="shared" si="335"/>
        <v>4.1064930147853393E-113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3.5884711202634874E-2</v>
      </c>
      <c r="C329" s="3">
        <f t="shared" si="336"/>
        <v>3.5146164008662391E-2</v>
      </c>
      <c r="D329" s="3">
        <f t="shared" si="336"/>
        <v>2.8547145622613134E-2</v>
      </c>
      <c r="E329" s="3">
        <f t="shared" si="336"/>
        <v>3.5678803481800259E-3</v>
      </c>
      <c r="F329" s="3">
        <f t="shared" si="336"/>
        <v>3.3180749545974588E-12</v>
      </c>
      <c r="G329" s="3">
        <f t="shared" si="336"/>
        <v>1.6056293616492915E-102</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4.9127475734639742E-2</v>
      </c>
      <c r="C330" s="3">
        <f t="shared" si="337"/>
        <v>4.9035400999458169E-2</v>
      </c>
      <c r="D330" s="3">
        <f t="shared" si="337"/>
        <v>4.8124091640011447E-2</v>
      </c>
      <c r="E330" s="3">
        <f t="shared" si="337"/>
        <v>3.9892447699598238E-2</v>
      </c>
      <c r="F330" s="3">
        <f t="shared" si="337"/>
        <v>6.1118414073600986E-3</v>
      </c>
      <c r="G330" s="3">
        <f t="shared" si="337"/>
        <v>4.3549783231910681E-11</v>
      </c>
      <c r="H330" s="3">
        <f t="shared" si="337"/>
        <v>1.4693498388141934E-92</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4.6761904095037263E-2</v>
      </c>
      <c r="C331" s="3">
        <f t="shared" si="338"/>
        <v>4.6753991383102524E-2</v>
      </c>
      <c r="D331" s="3">
        <f t="shared" si="338"/>
        <v>4.6674937867645087E-2</v>
      </c>
      <c r="E331" s="3">
        <f t="shared" si="338"/>
        <v>4.5891717223581846E-2</v>
      </c>
      <c r="F331" s="3">
        <f t="shared" si="338"/>
        <v>3.8747163260713202E-2</v>
      </c>
      <c r="G331" s="3">
        <f t="shared" si="338"/>
        <v>7.1333896986811134E-3</v>
      </c>
      <c r="H331" s="3">
        <f t="shared" si="338"/>
        <v>3.1904822044844458E-10</v>
      </c>
      <c r="I331" s="3">
        <f t="shared" si="338"/>
        <v>1.0220216362356235E-83</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5.0407877004992566E-2</v>
      </c>
      <c r="C332" s="3">
        <f t="shared" si="339"/>
        <v>5.0407107499723137E-2</v>
      </c>
      <c r="D332" s="3">
        <f t="shared" si="339"/>
        <v>5.0399413093081075E-2</v>
      </c>
      <c r="E332" s="3">
        <f t="shared" si="339"/>
        <v>5.0322533595401321E-2</v>
      </c>
      <c r="F332" s="3">
        <f t="shared" si="339"/>
        <v>4.9560159170739242E-2</v>
      </c>
      <c r="G332" s="3">
        <f t="shared" si="339"/>
        <v>4.2543638816492681E-2</v>
      </c>
      <c r="H332" s="3">
        <f t="shared" si="339"/>
        <v>9.2438744327362835E-3</v>
      </c>
      <c r="I332" s="3">
        <f t="shared" si="339"/>
        <v>2.1679441130784393E-9</v>
      </c>
      <c r="J332" s="3">
        <f t="shared" si="339"/>
        <v>1.0914115166134659E-75</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5.7182304093289976E-2</v>
      </c>
      <c r="C333" s="3">
        <f t="shared" si="340"/>
        <v>5.7182225348024994E-2</v>
      </c>
      <c r="D333" s="3">
        <f t="shared" si="340"/>
        <v>5.7181437901339317E-2</v>
      </c>
      <c r="E333" s="3">
        <f t="shared" si="340"/>
        <v>5.7173564030866549E-2</v>
      </c>
      <c r="F333" s="3">
        <f t="shared" si="340"/>
        <v>5.7094884934166992E-2</v>
      </c>
      <c r="G333" s="3">
        <f t="shared" si="340"/>
        <v>5.6314024509807027E-2</v>
      </c>
      <c r="H333" s="3">
        <f t="shared" si="340"/>
        <v>4.9069338162200937E-2</v>
      </c>
      <c r="I333" s="3">
        <f t="shared" si="340"/>
        <v>1.2380738436972087E-2</v>
      </c>
      <c r="J333" s="3">
        <f t="shared" si="340"/>
        <v>1.2945237730420594E-8</v>
      </c>
      <c r="K333" s="3">
        <f t="shared" si="340"/>
        <v>2.0218309889792091E-68</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8.0089930207820598E-2</v>
      </c>
      <c r="C334" s="3">
        <f t="shared" si="341"/>
        <v>8.0089920258633998E-2</v>
      </c>
      <c r="D334" s="3">
        <f t="shared" si="341"/>
        <v>8.008982076683599E-2</v>
      </c>
      <c r="E334" s="3">
        <f t="shared" si="341"/>
        <v>8.0088825855653537E-2</v>
      </c>
      <c r="F334" s="3">
        <f t="shared" si="341"/>
        <v>8.0078877423561193E-2</v>
      </c>
      <c r="G334" s="3">
        <f t="shared" si="341"/>
        <v>7.9979461044619726E-2</v>
      </c>
      <c r="H334" s="3">
        <f t="shared" si="341"/>
        <v>7.8992060328504893E-2</v>
      </c>
      <c r="I334" s="3">
        <f t="shared" si="341"/>
        <v>6.9764281331130065E-2</v>
      </c>
      <c r="J334" s="3">
        <f t="shared" si="341"/>
        <v>2.0143269196066193E-2</v>
      </c>
      <c r="K334" s="3">
        <f t="shared" si="341"/>
        <v>8.1114459063390614E-8</v>
      </c>
      <c r="L334" s="3">
        <f t="shared" si="341"/>
        <v>9.0945553870092776E-62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9.4725402860314389E-2</v>
      </c>
      <c r="C335" s="3">
        <f t="shared" si="342"/>
        <v>9.4725401798807701E-2</v>
      </c>
      <c r="D335" s="3">
        <f t="shared" si="342"/>
        <v>9.4725391183741403E-2</v>
      </c>
      <c r="E335" s="3">
        <f t="shared" si="342"/>
        <v>9.4725285033143924E-2</v>
      </c>
      <c r="F335" s="3">
        <f t="shared" si="342"/>
        <v>9.472422353371153E-2</v>
      </c>
      <c r="G335" s="3">
        <f t="shared" si="342"/>
        <v>9.4713609193604401E-2</v>
      </c>
      <c r="H335" s="3">
        <f t="shared" si="342"/>
        <v>9.4607531187096902E-2</v>
      </c>
      <c r="I335" s="3">
        <f t="shared" si="342"/>
        <v>9.3553263545110968E-2</v>
      </c>
      <c r="J335" s="3">
        <f t="shared" si="342"/>
        <v>8.3635617586118191E-2</v>
      </c>
      <c r="K335" s="3">
        <f t="shared" si="342"/>
        <v>2.7271845525632124E-2</v>
      </c>
      <c r="L335" s="3">
        <f t="shared" si="342"/>
        <v>3.7063559799353535E-7</v>
      </c>
      <c r="M335" s="3">
        <f t="shared" si="342"/>
        <v>7.9666023094699126E-56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0.11171287760484859</v>
      </c>
      <c r="C336" s="3">
        <f t="shared" si="343"/>
        <v>0.11171287749191942</v>
      </c>
      <c r="D336" s="3">
        <f t="shared" si="343"/>
        <v>0.11171287636262781</v>
      </c>
      <c r="E336" s="3">
        <f t="shared" si="343"/>
        <v>0.11171286506971222</v>
      </c>
      <c r="F336" s="3">
        <f t="shared" si="343"/>
        <v>0.1117127521406191</v>
      </c>
      <c r="G336" s="3">
        <f t="shared" si="343"/>
        <v>0.11171162285596672</v>
      </c>
      <c r="H336" s="3">
        <f t="shared" si="343"/>
        <v>0.11170033063728953</v>
      </c>
      <c r="I336" s="3">
        <f t="shared" si="343"/>
        <v>0.11158747121171121</v>
      </c>
      <c r="J336" s="3">
        <f t="shared" si="343"/>
        <v>0.11046512966416165</v>
      </c>
      <c r="K336" s="3">
        <f t="shared" si="343"/>
        <v>9.9844217107896274E-2</v>
      </c>
      <c r="L336" s="3">
        <f t="shared" si="343"/>
        <v>3.6332895434785309E-2</v>
      </c>
      <c r="M336" s="3">
        <f t="shared" si="343"/>
        <v>1.4793500096907833E-6</v>
      </c>
      <c r="N336" s="3">
        <f t="shared" si="343"/>
        <v>1.8525939365499238E-50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0.12486929252076384</v>
      </c>
      <c r="C337" s="3">
        <f t="shared" si="344"/>
        <v>0.12486929250937695</v>
      </c>
      <c r="D337" s="3">
        <f t="shared" si="344"/>
        <v>0.12486929239550805</v>
      </c>
      <c r="E337" s="3">
        <f t="shared" si="344"/>
        <v>0.12486929125681909</v>
      </c>
      <c r="F337" s="3">
        <f t="shared" si="344"/>
        <v>0.12486927986993009</v>
      </c>
      <c r="G337" s="3">
        <f t="shared" si="344"/>
        <v>0.12486916600109706</v>
      </c>
      <c r="H337" s="3">
        <f t="shared" si="344"/>
        <v>0.12486802731847783</v>
      </c>
      <c r="I337" s="3">
        <f t="shared" si="344"/>
        <v>0.12485664106337088</v>
      </c>
      <c r="J337" s="3">
        <f t="shared" si="344"/>
        <v>0.12474283560156733</v>
      </c>
      <c r="K337" s="3">
        <f t="shared" si="344"/>
        <v>0.12361047069483173</v>
      </c>
      <c r="L337" s="3">
        <f t="shared" si="344"/>
        <v>0.11283705471835667</v>
      </c>
      <c r="M337" s="3">
        <f t="shared" si="344"/>
        <v>4.5333218791512732E-2</v>
      </c>
      <c r="N337" s="3">
        <f t="shared" si="344"/>
        <v>4.9666631165653401E-6</v>
      </c>
      <c r="O337" s="3">
        <f t="shared" si="344"/>
        <v>1.2375027495910289E-45</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7.1899142972970786E-2</v>
      </c>
      <c r="C338" s="3">
        <f t="shared" si="345"/>
        <v>7.1899142972379343E-2</v>
      </c>
      <c r="D338" s="3">
        <f t="shared" si="345"/>
        <v>7.1899142966464824E-2</v>
      </c>
      <c r="E338" s="3">
        <f t="shared" si="345"/>
        <v>7.189914290731958E-2</v>
      </c>
      <c r="F338" s="3">
        <f t="shared" si="345"/>
        <v>7.1899142315867234E-2</v>
      </c>
      <c r="G338" s="3">
        <f t="shared" si="345"/>
        <v>7.1899136401343974E-2</v>
      </c>
      <c r="H338" s="3">
        <f t="shared" si="345"/>
        <v>7.1899077256138214E-2</v>
      </c>
      <c r="I338" s="3">
        <f t="shared" si="345"/>
        <v>7.1898485806756493E-2</v>
      </c>
      <c r="J338" s="3">
        <f t="shared" si="345"/>
        <v>7.1892571580525547E-2</v>
      </c>
      <c r="K338" s="3">
        <f t="shared" si="345"/>
        <v>7.1833456068700063E-2</v>
      </c>
      <c r="L338" s="3">
        <f t="shared" si="345"/>
        <v>7.124496787475687E-2</v>
      </c>
      <c r="M338" s="3">
        <f t="shared" si="345"/>
        <v>6.5618836651981413E-2</v>
      </c>
      <c r="N338" s="3">
        <f t="shared" si="345"/>
        <v>2.8825167689335573E-2</v>
      </c>
      <c r="O338" s="3">
        <f t="shared" si="345"/>
        <v>7.7126744707580951E-6</v>
      </c>
      <c r="P338" s="3">
        <f t="shared" si="345"/>
        <v>1.4505629860741612E-41</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4.7675556768577237E-2</v>
      </c>
      <c r="C339" s="3">
        <f t="shared" si="346"/>
        <v>4.7675556768541863E-2</v>
      </c>
      <c r="D339" s="3">
        <f t="shared" si="346"/>
        <v>4.7675556768188077E-2</v>
      </c>
      <c r="E339" s="3">
        <f t="shared" si="346"/>
        <v>4.7675556764650233E-2</v>
      </c>
      <c r="F339" s="3">
        <f t="shared" si="346"/>
        <v>4.7675556729271817E-2</v>
      </c>
      <c r="G339" s="3">
        <f t="shared" si="346"/>
        <v>4.7675556375487635E-2</v>
      </c>
      <c r="H339" s="3">
        <f t="shared" si="346"/>
        <v>4.7675552837645935E-2</v>
      </c>
      <c r="I339" s="3">
        <f t="shared" si="346"/>
        <v>4.7675517459243387E-2</v>
      </c>
      <c r="J339" s="3">
        <f t="shared" si="346"/>
        <v>4.7675163676661789E-2</v>
      </c>
      <c r="K339" s="3">
        <f t="shared" si="346"/>
        <v>4.7671625995233648E-2</v>
      </c>
      <c r="L339" s="3">
        <f t="shared" si="346"/>
        <v>4.7636263615768587E-2</v>
      </c>
      <c r="M339" s="3">
        <f t="shared" si="346"/>
        <v>4.7284079347326029E-2</v>
      </c>
      <c r="N339" s="3">
        <f t="shared" si="346"/>
        <v>4.3902314085678615E-2</v>
      </c>
      <c r="O339" s="3">
        <f t="shared" si="346"/>
        <v>2.090317047783042E-2</v>
      </c>
      <c r="P339" s="3">
        <f t="shared" si="346"/>
        <v>1.251583021341887E-5</v>
      </c>
      <c r="Q339" s="3">
        <f t="shared" si="346"/>
        <v>7.4119873220847807E-38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1.9951380582977987E-2</v>
      </c>
      <c r="C340" s="3">
        <f t="shared" si="347"/>
        <v>1.9951380582976651E-2</v>
      </c>
      <c r="D340" s="3">
        <f t="shared" si="347"/>
        <v>1.9951380582963297E-2</v>
      </c>
      <c r="E340" s="3">
        <f t="shared" si="347"/>
        <v>1.9951380582829741E-2</v>
      </c>
      <c r="F340" s="3">
        <f t="shared" si="347"/>
        <v>1.9951380581494184E-2</v>
      </c>
      <c r="G340" s="3">
        <f t="shared" si="347"/>
        <v>1.9951380568138621E-2</v>
      </c>
      <c r="H340" s="3">
        <f t="shared" si="347"/>
        <v>1.9951380434582996E-2</v>
      </c>
      <c r="I340" s="3">
        <f t="shared" si="347"/>
        <v>1.9951379099026792E-2</v>
      </c>
      <c r="J340" s="3">
        <f t="shared" si="347"/>
        <v>1.9951365743469677E-2</v>
      </c>
      <c r="K340" s="3">
        <f t="shared" si="347"/>
        <v>1.995123218839023E-2</v>
      </c>
      <c r="L340" s="3">
        <f t="shared" si="347"/>
        <v>1.9949896686765993E-2</v>
      </c>
      <c r="M340" s="3">
        <f t="shared" si="347"/>
        <v>1.9936546586328055E-2</v>
      </c>
      <c r="N340" s="3">
        <f t="shared" si="347"/>
        <v>1.9803535947023616E-2</v>
      </c>
      <c r="O340" s="3">
        <f t="shared" si="347"/>
        <v>1.8521272966200448E-2</v>
      </c>
      <c r="P340" s="3">
        <f t="shared" si="347"/>
        <v>9.4831309189892694E-3</v>
      </c>
      <c r="Q340" s="3">
        <f t="shared" si="347"/>
        <v>1.1742508534154787E-5</v>
      </c>
      <c r="R340" s="3">
        <f t="shared" si="347"/>
        <v>9.9506687011975108E-35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3.72297268541352E-3</v>
      </c>
      <c r="C341" s="3">
        <f t="shared" si="348"/>
        <v>3.7229726854134978E-3</v>
      </c>
      <c r="D341" s="3">
        <f t="shared" si="348"/>
        <v>3.7229726854132728E-3</v>
      </c>
      <c r="E341" s="3">
        <f t="shared" si="348"/>
        <v>3.722972685411025E-3</v>
      </c>
      <c r="F341" s="3">
        <f t="shared" si="348"/>
        <v>3.7229726853885434E-3</v>
      </c>
      <c r="G341" s="3">
        <f t="shared" si="348"/>
        <v>3.722972685163728E-3</v>
      </c>
      <c r="H341" s="3">
        <f t="shared" si="348"/>
        <v>3.7229726829155758E-3</v>
      </c>
      <c r="I341" s="3">
        <f t="shared" si="348"/>
        <v>3.7229726604340557E-3</v>
      </c>
      <c r="J341" s="3">
        <f t="shared" si="348"/>
        <v>3.7229724356188623E-3</v>
      </c>
      <c r="K341" s="3">
        <f t="shared" si="348"/>
        <v>3.7229701874676746E-3</v>
      </c>
      <c r="L341" s="3">
        <f t="shared" si="348"/>
        <v>3.7229477060304627E-3</v>
      </c>
      <c r="M341" s="3">
        <f t="shared" si="348"/>
        <v>3.7227228991247811E-3</v>
      </c>
      <c r="N341" s="3">
        <f t="shared" si="348"/>
        <v>3.7204755765448713E-3</v>
      </c>
      <c r="O341" s="3">
        <f t="shared" si="348"/>
        <v>3.6980768319219309E-3</v>
      </c>
      <c r="P341" s="3">
        <f t="shared" si="348"/>
        <v>3.4813737453202329E-3</v>
      </c>
      <c r="Q341" s="3">
        <f t="shared" si="348"/>
        <v>1.9032588089974182E-3</v>
      </c>
      <c r="R341" s="3">
        <f t="shared" si="348"/>
        <v>4.539100894333429E-6</v>
      </c>
      <c r="S341" s="3">
        <f t="shared" si="348"/>
        <v>2.7020271810949834E-32</v>
      </c>
      <c r="T341" s="3">
        <f t="shared" si="348"/>
        <v>1.509692459273908E-294</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3.2258116785225379E-3</v>
      </c>
      <c r="C342" s="3">
        <f t="shared" si="349"/>
        <v>3.2258116785225366E-3</v>
      </c>
      <c r="D342" s="3">
        <f t="shared" si="349"/>
        <v>3.2258116785225189E-3</v>
      </c>
      <c r="E342" s="3">
        <f t="shared" si="349"/>
        <v>3.2258116785223432E-3</v>
      </c>
      <c r="F342" s="3">
        <f t="shared" si="349"/>
        <v>3.2258116785205859E-3</v>
      </c>
      <c r="G342" s="3">
        <f t="shared" si="349"/>
        <v>3.2258116785030136E-3</v>
      </c>
      <c r="H342" s="3">
        <f t="shared" si="349"/>
        <v>3.2258116783272939E-3</v>
      </c>
      <c r="I342" s="3">
        <f t="shared" si="349"/>
        <v>3.2258116765700932E-3</v>
      </c>
      <c r="J342" s="3">
        <f t="shared" si="349"/>
        <v>3.2258116589980834E-3</v>
      </c>
      <c r="K342" s="3">
        <f t="shared" si="349"/>
        <v>3.2258114832779961E-3</v>
      </c>
      <c r="L342" s="3">
        <f t="shared" si="349"/>
        <v>3.2258097260776477E-3</v>
      </c>
      <c r="M342" s="3">
        <f t="shared" si="349"/>
        <v>3.2257921541268102E-3</v>
      </c>
      <c r="N342" s="3">
        <f t="shared" si="349"/>
        <v>3.225616439882931E-3</v>
      </c>
      <c r="O342" s="3">
        <f t="shared" si="349"/>
        <v>3.2238598237876517E-3</v>
      </c>
      <c r="P342" s="3">
        <f t="shared" si="349"/>
        <v>3.2063461912558468E-3</v>
      </c>
      <c r="Q342" s="3">
        <f t="shared" si="349"/>
        <v>3.0363583616168925E-3</v>
      </c>
      <c r="R342" s="3">
        <f t="shared" si="349"/>
        <v>1.7610803981782533E-3</v>
      </c>
      <c r="S342" s="3">
        <f t="shared" si="349"/>
        <v>7.5864874333832762E-6</v>
      </c>
      <c r="T342" s="3">
        <f t="shared" si="349"/>
        <v>1.6697687884329467E-29</v>
      </c>
      <c r="U342" s="3">
        <f t="shared" si="349"/>
        <v>4.4546367964331581E-266</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4.6514491459037388E-4</v>
      </c>
      <c r="C343" s="3">
        <f t="shared" si="350"/>
        <v>4.6514491459037388E-4</v>
      </c>
      <c r="D343" s="3">
        <f t="shared" si="350"/>
        <v>4.6514491459037361E-4</v>
      </c>
      <c r="E343" s="3">
        <f t="shared" si="350"/>
        <v>4.6514491459037134E-4</v>
      </c>
      <c r="F343" s="3">
        <f t="shared" si="350"/>
        <v>4.6514491459034846E-4</v>
      </c>
      <c r="G343" s="3">
        <f t="shared" si="350"/>
        <v>4.6514491459011991E-4</v>
      </c>
      <c r="H343" s="3">
        <f t="shared" si="350"/>
        <v>4.6514491458783419E-4</v>
      </c>
      <c r="I343" s="3">
        <f t="shared" si="350"/>
        <v>4.6514491456497732E-4</v>
      </c>
      <c r="J343" s="3">
        <f t="shared" si="350"/>
        <v>4.6514491433640836E-4</v>
      </c>
      <c r="K343" s="3">
        <f t="shared" si="350"/>
        <v>4.651449120507186E-4</v>
      </c>
      <c r="L343" s="3">
        <f t="shared" si="350"/>
        <v>4.6514488919382167E-4</v>
      </c>
      <c r="M343" s="3">
        <f t="shared" si="350"/>
        <v>4.6514466062491379E-4</v>
      </c>
      <c r="N343" s="3">
        <f t="shared" si="350"/>
        <v>4.6514237494201302E-4</v>
      </c>
      <c r="O343" s="3">
        <f t="shared" si="350"/>
        <v>4.6511951873073702E-4</v>
      </c>
      <c r="P343" s="3">
        <f t="shared" si="350"/>
        <v>4.6489101837996269E-4</v>
      </c>
      <c r="Q343" s="3">
        <f t="shared" si="350"/>
        <v>4.6261217985621206E-4</v>
      </c>
      <c r="R343" s="3">
        <f t="shared" si="350"/>
        <v>4.4042922993162365E-4</v>
      </c>
      <c r="S343" s="3">
        <f t="shared" si="350"/>
        <v>2.6944296299623337E-4</v>
      </c>
      <c r="T343" s="3">
        <f t="shared" si="350"/>
        <v>1.9786727007619073E-6</v>
      </c>
      <c r="U343" s="3">
        <f t="shared" si="350"/>
        <v>9.0249566574240139E-28</v>
      </c>
      <c r="V343" s="3">
        <f t="shared" si="350"/>
        <v>3.5168735542612248E-241</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1.1429544870574336E-5</v>
      </c>
      <c r="C344" s="3">
        <f t="shared" si="351"/>
        <v>1.1429544870574336E-5</v>
      </c>
      <c r="D344" s="3">
        <f t="shared" si="351"/>
        <v>1.1429544870574336E-5</v>
      </c>
      <c r="E344" s="3">
        <f t="shared" si="351"/>
        <v>1.1429544870574331E-5</v>
      </c>
      <c r="F344" s="3">
        <f t="shared" si="351"/>
        <v>1.142954487057428E-5</v>
      </c>
      <c r="G344" s="3">
        <f t="shared" si="351"/>
        <v>1.1429544870573772E-5</v>
      </c>
      <c r="H344" s="3">
        <f t="shared" si="351"/>
        <v>1.1429544870568706E-5</v>
      </c>
      <c r="I344" s="3">
        <f t="shared" si="351"/>
        <v>1.1429544870518042E-5</v>
      </c>
      <c r="J344" s="3">
        <f t="shared" si="351"/>
        <v>1.1429544870011396E-5</v>
      </c>
      <c r="K344" s="3">
        <f t="shared" si="351"/>
        <v>1.1429544864944936E-5</v>
      </c>
      <c r="L344" s="3">
        <f t="shared" si="351"/>
        <v>1.1429544814280346E-5</v>
      </c>
      <c r="M344" s="3">
        <f t="shared" si="351"/>
        <v>1.1429544307634458E-5</v>
      </c>
      <c r="N344" s="3">
        <f t="shared" si="351"/>
        <v>1.1429539241176812E-5</v>
      </c>
      <c r="O344" s="3">
        <f t="shared" si="351"/>
        <v>1.142948857672386E-5</v>
      </c>
      <c r="P344" s="3">
        <f t="shared" si="351"/>
        <v>1.1428981944546277E-5</v>
      </c>
      <c r="Q344" s="3">
        <f t="shared" si="351"/>
        <v>1.1423916857761124E-5</v>
      </c>
      <c r="R344" s="3">
        <f t="shared" si="351"/>
        <v>1.1373389286663248E-5</v>
      </c>
      <c r="S344" s="3">
        <f t="shared" si="351"/>
        <v>1.088024340415259E-5</v>
      </c>
      <c r="T344" s="3">
        <f t="shared" si="351"/>
        <v>6.9843449258684887E-6</v>
      </c>
      <c r="U344" s="3">
        <f t="shared" si="351"/>
        <v>8.2984380950612212E-8</v>
      </c>
      <c r="V344" s="3">
        <f t="shared" si="351"/>
        <v>4.6526796724298879E-27</v>
      </c>
      <c r="W344" s="3">
        <f t="shared" si="351"/>
        <v>1.4281410421682158E-219</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2.5915484418969715E-5</v>
      </c>
      <c r="C345" s="3">
        <f t="shared" si="352"/>
        <v>2.5915484418969715E-5</v>
      </c>
      <c r="D345" s="3">
        <f t="shared" si="352"/>
        <v>2.5915484418969715E-5</v>
      </c>
      <c r="E345" s="3">
        <f t="shared" si="352"/>
        <v>2.5915484418969715E-5</v>
      </c>
      <c r="F345" s="3">
        <f t="shared" si="352"/>
        <v>2.5915484418969705E-5</v>
      </c>
      <c r="G345" s="3">
        <f t="shared" si="352"/>
        <v>2.59154844189696E-5</v>
      </c>
      <c r="H345" s="3">
        <f t="shared" si="352"/>
        <v>2.5915484418968563E-5</v>
      </c>
      <c r="I345" s="3">
        <f t="shared" si="352"/>
        <v>2.5915484418958202E-5</v>
      </c>
      <c r="J345" s="3">
        <f t="shared" si="352"/>
        <v>2.5915484418854573E-5</v>
      </c>
      <c r="K345" s="3">
        <f t="shared" si="352"/>
        <v>2.5915484417818282E-5</v>
      </c>
      <c r="L345" s="3">
        <f t="shared" si="352"/>
        <v>2.5915484407455376E-5</v>
      </c>
      <c r="M345" s="3">
        <f t="shared" si="352"/>
        <v>2.5915484303826326E-5</v>
      </c>
      <c r="N345" s="3">
        <f t="shared" si="352"/>
        <v>2.5915483267535847E-5</v>
      </c>
      <c r="O345" s="3">
        <f t="shared" si="352"/>
        <v>2.5915472904633318E-5</v>
      </c>
      <c r="P345" s="3">
        <f t="shared" si="352"/>
        <v>2.5915369275835952E-5</v>
      </c>
      <c r="Q345" s="3">
        <f t="shared" si="352"/>
        <v>2.591433301065308E-5</v>
      </c>
      <c r="R345" s="3">
        <f t="shared" si="352"/>
        <v>2.5903972637565584E-5</v>
      </c>
      <c r="S345" s="3">
        <f t="shared" si="352"/>
        <v>2.580059644402424E-5</v>
      </c>
      <c r="T345" s="3">
        <f t="shared" si="352"/>
        <v>2.4789255164020802E-5</v>
      </c>
      <c r="U345" s="3">
        <f t="shared" si="352"/>
        <v>1.6618843481076732E-5</v>
      </c>
      <c r="V345" s="3">
        <f t="shared" si="352"/>
        <v>3.0477124920110587E-7</v>
      </c>
      <c r="W345" s="3">
        <f t="shared" si="352"/>
        <v>1.3113118040926099E-24</v>
      </c>
      <c r="X345" s="3">
        <f t="shared" si="352"/>
        <v>2.8511871534948084E-198</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2.9552981931303355E-5</v>
      </c>
      <c r="C346" s="3">
        <f t="shared" si="353"/>
        <v>2.9552981931303355E-5</v>
      </c>
      <c r="D346" s="3">
        <f t="shared" si="353"/>
        <v>2.9552981931303355E-5</v>
      </c>
      <c r="E346" s="3">
        <f t="shared" si="353"/>
        <v>2.9552981931303355E-5</v>
      </c>
      <c r="F346" s="3">
        <f t="shared" si="353"/>
        <v>2.9552981931303355E-5</v>
      </c>
      <c r="G346" s="3">
        <f t="shared" si="353"/>
        <v>2.9552981931303342E-5</v>
      </c>
      <c r="H346" s="3">
        <f t="shared" si="353"/>
        <v>2.9552981931303237E-5</v>
      </c>
      <c r="I346" s="3">
        <f t="shared" si="353"/>
        <v>2.9552981931302169E-5</v>
      </c>
      <c r="J346" s="3">
        <f t="shared" si="353"/>
        <v>2.955298193129151E-5</v>
      </c>
      <c r="K346" s="3">
        <f t="shared" si="353"/>
        <v>2.9552981931184906E-5</v>
      </c>
      <c r="L346" s="3">
        <f t="shared" si="353"/>
        <v>2.9552981930118878E-5</v>
      </c>
      <c r="M346" s="3">
        <f t="shared" si="353"/>
        <v>2.9552981919458562E-5</v>
      </c>
      <c r="N346" s="3">
        <f t="shared" si="353"/>
        <v>2.9552981812855396E-5</v>
      </c>
      <c r="O346" s="3">
        <f t="shared" si="353"/>
        <v>2.9552980746823801E-5</v>
      </c>
      <c r="P346" s="3">
        <f t="shared" si="353"/>
        <v>2.9552970086509932E-5</v>
      </c>
      <c r="Q346" s="3">
        <f t="shared" si="353"/>
        <v>2.9552863483582753E-5</v>
      </c>
      <c r="R346" s="3">
        <f t="shared" si="353"/>
        <v>2.9551797475460243E-5</v>
      </c>
      <c r="S346" s="3">
        <f t="shared" si="353"/>
        <v>2.9541139508878598E-5</v>
      </c>
      <c r="T346" s="3">
        <f t="shared" si="353"/>
        <v>2.9434771025447488E-5</v>
      </c>
      <c r="U346" s="3">
        <f t="shared" si="353"/>
        <v>2.8391925271961527E-5</v>
      </c>
      <c r="V346" s="3">
        <f t="shared" si="353"/>
        <v>1.9794140944740068E-5</v>
      </c>
      <c r="W346" s="3">
        <f t="shared" si="353"/>
        <v>5.3697591795819013E-7</v>
      </c>
      <c r="X346" s="3">
        <f t="shared" si="353"/>
        <v>1.1591411311305095E-22</v>
      </c>
      <c r="Y346" s="3">
        <f t="shared" si="353"/>
        <v>2.5465452190179731E-179</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3.2731039559542382E-6</v>
      </c>
      <c r="C347" s="3">
        <f t="shared" si="354"/>
        <v>3.2731039559542382E-6</v>
      </c>
      <c r="D347" s="3">
        <f t="shared" si="354"/>
        <v>3.2731039559542382E-6</v>
      </c>
      <c r="E347" s="3">
        <f t="shared" si="354"/>
        <v>3.2731039559542382E-6</v>
      </c>
      <c r="F347" s="3">
        <f t="shared" si="354"/>
        <v>3.2731039559542382E-6</v>
      </c>
      <c r="G347" s="3">
        <f t="shared" si="354"/>
        <v>3.2731039559542382E-6</v>
      </c>
      <c r="H347" s="3">
        <f t="shared" si="354"/>
        <v>3.2731039559542369E-6</v>
      </c>
      <c r="I347" s="3">
        <f t="shared" si="354"/>
        <v>3.2731039559542263E-6</v>
      </c>
      <c r="J347" s="3">
        <f t="shared" si="354"/>
        <v>3.2731039559541196E-6</v>
      </c>
      <c r="K347" s="3">
        <f t="shared" si="354"/>
        <v>3.2731039559530545E-6</v>
      </c>
      <c r="L347" s="3">
        <f t="shared" si="354"/>
        <v>3.2731039559424043E-6</v>
      </c>
      <c r="M347" s="3">
        <f t="shared" si="354"/>
        <v>3.273103955835898E-6</v>
      </c>
      <c r="N347" s="3">
        <f t="shared" si="354"/>
        <v>3.2731039547708349E-6</v>
      </c>
      <c r="O347" s="3">
        <f t="shared" si="354"/>
        <v>3.2731039441202083E-6</v>
      </c>
      <c r="P347" s="3">
        <f t="shared" si="354"/>
        <v>3.2731038376139421E-6</v>
      </c>
      <c r="Q347" s="3">
        <f t="shared" si="354"/>
        <v>3.2731027725514692E-6</v>
      </c>
      <c r="R347" s="3">
        <f t="shared" si="354"/>
        <v>3.2730921219458031E-6</v>
      </c>
      <c r="S347" s="3">
        <f t="shared" si="354"/>
        <v>3.2729856177952488E-6</v>
      </c>
      <c r="T347" s="3">
        <f t="shared" si="354"/>
        <v>3.2719207668775229E-6</v>
      </c>
      <c r="U347" s="3">
        <f t="shared" si="354"/>
        <v>3.2612912935554966E-6</v>
      </c>
      <c r="V347" s="3">
        <f t="shared" si="354"/>
        <v>3.1568774252999754E-6</v>
      </c>
      <c r="W347" s="3">
        <f t="shared" si="354"/>
        <v>2.2800218239114056E-6</v>
      </c>
      <c r="X347" s="3">
        <f t="shared" si="354"/>
        <v>8.8054559520526977E-8</v>
      </c>
      <c r="Y347" s="3">
        <f t="shared" si="354"/>
        <v>6.4995052396192753E-22</v>
      </c>
      <c r="Z347" s="3">
        <f t="shared" si="354"/>
        <v>3.1200732560908462E-163</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4.7316671387144988E-5</v>
      </c>
      <c r="C348" s="3">
        <f t="shared" si="355"/>
        <v>4.7316671387144988E-5</v>
      </c>
      <c r="D348" s="3">
        <f t="shared" si="355"/>
        <v>4.7316671387144988E-5</v>
      </c>
      <c r="E348" s="3">
        <f t="shared" si="355"/>
        <v>4.7316671387144988E-5</v>
      </c>
      <c r="F348" s="3">
        <f t="shared" si="355"/>
        <v>4.7316671387144988E-5</v>
      </c>
      <c r="G348" s="3">
        <f t="shared" si="355"/>
        <v>4.7316671387144988E-5</v>
      </c>
      <c r="H348" s="3">
        <f t="shared" si="355"/>
        <v>4.7316671387144982E-5</v>
      </c>
      <c r="I348" s="3">
        <f t="shared" si="355"/>
        <v>4.7316671387144941E-5</v>
      </c>
      <c r="J348" s="3">
        <f t="shared" si="355"/>
        <v>4.7316671387144514E-5</v>
      </c>
      <c r="K348" s="3">
        <f t="shared" si="355"/>
        <v>4.7316671387140259E-5</v>
      </c>
      <c r="L348" s="3">
        <f t="shared" si="355"/>
        <v>4.731667138709767E-5</v>
      </c>
      <c r="M348" s="3">
        <f t="shared" si="355"/>
        <v>4.7316671386671836E-5</v>
      </c>
      <c r="N348" s="3">
        <f t="shared" si="355"/>
        <v>4.7316671382413476E-5</v>
      </c>
      <c r="O348" s="3">
        <f t="shared" si="355"/>
        <v>4.731667133982987E-5</v>
      </c>
      <c r="P348" s="3">
        <f t="shared" si="355"/>
        <v>4.7316670913993834E-5</v>
      </c>
      <c r="Q348" s="3">
        <f t="shared" si="355"/>
        <v>4.7316666655633643E-5</v>
      </c>
      <c r="R348" s="3">
        <f t="shared" si="355"/>
        <v>4.7316624072052789E-5</v>
      </c>
      <c r="S348" s="3">
        <f t="shared" si="355"/>
        <v>4.7316198238352111E-5</v>
      </c>
      <c r="T348" s="3">
        <f t="shared" si="355"/>
        <v>4.7311940112119413E-5</v>
      </c>
      <c r="U348" s="3">
        <f t="shared" si="355"/>
        <v>4.7269379920186888E-5</v>
      </c>
      <c r="V348" s="3">
        <f t="shared" si="355"/>
        <v>4.6845878040953594E-5</v>
      </c>
      <c r="W348" s="3">
        <f t="shared" si="355"/>
        <v>4.2814035518607275E-5</v>
      </c>
      <c r="X348" s="3">
        <f t="shared" si="355"/>
        <v>1.7407402885725569E-5</v>
      </c>
      <c r="Y348" s="3">
        <f t="shared" si="355"/>
        <v>2.1488798842016854E-9</v>
      </c>
      <c r="Z348" s="3">
        <f t="shared" si="355"/>
        <v>1.7660123452604207E-48</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2.2741722122049058E-5</v>
      </c>
      <c r="C349" s="3">
        <f t="shared" si="356"/>
        <v>2.2741722122049058E-5</v>
      </c>
      <c r="D349" s="3">
        <f t="shared" si="356"/>
        <v>2.2741722122049058E-5</v>
      </c>
      <c r="E349" s="3">
        <f t="shared" si="356"/>
        <v>2.2741722122049058E-5</v>
      </c>
      <c r="F349" s="3">
        <f t="shared" si="356"/>
        <v>2.2741722122049058E-5</v>
      </c>
      <c r="G349" s="3">
        <f t="shared" si="356"/>
        <v>2.2741722122049058E-5</v>
      </c>
      <c r="H349" s="3">
        <f t="shared" si="356"/>
        <v>2.2741722122049058E-5</v>
      </c>
      <c r="I349" s="3">
        <f t="shared" si="356"/>
        <v>2.2741722122049055E-5</v>
      </c>
      <c r="J349" s="3">
        <f t="shared" si="356"/>
        <v>2.2741722122049035E-5</v>
      </c>
      <c r="K349" s="3">
        <f t="shared" si="356"/>
        <v>2.2741722122048831E-5</v>
      </c>
      <c r="L349" s="3">
        <f t="shared" si="356"/>
        <v>2.2741722122046785E-5</v>
      </c>
      <c r="M349" s="3">
        <f t="shared" si="356"/>
        <v>2.2741722122026317E-5</v>
      </c>
      <c r="N349" s="3">
        <f t="shared" si="356"/>
        <v>2.274172212182165E-5</v>
      </c>
      <c r="O349" s="3">
        <f t="shared" si="356"/>
        <v>2.2741722119774961E-5</v>
      </c>
      <c r="P349" s="3">
        <f t="shared" si="356"/>
        <v>2.2741722099308084E-5</v>
      </c>
      <c r="Q349" s="3">
        <f t="shared" si="356"/>
        <v>2.2741721894639316E-5</v>
      </c>
      <c r="R349" s="3">
        <f t="shared" si="356"/>
        <v>2.2741719847951725E-5</v>
      </c>
      <c r="S349" s="3">
        <f t="shared" si="356"/>
        <v>2.274169938108594E-5</v>
      </c>
      <c r="T349" s="3">
        <f t="shared" si="356"/>
        <v>2.274149471344117E-5</v>
      </c>
      <c r="U349" s="3">
        <f t="shared" si="356"/>
        <v>2.273944813829745E-5</v>
      </c>
      <c r="V349" s="3">
        <f t="shared" si="356"/>
        <v>2.2718992513883988E-5</v>
      </c>
      <c r="W349" s="3">
        <f t="shared" si="356"/>
        <v>2.251544560804002E-5</v>
      </c>
      <c r="X349" s="3">
        <f t="shared" si="356"/>
        <v>2.0577628775303725E-5</v>
      </c>
      <c r="Y349" s="3">
        <f t="shared" si="356"/>
        <v>8.366487068684148E-6</v>
      </c>
      <c r="Z349" s="3">
        <f t="shared" si="356"/>
        <v>1.032812067449286E-9</v>
      </c>
      <c r="AA349" s="3">
        <f t="shared" si="356"/>
        <v>8.4879516759354977E-49</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1.7857506760164985E-5</v>
      </c>
      <c r="C350" s="3">
        <f t="shared" si="357"/>
        <v>1.7857506760164985E-5</v>
      </c>
      <c r="D350" s="3">
        <f t="shared" si="357"/>
        <v>1.7857506760164985E-5</v>
      </c>
      <c r="E350" s="3">
        <f t="shared" si="357"/>
        <v>1.7857506760164985E-5</v>
      </c>
      <c r="F350" s="3">
        <f t="shared" si="357"/>
        <v>1.7857506760164985E-5</v>
      </c>
      <c r="G350" s="3">
        <f t="shared" si="357"/>
        <v>1.7857506760164985E-5</v>
      </c>
      <c r="H350" s="3">
        <f t="shared" si="357"/>
        <v>1.7857506760164985E-5</v>
      </c>
      <c r="I350" s="3">
        <f t="shared" si="357"/>
        <v>1.7857506760164985E-5</v>
      </c>
      <c r="J350" s="3">
        <f t="shared" si="357"/>
        <v>1.7857506760164981E-5</v>
      </c>
      <c r="K350" s="3">
        <f t="shared" si="357"/>
        <v>1.7857506760164968E-5</v>
      </c>
      <c r="L350" s="3">
        <f t="shared" si="357"/>
        <v>1.7857506760164805E-5</v>
      </c>
      <c r="M350" s="3">
        <f t="shared" si="357"/>
        <v>1.7857506760163199E-5</v>
      </c>
      <c r="N350" s="3">
        <f t="shared" si="357"/>
        <v>1.7857506760147129E-5</v>
      </c>
      <c r="O350" s="3">
        <f t="shared" si="357"/>
        <v>1.7857506759986417E-5</v>
      </c>
      <c r="P350" s="3">
        <f t="shared" si="357"/>
        <v>1.7857506758379294E-5</v>
      </c>
      <c r="Q350" s="3">
        <f t="shared" si="357"/>
        <v>1.7857506742308067E-5</v>
      </c>
      <c r="R350" s="3">
        <f t="shared" si="357"/>
        <v>1.7857506581595789E-5</v>
      </c>
      <c r="S350" s="3">
        <f t="shared" si="357"/>
        <v>1.7857504974473104E-5</v>
      </c>
      <c r="T350" s="3">
        <f t="shared" si="357"/>
        <v>1.7857488903254217E-5</v>
      </c>
      <c r="U350" s="3">
        <f t="shared" si="357"/>
        <v>1.7857328191860839E-5</v>
      </c>
      <c r="V350" s="3">
        <f t="shared" si="357"/>
        <v>1.7855721157474084E-5</v>
      </c>
      <c r="W350" s="3">
        <f t="shared" si="357"/>
        <v>1.7839658765660203E-5</v>
      </c>
      <c r="X350" s="3">
        <f t="shared" si="357"/>
        <v>1.7679827411305765E-5</v>
      </c>
      <c r="Y350" s="3">
        <f t="shared" si="357"/>
        <v>1.6158193429286467E-5</v>
      </c>
      <c r="Z350" s="3">
        <f t="shared" si="357"/>
        <v>6.5696255800701231E-6</v>
      </c>
      <c r="AA350" s="3">
        <f t="shared" si="357"/>
        <v>8.109961232255976E-10</v>
      </c>
      <c r="AB350" s="3">
        <f t="shared" si="357"/>
        <v>6.6650033634002947E-49</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1.5759572914912317E-6</v>
      </c>
      <c r="C352" s="3">
        <f t="shared" si="359"/>
        <v>1.5759572914912317E-6</v>
      </c>
      <c r="D352" s="3">
        <f t="shared" si="359"/>
        <v>1.5759572914912317E-6</v>
      </c>
      <c r="E352" s="3">
        <f t="shared" si="359"/>
        <v>1.5759572914912317E-6</v>
      </c>
      <c r="F352" s="3">
        <f t="shared" si="359"/>
        <v>1.5759572914912317E-6</v>
      </c>
      <c r="G352" s="3">
        <f t="shared" si="359"/>
        <v>1.5759572914912317E-6</v>
      </c>
      <c r="H352" s="3">
        <f t="shared" si="359"/>
        <v>1.5759572914912317E-6</v>
      </c>
      <c r="I352" s="3">
        <f t="shared" si="359"/>
        <v>1.5759572914912317E-6</v>
      </c>
      <c r="J352" s="3">
        <f t="shared" si="359"/>
        <v>1.5759572914912317E-6</v>
      </c>
      <c r="K352" s="3">
        <f t="shared" si="359"/>
        <v>1.5759572914912317E-6</v>
      </c>
      <c r="L352" s="3">
        <f t="shared" si="359"/>
        <v>1.5759572914912315E-6</v>
      </c>
      <c r="M352" s="3">
        <f t="shared" si="359"/>
        <v>1.5759572914912302E-6</v>
      </c>
      <c r="N352" s="3">
        <f t="shared" si="359"/>
        <v>1.575957291491216E-6</v>
      </c>
      <c r="O352" s="3">
        <f t="shared" si="359"/>
        <v>1.5759572914910741E-6</v>
      </c>
      <c r="P352" s="3">
        <f t="shared" si="359"/>
        <v>1.5759572914896558E-6</v>
      </c>
      <c r="Q352" s="3">
        <f t="shared" si="359"/>
        <v>1.5759572914754726E-6</v>
      </c>
      <c r="R352" s="3">
        <f t="shared" si="359"/>
        <v>1.5759572913336412E-6</v>
      </c>
      <c r="S352" s="3">
        <f t="shared" si="359"/>
        <v>1.5759572899153262E-6</v>
      </c>
      <c r="T352" s="3">
        <f t="shared" si="359"/>
        <v>1.5759572757321769E-6</v>
      </c>
      <c r="U352" s="3">
        <f t="shared" si="359"/>
        <v>1.5759571339006915E-6</v>
      </c>
      <c r="V352" s="3">
        <f t="shared" si="359"/>
        <v>1.5759557155865377E-6</v>
      </c>
      <c r="W352" s="3">
        <f t="shared" si="359"/>
        <v>1.5759415325152041E-6</v>
      </c>
      <c r="X352" s="3">
        <f t="shared" si="359"/>
        <v>1.5757997088220368E-6</v>
      </c>
      <c r="Y352" s="3">
        <f t="shared" si="359"/>
        <v>1.5743821736734938E-6</v>
      </c>
      <c r="Z352" s="3">
        <f t="shared" si="359"/>
        <v>1.5602767673764805E-6</v>
      </c>
      <c r="AA352" s="3">
        <f t="shared" si="359"/>
        <v>1.4259898144915752E-6</v>
      </c>
      <c r="AB352" s="3">
        <f t="shared" si="359"/>
        <v>5.7978134766127728E-7</v>
      </c>
      <c r="AC352" s="3">
        <f t="shared" si="359"/>
        <v>7.1571875678612016E-11</v>
      </c>
      <c r="AD352" s="3">
        <f t="shared" si="359"/>
        <v>5.881986096623062E-50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1.823122872957775E-3</v>
      </c>
      <c r="C357" s="3">
        <f t="shared" si="364"/>
        <v>1.823122872957775E-3</v>
      </c>
      <c r="D357" s="3">
        <f t="shared" si="364"/>
        <v>1.823122872957775E-3</v>
      </c>
      <c r="E357" s="3">
        <f t="shared" si="364"/>
        <v>1.823122872957775E-3</v>
      </c>
      <c r="F357" s="3">
        <f t="shared" si="364"/>
        <v>1.823122872957775E-3</v>
      </c>
      <c r="G357" s="3">
        <f t="shared" si="364"/>
        <v>1.823122872957775E-3</v>
      </c>
      <c r="H357" s="3">
        <f t="shared" si="364"/>
        <v>1.823122872957775E-3</v>
      </c>
      <c r="I357" s="3">
        <f t="shared" si="364"/>
        <v>1.823122872957775E-3</v>
      </c>
      <c r="J357" s="3">
        <f t="shared" si="364"/>
        <v>1.823122872957775E-3</v>
      </c>
      <c r="K357" s="3">
        <f t="shared" si="364"/>
        <v>1.823122872957775E-3</v>
      </c>
      <c r="L357" s="3">
        <f t="shared" si="364"/>
        <v>1.823122872957775E-3</v>
      </c>
      <c r="M357" s="3">
        <f t="shared" si="364"/>
        <v>1.823122872957775E-3</v>
      </c>
      <c r="N357" s="3">
        <f t="shared" si="364"/>
        <v>1.823122872957775E-3</v>
      </c>
      <c r="O357" s="3">
        <f t="shared" si="364"/>
        <v>1.823122872957775E-3</v>
      </c>
      <c r="P357" s="3">
        <f t="shared" si="364"/>
        <v>1.823122872957775E-3</v>
      </c>
      <c r="Q357" s="3">
        <f t="shared" si="364"/>
        <v>1.8231228729577748E-3</v>
      </c>
      <c r="R357" s="3">
        <f t="shared" si="364"/>
        <v>1.8231228729577733E-3</v>
      </c>
      <c r="S357" s="3">
        <f t="shared" si="364"/>
        <v>1.8231228729577568E-3</v>
      </c>
      <c r="T357" s="3">
        <f t="shared" si="364"/>
        <v>1.8231228729575927E-3</v>
      </c>
      <c r="U357" s="3">
        <f t="shared" si="364"/>
        <v>1.823122872955952E-3</v>
      </c>
      <c r="V357" s="3">
        <f t="shared" si="364"/>
        <v>1.8231228729395444E-3</v>
      </c>
      <c r="W357" s="3">
        <f t="shared" si="364"/>
        <v>1.8231228727754688E-3</v>
      </c>
      <c r="X357" s="3">
        <f t="shared" si="364"/>
        <v>1.823122871134712E-3</v>
      </c>
      <c r="Y357" s="3">
        <f t="shared" si="364"/>
        <v>1.8231228547271458E-3</v>
      </c>
      <c r="Z357" s="3">
        <f t="shared" si="364"/>
        <v>1.8231226906514904E-3</v>
      </c>
      <c r="AA357" s="3">
        <f t="shared" si="364"/>
        <v>1.8231210498957486E-3</v>
      </c>
      <c r="AB357" s="3">
        <f t="shared" si="364"/>
        <v>1.8231046424195456E-3</v>
      </c>
      <c r="AC357" s="3">
        <f t="shared" si="364"/>
        <v>1.8229405757786939E-3</v>
      </c>
      <c r="AD357" s="3">
        <f t="shared" si="364"/>
        <v>1.821300721217607E-3</v>
      </c>
      <c r="AE357" s="3">
        <f t="shared" si="364"/>
        <v>1.8049830906629654E-3</v>
      </c>
      <c r="AF357" s="3">
        <f t="shared" si="364"/>
        <v>1.6496352162845842E-3</v>
      </c>
      <c r="AG357" s="3"/>
      <c r="AH357" s="3"/>
    </row>
    <row r="358" spans="1:34" x14ac:dyDescent="0.25">
      <c r="A358" s="80">
        <f>AVERAGE(B358:AF358)</f>
        <v>9.7683027568292992E-5</v>
      </c>
      <c r="B358" s="81">
        <f>IF($A$64&lt;=B324,IF($B$64&gt;=B324,ABS((B326-B325)/B325),0),0)</f>
        <v>0</v>
      </c>
      <c r="C358" s="81">
        <f t="shared" ref="C358:AF358" si="365">IF($A$64&lt;=C324,IF($B$64&gt;=C324,ABS((C326-C325)/C325),0),0)</f>
        <v>0</v>
      </c>
      <c r="D358" s="81">
        <f t="shared" si="365"/>
        <v>0</v>
      </c>
      <c r="E358" s="81">
        <f t="shared" si="365"/>
        <v>0</v>
      </c>
      <c r="F358" s="81">
        <f t="shared" si="365"/>
        <v>0</v>
      </c>
      <c r="G358" s="81">
        <f t="shared" si="365"/>
        <v>0</v>
      </c>
      <c r="H358" s="81">
        <f t="shared" si="365"/>
        <v>0</v>
      </c>
      <c r="I358" s="81">
        <f t="shared" si="365"/>
        <v>0</v>
      </c>
      <c r="J358" s="81">
        <f t="shared" si="365"/>
        <v>0</v>
      </c>
      <c r="K358" s="81">
        <f t="shared" si="365"/>
        <v>0</v>
      </c>
      <c r="L358" s="81">
        <f t="shared" si="365"/>
        <v>2.7485764250014949E-5</v>
      </c>
      <c r="M358" s="81">
        <f t="shared" si="365"/>
        <v>7.5604319555552622E-5</v>
      </c>
      <c r="N358" s="81">
        <f t="shared" si="365"/>
        <v>1.8528534460505999E-4</v>
      </c>
      <c r="O358" s="81">
        <f t="shared" si="365"/>
        <v>3.7261844638268512E-4</v>
      </c>
      <c r="P358" s="81">
        <f t="shared" si="365"/>
        <v>5.7232267244286712E-4</v>
      </c>
      <c r="Q358" s="81">
        <f t="shared" si="365"/>
        <v>6.341999473879514E-4</v>
      </c>
      <c r="R358" s="81">
        <f t="shared" si="365"/>
        <v>5.3306295880500018E-4</v>
      </c>
      <c r="S358" s="81">
        <f t="shared" si="365"/>
        <v>2.8057733294182966E-4</v>
      </c>
      <c r="T358" s="81">
        <f t="shared" si="365"/>
        <v>1.9144210282676926E-4</v>
      </c>
      <c r="U358" s="81">
        <f t="shared" si="365"/>
        <v>7.522197843791629E-6</v>
      </c>
      <c r="V358" s="81">
        <f t="shared" si="365"/>
        <v>1.4805276757556094E-4</v>
      </c>
      <c r="W358" s="81">
        <f t="shared" si="365"/>
        <v>0</v>
      </c>
      <c r="X358" s="81">
        <f t="shared" si="365"/>
        <v>0</v>
      </c>
      <c r="Y358" s="81">
        <f t="shared" si="365"/>
        <v>0</v>
      </c>
      <c r="Z358" s="81">
        <f t="shared" si="365"/>
        <v>0</v>
      </c>
      <c r="AA358" s="81">
        <f t="shared" si="365"/>
        <v>0</v>
      </c>
      <c r="AB358" s="81">
        <f t="shared" si="365"/>
        <v>0</v>
      </c>
      <c r="AC358" s="81">
        <f t="shared" si="365"/>
        <v>0</v>
      </c>
      <c r="AD358" s="81">
        <f t="shared" si="365"/>
        <v>0</v>
      </c>
      <c r="AE358" s="81">
        <f t="shared" si="365"/>
        <v>0</v>
      </c>
      <c r="AF358" s="81">
        <f t="shared" si="365"/>
        <v>0</v>
      </c>
    </row>
    <row r="359" spans="1:34" x14ac:dyDescent="0.25">
      <c r="B359" s="21">
        <f>(B326-B325)^2</f>
        <v>4650.5876046114645</v>
      </c>
      <c r="C359" s="21">
        <f t="shared" ref="C359:AF359" si="366">(C326-C325)^2</f>
        <v>7778.4641028175529</v>
      </c>
      <c r="D359" s="21">
        <f t="shared" si="366"/>
        <v>545.16057429963962</v>
      </c>
      <c r="E359" s="21">
        <f t="shared" si="366"/>
        <v>14.633416949003955</v>
      </c>
      <c r="F359" s="21">
        <f t="shared" si="366"/>
        <v>0.26442625865844949</v>
      </c>
      <c r="G359" s="21">
        <f t="shared" si="366"/>
        <v>6.3927734967306792E-3</v>
      </c>
      <c r="H359" s="21">
        <f t="shared" si="366"/>
        <v>1.7176728383115852E-8</v>
      </c>
      <c r="I359" s="21">
        <f t="shared" si="366"/>
        <v>4.7433740873736451E-4</v>
      </c>
      <c r="J359" s="21">
        <f t="shared" si="366"/>
        <v>3.6331857375069244E-5</v>
      </c>
      <c r="K359" s="21">
        <f t="shared" si="366"/>
        <v>2.0964864685699435E-3</v>
      </c>
      <c r="L359" s="21">
        <f t="shared" si="366"/>
        <v>2.6624696699972636E-3</v>
      </c>
      <c r="M359" s="21">
        <f t="shared" si="366"/>
        <v>8.5893217502577921E-3</v>
      </c>
      <c r="N359" s="21">
        <f t="shared" si="366"/>
        <v>1.770712051664549E-2</v>
      </c>
      <c r="O359" s="21">
        <f t="shared" si="366"/>
        <v>2.2530063884921382E-2</v>
      </c>
      <c r="P359" s="21">
        <f t="shared" si="366"/>
        <v>1.6461404612657344E-2</v>
      </c>
      <c r="Q359" s="21">
        <f t="shared" si="366"/>
        <v>9.9552443229610904E-3</v>
      </c>
      <c r="R359" s="21">
        <f t="shared" si="366"/>
        <v>5.4487595566078944E-3</v>
      </c>
      <c r="S359" s="21">
        <f t="shared" si="366"/>
        <v>1.2681696048867305E-3</v>
      </c>
      <c r="T359" s="21">
        <f t="shared" si="366"/>
        <v>5.7559723085107855E-4</v>
      </c>
      <c r="U359" s="21">
        <f t="shared" si="366"/>
        <v>8.868028615654355E-7</v>
      </c>
      <c r="V359" s="21">
        <f t="shared" si="366"/>
        <v>3.4280014573221594E-4</v>
      </c>
      <c r="W359" s="21">
        <f t="shared" si="366"/>
        <v>1.6326399903066213E-6</v>
      </c>
      <c r="X359" s="21">
        <f t="shared" si="366"/>
        <v>1.1893200622123497E-5</v>
      </c>
      <c r="Y359" s="21">
        <f t="shared" si="366"/>
        <v>1.112123930064328E-4</v>
      </c>
      <c r="Z359" s="21">
        <f t="shared" si="366"/>
        <v>1.3165988787623723E-3</v>
      </c>
      <c r="AA359" s="21">
        <f t="shared" si="366"/>
        <v>2.5392987187159523E-4</v>
      </c>
      <c r="AB359" s="21">
        <f t="shared" si="366"/>
        <v>1.5718126623645412E-2</v>
      </c>
      <c r="AC359" s="21">
        <f t="shared" si="366"/>
        <v>6.0464407777986291E-2</v>
      </c>
      <c r="AD359" s="21">
        <f t="shared" si="366"/>
        <v>5.9460569958952478E-2</v>
      </c>
      <c r="AE359" s="21">
        <f t="shared" si="366"/>
        <v>2.2894211260451994E-2</v>
      </c>
      <c r="AF359" s="21">
        <f t="shared" si="366"/>
        <v>0.58757881906024589</v>
      </c>
      <c r="AG359" s="3"/>
      <c r="AH359" s="3"/>
    </row>
    <row r="360" spans="1:34" x14ac:dyDescent="0.25">
      <c r="A360" s="72">
        <f>SUM(B360:AF360)</f>
        <v>8.5541838098379869E-2</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2.6624696699972636E-3</v>
      </c>
      <c r="M360" s="60">
        <f t="shared" si="367"/>
        <v>8.5893217502577921E-3</v>
      </c>
      <c r="N360" s="60">
        <f t="shared" si="367"/>
        <v>1.770712051664549E-2</v>
      </c>
      <c r="O360" s="60">
        <f t="shared" si="367"/>
        <v>2.2530063884921382E-2</v>
      </c>
      <c r="P360" s="60">
        <f t="shared" si="367"/>
        <v>1.6461404612657344E-2</v>
      </c>
      <c r="Q360" s="60">
        <f t="shared" si="367"/>
        <v>9.9552443229610904E-3</v>
      </c>
      <c r="R360" s="60">
        <f t="shared" si="367"/>
        <v>5.4487595566078944E-3</v>
      </c>
      <c r="S360" s="60">
        <f t="shared" si="367"/>
        <v>1.2681696048867305E-3</v>
      </c>
      <c r="T360" s="60">
        <f t="shared" si="367"/>
        <v>5.7559723085107855E-4</v>
      </c>
      <c r="U360" s="60">
        <f t="shared" si="367"/>
        <v>8.868028615654355E-7</v>
      </c>
      <c r="V360" s="60">
        <f t="shared" si="367"/>
        <v>3.4280014573221594E-4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1" t="s">
        <v>22</v>
      </c>
      <c r="B365" s="27">
        <f>($C$17+SUM(B366:B396))*$B$51</f>
        <v>4931.6834542905008</v>
      </c>
      <c r="C365" s="27">
        <f t="shared" ref="C365:AF365" si="368">($C$17+SUM(C366:C396))*$B$51</f>
        <v>4668.4479546806506</v>
      </c>
      <c r="D365" s="27">
        <f t="shared" si="368"/>
        <v>4414.1846525829869</v>
      </c>
      <c r="E365" s="27">
        <f t="shared" si="368"/>
        <v>4143.3317483228102</v>
      </c>
      <c r="F365" s="27">
        <f t="shared" si="368"/>
        <v>3861.8935830833302</v>
      </c>
      <c r="G365" s="27">
        <f t="shared" si="368"/>
        <v>3543.7561154341342</v>
      </c>
      <c r="H365" s="27">
        <f t="shared" si="368"/>
        <v>3142.315842923791</v>
      </c>
      <c r="I365" s="27">
        <f t="shared" si="368"/>
        <v>2639.3163217170186</v>
      </c>
      <c r="J365" s="27">
        <f t="shared" si="368"/>
        <v>2052.7632992078443</v>
      </c>
      <c r="K365" s="27">
        <f t="shared" si="368"/>
        <v>1400.1547130286626</v>
      </c>
      <c r="L365" s="27">
        <f t="shared" si="368"/>
        <v>818.12624740739955</v>
      </c>
      <c r="M365" s="27">
        <f t="shared" si="368"/>
        <v>465.27426562159019</v>
      </c>
      <c r="N365" s="27">
        <f t="shared" si="368"/>
        <v>250.07338478832449</v>
      </c>
      <c r="O365" s="27">
        <f t="shared" si="368"/>
        <v>163.82420885867128</v>
      </c>
      <c r="P365" s="27">
        <f t="shared" si="368"/>
        <v>142.26324019242372</v>
      </c>
      <c r="Q365" s="27">
        <f t="shared" si="368"/>
        <v>128.04611250872108</v>
      </c>
      <c r="R365" s="27">
        <f t="shared" si="368"/>
        <v>125.43543015606548</v>
      </c>
      <c r="S365" s="27">
        <f t="shared" si="368"/>
        <v>125.21790066419908</v>
      </c>
      <c r="T365" s="27">
        <f t="shared" si="368"/>
        <v>125.07372096239811</v>
      </c>
      <c r="U365" s="27">
        <f t="shared" si="368"/>
        <v>124.92180453960312</v>
      </c>
      <c r="V365" s="27">
        <f t="shared" si="368"/>
        <v>124.77854464731195</v>
      </c>
      <c r="W365" s="27">
        <f t="shared" si="368"/>
        <v>124.56018367404701</v>
      </c>
      <c r="X365" s="27">
        <f t="shared" si="368"/>
        <v>124.44258543836843</v>
      </c>
      <c r="Y365" s="27">
        <f t="shared" si="368"/>
        <v>124.38089470445392</v>
      </c>
      <c r="Z365" s="27">
        <f t="shared" si="368"/>
        <v>124.37695476302302</v>
      </c>
      <c r="AA365" s="27">
        <f t="shared" si="368"/>
        <v>124.37106440522017</v>
      </c>
      <c r="AB365" s="27">
        <f t="shared" si="368"/>
        <v>124.36567866169845</v>
      </c>
      <c r="AC365" s="27">
        <f t="shared" si="368"/>
        <v>124.31234954218654</v>
      </c>
      <c r="AD365" s="27">
        <f t="shared" si="368"/>
        <v>123.7933215048144</v>
      </c>
      <c r="AE365" s="27">
        <f t="shared" si="368"/>
        <v>119.79946638384295</v>
      </c>
      <c r="AF365" s="27">
        <f t="shared" si="368"/>
        <v>113.60407186202832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1.7568957477643175E-2</v>
      </c>
      <c r="C367" s="3">
        <f t="shared" si="370"/>
        <v>5.5073772084433304E-8</v>
      </c>
      <c r="D367" s="3">
        <f t="shared" si="370"/>
        <v>5.0458360542509138E-63</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3.1677255845018792E-2</v>
      </c>
      <c r="C368" s="3">
        <f t="shared" si="371"/>
        <v>1.0098547198242071E-2</v>
      </c>
      <c r="D368" s="3">
        <f t="shared" si="371"/>
        <v>1.0948947497946661E-7</v>
      </c>
      <c r="E368" s="3">
        <f t="shared" si="371"/>
        <v>2.4575768634732033E-57</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4.8577884232467096E-2</v>
      </c>
      <c r="C369" s="3">
        <f t="shared" si="372"/>
        <v>4.3817862549564955E-2</v>
      </c>
      <c r="D369" s="3">
        <f t="shared" si="372"/>
        <v>1.5623456413740871E-2</v>
      </c>
      <c r="E369" s="3">
        <f t="shared" si="372"/>
        <v>5.1884356486229697E-7</v>
      </c>
      <c r="F369" s="3">
        <f t="shared" si="372"/>
        <v>8.4650510050220251E-52</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4.6714471747422874E-2</v>
      </c>
      <c r="C370" s="3">
        <f t="shared" si="373"/>
        <v>4.6281907015464779E-2</v>
      </c>
      <c r="D370" s="3">
        <f t="shared" si="373"/>
        <v>4.2170551290332148E-2</v>
      </c>
      <c r="E370" s="3">
        <f t="shared" si="373"/>
        <v>1.6633728523810138E-2</v>
      </c>
      <c r="F370" s="3">
        <f t="shared" si="373"/>
        <v>1.5163271651540138E-6</v>
      </c>
      <c r="G370" s="3">
        <f t="shared" si="373"/>
        <v>6.0093289596480402E-47</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5.0403262470404414E-2</v>
      </c>
      <c r="C371" s="3">
        <f t="shared" si="374"/>
        <v>5.0360981862813105E-2</v>
      </c>
      <c r="D371" s="3">
        <f t="shared" si="374"/>
        <v>4.9940121568175948E-2</v>
      </c>
      <c r="E371" s="3">
        <f t="shared" si="374"/>
        <v>4.5920188263526278E-2</v>
      </c>
      <c r="F371" s="3">
        <f t="shared" si="374"/>
        <v>1.9840120564319254E-2</v>
      </c>
      <c r="G371" s="3">
        <f t="shared" si="374"/>
        <v>4.4972887992711918E-6</v>
      </c>
      <c r="H371" s="3">
        <f t="shared" si="374"/>
        <v>1.6107030472486876E-42</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5.7181831860840526E-2</v>
      </c>
      <c r="C372" s="3">
        <f t="shared" si="375"/>
        <v>5.7177503205523533E-2</v>
      </c>
      <c r="D372" s="3">
        <f t="shared" si="375"/>
        <v>5.7134234670578835E-2</v>
      </c>
      <c r="E372" s="3">
        <f t="shared" si="375"/>
        <v>5.6703346106953115E-2</v>
      </c>
      <c r="F372" s="3">
        <f t="shared" si="375"/>
        <v>5.2569206546714202E-2</v>
      </c>
      <c r="G372" s="3">
        <f t="shared" si="375"/>
        <v>2.4658052083036456E-2</v>
      </c>
      <c r="H372" s="3">
        <f t="shared" si="375"/>
        <v>1.2712536146981605E-5</v>
      </c>
      <c r="I372" s="3">
        <f t="shared" si="375"/>
        <v>1.6864231421492172E-38</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8.0089870542728786E-2</v>
      </c>
      <c r="C373" s="3">
        <f t="shared" si="376"/>
        <v>8.008932360979025E-2</v>
      </c>
      <c r="D373" s="3">
        <f t="shared" si="376"/>
        <v>8.0083854485825626E-2</v>
      </c>
      <c r="E373" s="3">
        <f t="shared" si="376"/>
        <v>8.0029183783067281E-2</v>
      </c>
      <c r="F373" s="3">
        <f t="shared" si="376"/>
        <v>7.9484525264601272E-2</v>
      </c>
      <c r="G373" s="3">
        <f t="shared" si="376"/>
        <v>7.4237708143632078E-2</v>
      </c>
      <c r="H373" s="3">
        <f t="shared" si="376"/>
        <v>3.7501122597736948E-2</v>
      </c>
      <c r="I373" s="3">
        <f t="shared" si="376"/>
        <v>4.0573399259205937E-5</v>
      </c>
      <c r="J373" s="3">
        <f t="shared" si="376"/>
        <v>8.9168745258135136E-35</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9.4725396494476186E-2</v>
      </c>
      <c r="C374" s="3">
        <f t="shared" si="377"/>
        <v>9.4725338140445509E-2</v>
      </c>
      <c r="D374" s="3">
        <f t="shared" si="377"/>
        <v>9.4724754602115907E-2</v>
      </c>
      <c r="E374" s="3">
        <f t="shared" si="377"/>
        <v>9.4718919416529379E-2</v>
      </c>
      <c r="F374" s="3">
        <f t="shared" si="377"/>
        <v>9.466058732709634E-2</v>
      </c>
      <c r="G374" s="3">
        <f t="shared" si="377"/>
        <v>9.4079238578001004E-2</v>
      </c>
      <c r="H374" s="3">
        <f t="shared" si="377"/>
        <v>8.8458543561747635E-2</v>
      </c>
      <c r="I374" s="3">
        <f t="shared" si="377"/>
        <v>4.7774889612627852E-2</v>
      </c>
      <c r="J374" s="3">
        <f t="shared" si="377"/>
        <v>1.0087853554615363E-4</v>
      </c>
      <c r="K374" s="3">
        <f t="shared" si="377"/>
        <v>1.7774178443224632E-31</v>
      </c>
      <c r="L374" s="3">
        <f t="shared" si="377"/>
        <v>5.1250393676608607E-299</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0.11171287692761424</v>
      </c>
      <c r="C375" s="3">
        <f t="shared" si="378"/>
        <v>0.1117128707195761</v>
      </c>
      <c r="D375" s="3">
        <f t="shared" si="378"/>
        <v>0.11171280863921366</v>
      </c>
      <c r="E375" s="3">
        <f t="shared" si="378"/>
        <v>0.11171218783748678</v>
      </c>
      <c r="F375" s="3">
        <f t="shared" si="378"/>
        <v>0.11170598000995763</v>
      </c>
      <c r="G375" s="3">
        <f t="shared" si="378"/>
        <v>0.11164392070473982</v>
      </c>
      <c r="H375" s="3">
        <f t="shared" si="378"/>
        <v>0.1110252207652085</v>
      </c>
      <c r="I375" s="3">
        <f t="shared" si="378"/>
        <v>0.10502369731171432</v>
      </c>
      <c r="J375" s="3">
        <f t="shared" si="378"/>
        <v>6.0248173171268515E-2</v>
      </c>
      <c r="K375" s="3">
        <f t="shared" si="378"/>
        <v>2.3254643077331874E-4</v>
      </c>
      <c r="L375" s="3">
        <f t="shared" si="378"/>
        <v>1.7067410369460919E-28</v>
      </c>
      <c r="M375" s="3">
        <f t="shared" si="378"/>
        <v>7.7401104376446447E-270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0.12486929245247685</v>
      </c>
      <c r="C376" s="3">
        <f t="shared" si="379"/>
        <v>0.12486929182650704</v>
      </c>
      <c r="D376" s="3">
        <f t="shared" si="379"/>
        <v>0.12486928556680904</v>
      </c>
      <c r="E376" s="3">
        <f t="shared" si="379"/>
        <v>0.12486922296984632</v>
      </c>
      <c r="F376" s="3">
        <f t="shared" si="379"/>
        <v>0.12486859700194498</v>
      </c>
      <c r="G376" s="3">
        <f t="shared" si="379"/>
        <v>0.12486233749551742</v>
      </c>
      <c r="H376" s="3">
        <f t="shared" si="379"/>
        <v>0.12479975968661385</v>
      </c>
      <c r="I376" s="3">
        <f t="shared" si="379"/>
        <v>0.1241757039385218</v>
      </c>
      <c r="J376" s="3">
        <f t="shared" si="379"/>
        <v>0.11810422832103692</v>
      </c>
      <c r="K376" s="3">
        <f t="shared" si="379"/>
        <v>7.1540768852821165E-2</v>
      </c>
      <c r="L376" s="3">
        <f t="shared" si="379"/>
        <v>4.7581176050798772E-4</v>
      </c>
      <c r="M376" s="3">
        <f t="shared" si="379"/>
        <v>8.0584378651011536E-26</v>
      </c>
      <c r="N376" s="3">
        <f t="shared" si="379"/>
        <v>1.5646159603032219E-243</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7.189914296942386E-2</v>
      </c>
      <c r="C377" s="3">
        <f t="shared" si="380"/>
        <v>7.1899142936910035E-2</v>
      </c>
      <c r="D377" s="3">
        <f t="shared" si="380"/>
        <v>7.1899142611771799E-2</v>
      </c>
      <c r="E377" s="3">
        <f t="shared" si="380"/>
        <v>7.1899139360389511E-2</v>
      </c>
      <c r="F377" s="3">
        <f t="shared" si="380"/>
        <v>7.1899106846574704E-2</v>
      </c>
      <c r="G377" s="3">
        <f t="shared" si="380"/>
        <v>7.189878170923529E-2</v>
      </c>
      <c r="H377" s="3">
        <f t="shared" si="380"/>
        <v>7.1895530416707321E-2</v>
      </c>
      <c r="I377" s="3">
        <f t="shared" si="380"/>
        <v>7.1863025576694078E-2</v>
      </c>
      <c r="J377" s="3">
        <f t="shared" si="380"/>
        <v>7.1538784352015869E-2</v>
      </c>
      <c r="K377" s="3">
        <f t="shared" si="380"/>
        <v>6.8375755271150418E-2</v>
      </c>
      <c r="L377" s="3">
        <f t="shared" si="380"/>
        <v>4.3501871597815031E-2</v>
      </c>
      <c r="M377" s="3">
        <f t="shared" si="380"/>
        <v>4.7267866313830927E-4</v>
      </c>
      <c r="N377" s="3">
        <f t="shared" si="380"/>
        <v>1.0842927711044747E-23</v>
      </c>
      <c r="O377" s="3">
        <f t="shared" si="380"/>
        <v>4.3747395312474792E-220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4.7675556768365081E-2</v>
      </c>
      <c r="C378" s="3">
        <f t="shared" si="381"/>
        <v>4.7675556766420227E-2</v>
      </c>
      <c r="D378" s="3">
        <f t="shared" si="381"/>
        <v>4.7675556746971694E-2</v>
      </c>
      <c r="E378" s="3">
        <f t="shared" si="381"/>
        <v>4.7675556552486439E-2</v>
      </c>
      <c r="F378" s="3">
        <f t="shared" si="381"/>
        <v>4.7675554607633855E-2</v>
      </c>
      <c r="G378" s="3">
        <f t="shared" si="381"/>
        <v>4.7675535159112402E-2</v>
      </c>
      <c r="H378" s="3">
        <f t="shared" si="381"/>
        <v>4.7675340674334203E-2</v>
      </c>
      <c r="I378" s="3">
        <f t="shared" si="381"/>
        <v>4.7673395870187076E-2</v>
      </c>
      <c r="J378" s="3">
        <f t="shared" si="381"/>
        <v>4.7653952191537646E-2</v>
      </c>
      <c r="K378" s="3">
        <f t="shared" si="381"/>
        <v>4.7459951029441477E-2</v>
      </c>
      <c r="L378" s="3">
        <f t="shared" si="381"/>
        <v>4.556285144744604E-2</v>
      </c>
      <c r="M378" s="3">
        <f t="shared" si="381"/>
        <v>3.0300304564728847E-2</v>
      </c>
      <c r="N378" s="3">
        <f t="shared" si="381"/>
        <v>5.1263467219873308E-4</v>
      </c>
      <c r="O378" s="3">
        <f t="shared" si="381"/>
        <v>9.8495820586514744E-22</v>
      </c>
      <c r="P378" s="3">
        <f t="shared" si="381"/>
        <v>6.7533003513831523E-199</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1.9951380582969979E-2</v>
      </c>
      <c r="C379" s="3">
        <f t="shared" si="382"/>
        <v>1.9951380582896559E-2</v>
      </c>
      <c r="D379" s="3">
        <f t="shared" si="382"/>
        <v>1.9951380582162365E-2</v>
      </c>
      <c r="E379" s="3">
        <f t="shared" si="382"/>
        <v>1.9951380574820432E-2</v>
      </c>
      <c r="F379" s="3">
        <f t="shared" si="382"/>
        <v>1.9951380501401092E-2</v>
      </c>
      <c r="G379" s="3">
        <f t="shared" si="382"/>
        <v>1.9951379767207723E-2</v>
      </c>
      <c r="H379" s="3">
        <f t="shared" si="382"/>
        <v>1.9951372425275494E-2</v>
      </c>
      <c r="I379" s="3">
        <f t="shared" si="382"/>
        <v>1.9951299006101795E-2</v>
      </c>
      <c r="J379" s="3">
        <f t="shared" si="382"/>
        <v>1.9950564829224311E-2</v>
      </c>
      <c r="K379" s="3">
        <f t="shared" si="382"/>
        <v>1.9943224546196875E-2</v>
      </c>
      <c r="L379" s="3">
        <f t="shared" si="382"/>
        <v>1.9869970088565225E-2</v>
      </c>
      <c r="M379" s="3">
        <f t="shared" si="382"/>
        <v>1.9152062730228112E-2</v>
      </c>
      <c r="N379" s="3">
        <f t="shared" si="382"/>
        <v>1.3255587400092663E-2</v>
      </c>
      <c r="O379" s="3">
        <f t="shared" si="382"/>
        <v>3.3437453677639294E-4</v>
      </c>
      <c r="P379" s="3">
        <f t="shared" si="382"/>
        <v>3.4879913506261145E-20</v>
      </c>
      <c r="Q379" s="3">
        <f t="shared" si="382"/>
        <v>5.3210509243503647E-180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3.7229726854133855E-3</v>
      </c>
      <c r="C380" s="3">
        <f t="shared" si="383"/>
        <v>3.7229726854121495E-3</v>
      </c>
      <c r="D380" s="3">
        <f t="shared" si="383"/>
        <v>3.7229726853997909E-3</v>
      </c>
      <c r="E380" s="3">
        <f t="shared" si="383"/>
        <v>3.7229726852762036E-3</v>
      </c>
      <c r="F380" s="3">
        <f t="shared" si="383"/>
        <v>3.7229726840403298E-3</v>
      </c>
      <c r="G380" s="3">
        <f t="shared" si="383"/>
        <v>3.7229726716815968E-3</v>
      </c>
      <c r="H380" s="3">
        <f t="shared" si="383"/>
        <v>3.7229725480942672E-3</v>
      </c>
      <c r="I380" s="3">
        <f t="shared" si="383"/>
        <v>3.7229713122211979E-3</v>
      </c>
      <c r="J380" s="3">
        <f t="shared" si="383"/>
        <v>3.7229589535130695E-3</v>
      </c>
      <c r="K380" s="3">
        <f t="shared" si="383"/>
        <v>3.7228353686881788E-3</v>
      </c>
      <c r="L380" s="3">
        <f t="shared" si="383"/>
        <v>3.7215997460509015E-3</v>
      </c>
      <c r="M380" s="3">
        <f t="shared" si="383"/>
        <v>3.7092660531551579E-3</v>
      </c>
      <c r="N380" s="3">
        <f t="shared" si="383"/>
        <v>3.5881550392513496E-3</v>
      </c>
      <c r="O380" s="3">
        <f t="shared" si="383"/>
        <v>2.5745619785290689E-3</v>
      </c>
      <c r="P380" s="3">
        <f t="shared" si="383"/>
        <v>9.3116118267355105E-5</v>
      </c>
      <c r="Q380" s="3">
        <f t="shared" si="383"/>
        <v>3.5664815627094702E-19</v>
      </c>
      <c r="R380" s="3">
        <f t="shared" si="383"/>
        <v>2.4232107284872815E-163</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3.2258116785225275E-3</v>
      </c>
      <c r="C381" s="3">
        <f t="shared" si="384"/>
        <v>3.2258116785224308E-3</v>
      </c>
      <c r="D381" s="3">
        <f t="shared" si="384"/>
        <v>3.225811678521465E-3</v>
      </c>
      <c r="E381" s="3">
        <f t="shared" si="384"/>
        <v>3.2258116785118052E-3</v>
      </c>
      <c r="F381" s="3">
        <f t="shared" si="384"/>
        <v>3.2258116784152067E-3</v>
      </c>
      <c r="G381" s="3">
        <f t="shared" si="384"/>
        <v>3.2258116774492233E-3</v>
      </c>
      <c r="H381" s="3">
        <f t="shared" si="384"/>
        <v>3.2258116677893883E-3</v>
      </c>
      <c r="I381" s="3">
        <f t="shared" si="384"/>
        <v>3.2258115711910405E-3</v>
      </c>
      <c r="J381" s="3">
        <f t="shared" si="384"/>
        <v>3.2258106052077185E-3</v>
      </c>
      <c r="K381" s="3">
        <f t="shared" si="384"/>
        <v>3.2258009453904092E-3</v>
      </c>
      <c r="L381" s="3">
        <f t="shared" si="384"/>
        <v>3.2257043488082716E-3</v>
      </c>
      <c r="M381" s="3">
        <f t="shared" si="384"/>
        <v>3.2247385420647156E-3</v>
      </c>
      <c r="N381" s="3">
        <f t="shared" si="384"/>
        <v>3.2150963647997314E-3</v>
      </c>
      <c r="O381" s="3">
        <f t="shared" si="384"/>
        <v>3.1202461433304908E-3</v>
      </c>
      <c r="P381" s="3">
        <f t="shared" si="384"/>
        <v>2.3127967151653855E-3</v>
      </c>
      <c r="Q381" s="3">
        <f t="shared" si="384"/>
        <v>1.1577732992179737E-4</v>
      </c>
      <c r="R381" s="3">
        <f t="shared" si="384"/>
        <v>1.1441532717897786E-17</v>
      </c>
      <c r="S381" s="3">
        <f t="shared" si="384"/>
        <v>1.0164616070137869E-147</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4.6514491459037372E-4</v>
      </c>
      <c r="C382" s="3">
        <f t="shared" si="385"/>
        <v>4.6514491459037247E-4</v>
      </c>
      <c r="D382" s="3">
        <f t="shared" si="385"/>
        <v>4.6514491459035995E-4</v>
      </c>
      <c r="E382" s="3">
        <f t="shared" si="385"/>
        <v>4.6514491459023429E-4</v>
      </c>
      <c r="F382" s="3">
        <f t="shared" si="385"/>
        <v>4.6514491458897776E-4</v>
      </c>
      <c r="G382" s="3">
        <f t="shared" si="385"/>
        <v>4.6514491457641267E-4</v>
      </c>
      <c r="H382" s="3">
        <f t="shared" si="385"/>
        <v>4.6514491445076177E-4</v>
      </c>
      <c r="I382" s="3">
        <f t="shared" si="385"/>
        <v>4.6514491319425293E-4</v>
      </c>
      <c r="J382" s="3">
        <f t="shared" si="385"/>
        <v>4.651449006291642E-4</v>
      </c>
      <c r="K382" s="3">
        <f t="shared" si="385"/>
        <v>4.6514477497829586E-4</v>
      </c>
      <c r="L382" s="3">
        <f t="shared" si="385"/>
        <v>4.6514351847147929E-4</v>
      </c>
      <c r="M382" s="3">
        <f t="shared" si="385"/>
        <v>4.6513095358999463E-4</v>
      </c>
      <c r="N382" s="3">
        <f t="shared" si="385"/>
        <v>4.6500532344140896E-4</v>
      </c>
      <c r="O382" s="3">
        <f t="shared" si="385"/>
        <v>4.6375088671723943E-4</v>
      </c>
      <c r="P382" s="3">
        <f t="shared" si="385"/>
        <v>4.5139114522197983E-4</v>
      </c>
      <c r="Q382" s="3">
        <f t="shared" si="385"/>
        <v>3.4453699337795395E-4</v>
      </c>
      <c r="R382" s="3">
        <f t="shared" si="385"/>
        <v>2.312406067543002E-5</v>
      </c>
      <c r="S382" s="3">
        <f t="shared" si="385"/>
        <v>4.2889058011932476E-17</v>
      </c>
      <c r="T382" s="3">
        <f t="shared" si="385"/>
        <v>2.0661915589928112E-134</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1.1429544870574336E-5</v>
      </c>
      <c r="C383" s="3">
        <f t="shared" si="386"/>
        <v>1.1429544870574334E-5</v>
      </c>
      <c r="D383" s="3">
        <f t="shared" si="386"/>
        <v>1.1429544870574305E-5</v>
      </c>
      <c r="E383" s="3">
        <f t="shared" si="386"/>
        <v>1.1429544870574026E-5</v>
      </c>
      <c r="F383" s="3">
        <f t="shared" si="386"/>
        <v>1.1429544870571241E-5</v>
      </c>
      <c r="G383" s="3">
        <f t="shared" si="386"/>
        <v>1.1429544870543389E-5</v>
      </c>
      <c r="H383" s="3">
        <f t="shared" si="386"/>
        <v>1.1429544870264872E-5</v>
      </c>
      <c r="I383" s="3">
        <f t="shared" si="386"/>
        <v>1.1429544867479694E-5</v>
      </c>
      <c r="J383" s="3">
        <f t="shared" si="386"/>
        <v>1.1429544839627923E-5</v>
      </c>
      <c r="K383" s="3">
        <f t="shared" si="386"/>
        <v>1.1429544561110217E-5</v>
      </c>
      <c r="L383" s="3">
        <f t="shared" si="386"/>
        <v>1.1429541775933527E-5</v>
      </c>
      <c r="M383" s="3">
        <f t="shared" si="386"/>
        <v>1.1429513924203944E-5</v>
      </c>
      <c r="N383" s="3">
        <f t="shared" si="386"/>
        <v>1.1429235410640927E-5</v>
      </c>
      <c r="O383" s="3">
        <f t="shared" si="386"/>
        <v>1.1426450648257365E-5</v>
      </c>
      <c r="P383" s="3">
        <f t="shared" si="386"/>
        <v>1.1398640315452438E-5</v>
      </c>
      <c r="Q383" s="3">
        <f t="shared" si="386"/>
        <v>1.1124232686005487E-5</v>
      </c>
      <c r="R383" s="3">
        <f t="shared" si="386"/>
        <v>8.7184686833565548E-6</v>
      </c>
      <c r="S383" s="3">
        <f t="shared" si="386"/>
        <v>7.6232767536011247E-7</v>
      </c>
      <c r="T383" s="3">
        <f t="shared" si="386"/>
        <v>1.9913905105306064E-17</v>
      </c>
      <c r="U383" s="3">
        <f t="shared" si="386"/>
        <v>2.9464827321372233E-123</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2.5915484418969715E-5</v>
      </c>
      <c r="C384" s="3">
        <f t="shared" si="387"/>
        <v>2.5915484418969715E-5</v>
      </c>
      <c r="D384" s="3">
        <f t="shared" si="387"/>
        <v>2.5915484418969708E-5</v>
      </c>
      <c r="E384" s="3">
        <f t="shared" si="387"/>
        <v>2.5915484418969651E-5</v>
      </c>
      <c r="F384" s="3">
        <f t="shared" si="387"/>
        <v>2.5915484418969081E-5</v>
      </c>
      <c r="G384" s="3">
        <f t="shared" si="387"/>
        <v>2.5915484418963386E-5</v>
      </c>
      <c r="H384" s="3">
        <f t="shared" si="387"/>
        <v>2.5915484418906418E-5</v>
      </c>
      <c r="I384" s="3">
        <f t="shared" si="387"/>
        <v>2.5915484418336741E-5</v>
      </c>
      <c r="J384" s="3">
        <f t="shared" si="387"/>
        <v>2.5915484412639953E-5</v>
      </c>
      <c r="K384" s="3">
        <f t="shared" si="387"/>
        <v>2.5915484355672108E-5</v>
      </c>
      <c r="L384" s="3">
        <f t="shared" si="387"/>
        <v>2.5915483785993652E-5</v>
      </c>
      <c r="M384" s="3">
        <f t="shared" si="387"/>
        <v>2.5915478089209777E-5</v>
      </c>
      <c r="N384" s="3">
        <f t="shared" si="387"/>
        <v>2.5915421121439903E-5</v>
      </c>
      <c r="O384" s="3">
        <f t="shared" si="387"/>
        <v>2.5914851450628647E-5</v>
      </c>
      <c r="P384" s="3">
        <f t="shared" si="387"/>
        <v>2.5909155431205974E-5</v>
      </c>
      <c r="Q384" s="3">
        <f t="shared" si="387"/>
        <v>2.5852264049988413E-5</v>
      </c>
      <c r="R384" s="3">
        <f t="shared" si="387"/>
        <v>2.529017589791616E-5</v>
      </c>
      <c r="S384" s="3">
        <f t="shared" si="387"/>
        <v>2.0299461574039844E-5</v>
      </c>
      <c r="T384" s="3">
        <f t="shared" si="387"/>
        <v>2.2532594802450543E-6</v>
      </c>
      <c r="U384" s="3">
        <f t="shared" si="387"/>
        <v>6.3984987424605887E-16</v>
      </c>
      <c r="V384" s="3">
        <f t="shared" si="387"/>
        <v>2.1814582645768566E-111</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2.9552981931303355E-5</v>
      </c>
      <c r="C385" s="3">
        <f t="shared" si="388"/>
        <v>2.9552981931303355E-5</v>
      </c>
      <c r="D385" s="3">
        <f t="shared" si="388"/>
        <v>2.9552981931303355E-5</v>
      </c>
      <c r="E385" s="3">
        <f t="shared" si="388"/>
        <v>2.9552981931303348E-5</v>
      </c>
      <c r="F385" s="3">
        <f t="shared" si="388"/>
        <v>2.9552981931303291E-5</v>
      </c>
      <c r="G385" s="3">
        <f t="shared" si="388"/>
        <v>2.9552981931302705E-5</v>
      </c>
      <c r="H385" s="3">
        <f t="shared" si="388"/>
        <v>2.9552981931296843E-5</v>
      </c>
      <c r="I385" s="3">
        <f t="shared" si="388"/>
        <v>2.9552981931238239E-5</v>
      </c>
      <c r="J385" s="3">
        <f t="shared" si="388"/>
        <v>2.9552981930652214E-5</v>
      </c>
      <c r="K385" s="3">
        <f t="shared" si="388"/>
        <v>2.9552981924791935E-5</v>
      </c>
      <c r="L385" s="3">
        <f t="shared" si="388"/>
        <v>2.9552981866189134E-5</v>
      </c>
      <c r="M385" s="3">
        <f t="shared" si="388"/>
        <v>2.9552981280161136E-5</v>
      </c>
      <c r="N385" s="3">
        <f t="shared" si="388"/>
        <v>2.9552975419881806E-5</v>
      </c>
      <c r="O385" s="3">
        <f t="shared" si="388"/>
        <v>2.955291681715242E-5</v>
      </c>
      <c r="P385" s="3">
        <f t="shared" si="388"/>
        <v>2.9552330796249921E-5</v>
      </c>
      <c r="Q385" s="3">
        <f t="shared" si="388"/>
        <v>2.9546471226315982E-5</v>
      </c>
      <c r="R385" s="3">
        <f t="shared" si="388"/>
        <v>2.9487939389213499E-5</v>
      </c>
      <c r="S385" s="3">
        <f t="shared" si="388"/>
        <v>2.8908960633625694E-5</v>
      </c>
      <c r="T385" s="3">
        <f t="shared" si="388"/>
        <v>2.3708987237684008E-5</v>
      </c>
      <c r="U385" s="3">
        <f t="shared" si="388"/>
        <v>3.2637602929112194E-6</v>
      </c>
      <c r="V385" s="3">
        <f t="shared" si="388"/>
        <v>7.9757360015102809E-15</v>
      </c>
      <c r="W385" s="3">
        <f t="shared" si="388"/>
        <v>6.0575349519865087E-101</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3.2731039559542382E-6</v>
      </c>
      <c r="C386" s="3">
        <f t="shared" si="389"/>
        <v>3.2731039559542382E-6</v>
      </c>
      <c r="D386" s="3">
        <f t="shared" si="389"/>
        <v>3.2731039559542382E-6</v>
      </c>
      <c r="E386" s="3">
        <f t="shared" si="389"/>
        <v>3.2731039559542382E-6</v>
      </c>
      <c r="F386" s="3">
        <f t="shared" si="389"/>
        <v>3.2731039559542374E-6</v>
      </c>
      <c r="G386" s="3">
        <f t="shared" si="389"/>
        <v>3.2731039559542318E-6</v>
      </c>
      <c r="H386" s="3">
        <f t="shared" si="389"/>
        <v>3.273103955954173E-6</v>
      </c>
      <c r="I386" s="3">
        <f t="shared" si="389"/>
        <v>3.2731039559535877E-6</v>
      </c>
      <c r="J386" s="3">
        <f t="shared" si="389"/>
        <v>3.273103955947733E-6</v>
      </c>
      <c r="K386" s="3">
        <f t="shared" si="389"/>
        <v>3.2731039558891831E-6</v>
      </c>
      <c r="L386" s="3">
        <f t="shared" si="389"/>
        <v>3.2731039553036877E-6</v>
      </c>
      <c r="M386" s="3">
        <f t="shared" si="389"/>
        <v>3.2731039494487342E-6</v>
      </c>
      <c r="N386" s="3">
        <f t="shared" si="389"/>
        <v>3.2731038908991996E-6</v>
      </c>
      <c r="O386" s="3">
        <f t="shared" si="389"/>
        <v>3.273103305403912E-6</v>
      </c>
      <c r="P386" s="3">
        <f t="shared" si="389"/>
        <v>3.2730974504567967E-6</v>
      </c>
      <c r="Q386" s="3">
        <f t="shared" si="389"/>
        <v>3.2730389015616707E-6</v>
      </c>
      <c r="R386" s="3">
        <f t="shared" si="389"/>
        <v>3.2724534702097986E-6</v>
      </c>
      <c r="S386" s="3">
        <f t="shared" si="389"/>
        <v>3.2666049128192632E-6</v>
      </c>
      <c r="T386" s="3">
        <f t="shared" si="389"/>
        <v>3.2086911601482829E-6</v>
      </c>
      <c r="U386" s="3">
        <f t="shared" si="389"/>
        <v>2.6831255018615158E-6</v>
      </c>
      <c r="V386" s="3">
        <f t="shared" si="389"/>
        <v>4.4850953418059604E-7</v>
      </c>
      <c r="W386" s="3">
        <f t="shared" si="389"/>
        <v>7.6397404412796307E-15</v>
      </c>
      <c r="X386" s="3">
        <f t="shared" si="389"/>
        <v>1.5708974925054167E-92</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4.7316671387144988E-5</v>
      </c>
      <c r="C387" s="3">
        <f t="shared" si="390"/>
        <v>4.7316671387144988E-5</v>
      </c>
      <c r="D387" s="3">
        <f t="shared" si="390"/>
        <v>4.7316671387144988E-5</v>
      </c>
      <c r="E387" s="3">
        <f t="shared" si="390"/>
        <v>4.7316671387144988E-5</v>
      </c>
      <c r="F387" s="3">
        <f t="shared" si="390"/>
        <v>4.7316671387144988E-5</v>
      </c>
      <c r="G387" s="3">
        <f t="shared" si="390"/>
        <v>4.7316671387144961E-5</v>
      </c>
      <c r="H387" s="3">
        <f t="shared" si="390"/>
        <v>4.7316671387144724E-5</v>
      </c>
      <c r="I387" s="3">
        <f t="shared" si="390"/>
        <v>4.7316671387142386E-5</v>
      </c>
      <c r="J387" s="3">
        <f t="shared" si="390"/>
        <v>4.7316671387118981E-5</v>
      </c>
      <c r="K387" s="3">
        <f t="shared" si="390"/>
        <v>4.7316671386884882E-5</v>
      </c>
      <c r="L387" s="3">
        <f t="shared" si="390"/>
        <v>4.731667138454394E-5</v>
      </c>
      <c r="M387" s="3">
        <f t="shared" si="390"/>
        <v>4.7316671361134518E-5</v>
      </c>
      <c r="N387" s="3">
        <f t="shared" si="390"/>
        <v>4.7316671127040293E-5</v>
      </c>
      <c r="O387" s="3">
        <f t="shared" si="390"/>
        <v>4.7316668786098122E-5</v>
      </c>
      <c r="P387" s="3">
        <f t="shared" si="390"/>
        <v>4.7316645376682711E-5</v>
      </c>
      <c r="Q387" s="3">
        <f t="shared" si="390"/>
        <v>4.7316411283165625E-5</v>
      </c>
      <c r="R387" s="3">
        <f t="shared" si="390"/>
        <v>4.7314070411692096E-5</v>
      </c>
      <c r="S387" s="3">
        <f t="shared" si="390"/>
        <v>4.72906680655216E-5</v>
      </c>
      <c r="T387" s="3">
        <f t="shared" si="390"/>
        <v>4.7057280296052434E-5</v>
      </c>
      <c r="U387" s="3">
        <f t="shared" si="390"/>
        <v>4.4785823406403945E-5</v>
      </c>
      <c r="V387" s="3">
        <f t="shared" si="390"/>
        <v>2.7307249846640469E-5</v>
      </c>
      <c r="W387" s="3">
        <f t="shared" si="390"/>
        <v>1.9393311347022481E-7</v>
      </c>
      <c r="X387" s="3">
        <f t="shared" si="390"/>
        <v>6.3298297482902199E-29</v>
      </c>
      <c r="Y387" s="3">
        <f t="shared" si="390"/>
        <v>8.6854559399565229E-244</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2.2741722122049058E-5</v>
      </c>
      <c r="C388" s="3">
        <f t="shared" si="391"/>
        <v>2.2741722122049058E-5</v>
      </c>
      <c r="D388" s="3">
        <f t="shared" si="391"/>
        <v>2.2741722122049058E-5</v>
      </c>
      <c r="E388" s="3">
        <f t="shared" si="391"/>
        <v>2.2741722122049058E-5</v>
      </c>
      <c r="F388" s="3">
        <f t="shared" si="391"/>
        <v>2.2741722122049058E-5</v>
      </c>
      <c r="G388" s="3">
        <f t="shared" si="391"/>
        <v>2.2741722122049058E-5</v>
      </c>
      <c r="H388" s="3">
        <f t="shared" si="391"/>
        <v>2.2741722122049045E-5</v>
      </c>
      <c r="I388" s="3">
        <f t="shared" si="391"/>
        <v>2.2741722122048933E-5</v>
      </c>
      <c r="J388" s="3">
        <f t="shared" si="391"/>
        <v>2.2741722122047808E-5</v>
      </c>
      <c r="K388" s="3">
        <f t="shared" si="391"/>
        <v>2.274172212203656E-5</v>
      </c>
      <c r="L388" s="3">
        <f t="shared" si="391"/>
        <v>2.2741722121924043E-5</v>
      </c>
      <c r="M388" s="3">
        <f t="shared" si="391"/>
        <v>2.2741722120798922E-5</v>
      </c>
      <c r="N388" s="3">
        <f t="shared" si="391"/>
        <v>2.2741722109547696E-5</v>
      </c>
      <c r="O388" s="3">
        <f t="shared" si="391"/>
        <v>2.2741721997035432E-5</v>
      </c>
      <c r="P388" s="3">
        <f t="shared" si="391"/>
        <v>2.274172087191283E-5</v>
      </c>
      <c r="Q388" s="3">
        <f t="shared" si="391"/>
        <v>2.2741709620689854E-5</v>
      </c>
      <c r="R388" s="3">
        <f t="shared" si="391"/>
        <v>2.2741597108766255E-5</v>
      </c>
      <c r="S388" s="3">
        <f t="shared" si="391"/>
        <v>2.2740472020144975E-5</v>
      </c>
      <c r="T388" s="3">
        <f t="shared" si="391"/>
        <v>2.2729224194843424E-5</v>
      </c>
      <c r="U388" s="3">
        <f t="shared" si="391"/>
        <v>2.2617051473382831E-5</v>
      </c>
      <c r="V388" s="3">
        <f t="shared" si="391"/>
        <v>2.1525325452041572E-5</v>
      </c>
      <c r="W388" s="3">
        <f t="shared" si="391"/>
        <v>1.3124631757135427E-5</v>
      </c>
      <c r="X388" s="3">
        <f t="shared" si="391"/>
        <v>9.320970489910399E-8</v>
      </c>
      <c r="Y388" s="3">
        <f t="shared" si="391"/>
        <v>3.0422940793465161E-29</v>
      </c>
      <c r="Z388" s="3">
        <f t="shared" si="391"/>
        <v>4.1744742328483939E-244</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1.7857506760164985E-5</v>
      </c>
      <c r="C389" s="3">
        <f t="shared" si="392"/>
        <v>1.7857506760164985E-5</v>
      </c>
      <c r="D389" s="3">
        <f t="shared" si="392"/>
        <v>1.7857506760164985E-5</v>
      </c>
      <c r="E389" s="3">
        <f t="shared" si="392"/>
        <v>1.7857506760164985E-5</v>
      </c>
      <c r="F389" s="3">
        <f t="shared" si="392"/>
        <v>1.7857506760164985E-5</v>
      </c>
      <c r="G389" s="3">
        <f t="shared" si="392"/>
        <v>1.7857506760164985E-5</v>
      </c>
      <c r="H389" s="3">
        <f t="shared" si="392"/>
        <v>1.7857506760164985E-5</v>
      </c>
      <c r="I389" s="3">
        <f t="shared" si="392"/>
        <v>1.7857506760164975E-5</v>
      </c>
      <c r="J389" s="3">
        <f t="shared" si="392"/>
        <v>1.7857506760164886E-5</v>
      </c>
      <c r="K389" s="3">
        <f t="shared" si="392"/>
        <v>1.7857506760164002E-5</v>
      </c>
      <c r="L389" s="3">
        <f t="shared" si="392"/>
        <v>1.7857506760155169E-5</v>
      </c>
      <c r="M389" s="3">
        <f t="shared" si="392"/>
        <v>1.785750676006682E-5</v>
      </c>
      <c r="N389" s="3">
        <f t="shared" si="392"/>
        <v>1.7857506759183338E-5</v>
      </c>
      <c r="O389" s="3">
        <f t="shared" si="392"/>
        <v>1.7857506750348527E-5</v>
      </c>
      <c r="P389" s="3">
        <f t="shared" si="392"/>
        <v>1.7857506662000402E-5</v>
      </c>
      <c r="Q389" s="3">
        <f t="shared" si="392"/>
        <v>1.785750577851918E-5</v>
      </c>
      <c r="R389" s="3">
        <f t="shared" si="392"/>
        <v>1.7857496943709339E-5</v>
      </c>
      <c r="S389" s="3">
        <f t="shared" si="392"/>
        <v>1.7857408595851359E-5</v>
      </c>
      <c r="T389" s="3">
        <f t="shared" si="392"/>
        <v>1.7856525141311177E-5</v>
      </c>
      <c r="U389" s="3">
        <f t="shared" si="392"/>
        <v>1.7847692999431962E-5</v>
      </c>
      <c r="V389" s="3">
        <f t="shared" si="392"/>
        <v>1.7759611493509132E-5</v>
      </c>
      <c r="W389" s="3">
        <f t="shared" si="392"/>
        <v>1.6902354303322648E-5</v>
      </c>
      <c r="X389" s="3">
        <f t="shared" si="392"/>
        <v>1.0305868617596345E-5</v>
      </c>
      <c r="Y389" s="3">
        <f t="shared" si="392"/>
        <v>7.3191156167321942E-8</v>
      </c>
      <c r="Z389" s="3">
        <f t="shared" si="392"/>
        <v>2.3889038304477057E-29</v>
      </c>
      <c r="AA389" s="3">
        <f t="shared" si="392"/>
        <v>3.2779268620536675E-244</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1.5759572914912317E-6</v>
      </c>
      <c r="C391" s="3">
        <f t="shared" si="394"/>
        <v>1.5759572914912317E-6</v>
      </c>
      <c r="D391" s="3">
        <f t="shared" si="394"/>
        <v>1.5759572914912317E-6</v>
      </c>
      <c r="E391" s="3">
        <f t="shared" si="394"/>
        <v>1.5759572914912317E-6</v>
      </c>
      <c r="F391" s="3">
        <f t="shared" si="394"/>
        <v>1.5759572914912317E-6</v>
      </c>
      <c r="G391" s="3">
        <f t="shared" si="394"/>
        <v>1.5759572914912317E-6</v>
      </c>
      <c r="H391" s="3">
        <f t="shared" si="394"/>
        <v>1.5759572914912317E-6</v>
      </c>
      <c r="I391" s="3">
        <f t="shared" si="394"/>
        <v>1.5759572914912317E-6</v>
      </c>
      <c r="J391" s="3">
        <f t="shared" si="394"/>
        <v>1.5759572914912317E-6</v>
      </c>
      <c r="K391" s="3">
        <f t="shared" si="394"/>
        <v>1.5759572914912308E-6</v>
      </c>
      <c r="L391" s="3">
        <f t="shared" si="394"/>
        <v>1.575957291491223E-6</v>
      </c>
      <c r="M391" s="3">
        <f t="shared" si="394"/>
        <v>1.5759572914911451E-6</v>
      </c>
      <c r="N391" s="3">
        <f t="shared" si="394"/>
        <v>1.5759572914903654E-6</v>
      </c>
      <c r="O391" s="3">
        <f t="shared" si="394"/>
        <v>1.5759572914825684E-6</v>
      </c>
      <c r="P391" s="3">
        <f t="shared" si="394"/>
        <v>1.5759572914045997E-6</v>
      </c>
      <c r="Q391" s="3">
        <f t="shared" si="394"/>
        <v>1.5759572906249114E-6</v>
      </c>
      <c r="R391" s="3">
        <f t="shared" si="394"/>
        <v>1.5759572828280294E-6</v>
      </c>
      <c r="S391" s="3">
        <f t="shared" si="394"/>
        <v>1.5759572048592127E-6</v>
      </c>
      <c r="T391" s="3">
        <f t="shared" si="394"/>
        <v>1.5759564251712544E-6</v>
      </c>
      <c r="U391" s="3">
        <f t="shared" si="394"/>
        <v>1.5759486283128887E-6</v>
      </c>
      <c r="V391" s="3">
        <f t="shared" si="394"/>
        <v>1.5758706618507728E-6</v>
      </c>
      <c r="W391" s="3">
        <f t="shared" si="394"/>
        <v>1.575091209344834E-6</v>
      </c>
      <c r="X391" s="3">
        <f t="shared" si="394"/>
        <v>1.5673178570303741E-6</v>
      </c>
      <c r="Y391" s="3">
        <f t="shared" si="394"/>
        <v>1.4916633584655813E-6</v>
      </c>
      <c r="Z391" s="3">
        <f t="shared" si="394"/>
        <v>9.095115578666348E-7</v>
      </c>
      <c r="AA391" s="3">
        <f t="shared" si="394"/>
        <v>6.4592519988215185E-9</v>
      </c>
      <c r="AB391" s="3">
        <f t="shared" si="394"/>
        <v>2.1082508666123623E-30</v>
      </c>
      <c r="AC391" s="3">
        <f t="shared" si="394"/>
        <v>2.8928297822359174E-245</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1.823122872957775E-3</v>
      </c>
      <c r="C396" s="3">
        <f t="shared" si="399"/>
        <v>1.823122872957775E-3</v>
      </c>
      <c r="D396" s="3">
        <f t="shared" si="399"/>
        <v>1.823122872957775E-3</v>
      </c>
      <c r="E396" s="3">
        <f t="shared" si="399"/>
        <v>1.823122872957775E-3</v>
      </c>
      <c r="F396" s="3">
        <f t="shared" si="399"/>
        <v>1.823122872957775E-3</v>
      </c>
      <c r="G396" s="3">
        <f t="shared" si="399"/>
        <v>1.823122872957775E-3</v>
      </c>
      <c r="H396" s="3">
        <f t="shared" si="399"/>
        <v>1.823122872957775E-3</v>
      </c>
      <c r="I396" s="3">
        <f t="shared" si="399"/>
        <v>1.823122872957775E-3</v>
      </c>
      <c r="J396" s="3">
        <f t="shared" si="399"/>
        <v>1.823122872957775E-3</v>
      </c>
      <c r="K396" s="3">
        <f t="shared" si="399"/>
        <v>1.823122872957775E-3</v>
      </c>
      <c r="L396" s="3">
        <f t="shared" si="399"/>
        <v>1.823122872957775E-3</v>
      </c>
      <c r="M396" s="3">
        <f t="shared" si="399"/>
        <v>1.823122872957775E-3</v>
      </c>
      <c r="N396" s="3">
        <f t="shared" si="399"/>
        <v>1.823122872957775E-3</v>
      </c>
      <c r="O396" s="3">
        <f t="shared" si="399"/>
        <v>1.823122872957775E-3</v>
      </c>
      <c r="P396" s="3">
        <f t="shared" si="399"/>
        <v>1.8231228729577739E-3</v>
      </c>
      <c r="Q396" s="3">
        <f t="shared" si="399"/>
        <v>1.8231228729577648E-3</v>
      </c>
      <c r="R396" s="3">
        <f t="shared" si="399"/>
        <v>1.8231228729576748E-3</v>
      </c>
      <c r="S396" s="3">
        <f t="shared" si="399"/>
        <v>1.823122872956773E-3</v>
      </c>
      <c r="T396" s="3">
        <f t="shared" si="399"/>
        <v>1.8231228729477531E-3</v>
      </c>
      <c r="U396" s="3">
        <f t="shared" si="399"/>
        <v>1.8231228728575561E-3</v>
      </c>
      <c r="V396" s="3">
        <f t="shared" si="399"/>
        <v>1.8231228719555851E-3</v>
      </c>
      <c r="W396" s="3">
        <f t="shared" si="399"/>
        <v>1.8231228629358779E-3</v>
      </c>
      <c r="X396" s="3">
        <f t="shared" si="399"/>
        <v>1.8231227727388056E-3</v>
      </c>
      <c r="Y396" s="3">
        <f t="shared" si="399"/>
        <v>1.8231218707683283E-3</v>
      </c>
      <c r="Z396" s="3">
        <f t="shared" si="399"/>
        <v>1.8231128510880995E-3</v>
      </c>
      <c r="AA396" s="3">
        <f t="shared" si="399"/>
        <v>1.8230226567400834E-3</v>
      </c>
      <c r="AB396" s="3">
        <f t="shared" si="399"/>
        <v>1.8221209586422773E-3</v>
      </c>
      <c r="AC396" s="3">
        <f t="shared" si="399"/>
        <v>1.8131284710408897E-3</v>
      </c>
      <c r="AD396" s="3">
        <f t="shared" si="399"/>
        <v>1.7256086838484891E-3</v>
      </c>
      <c r="AE396" s="3">
        <f t="shared" si="399"/>
        <v>1.0521549875232431E-3</v>
      </c>
      <c r="AF396" s="3">
        <f t="shared" si="399"/>
        <v>7.4722900962035726E-6</v>
      </c>
      <c r="AG396" s="3"/>
      <c r="AH396" s="3"/>
    </row>
    <row r="397" spans="1:34" x14ac:dyDescent="0.25">
      <c r="A397" s="80">
        <f>AVERAGE(B397:AF397)</f>
        <v>2.3441792632632693E-3</v>
      </c>
      <c r="B397" s="81">
        <f>IF($A$64&lt;=B363,IF($B$64&gt;=B363,ABS((B365-B364)/B364),0),0)</f>
        <v>0</v>
      </c>
      <c r="C397" s="81">
        <f t="shared" ref="C397:AF397" si="400">IF($A$64&lt;=C363,IF($B$64&gt;=C363,ABS((C365-C364)/C364),0),0)</f>
        <v>0</v>
      </c>
      <c r="D397" s="81">
        <f t="shared" si="400"/>
        <v>0</v>
      </c>
      <c r="E397" s="81">
        <f t="shared" si="400"/>
        <v>0</v>
      </c>
      <c r="F397" s="81">
        <f t="shared" si="400"/>
        <v>0</v>
      </c>
      <c r="G397" s="81">
        <f t="shared" si="400"/>
        <v>0</v>
      </c>
      <c r="H397" s="81">
        <f t="shared" si="400"/>
        <v>0</v>
      </c>
      <c r="I397" s="81">
        <f t="shared" si="400"/>
        <v>0</v>
      </c>
      <c r="J397" s="81">
        <f t="shared" si="400"/>
        <v>0</v>
      </c>
      <c r="K397" s="81">
        <f t="shared" si="400"/>
        <v>0</v>
      </c>
      <c r="L397" s="81">
        <f t="shared" si="400"/>
        <v>1.4373114290890461E-3</v>
      </c>
      <c r="M397" s="81">
        <f t="shared" si="400"/>
        <v>4.1060529730754377E-3</v>
      </c>
      <c r="N397" s="81">
        <f t="shared" si="400"/>
        <v>2.6843181341960891E-2</v>
      </c>
      <c r="O397" s="81">
        <f t="shared" si="400"/>
        <v>2.191528942682525E-2</v>
      </c>
      <c r="P397" s="81">
        <f t="shared" si="400"/>
        <v>3.2414754255815836E-3</v>
      </c>
      <c r="Q397" s="81">
        <f t="shared" si="400"/>
        <v>8.8644660137319579E-3</v>
      </c>
      <c r="R397" s="81">
        <f t="shared" si="400"/>
        <v>1.6252947404214713E-4</v>
      </c>
      <c r="S397" s="81">
        <f t="shared" si="400"/>
        <v>1.2730720988409835E-3</v>
      </c>
      <c r="T397" s="81">
        <f t="shared" si="400"/>
        <v>1.5063749522379827E-3</v>
      </c>
      <c r="U397" s="81">
        <f t="shared" si="400"/>
        <v>1.7191648520589002E-3</v>
      </c>
      <c r="V397" s="81">
        <f t="shared" si="400"/>
        <v>1.6006391737171644E-3</v>
      </c>
      <c r="W397" s="81">
        <f t="shared" si="400"/>
        <v>0</v>
      </c>
      <c r="X397" s="81">
        <f t="shared" si="400"/>
        <v>0</v>
      </c>
      <c r="Y397" s="81">
        <f t="shared" si="400"/>
        <v>0</v>
      </c>
      <c r="Z397" s="81">
        <f t="shared" si="400"/>
        <v>0</v>
      </c>
      <c r="AA397" s="81">
        <f t="shared" si="400"/>
        <v>0</v>
      </c>
      <c r="AB397" s="81">
        <f t="shared" si="400"/>
        <v>0</v>
      </c>
      <c r="AC397" s="81">
        <f t="shared" si="400"/>
        <v>0</v>
      </c>
      <c r="AD397" s="81">
        <f t="shared" si="400"/>
        <v>0</v>
      </c>
      <c r="AE397" s="81">
        <f t="shared" si="400"/>
        <v>0</v>
      </c>
      <c r="AF397" s="81">
        <f t="shared" si="400"/>
        <v>0</v>
      </c>
    </row>
    <row r="398" spans="1:34" x14ac:dyDescent="0.25">
      <c r="B398" s="21">
        <f>(B365-B364)^2</f>
        <v>1720.649506097765</v>
      </c>
      <c r="C398" s="21">
        <f t="shared" ref="C398:AF398" si="401">(C365-C364)^2</f>
        <v>78.348151378211057</v>
      </c>
      <c r="D398" s="21">
        <f t="shared" si="401"/>
        <v>797.1046073714042</v>
      </c>
      <c r="E398" s="21">
        <f t="shared" si="401"/>
        <v>623.73971900188803</v>
      </c>
      <c r="F398" s="21">
        <f t="shared" si="401"/>
        <v>1029.8521267704998</v>
      </c>
      <c r="G398" s="21">
        <f t="shared" si="401"/>
        <v>918.11993071295012</v>
      </c>
      <c r="H398" s="21">
        <f t="shared" si="401"/>
        <v>1971.4410889767028</v>
      </c>
      <c r="I398" s="21">
        <f t="shared" si="401"/>
        <v>2313.4098528116792</v>
      </c>
      <c r="J398" s="21">
        <f t="shared" si="401"/>
        <v>2247.7770074468408</v>
      </c>
      <c r="K398" s="21">
        <f t="shared" si="401"/>
        <v>1978.9239953084807</v>
      </c>
      <c r="L398" s="21">
        <f t="shared" si="401"/>
        <v>1.378779677741357</v>
      </c>
      <c r="M398" s="21">
        <f t="shared" si="401"/>
        <v>3.6199951644527668</v>
      </c>
      <c r="N398" s="21">
        <f t="shared" si="401"/>
        <v>47.581404297627365</v>
      </c>
      <c r="O398" s="21">
        <f t="shared" si="401"/>
        <v>13.474034025175696</v>
      </c>
      <c r="P398" s="21">
        <f t="shared" si="401"/>
        <v>0.21128073667586267</v>
      </c>
      <c r="Q398" s="21">
        <f t="shared" si="401"/>
        <v>1.3115107684596834</v>
      </c>
      <c r="R398" s="21">
        <f t="shared" si="401"/>
        <v>4.1576304987450707E-4</v>
      </c>
      <c r="S398" s="21">
        <f t="shared" si="401"/>
        <v>2.5476825808710121E-2</v>
      </c>
      <c r="T398" s="21">
        <f t="shared" si="401"/>
        <v>3.560473184432067E-2</v>
      </c>
      <c r="U398" s="21">
        <f t="shared" si="401"/>
        <v>4.6281356330177333E-2</v>
      </c>
      <c r="V398" s="21">
        <f t="shared" si="401"/>
        <v>4.0018253069771047E-2</v>
      </c>
      <c r="W398" s="21">
        <f t="shared" si="401"/>
        <v>5.5238289833115739E-2</v>
      </c>
      <c r="X398" s="21">
        <f t="shared" si="401"/>
        <v>2.4988479289924089E-2</v>
      </c>
      <c r="Y398" s="21">
        <f t="shared" si="401"/>
        <v>5.0023605993909203E-4</v>
      </c>
      <c r="Z398" s="21">
        <f t="shared" si="401"/>
        <v>4.8474549701798544E-4</v>
      </c>
      <c r="AA398" s="21">
        <f t="shared" si="401"/>
        <v>4.1721794380588035E-3</v>
      </c>
      <c r="AB398" s="21">
        <f t="shared" si="401"/>
        <v>3.38671887356886E-2</v>
      </c>
      <c r="AC398" s="21">
        <f t="shared" si="401"/>
        <v>6.7110492048683024E-2</v>
      </c>
      <c r="AD398" s="21">
        <f t="shared" si="401"/>
        <v>6.3775503012557994E-2</v>
      </c>
      <c r="AE398" s="21">
        <f t="shared" si="401"/>
        <v>18.001274986935474</v>
      </c>
      <c r="AF398" s="21">
        <f t="shared" si="401"/>
        <v>108.90236521492257</v>
      </c>
      <c r="AG398" s="3"/>
      <c r="AH398" s="3"/>
    </row>
    <row r="399" spans="1:34" x14ac:dyDescent="0.25">
      <c r="A399" s="72">
        <f>SUM(B399:AF399)</f>
        <v>67.72480160023558</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1.378779677741357</v>
      </c>
      <c r="M399" s="60">
        <f t="shared" ref="M399" si="412">IF($A$64&lt;=M363,IF($B$64&gt;=M363,ABS(M398),0),0)</f>
        <v>3.6199951644527668</v>
      </c>
      <c r="N399" s="60">
        <f t="shared" ref="N399" si="413">IF($A$64&lt;=N363,IF($B$64&gt;=N363,ABS(N398),0),0)</f>
        <v>47.581404297627365</v>
      </c>
      <c r="O399" s="60">
        <f t="shared" ref="O399" si="414">IF($A$64&lt;=O363,IF($B$64&gt;=O363,ABS(O398),0),0)</f>
        <v>13.474034025175696</v>
      </c>
      <c r="P399" s="60">
        <f t="shared" ref="P399" si="415">IF($A$64&lt;=P363,IF($B$64&gt;=P363,ABS(P398),0),0)</f>
        <v>0.21128073667586267</v>
      </c>
      <c r="Q399" s="60">
        <f t="shared" ref="Q399" si="416">IF($A$64&lt;=Q363,IF($B$64&gt;=Q363,ABS(Q398),0),0)</f>
        <v>1.3115107684596834</v>
      </c>
      <c r="R399" s="60">
        <f t="shared" ref="R399" si="417">IF($A$64&lt;=R363,IF($B$64&gt;=R363,ABS(R398),0),0)</f>
        <v>4.1576304987450707E-4</v>
      </c>
      <c r="S399" s="60">
        <f t="shared" ref="S399" si="418">IF($A$64&lt;=S363,IF($B$64&gt;=S363,ABS(S398),0),0)</f>
        <v>2.5476825808710121E-2</v>
      </c>
      <c r="T399" s="60">
        <f t="shared" ref="T399" si="419">IF($A$64&lt;=T363,IF($B$64&gt;=T363,ABS(T398),0),0)</f>
        <v>3.560473184432067E-2</v>
      </c>
      <c r="U399" s="60">
        <f t="shared" ref="U399" si="420">IF($A$64&lt;=U363,IF($B$64&gt;=U363,ABS(U398),0),0)</f>
        <v>4.6281356330177333E-2</v>
      </c>
      <c r="V399" s="60">
        <f t="shared" ref="V399" si="421">IF($A$64&lt;=V363,IF($B$64&gt;=V363,ABS(V398),0),0)</f>
        <v>4.0018253069771047E-2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-55.418097133870482</v>
      </c>
      <c r="M1" s="54">
        <v>1</v>
      </c>
      <c r="N1" s="56">
        <f>INDEX($H$217:$P$217,1,Q1)</f>
        <v>0.27981614592843279</v>
      </c>
      <c r="O1" s="11"/>
      <c r="P1" s="55">
        <v>1</v>
      </c>
      <c r="Q1" s="11">
        <v>2</v>
      </c>
    </row>
    <row r="2" spans="1:17" x14ac:dyDescent="0.25">
      <c r="A2" s="11">
        <f>'Mastercurve bestimmen'!M119</f>
        <v>0</v>
      </c>
      <c r="B2" s="11">
        <f>'Mastercurve bestimmen'!N119</f>
        <v>-51.153639664123297</v>
      </c>
      <c r="M2" s="54">
        <v>2</v>
      </c>
      <c r="N2" s="56">
        <f t="shared" ref="N2:N9" si="0">INDEX($H$217:$P$217,1,Q2)</f>
        <v>-6.1099216494287919E-3</v>
      </c>
      <c r="O2" s="11"/>
      <c r="P2" s="55">
        <v>2</v>
      </c>
      <c r="Q2" s="11">
        <f>Q1+1</f>
        <v>3</v>
      </c>
    </row>
    <row r="3" spans="1:17" x14ac:dyDescent="0.25">
      <c r="A3" s="11">
        <f>'Mastercurve bestimmen'!M120</f>
        <v>25</v>
      </c>
      <c r="B3" s="11">
        <f>'Mastercurve bestimmen'!N120</f>
        <v>-41.471047611750329</v>
      </c>
      <c r="M3" s="54">
        <v>3</v>
      </c>
      <c r="N3" s="56">
        <f t="shared" si="0"/>
        <v>-2.4714955907433101E-5</v>
      </c>
      <c r="O3" s="11"/>
      <c r="P3" s="55">
        <v>3</v>
      </c>
      <c r="Q3" s="11">
        <f t="shared" ref="Q3:Q8" si="1">Q2+1</f>
        <v>4</v>
      </c>
    </row>
    <row r="4" spans="1:17" x14ac:dyDescent="0.25">
      <c r="A4" s="11">
        <f>'Mastercurve bestimmen'!M121</f>
        <v>50</v>
      </c>
      <c r="B4" s="11">
        <f>'Mastercurve bestimmen'!N121</f>
        <v>-32.056746295162469</v>
      </c>
      <c r="M4" s="54">
        <v>4</v>
      </c>
      <c r="N4" s="56">
        <f t="shared" si="0"/>
        <v>1.4125516690561377E-6</v>
      </c>
      <c r="O4" s="11"/>
      <c r="P4" s="55">
        <v>4</v>
      </c>
      <c r="Q4" s="11">
        <f t="shared" si="1"/>
        <v>5</v>
      </c>
    </row>
    <row r="5" spans="1:17" x14ac:dyDescent="0.25">
      <c r="A5" s="11">
        <f>'Mastercurve bestimmen'!M122</f>
        <v>80</v>
      </c>
      <c r="B5" s="11">
        <f>'Mastercurve bestimmen'!N122</f>
        <v>-19.744262508280087</v>
      </c>
      <c r="M5" s="54">
        <v>5</v>
      </c>
      <c r="N5" s="56">
        <f t="shared" si="0"/>
        <v>1.6227000190248636E-8</v>
      </c>
      <c r="O5" s="11"/>
      <c r="P5" s="55">
        <v>5</v>
      </c>
      <c r="Q5" s="11">
        <f t="shared" si="1"/>
        <v>6</v>
      </c>
    </row>
    <row r="6" spans="1:17" x14ac:dyDescent="0.25">
      <c r="A6" s="11">
        <f>'Mastercurve bestimmen'!M123</f>
        <v>125</v>
      </c>
      <c r="B6" s="11">
        <f>'Mastercurve bestimmen'!N123</f>
        <v>0</v>
      </c>
      <c r="M6" s="54">
        <v>6</v>
      </c>
      <c r="N6" s="56">
        <f t="shared" si="0"/>
        <v>4.9575000863556092E-12</v>
      </c>
      <c r="O6" s="11"/>
      <c r="P6" s="55">
        <v>6</v>
      </c>
      <c r="Q6" s="11">
        <f t="shared" si="1"/>
        <v>7</v>
      </c>
    </row>
    <row r="7" spans="1:17" x14ac:dyDescent="0.25">
      <c r="A7" s="11">
        <f>'Mastercurve bestimmen'!M124</f>
        <v>160</v>
      </c>
      <c r="B7" s="11">
        <f>'Mastercurve bestimmen'!N124</f>
        <v>4.006806619222516</v>
      </c>
      <c r="M7" s="54">
        <v>7</v>
      </c>
      <c r="N7" s="56">
        <f t="shared" si="0"/>
        <v>-5.7786414965925904E-13</v>
      </c>
      <c r="O7" s="11"/>
      <c r="P7" s="55">
        <v>7</v>
      </c>
      <c r="Q7" s="11">
        <f t="shared" si="1"/>
        <v>8</v>
      </c>
    </row>
    <row r="8" spans="1:17" x14ac:dyDescent="0.25">
      <c r="A8" s="11"/>
      <c r="B8" s="11"/>
      <c r="M8" s="54">
        <v>8</v>
      </c>
      <c r="N8" s="56">
        <f t="shared" si="0"/>
        <v>-1.8946783917320989E-15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-55.418097133870475</v>
      </c>
      <c r="E15" s="11">
        <f>A15-'Mastercurve bestimmen'!$B$2</f>
        <v>-165</v>
      </c>
      <c r="F15" s="11">
        <f>B15</f>
        <v>-55.418097133870475</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-55.400434536150669</v>
      </c>
      <c r="E16" s="11">
        <f>A16-'Mastercurve bestimmen'!$B$2</f>
        <v>-164</v>
      </c>
      <c r="F16" s="11">
        <f t="shared" ref="F16:F79" si="4">B16</f>
        <v>-55.400434536150669</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-55.382438171680299</v>
      </c>
      <c r="E17" s="11">
        <f>A17-'Mastercurve bestimmen'!$B$2</f>
        <v>-163</v>
      </c>
      <c r="F17" s="11">
        <f t="shared" si="4"/>
        <v>-55.382438171680299</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-55.363774273708813</v>
      </c>
      <c r="E18" s="11">
        <f>A18-'Mastercurve bestimmen'!$B$2</f>
        <v>-162</v>
      </c>
      <c r="F18" s="11">
        <f t="shared" si="4"/>
        <v>-55.363774273708813</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-55.344109075485655</v>
      </c>
      <c r="E19" s="11">
        <f>A19-'Mastercurve bestimmen'!$B$2</f>
        <v>-161</v>
      </c>
      <c r="F19" s="11">
        <f t="shared" si="4"/>
        <v>-55.344109075485655</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-55.323108810260251</v>
      </c>
      <c r="E20" s="11">
        <f>A20-'Mastercurve bestimmen'!$B$2</f>
        <v>-160</v>
      </c>
      <c r="F20" s="11">
        <f t="shared" si="4"/>
        <v>-55.323108810260251</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-55.300439711282067</v>
      </c>
      <c r="E21" s="11">
        <f>A21-'Mastercurve bestimmen'!$B$2</f>
        <v>-159</v>
      </c>
      <c r="F21" s="11">
        <f t="shared" si="4"/>
        <v>-55.300439711282067</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-55.275768011800523</v>
      </c>
      <c r="E22" s="11">
        <f>A22-'Mastercurve bestimmen'!$B$2</f>
        <v>-158</v>
      </c>
      <c r="F22" s="11">
        <f t="shared" si="4"/>
        <v>-55.275768011800523</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-55.248759945065075</v>
      </c>
      <c r="E23" s="11">
        <f>A23-'Mastercurve bestimmen'!$B$2</f>
        <v>-157</v>
      </c>
      <c r="F23" s="11">
        <f t="shared" si="4"/>
        <v>-55.248759945065075</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-55.219081744325152</v>
      </c>
      <c r="E24" s="11">
        <f>A24-'Mastercurve bestimmen'!$B$2</f>
        <v>-156</v>
      </c>
      <c r="F24" s="11">
        <f t="shared" si="4"/>
        <v>-55.219081744325152</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-55.186399642830203</v>
      </c>
      <c r="E25" s="11">
        <f>A25-'Mastercurve bestimmen'!$B$2</f>
        <v>-155</v>
      </c>
      <c r="F25" s="11">
        <f t="shared" si="4"/>
        <v>-55.186399642830203</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-55.150379873829664</v>
      </c>
      <c r="E26" s="11">
        <f>A26-'Mastercurve bestimmen'!$B$2</f>
        <v>-154</v>
      </c>
      <c r="F26" s="11">
        <f t="shared" si="4"/>
        <v>-55.150379873829664</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-55.110688670572991</v>
      </c>
      <c r="E27" s="11">
        <f>A27-'Mastercurve bestimmen'!$B$2</f>
        <v>-153</v>
      </c>
      <c r="F27" s="11">
        <f t="shared" si="4"/>
        <v>-55.110688670572991</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-55.066992266309612</v>
      </c>
      <c r="E28" s="11">
        <f>A28-'Mastercurve bestimmen'!$B$2</f>
        <v>-152</v>
      </c>
      <c r="F28" s="11">
        <f t="shared" si="4"/>
        <v>-55.066992266309612</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-55.018956894288962</v>
      </c>
      <c r="E29" s="11">
        <f>A29-'Mastercurve bestimmen'!$B$2</f>
        <v>-151</v>
      </c>
      <c r="F29" s="11">
        <f t="shared" si="4"/>
        <v>-55.018956894288962</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-54.966248787760506</v>
      </c>
      <c r="E30" s="11">
        <f>A30-'Mastercurve bestimmen'!$B$2</f>
        <v>-150</v>
      </c>
      <c r="F30" s="11">
        <f t="shared" si="4"/>
        <v>-54.966248787760506</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-54.908534179973664</v>
      </c>
      <c r="E31" s="11">
        <f>A31-'Mastercurve bestimmen'!$B$2</f>
        <v>-149</v>
      </c>
      <c r="F31" s="11">
        <f t="shared" si="4"/>
        <v>-54.908534179973664</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-54.845479304177871</v>
      </c>
      <c r="E32" s="11">
        <f>A32-'Mastercurve bestimmen'!$B$2</f>
        <v>-148</v>
      </c>
      <c r="F32" s="11">
        <f t="shared" si="4"/>
        <v>-54.845479304177871</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-54.776750393622606</v>
      </c>
      <c r="E33" s="11">
        <f>A33-'Mastercurve bestimmen'!$B$2</f>
        <v>-147</v>
      </c>
      <c r="F33" s="11">
        <f t="shared" si="4"/>
        <v>-54.776750393622606</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-54.702013681557268</v>
      </c>
      <c r="E34" s="11">
        <f>A34-'Mastercurve bestimmen'!$B$2</f>
        <v>-146</v>
      </c>
      <c r="F34" s="11">
        <f t="shared" si="4"/>
        <v>-54.702013681557268</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-54.620935401231321</v>
      </c>
      <c r="E35" s="11">
        <f>A35-'Mastercurve bestimmen'!$B$2</f>
        <v>-145</v>
      </c>
      <c r="F35" s="11">
        <f t="shared" si="4"/>
        <v>-54.620935401231321</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-54.5331817858942</v>
      </c>
      <c r="E36" s="11">
        <f>A36-'Mastercurve bestimmen'!$B$2</f>
        <v>-144</v>
      </c>
      <c r="F36" s="11">
        <f t="shared" si="4"/>
        <v>-54.5331817858942</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-54.438419068795355</v>
      </c>
      <c r="E37" s="11">
        <f>A37-'Mastercurve bestimmen'!$B$2</f>
        <v>-143</v>
      </c>
      <c r="F37" s="11">
        <f t="shared" si="4"/>
        <v>-54.438419068795355</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-54.33631348318422</v>
      </c>
      <c r="E38" s="11">
        <f>A38-'Mastercurve bestimmen'!$B$2</f>
        <v>-142</v>
      </c>
      <c r="F38" s="11">
        <f t="shared" si="4"/>
        <v>-54.33631348318422</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-54.226531262310232</v>
      </c>
      <c r="E39" s="11">
        <f>A39-'Mastercurve bestimmen'!$B$2</f>
        <v>-141</v>
      </c>
      <c r="F39" s="11">
        <f t="shared" si="4"/>
        <v>-54.226531262310232</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-54.108738639422839</v>
      </c>
      <c r="E40" s="11">
        <f>A40-'Mastercurve bestimmen'!$B$2</f>
        <v>-140</v>
      </c>
      <c r="F40" s="11">
        <f t="shared" si="4"/>
        <v>-54.108738639422839</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-53.982601847771477</v>
      </c>
      <c r="E41" s="11">
        <f>A41-'Mastercurve bestimmen'!$B$2</f>
        <v>-139</v>
      </c>
      <c r="F41" s="11">
        <f t="shared" si="4"/>
        <v>-53.982601847771477</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-53.847787120605602</v>
      </c>
      <c r="E42" s="11">
        <f>A42-'Mastercurve bestimmen'!$B$2</f>
        <v>-138</v>
      </c>
      <c r="F42" s="11">
        <f t="shared" si="4"/>
        <v>-53.847787120605602</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-53.703960691174629</v>
      </c>
      <c r="E43" s="11">
        <f>A43-'Mastercurve bestimmen'!$B$2</f>
        <v>-137</v>
      </c>
      <c r="F43" s="11">
        <f t="shared" si="4"/>
        <v>-53.703960691174629</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-53.550788792728028</v>
      </c>
      <c r="E44" s="11">
        <f>A44-'Mastercurve bestimmen'!$B$2</f>
        <v>-136</v>
      </c>
      <c r="F44" s="11">
        <f t="shared" si="4"/>
        <v>-53.550788792728028</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-53.387937658515227</v>
      </c>
      <c r="E45" s="11">
        <f>A45-'Mastercurve bestimmen'!$B$2</f>
        <v>-135</v>
      </c>
      <c r="F45" s="11">
        <f t="shared" si="4"/>
        <v>-53.387937658515227</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-53.215073521785655</v>
      </c>
      <c r="E46" s="11">
        <f>A46-'Mastercurve bestimmen'!$B$2</f>
        <v>-134</v>
      </c>
      <c r="F46" s="11">
        <f t="shared" si="4"/>
        <v>-53.215073521785655</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-53.031862615788782</v>
      </c>
      <c r="E47" s="11">
        <f>A47-'Mastercurve bestimmen'!$B$2</f>
        <v>-133</v>
      </c>
      <c r="F47" s="11">
        <f t="shared" si="4"/>
        <v>-53.031862615788782</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-52.837971173774022</v>
      </c>
      <c r="E48" s="11">
        <f>A48-'Mastercurve bestimmen'!$B$2</f>
        <v>-132</v>
      </c>
      <c r="F48" s="11">
        <f t="shared" si="4"/>
        <v>-52.837971173774022</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-52.633065428990832</v>
      </c>
      <c r="E49" s="11">
        <f>A49-'Mastercurve bestimmen'!$B$2</f>
        <v>-131</v>
      </c>
      <c r="F49" s="11">
        <f t="shared" si="4"/>
        <v>-52.633065428990832</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-52.416811614688648</v>
      </c>
      <c r="E50" s="11">
        <f>A50-'Mastercurve bestimmen'!$B$2</f>
        <v>-130</v>
      </c>
      <c r="F50" s="11">
        <f t="shared" si="4"/>
        <v>-52.416811614688648</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-52.188875964116917</v>
      </c>
      <c r="E51" s="11">
        <f>A51-'Mastercurve bestimmen'!$B$2</f>
        <v>-129</v>
      </c>
      <c r="F51" s="11">
        <f t="shared" si="4"/>
        <v>-52.188875964116917</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-51.94892471052507</v>
      </c>
      <c r="E52" s="11">
        <f>A52-'Mastercurve bestimmen'!$B$2</f>
        <v>-128</v>
      </c>
      <c r="F52" s="11">
        <f t="shared" si="4"/>
        <v>-51.94892471052507</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-51.696624087162562</v>
      </c>
      <c r="E53" s="11">
        <f>A53-'Mastercurve bestimmen'!$B$2</f>
        <v>-127</v>
      </c>
      <c r="F53" s="11">
        <f t="shared" si="4"/>
        <v>-51.696624087162562</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-51.431640327278821</v>
      </c>
      <c r="E54" s="11">
        <f>A54-'Mastercurve bestimmen'!$B$2</f>
        <v>-126</v>
      </c>
      <c r="F54" s="11">
        <f t="shared" si="4"/>
        <v>-51.431640327278821</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-51.153639664123297</v>
      </c>
      <c r="E55" s="11">
        <f>A55-'Mastercurve bestimmen'!$B$2</f>
        <v>-125</v>
      </c>
      <c r="F55" s="11">
        <f t="shared" si="4"/>
        <v>-51.153639664123297</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-50.852880544120438</v>
      </c>
      <c r="E56" s="11">
        <f>A56-'Mastercurve bestimmen'!$B$2</f>
        <v>-124</v>
      </c>
      <c r="F56" s="11">
        <f t="shared" si="4"/>
        <v>-50.852880544120438</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-50.539479056769999</v>
      </c>
      <c r="E57" s="11">
        <f>A57-'Mastercurve bestimmen'!$B$2</f>
        <v>-123</v>
      </c>
      <c r="F57" s="11">
        <f t="shared" si="4"/>
        <v>-50.539479056769999</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-50.214143504746758</v>
      </c>
      <c r="E58" s="11">
        <f>A58-'Mastercurve bestimmen'!$B$2</f>
        <v>-122</v>
      </c>
      <c r="F58" s="11">
        <f t="shared" si="4"/>
        <v>-50.214143504746758</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-49.877582190725477</v>
      </c>
      <c r="E59" s="11">
        <f>A59-'Mastercurve bestimmen'!$B$2</f>
        <v>-121</v>
      </c>
      <c r="F59" s="11">
        <f t="shared" si="4"/>
        <v>-49.877582190725477</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-49.530503417380942</v>
      </c>
      <c r="E60" s="11">
        <f>A60-'Mastercurve bestimmen'!$B$2</f>
        <v>-120</v>
      </c>
      <c r="F60" s="11">
        <f t="shared" si="4"/>
        <v>-49.530503417380942</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-49.173615487387906</v>
      </c>
      <c r="E61" s="11">
        <f>A61-'Mastercurve bestimmen'!$B$2</f>
        <v>-119</v>
      </c>
      <c r="F61" s="11">
        <f t="shared" si="4"/>
        <v>-49.173615487387906</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-48.807626703421143</v>
      </c>
      <c r="E62" s="11">
        <f>A62-'Mastercurve bestimmen'!$B$2</f>
        <v>-118</v>
      </c>
      <c r="F62" s="11">
        <f t="shared" si="4"/>
        <v>-48.807626703421143</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-48.433245368155426</v>
      </c>
      <c r="E63" s="11">
        <f>A63-'Mastercurve bestimmen'!$B$2</f>
        <v>-117</v>
      </c>
      <c r="F63" s="11">
        <f t="shared" si="4"/>
        <v>-48.433245368155426</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-48.051179784265528</v>
      </c>
      <c r="E64" s="11">
        <f>A64-'Mastercurve bestimmen'!$B$2</f>
        <v>-116</v>
      </c>
      <c r="F64" s="11">
        <f t="shared" si="4"/>
        <v>-48.051179784265528</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-47.66213825442621</v>
      </c>
      <c r="E65" s="11">
        <f>A65-'Mastercurve bestimmen'!$B$2</f>
        <v>-115</v>
      </c>
      <c r="F65" s="11">
        <f t="shared" si="4"/>
        <v>-47.66213825442621</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-47.266829081312252</v>
      </c>
      <c r="E66" s="11">
        <f>A66-'Mastercurve bestimmen'!$B$2</f>
        <v>-114</v>
      </c>
      <c r="F66" s="11">
        <f t="shared" si="4"/>
        <v>-47.266829081312252</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-46.865960567598421</v>
      </c>
      <c r="E67" s="11">
        <f>A67-'Mastercurve bestimmen'!$B$2</f>
        <v>-113</v>
      </c>
      <c r="F67" s="11">
        <f t="shared" si="4"/>
        <v>-46.865960567598421</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-46.460241015959483</v>
      </c>
      <c r="E68" s="11">
        <f>A68-'Mastercurve bestimmen'!$B$2</f>
        <v>-112</v>
      </c>
      <c r="F68" s="11">
        <f t="shared" si="4"/>
        <v>-46.460241015959483</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-46.050378729070211</v>
      </c>
      <c r="E69" s="11">
        <f>A69-'Mastercurve bestimmen'!$B$2</f>
        <v>-111</v>
      </c>
      <c r="F69" s="11">
        <f t="shared" si="4"/>
        <v>-46.050378729070211</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-45.637082009605379</v>
      </c>
      <c r="E70" s="11">
        <f>A70-'Mastercurve bestimmen'!$B$2</f>
        <v>-110</v>
      </c>
      <c r="F70" s="11">
        <f t="shared" si="4"/>
        <v>-45.637082009605379</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-45.22105916023974</v>
      </c>
      <c r="E71" s="11">
        <f>A71-'Mastercurve bestimmen'!$B$2</f>
        <v>-109</v>
      </c>
      <c r="F71" s="11">
        <f t="shared" si="4"/>
        <v>-45.22105916023974</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-44.803018483648081</v>
      </c>
      <c r="E72" s="11">
        <f>A72-'Mastercurve bestimmen'!$B$2</f>
        <v>-108</v>
      </c>
      <c r="F72" s="11">
        <f t="shared" si="4"/>
        <v>-44.803018483648081</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-44.38366828250517</v>
      </c>
      <c r="E73" s="11">
        <f>A73-'Mastercurve bestimmen'!$B$2</f>
        <v>-107</v>
      </c>
      <c r="F73" s="11">
        <f t="shared" si="4"/>
        <v>-44.38366828250517</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-43.963716859485771</v>
      </c>
      <c r="E74" s="11">
        <f>A74-'Mastercurve bestimmen'!$B$2</f>
        <v>-106</v>
      </c>
      <c r="F74" s="11">
        <f t="shared" si="4"/>
        <v>-43.963716859485771</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-43.54387251726466</v>
      </c>
      <c r="E75" s="11">
        <f>A75-'Mastercurve bestimmen'!$B$2</f>
        <v>-105</v>
      </c>
      <c r="F75" s="11">
        <f t="shared" si="4"/>
        <v>-43.54387251726466</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-43.124843558516609</v>
      </c>
      <c r="E76" s="11">
        <f>A76-'Mastercurve bestimmen'!$B$2</f>
        <v>-104</v>
      </c>
      <c r="F76" s="11">
        <f t="shared" si="4"/>
        <v>-43.124843558516609</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-42.707338285916371</v>
      </c>
      <c r="E77" s="11">
        <f>A77-'Mastercurve bestimmen'!$B$2</f>
        <v>-103</v>
      </c>
      <c r="F77" s="11">
        <f t="shared" si="4"/>
        <v>-42.707338285916371</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-42.292065002138735</v>
      </c>
      <c r="E78" s="11">
        <f>A78-'Mastercurve bestimmen'!$B$2</f>
        <v>-102</v>
      </c>
      <c r="F78" s="11">
        <f t="shared" si="4"/>
        <v>-42.292065002138735</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-41.879732009858472</v>
      </c>
      <c r="E79" s="11">
        <f>A79-'Mastercurve bestimmen'!$B$2</f>
        <v>-101</v>
      </c>
      <c r="F79" s="11">
        <f t="shared" si="4"/>
        <v>-41.879732009858472</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-41.471047611750329</v>
      </c>
      <c r="E80" s="11">
        <f>A80-'Mastercurve bestimmen'!$B$2</f>
        <v>-100</v>
      </c>
      <c r="F80" s="11">
        <f t="shared" ref="F80:F143" si="10">B80</f>
        <v>-41.471047611750329</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-41.066563005222321</v>
      </c>
      <c r="E81" s="11">
        <f>A81-'Mastercurve bestimmen'!$B$2</f>
        <v>-99</v>
      </c>
      <c r="F81" s="11">
        <f t="shared" si="10"/>
        <v>-41.066563005222321</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-40.666200966615257</v>
      </c>
      <c r="E82" s="11">
        <f>A82-'Mastercurve bestimmen'!$B$2</f>
        <v>-98</v>
      </c>
      <c r="F82" s="11">
        <f t="shared" si="10"/>
        <v>-40.666200966615257</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-40.269727167003211</v>
      </c>
      <c r="E83" s="11">
        <f>A83-'Mastercurve bestimmen'!$B$2</f>
        <v>-97</v>
      </c>
      <c r="F83" s="11">
        <f t="shared" si="10"/>
        <v>-40.269727167003211</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-39.876907277460234</v>
      </c>
      <c r="E84" s="11">
        <f>A84-'Mastercurve bestimmen'!$B$2</f>
        <v>-96</v>
      </c>
      <c r="F84" s="11">
        <f t="shared" si="10"/>
        <v>-39.876907277460234</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-39.487506969060377</v>
      </c>
      <c r="E85" s="11">
        <f>A85-'Mastercurve bestimmen'!$B$2</f>
        <v>-95</v>
      </c>
      <c r="F85" s="11">
        <f t="shared" si="10"/>
        <v>-39.487506969060377</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-39.101291912877699</v>
      </c>
      <c r="E86" s="11">
        <f>A86-'Mastercurve bestimmen'!$B$2</f>
        <v>-94</v>
      </c>
      <c r="F86" s="11">
        <f t="shared" si="10"/>
        <v>-39.101291912877699</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-38.718027779986244</v>
      </c>
      <c r="E87" s="11">
        <f>A87-'Mastercurve bestimmen'!$B$2</f>
        <v>-93</v>
      </c>
      <c r="F87" s="11">
        <f t="shared" si="10"/>
        <v>-38.718027779986244</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-38.337480241460085</v>
      </c>
      <c r="E88" s="11">
        <f>A88-'Mastercurve bestimmen'!$B$2</f>
        <v>-92</v>
      </c>
      <c r="F88" s="11">
        <f t="shared" si="10"/>
        <v>-38.337480241460085</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-37.959414968373267</v>
      </c>
      <c r="E89" s="11">
        <f>A89-'Mastercurve bestimmen'!$B$2</f>
        <v>-91</v>
      </c>
      <c r="F89" s="11">
        <f t="shared" si="10"/>
        <v>-37.959414968373267</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-37.583597631799833</v>
      </c>
      <c r="E90" s="11">
        <f>A90-'Mastercurve bestimmen'!$B$2</f>
        <v>-90</v>
      </c>
      <c r="F90" s="11">
        <f t="shared" si="10"/>
        <v>-37.583597631799833</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-37.20979390281385</v>
      </c>
      <c r="E91" s="11">
        <f>A91-'Mastercurve bestimmen'!$B$2</f>
        <v>-89</v>
      </c>
      <c r="F91" s="11">
        <f t="shared" si="10"/>
        <v>-37.20979390281385</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-36.837769452489368</v>
      </c>
      <c r="E92" s="11">
        <f>A92-'Mastercurve bestimmen'!$B$2</f>
        <v>-88</v>
      </c>
      <c r="F92" s="11">
        <f t="shared" si="10"/>
        <v>-36.837769452489368</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-36.46728995190044</v>
      </c>
      <c r="E93" s="11">
        <f>A93-'Mastercurve bestimmen'!$B$2</f>
        <v>-87</v>
      </c>
      <c r="F93" s="11">
        <f t="shared" si="10"/>
        <v>-36.46728995190044</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-36.098121072121124</v>
      </c>
      <c r="E94" s="11">
        <f>A94-'Mastercurve bestimmen'!$B$2</f>
        <v>-86</v>
      </c>
      <c r="F94" s="11">
        <f t="shared" si="10"/>
        <v>-36.098121072121124</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-35.730028484225471</v>
      </c>
      <c r="E95" s="11">
        <f>A95-'Mastercurve bestimmen'!$B$2</f>
        <v>-85</v>
      </c>
      <c r="F95" s="11">
        <f t="shared" si="10"/>
        <v>-35.730028484225471</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-35.362777859287547</v>
      </c>
      <c r="E96" s="11">
        <f>A96-'Mastercurve bestimmen'!$B$2</f>
        <v>-84</v>
      </c>
      <c r="F96" s="11">
        <f t="shared" si="10"/>
        <v>-35.362777859287547</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-34.99613486838139</v>
      </c>
      <c r="E97" s="11">
        <f>A97-'Mastercurve bestimmen'!$B$2</f>
        <v>-83</v>
      </c>
      <c r="F97" s="11">
        <f t="shared" si="10"/>
        <v>-34.99613486838139</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-34.629865182581057</v>
      </c>
      <c r="E98" s="11">
        <f>A98-'Mastercurve bestimmen'!$B$2</f>
        <v>-82</v>
      </c>
      <c r="F98" s="11">
        <f t="shared" si="10"/>
        <v>-34.629865182581057</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-34.263734472960607</v>
      </c>
      <c r="E99" s="11">
        <f>A99-'Mastercurve bestimmen'!$B$2</f>
        <v>-81</v>
      </c>
      <c r="F99" s="11">
        <f t="shared" si="10"/>
        <v>-34.263734472960607</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-33.897508410594092</v>
      </c>
      <c r="E100" s="11">
        <f>A100-'Mastercurve bestimmen'!$B$2</f>
        <v>-80</v>
      </c>
      <c r="F100" s="11">
        <f t="shared" si="10"/>
        <v>-33.897508410594092</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-33.530952666555571</v>
      </c>
      <c r="E101" s="11">
        <f>A101-'Mastercurve bestimmen'!$B$2</f>
        <v>-79</v>
      </c>
      <c r="F101" s="11">
        <f t="shared" si="10"/>
        <v>-33.530952666555571</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-33.163832911919094</v>
      </c>
      <c r="E102" s="11">
        <f>A102-'Mastercurve bestimmen'!$B$2</f>
        <v>-78</v>
      </c>
      <c r="F102" s="11">
        <f t="shared" si="10"/>
        <v>-33.163832911919094</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-32.795914817758714</v>
      </c>
      <c r="E103" s="11">
        <f>A103-'Mastercurve bestimmen'!$B$2</f>
        <v>-77</v>
      </c>
      <c r="F103" s="11">
        <f t="shared" si="10"/>
        <v>-32.795914817758714</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-32.426964055148488</v>
      </c>
      <c r="E104" s="11">
        <f>A104-'Mastercurve bestimmen'!$B$2</f>
        <v>-76</v>
      </c>
      <c r="F104" s="11">
        <f t="shared" si="10"/>
        <v>-32.426964055148488</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-32.056746295162469</v>
      </c>
      <c r="E105" s="11">
        <f>A105-'Mastercurve bestimmen'!$B$2</f>
        <v>-75</v>
      </c>
      <c r="F105" s="11">
        <f t="shared" si="10"/>
        <v>-32.056746295162469</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-31.685047411625273</v>
      </c>
      <c r="E106" s="11">
        <f>A106-'Mastercurve bestimmen'!$B$2</f>
        <v>-74</v>
      </c>
      <c r="F106" s="11">
        <f t="shared" si="10"/>
        <v>-31.685047411625273</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-31.311734089363753</v>
      </c>
      <c r="E107" s="11">
        <f>A107-'Mastercurve bestimmen'!$B$2</f>
        <v>-73</v>
      </c>
      <c r="F107" s="11">
        <f t="shared" si="10"/>
        <v>-31.311734089363753</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-30.936693215955334</v>
      </c>
      <c r="E108" s="11">
        <f>A108-'Mastercurve bestimmen'!$B$2</f>
        <v>-72</v>
      </c>
      <c r="F108" s="11">
        <f t="shared" si="10"/>
        <v>-30.936693215955334</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-30.559811678977422</v>
      </c>
      <c r="E109" s="11">
        <f>A109-'Mastercurve bestimmen'!$B$2</f>
        <v>-71</v>
      </c>
      <c r="F109" s="11">
        <f t="shared" si="10"/>
        <v>-30.559811678977422</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-30.180976366007446</v>
      </c>
      <c r="E110" s="11">
        <f>A110-'Mastercurve bestimmen'!$B$2</f>
        <v>-70</v>
      </c>
      <c r="F110" s="11">
        <f t="shared" si="10"/>
        <v>-30.180976366007446</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-29.800074164622814</v>
      </c>
      <c r="E111" s="11">
        <f>A111-'Mastercurve bestimmen'!$B$2</f>
        <v>-69</v>
      </c>
      <c r="F111" s="11">
        <f t="shared" si="10"/>
        <v>-29.800074164622814</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-29.416991962400942</v>
      </c>
      <c r="E112" s="11">
        <f>A112-'Mastercurve bestimmen'!$B$2</f>
        <v>-68</v>
      </c>
      <c r="F112" s="11">
        <f t="shared" si="10"/>
        <v>-29.416991962400942</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-29.031616646919257</v>
      </c>
      <c r="E113" s="11">
        <f>A113-'Mastercurve bestimmen'!$B$2</f>
        <v>-67</v>
      </c>
      <c r="F113" s="11">
        <f t="shared" si="10"/>
        <v>-29.031616646919257</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-28.643835105755169</v>
      </c>
      <c r="E114" s="11">
        <f>A114-'Mastercurve bestimmen'!$B$2</f>
        <v>-66</v>
      </c>
      <c r="F114" s="11">
        <f t="shared" si="10"/>
        <v>-28.643835105755169</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-28.253534226486089</v>
      </c>
      <c r="E115" s="11">
        <f>A115-'Mastercurve bestimmen'!$B$2</f>
        <v>-65</v>
      </c>
      <c r="F115" s="11">
        <f t="shared" si="10"/>
        <v>-28.253534226486089</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-27.860600896689451</v>
      </c>
      <c r="E116" s="11">
        <f>A116-'Mastercurve bestimmen'!$B$2</f>
        <v>-64</v>
      </c>
      <c r="F116" s="11">
        <f t="shared" si="10"/>
        <v>-27.860600896689451</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-27.464922003942657</v>
      </c>
      <c r="E117" s="11">
        <f>A117-'Mastercurve bestimmen'!$B$2</f>
        <v>-63</v>
      </c>
      <c r="F117" s="11">
        <f t="shared" si="10"/>
        <v>-27.464922003942657</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-27.066384435823135</v>
      </c>
      <c r="E118" s="11">
        <f>A118-'Mastercurve bestimmen'!$B$2</f>
        <v>-62</v>
      </c>
      <c r="F118" s="11">
        <f t="shared" si="10"/>
        <v>-27.066384435823135</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-26.664875079908292</v>
      </c>
      <c r="E119" s="11">
        <f>A119-'Mastercurve bestimmen'!$B$2</f>
        <v>-61</v>
      </c>
      <c r="F119" s="11">
        <f t="shared" si="10"/>
        <v>-26.664875079908292</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-26.260280823775549</v>
      </c>
      <c r="E120" s="11">
        <f>A120-'Mastercurve bestimmen'!$B$2</f>
        <v>-60</v>
      </c>
      <c r="F120" s="11">
        <f t="shared" si="10"/>
        <v>-26.260280823775549</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-25.852488555002324</v>
      </c>
      <c r="E121" s="11">
        <f>A121-'Mastercurve bestimmen'!$B$2</f>
        <v>-59</v>
      </c>
      <c r="F121" s="11">
        <f t="shared" si="10"/>
        <v>-25.852488555002324</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-25.441385161166036</v>
      </c>
      <c r="E122" s="11">
        <f>A122-'Mastercurve bestimmen'!$B$2</f>
        <v>-58</v>
      </c>
      <c r="F122" s="11">
        <f t="shared" si="10"/>
        <v>-25.441385161166036</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-25.026857529844097</v>
      </c>
      <c r="E123" s="11">
        <f>A123-'Mastercurve bestimmen'!$B$2</f>
        <v>-57</v>
      </c>
      <c r="F123" s="11">
        <f t="shared" si="10"/>
        <v>-25.026857529844097</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-24.608792548613927</v>
      </c>
      <c r="E124" s="11">
        <f>A124-'Mastercurve bestimmen'!$B$2</f>
        <v>-56</v>
      </c>
      <c r="F124" s="11">
        <f t="shared" si="10"/>
        <v>-24.608792548613927</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-24.187077105052943</v>
      </c>
      <c r="E125" s="11">
        <f>A125-'Mastercurve bestimmen'!$B$2</f>
        <v>-55</v>
      </c>
      <c r="F125" s="11">
        <f t="shared" si="10"/>
        <v>-24.187077105052943</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-23.761598086738566</v>
      </c>
      <c r="E126" s="11">
        <f>A126-'Mastercurve bestimmen'!$B$2</f>
        <v>-54</v>
      </c>
      <c r="F126" s="11">
        <f t="shared" si="10"/>
        <v>-23.761598086738566</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-23.332242381248207</v>
      </c>
      <c r="E127" s="11">
        <f>A127-'Mastercurve bestimmen'!$B$2</f>
        <v>-53</v>
      </c>
      <c r="F127" s="11">
        <f t="shared" si="10"/>
        <v>-23.332242381248207</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-22.898896876159281</v>
      </c>
      <c r="E128" s="11">
        <f>A128-'Mastercurve bestimmen'!$B$2</f>
        <v>-52</v>
      </c>
      <c r="F128" s="11">
        <f t="shared" si="10"/>
        <v>-22.898896876159281</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-22.461448459049212</v>
      </c>
      <c r="E129" s="11">
        <f>A129-'Mastercurve bestimmen'!$B$2</f>
        <v>-51</v>
      </c>
      <c r="F129" s="11">
        <f t="shared" si="10"/>
        <v>-22.461448459049212</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-22.019784017495414</v>
      </c>
      <c r="E130" s="11">
        <f>A130-'Mastercurve bestimmen'!$B$2</f>
        <v>-50</v>
      </c>
      <c r="F130" s="11">
        <f t="shared" si="10"/>
        <v>-22.019784017495414</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-21.573790439075307</v>
      </c>
      <c r="E131" s="11">
        <f>A131-'Mastercurve bestimmen'!$B$2</f>
        <v>-49</v>
      </c>
      <c r="F131" s="11">
        <f t="shared" si="10"/>
        <v>-21.573790439075307</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-21.123354611366299</v>
      </c>
      <c r="E132" s="11">
        <f>A132-'Mastercurve bestimmen'!$B$2</f>
        <v>-48</v>
      </c>
      <c r="F132" s="11">
        <f t="shared" si="10"/>
        <v>-21.123354611366299</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-20.668363421945816</v>
      </c>
      <c r="E133" s="11">
        <f>A133-'Mastercurve bestimmen'!$B$2</f>
        <v>-47</v>
      </c>
      <c r="F133" s="11">
        <f t="shared" si="10"/>
        <v>-20.668363421945816</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-20.208703758391277</v>
      </c>
      <c r="E134" s="11">
        <f>A134-'Mastercurve bestimmen'!$B$2</f>
        <v>-46</v>
      </c>
      <c r="F134" s="11">
        <f t="shared" si="10"/>
        <v>-20.208703758391277</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-19.744262508280087</v>
      </c>
      <c r="E135" s="11">
        <f>A135-'Mastercurve bestimmen'!$B$2</f>
        <v>-45</v>
      </c>
      <c r="F135" s="11">
        <f t="shared" si="10"/>
        <v>-19.744262508280087</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-19.275013677475158</v>
      </c>
      <c r="E136" s="11">
        <f>A136-'Mastercurve bestimmen'!$B$2</f>
        <v>-44</v>
      </c>
      <c r="F136" s="11">
        <f t="shared" si="10"/>
        <v>-19.275013677475158</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-18.80127974498135</v>
      </c>
      <c r="E137" s="11">
        <f>A137-'Mastercurve bestimmen'!$B$2</f>
        <v>-43</v>
      </c>
      <c r="F137" s="11">
        <f t="shared" si="10"/>
        <v>-18.80127974498135</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-18.323470308088996</v>
      </c>
      <c r="E138" s="11">
        <f>A138-'Mastercurve bestimmen'!$B$2</f>
        <v>-42</v>
      </c>
      <c r="F138" s="11">
        <f t="shared" si="10"/>
        <v>-18.323470308088996</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-17.841994964088432</v>
      </c>
      <c r="E139" s="11">
        <f>A139-'Mastercurve bestimmen'!$B$2</f>
        <v>-41</v>
      </c>
      <c r="F139" s="11">
        <f t="shared" si="10"/>
        <v>-17.841994964088432</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-17.35726331027001</v>
      </c>
      <c r="E140" s="11">
        <f>A140-'Mastercurve bestimmen'!$B$2</f>
        <v>-40</v>
      </c>
      <c r="F140" s="11">
        <f t="shared" si="10"/>
        <v>-17.35726331027001</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-16.869684943924067</v>
      </c>
      <c r="E141" s="11">
        <f>A141-'Mastercurve bestimmen'!$B$2</f>
        <v>-39</v>
      </c>
      <c r="F141" s="11">
        <f t="shared" si="10"/>
        <v>-16.869684943924067</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-16.379669462340942</v>
      </c>
      <c r="E142" s="11">
        <f>A142-'Mastercurve bestimmen'!$B$2</f>
        <v>-38</v>
      </c>
      <c r="F142" s="11">
        <f t="shared" si="10"/>
        <v>-16.379669462340942</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-15.887626462810982</v>
      </c>
      <c r="E143" s="11">
        <f>A143-'Mastercurve bestimmen'!$B$2</f>
        <v>-37</v>
      </c>
      <c r="F143" s="11">
        <f t="shared" si="10"/>
        <v>-15.887626462810982</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-15.393965542624517</v>
      </c>
      <c r="E144" s="11">
        <f>A144-'Mastercurve bestimmen'!$B$2</f>
        <v>-36</v>
      </c>
      <c r="F144" s="11">
        <f t="shared" ref="F144:F207" si="15">B144</f>
        <v>-15.393965542624517</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-14.899096299071896</v>
      </c>
      <c r="E145" s="11">
        <f>A145-'Mastercurve bestimmen'!$B$2</f>
        <v>-35</v>
      </c>
      <c r="F145" s="11">
        <f t="shared" si="15"/>
        <v>-14.899096299071896</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-14.403428329443459</v>
      </c>
      <c r="E146" s="11">
        <f>A146-'Mastercurve bestimmen'!$B$2</f>
        <v>-34</v>
      </c>
      <c r="F146" s="11">
        <f t="shared" si="15"/>
        <v>-14.403428329443459</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-13.907371231029547</v>
      </c>
      <c r="E147" s="11">
        <f>A147-'Mastercurve bestimmen'!$B$2</f>
        <v>-33</v>
      </c>
      <c r="F147" s="11">
        <f t="shared" si="15"/>
        <v>-13.907371231029547</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-13.411334601120497</v>
      </c>
      <c r="E148" s="11">
        <f>A148-'Mastercurve bestimmen'!$B$2</f>
        <v>-32</v>
      </c>
      <c r="F148" s="11">
        <f t="shared" si="15"/>
        <v>-13.411334601120497</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-12.915728037006655</v>
      </c>
      <c r="E149" s="11">
        <f>A149-'Mastercurve bestimmen'!$B$2</f>
        <v>-31</v>
      </c>
      <c r="F149" s="11">
        <f t="shared" si="15"/>
        <v>-12.915728037006655</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-12.420961135978361</v>
      </c>
      <c r="E150" s="11">
        <f>A150-'Mastercurve bestimmen'!$B$2</f>
        <v>-30</v>
      </c>
      <c r="F150" s="11">
        <f t="shared" si="15"/>
        <v>-12.420961135978361</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-11.927443495325953</v>
      </c>
      <c r="E151" s="11">
        <f>A151-'Mastercurve bestimmen'!$B$2</f>
        <v>-29</v>
      </c>
      <c r="F151" s="11">
        <f t="shared" si="15"/>
        <v>-11.927443495325953</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-11.435584712339773</v>
      </c>
      <c r="E152" s="11">
        <f>A152-'Mastercurve bestimmen'!$B$2</f>
        <v>-28</v>
      </c>
      <c r="F152" s="11">
        <f t="shared" si="15"/>
        <v>-11.435584712339773</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-10.945794384310165</v>
      </c>
      <c r="E153" s="11">
        <f>A153-'Mastercurve bestimmen'!$B$2</f>
        <v>-27</v>
      </c>
      <c r="F153" s="11">
        <f t="shared" si="15"/>
        <v>-10.945794384310165</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-10.458482108527468</v>
      </c>
      <c r="E154" s="11">
        <f>A154-'Mastercurve bestimmen'!$B$2</f>
        <v>-26</v>
      </c>
      <c r="F154" s="11">
        <f t="shared" si="15"/>
        <v>-10.458482108527468</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-9.9740574822820207</v>
      </c>
      <c r="E155" s="11">
        <f>A155-'Mastercurve bestimmen'!$B$2</f>
        <v>-25</v>
      </c>
      <c r="F155" s="11">
        <f t="shared" si="15"/>
        <v>-9.9740574822820207</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-9.4929301028641682</v>
      </c>
      <c r="E156" s="11">
        <f>A156-'Mastercurve bestimmen'!$B$2</f>
        <v>-24</v>
      </c>
      <c r="F156" s="11">
        <f t="shared" si="15"/>
        <v>-9.4929301028641682</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-9.0155095675642478</v>
      </c>
      <c r="E157" s="11">
        <f>A157-'Mastercurve bestimmen'!$B$2</f>
        <v>-23</v>
      </c>
      <c r="F157" s="11">
        <f t="shared" si="15"/>
        <v>-9.0155095675642478</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-8.5422054736726025</v>
      </c>
      <c r="E158" s="11">
        <f>A158-'Mastercurve bestimmen'!$B$2</f>
        <v>-22</v>
      </c>
      <c r="F158" s="11">
        <f t="shared" si="15"/>
        <v>-8.5422054736726025</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-8.0734274184795751</v>
      </c>
      <c r="E159" s="11">
        <f>A159-'Mastercurve bestimmen'!$B$2</f>
        <v>-21</v>
      </c>
      <c r="F159" s="11">
        <f t="shared" si="15"/>
        <v>-8.0734274184795751</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-7.6095849992754996</v>
      </c>
      <c r="E160" s="11">
        <f>A160-'Mastercurve bestimmen'!$B$2</f>
        <v>-20</v>
      </c>
      <c r="F160" s="11">
        <f t="shared" si="15"/>
        <v>-7.6095849992754996</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-7.1510878133507241</v>
      </c>
      <c r="E161" s="11">
        <f>A161-'Mastercurve bestimmen'!$B$2</f>
        <v>-19</v>
      </c>
      <c r="F161" s="11">
        <f t="shared" si="15"/>
        <v>-7.1510878133507241</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-6.6983454579955888</v>
      </c>
      <c r="E162" s="11">
        <f>A162-'Mastercurve bestimmen'!$B$2</f>
        <v>-18</v>
      </c>
      <c r="F162" s="11">
        <f t="shared" si="15"/>
        <v>-6.6983454579955888</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-6.2517675305004303</v>
      </c>
      <c r="E163" s="11">
        <f>A163-'Mastercurve bestimmen'!$B$2</f>
        <v>-17</v>
      </c>
      <c r="F163" s="11">
        <f t="shared" si="15"/>
        <v>-6.2517675305004303</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-5.8117636281555942</v>
      </c>
      <c r="E164" s="11">
        <f>A164-'Mastercurve bestimmen'!$B$2</f>
        <v>-16</v>
      </c>
      <c r="F164" s="11">
        <f t="shared" si="15"/>
        <v>-5.8117636281555942</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-5.3787433482514189</v>
      </c>
      <c r="E165" s="11">
        <f>A165-'Mastercurve bestimmen'!$B$2</f>
        <v>-15</v>
      </c>
      <c r="F165" s="11">
        <f t="shared" si="15"/>
        <v>-5.3787433482514189</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-4.9531162880782444</v>
      </c>
      <c r="E166" s="11">
        <f>A166-'Mastercurve bestimmen'!$B$2</f>
        <v>-14</v>
      </c>
      <c r="F166" s="11">
        <f t="shared" si="15"/>
        <v>-4.9531162880782444</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-4.5352920449264147</v>
      </c>
      <c r="E167" s="11">
        <f>A167-'Mastercurve bestimmen'!$B$2</f>
        <v>-13</v>
      </c>
      <c r="F167" s="11">
        <f t="shared" si="15"/>
        <v>-4.5352920449264147</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-4.1256802160862698</v>
      </c>
      <c r="E168" s="11">
        <f>A168-'Mastercurve bestimmen'!$B$2</f>
        <v>-12</v>
      </c>
      <c r="F168" s="11">
        <f t="shared" si="15"/>
        <v>-4.1256802160862698</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-3.7246903988481477</v>
      </c>
      <c r="E169" s="11">
        <f>A169-'Mastercurve bestimmen'!$B$2</f>
        <v>-11</v>
      </c>
      <c r="F169" s="11">
        <f t="shared" si="15"/>
        <v>-3.7246903988481477</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-3.3327321905023934</v>
      </c>
      <c r="E170" s="11">
        <f>A170-'Mastercurve bestimmen'!$B$2</f>
        <v>-10</v>
      </c>
      <c r="F170" s="11">
        <f t="shared" si="15"/>
        <v>-3.3327321905023934</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-2.9502151883393473</v>
      </c>
      <c r="E171" s="11">
        <f>A171-'Mastercurve bestimmen'!$B$2</f>
        <v>-9</v>
      </c>
      <c r="F171" s="11">
        <f t="shared" si="15"/>
        <v>-2.9502151883393473</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-2.5775489896493475</v>
      </c>
      <c r="E172" s="11">
        <f>A172-'Mastercurve bestimmen'!$B$2</f>
        <v>-8</v>
      </c>
      <c r="F172" s="11">
        <f t="shared" si="15"/>
        <v>-2.5775489896493475</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-2.2151431917227367</v>
      </c>
      <c r="E173" s="11">
        <f>A173-'Mastercurve bestimmen'!$B$2</f>
        <v>-7</v>
      </c>
      <c r="F173" s="11">
        <f t="shared" si="15"/>
        <v>-2.2151431917227367</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-1.8634073918498566</v>
      </c>
      <c r="E174" s="11">
        <f>A174-'Mastercurve bestimmen'!$B$2</f>
        <v>-6</v>
      </c>
      <c r="F174" s="11">
        <f t="shared" si="15"/>
        <v>-1.8634073918498566</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-1.522751187321048</v>
      </c>
      <c r="E175" s="11">
        <f>A175-'Mastercurve bestimmen'!$B$2</f>
        <v>-5</v>
      </c>
      <c r="F175" s="11">
        <f t="shared" si="15"/>
        <v>-1.522751187321048</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-1.1935841754266514</v>
      </c>
      <c r="E176" s="11">
        <f>A176-'Mastercurve bestimmen'!$B$2</f>
        <v>-4</v>
      </c>
      <c r="F176" s="11">
        <f t="shared" si="15"/>
        <v>-1.1935841754266514</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-0.87631595345700664</v>
      </c>
      <c r="E177" s="11">
        <f>A177-'Mastercurve bestimmen'!$B$2</f>
        <v>-3</v>
      </c>
      <c r="F177" s="11">
        <f t="shared" si="15"/>
        <v>-0.87631595345700664</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-0.57135611870245562</v>
      </c>
      <c r="E178" s="11">
        <f>A178-'Mastercurve bestimmen'!$B$2</f>
        <v>-2</v>
      </c>
      <c r="F178" s="11">
        <f t="shared" si="15"/>
        <v>-0.57135611870245562</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-0.27911426845333942</v>
      </c>
      <c r="E179" s="11">
        <f>A179-'Mastercurve bestimmen'!$B$2</f>
        <v>-1</v>
      </c>
      <c r="F179" s="11">
        <f t="shared" si="15"/>
        <v>-0.27911426845333942</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0.26570981833983276</v>
      </c>
      <c r="E181" s="11">
        <f>A181-'Mastercurve bestimmen'!$B$2</f>
        <v>1</v>
      </c>
      <c r="F181" s="11">
        <f t="shared" si="15"/>
        <v>0.26570981833983276</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0.51826923413886661</v>
      </c>
      <c r="E182" s="11">
        <f>A182-'Mastercurve bestimmen'!$B$2</f>
        <v>2</v>
      </c>
      <c r="F182" s="11">
        <f t="shared" si="15"/>
        <v>0.51826923413886661</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0.75806502394241926</v>
      </c>
      <c r="E183" s="11">
        <f>A183-'Mastercurve bestimmen'!$B$2</f>
        <v>3</v>
      </c>
      <c r="F183" s="11">
        <f t="shared" si="15"/>
        <v>0.75806502394241926</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0.98548396429580787</v>
      </c>
      <c r="E184" s="11">
        <f>A184-'Mastercurve bestimmen'!$B$2</f>
        <v>4</v>
      </c>
      <c r="F184" s="11">
        <f t="shared" si="15"/>
        <v>0.98548396429580787</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1.20091283174435</v>
      </c>
      <c r="E185" s="11">
        <f>A185-'Mastercurve bestimmen'!$B$2</f>
        <v>5</v>
      </c>
      <c r="F185" s="11">
        <f t="shared" si="15"/>
        <v>1.20091283174435</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1.4047384028333638</v>
      </c>
      <c r="E186" s="11">
        <f>A186-'Mastercurve bestimmen'!$B$2</f>
        <v>6</v>
      </c>
      <c r="F186" s="11">
        <f t="shared" si="15"/>
        <v>1.4047384028333638</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1.5973474541081665</v>
      </c>
      <c r="E187" s="11">
        <f>A187-'Mastercurve bestimmen'!$B$2</f>
        <v>7</v>
      </c>
      <c r="F187" s="11">
        <f t="shared" si="15"/>
        <v>1.5973474541081665</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1.7791267621140758</v>
      </c>
      <c r="E188" s="11">
        <f>A188-'Mastercurve bestimmen'!$B$2</f>
        <v>8</v>
      </c>
      <c r="F188" s="11">
        <f t="shared" si="15"/>
        <v>1.7791267621140758</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1.9504631033964095</v>
      </c>
      <c r="E189" s="11">
        <f>A189-'Mastercurve bestimmen'!$B$2</f>
        <v>9</v>
      </c>
      <c r="F189" s="11">
        <f t="shared" si="15"/>
        <v>1.9504631033964095</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2.1117432545004848</v>
      </c>
      <c r="E190" s="11">
        <f>A190-'Mastercurve bestimmen'!$B$2</f>
        <v>10</v>
      </c>
      <c r="F190" s="11">
        <f t="shared" si="15"/>
        <v>2.1117432545004848</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2.2633539919716199</v>
      </c>
      <c r="E191" s="11">
        <f>A191-'Mastercurve bestimmen'!$B$2</f>
        <v>11</v>
      </c>
      <c r="F191" s="11">
        <f t="shared" si="15"/>
        <v>2.2633539919716199</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2.4056820923551321</v>
      </c>
      <c r="E192" s="11">
        <f>A192-'Mastercurve bestimmen'!$B$2</f>
        <v>12</v>
      </c>
      <c r="F192" s="11">
        <f t="shared" si="15"/>
        <v>2.4056820923551321</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2.5391143321963385</v>
      </c>
      <c r="E193" s="11">
        <f>A193-'Mastercurve bestimmen'!$B$2</f>
        <v>13</v>
      </c>
      <c r="F193" s="11">
        <f t="shared" si="15"/>
        <v>2.5391143321963385</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2.6640374880405577</v>
      </c>
      <c r="E194" s="11">
        <f>A194-'Mastercurve bestimmen'!$B$2</f>
        <v>14</v>
      </c>
      <c r="F194" s="11">
        <f t="shared" si="15"/>
        <v>2.6640374880405577</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2.7808383364331064</v>
      </c>
      <c r="E195" s="11">
        <f>A195-'Mastercurve bestimmen'!$B$2</f>
        <v>15</v>
      </c>
      <c r="F195" s="11">
        <f t="shared" si="15"/>
        <v>2.7808383364331064</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2.8899036539193035</v>
      </c>
      <c r="E196" s="11">
        <f>A196-'Mastercurve bestimmen'!$B$2</f>
        <v>16</v>
      </c>
      <c r="F196" s="11">
        <f t="shared" si="15"/>
        <v>2.8899036539193035</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2.9916202170444652</v>
      </c>
      <c r="E197" s="11">
        <f>A197-'Mastercurve bestimmen'!$B$2</f>
        <v>17</v>
      </c>
      <c r="F197" s="11">
        <f t="shared" si="15"/>
        <v>2.9916202170444652</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3.0863748023539097</v>
      </c>
      <c r="E198" s="11">
        <f>A198-'Mastercurve bestimmen'!$B$2</f>
        <v>18</v>
      </c>
      <c r="F198" s="11">
        <f t="shared" si="15"/>
        <v>3.0863748023539097</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3.1745541863929549</v>
      </c>
      <c r="E199" s="11">
        <f>A199-'Mastercurve bestimmen'!$B$2</f>
        <v>19</v>
      </c>
      <c r="F199" s="11">
        <f t="shared" si="15"/>
        <v>3.1745541863929549</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3.2565451457069181</v>
      </c>
      <c r="E200" s="11">
        <f>A200-'Mastercurve bestimmen'!$B$2</f>
        <v>20</v>
      </c>
      <c r="F200" s="11">
        <f t="shared" si="15"/>
        <v>3.2565451457069181</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3.3327344568411172</v>
      </c>
      <c r="E201" s="11">
        <f>A201-'Mastercurve bestimmen'!$B$2</f>
        <v>21</v>
      </c>
      <c r="F201" s="11">
        <f t="shared" si="15"/>
        <v>3.3327344568411172</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3.4035088963408691</v>
      </c>
      <c r="E202" s="11">
        <f>A202-'Mastercurve bestimmen'!$B$2</f>
        <v>22</v>
      </c>
      <c r="F202" s="11">
        <f t="shared" si="15"/>
        <v>3.4035088963408691</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3.4692552407514921</v>
      </c>
      <c r="E203" s="11">
        <f>A203-'Mastercurve bestimmen'!$B$2</f>
        <v>23</v>
      </c>
      <c r="F203" s="11">
        <f t="shared" si="15"/>
        <v>3.4692552407514921</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3.5303602666183043</v>
      </c>
      <c r="E204" s="11">
        <f>A204-'Mastercurve bestimmen'!$B$2</f>
        <v>24</v>
      </c>
      <c r="F204" s="11">
        <f t="shared" si="15"/>
        <v>3.5303602666183043</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3.5872107504866215</v>
      </c>
      <c r="E205" s="11">
        <f>A205-'Mastercurve bestimmen'!$B$2</f>
        <v>25</v>
      </c>
      <c r="F205" s="11">
        <f t="shared" si="15"/>
        <v>3.5872107504866215</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3.6401934689017637</v>
      </c>
      <c r="E206" s="11">
        <f>A206-'Mastercurve bestimmen'!$B$2</f>
        <v>26</v>
      </c>
      <c r="F206" s="11">
        <f t="shared" si="15"/>
        <v>3.6401934689017637</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3.689695198409046</v>
      </c>
      <c r="E207" s="11">
        <f>A207-'Mastercurve bestimmen'!$B$2</f>
        <v>27</v>
      </c>
      <c r="F207" s="11">
        <f t="shared" si="15"/>
        <v>3.689695198409046</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3.7361027155537885</v>
      </c>
      <c r="E208" s="11">
        <f>A208-'Mastercurve bestimmen'!$B$2</f>
        <v>28</v>
      </c>
      <c r="F208" s="11">
        <f t="shared" ref="F208:F215" si="21">B208</f>
        <v>3.7361027155537885</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3.7798027968813068</v>
      </c>
      <c r="E209" s="11">
        <f>A209-'Mastercurve bestimmen'!$B$2</f>
        <v>29</v>
      </c>
      <c r="F209" s="11">
        <f t="shared" si="21"/>
        <v>3.7798027968813068</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3.82118221893692</v>
      </c>
      <c r="E210" s="11">
        <f>A210-'Mastercurve bestimmen'!$B$2</f>
        <v>30</v>
      </c>
      <c r="F210" s="11">
        <f t="shared" si="21"/>
        <v>3.82118221893692</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3.8606277582659447</v>
      </c>
      <c r="E211" s="11">
        <f>A211-'Mastercurve bestimmen'!$B$2</f>
        <v>31</v>
      </c>
      <c r="F211" s="11">
        <f t="shared" si="21"/>
        <v>3.8606277582659447</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3.8985261914136995</v>
      </c>
      <c r="E212" s="11">
        <f>A212-'Mastercurve bestimmen'!$B$2</f>
        <v>32</v>
      </c>
      <c r="F212" s="11">
        <f t="shared" si="21"/>
        <v>3.8985261914136995</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3.935264294925501</v>
      </c>
      <c r="E213" s="11">
        <f>A213-'Mastercurve bestimmen'!$B$2</f>
        <v>33</v>
      </c>
      <c r="F213" s="11">
        <f t="shared" si="21"/>
        <v>3.935264294925501</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3.9712288453466673</v>
      </c>
      <c r="E214" s="11">
        <f>A214-'Mastercurve bestimmen'!$B$2</f>
        <v>34</v>
      </c>
      <c r="F214" s="11">
        <f t="shared" si="21"/>
        <v>3.9712288453466673</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4.006806619222516</v>
      </c>
      <c r="E215" s="11">
        <f>A215-'Mastercurve bestimmen'!$B$2</f>
        <v>35</v>
      </c>
      <c r="F215" s="11">
        <f t="shared" si="21"/>
        <v>4.006806619222516</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0.27981614592843279</v>
      </c>
      <c r="J217" s="99">
        <v>-6.1099216494287919E-3</v>
      </c>
      <c r="K217" s="99">
        <v>-2.4714955907433101E-5</v>
      </c>
      <c r="L217" s="99">
        <v>1.4125516690561377E-6</v>
      </c>
      <c r="M217" s="99">
        <v>1.6227000190248636E-8</v>
      </c>
      <c r="N217" s="99">
        <v>4.9575000863556092E-12</v>
      </c>
      <c r="O217" s="99">
        <v>-5.7786414965925904E-13</v>
      </c>
      <c r="P217" s="99">
        <v>-1.8946783917320989E-15</v>
      </c>
    </row>
    <row r="218" spans="1:16" x14ac:dyDescent="0.25">
      <c r="G218" s="11"/>
      <c r="H218" s="11">
        <v>0</v>
      </c>
      <c r="I218" s="11">
        <v>1.1974441551093962E-3</v>
      </c>
      <c r="J218" s="11">
        <v>4.8639736995060066E-5</v>
      </c>
      <c r="K218" s="3">
        <v>1.4991663673293047E-6</v>
      </c>
      <c r="L218" s="3">
        <v>3.8524757118007612E-8</v>
      </c>
      <c r="M218" s="3">
        <v>1.0729665933892228E-9</v>
      </c>
      <c r="N218" s="3">
        <v>1.2725985332591756E-11</v>
      </c>
      <c r="O218" s="11">
        <v>6.686582023365827E-14</v>
      </c>
      <c r="P218" s="11">
        <v>1.3053663215522051E-16</v>
      </c>
    </row>
    <row r="219" spans="1:16" x14ac:dyDescent="0.25">
      <c r="G219" s="11"/>
      <c r="H219" s="11">
        <v>0.99999129345298787</v>
      </c>
      <c r="I219" s="11">
        <v>0.1029445867966152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-55.857027902368145</v>
      </c>
      <c r="G222">
        <f>F15</f>
        <v>-55.418097133870475</v>
      </c>
    </row>
    <row r="223" spans="1:16" x14ac:dyDescent="0.25">
      <c r="E223" s="11">
        <f t="shared" ref="E223:E286" si="25">E16</f>
        <v>-164</v>
      </c>
      <c r="F223" s="11">
        <f t="shared" ref="F223:F286" si="26">$H$217*0+E223*$I$217+E223^2*$J$217+E223^3*$K$217+E223^4*$L$217+E223^5*$M$217+E223^6*$N$217+E223^7*$O$217+E223^8*$P$217</f>
        <v>-55.641951875998643</v>
      </c>
      <c r="G223" s="11">
        <f t="shared" ref="G223:G286" si="27">F16</f>
        <v>-55.400434536150669</v>
      </c>
    </row>
    <row r="224" spans="1:16" x14ac:dyDescent="0.25">
      <c r="E224" s="11">
        <f t="shared" si="25"/>
        <v>-163</v>
      </c>
      <c r="F224" s="11">
        <f t="shared" si="26"/>
        <v>-55.467863221871085</v>
      </c>
      <c r="G224" s="11">
        <f t="shared" si="27"/>
        <v>-55.382438171680299</v>
      </c>
    </row>
    <row r="225" spans="5:7" x14ac:dyDescent="0.25">
      <c r="E225" s="11">
        <f t="shared" si="25"/>
        <v>-162</v>
      </c>
      <c r="F225" s="11">
        <f t="shared" si="26"/>
        <v>-55.329362007708028</v>
      </c>
      <c r="G225" s="11">
        <f t="shared" si="27"/>
        <v>-55.363774273708813</v>
      </c>
    </row>
    <row r="226" spans="5:7" x14ac:dyDescent="0.25">
      <c r="E226" s="11">
        <f t="shared" si="25"/>
        <v>-161</v>
      </c>
      <c r="F226" s="11">
        <f t="shared" si="26"/>
        <v>-55.221429261040612</v>
      </c>
      <c r="G226" s="11">
        <f t="shared" si="27"/>
        <v>-55.344109075485655</v>
      </c>
    </row>
    <row r="227" spans="5:7" x14ac:dyDescent="0.25">
      <c r="E227" s="11">
        <f t="shared" si="25"/>
        <v>-160</v>
      </c>
      <c r="F227" s="11">
        <f t="shared" si="26"/>
        <v>-55.139409419028539</v>
      </c>
      <c r="G227" s="11">
        <f t="shared" si="27"/>
        <v>-55.323108810260251</v>
      </c>
    </row>
    <row r="228" spans="5:7" x14ac:dyDescent="0.25">
      <c r="E228" s="11">
        <f t="shared" si="25"/>
        <v>-159</v>
      </c>
      <c r="F228" s="11">
        <f t="shared" si="26"/>
        <v>-55.078993305349172</v>
      </c>
      <c r="G228" s="11">
        <f t="shared" si="27"/>
        <v>-55.300439711282067</v>
      </c>
    </row>
    <row r="229" spans="5:7" x14ac:dyDescent="0.25">
      <c r="E229" s="11">
        <f t="shared" si="25"/>
        <v>-158</v>
      </c>
      <c r="F229" s="11">
        <f t="shared" si="26"/>
        <v>-55.036201624732598</v>
      </c>
      <c r="G229" s="11">
        <f t="shared" si="27"/>
        <v>-55.275768011800523</v>
      </c>
    </row>
    <row r="230" spans="5:7" x14ac:dyDescent="0.25">
      <c r="E230" s="11">
        <f t="shared" si="25"/>
        <v>-157</v>
      </c>
      <c r="F230" s="11">
        <f t="shared" si="26"/>
        <v>-55.007368965792466</v>
      </c>
      <c r="G230" s="11">
        <f t="shared" si="27"/>
        <v>-55.248759945065075</v>
      </c>
    </row>
    <row r="231" spans="5:7" x14ac:dyDescent="0.25">
      <c r="E231" s="11">
        <f t="shared" si="25"/>
        <v>-156</v>
      </c>
      <c r="F231" s="11">
        <f t="shared" si="26"/>
        <v>-54.989128302877702</v>
      </c>
      <c r="G231" s="11">
        <f t="shared" si="27"/>
        <v>-55.219081744325152</v>
      </c>
    </row>
    <row r="232" spans="5:7" x14ac:dyDescent="0.25">
      <c r="E232" s="11">
        <f t="shared" si="25"/>
        <v>-155</v>
      </c>
      <c r="F232" s="11">
        <f t="shared" si="26"/>
        <v>-54.97839598775704</v>
      </c>
      <c r="G232" s="11">
        <f t="shared" si="27"/>
        <v>-55.186399642830203</v>
      </c>
    </row>
    <row r="233" spans="5:7" x14ac:dyDescent="0.25">
      <c r="E233" s="11">
        <f t="shared" si="25"/>
        <v>-154</v>
      </c>
      <c r="F233" s="11">
        <f t="shared" si="26"/>
        <v>-54.972357222007531</v>
      </c>
      <c r="G233" s="11">
        <f t="shared" si="27"/>
        <v>-55.150379873829664</v>
      </c>
    </row>
    <row r="234" spans="5:7" x14ac:dyDescent="0.25">
      <c r="E234" s="11">
        <f t="shared" si="25"/>
        <v>-153</v>
      </c>
      <c r="F234" s="11">
        <f t="shared" si="26"/>
        <v>-54.968452001070659</v>
      </c>
      <c r="G234" s="11">
        <f t="shared" si="27"/>
        <v>-55.110688670572991</v>
      </c>
    </row>
    <row r="235" spans="5:7" x14ac:dyDescent="0.25">
      <c r="E235" s="11">
        <f t="shared" si="25"/>
        <v>-152</v>
      </c>
      <c r="F235" s="11">
        <f t="shared" si="26"/>
        <v>-54.964361521004889</v>
      </c>
      <c r="G235" s="11">
        <f t="shared" si="27"/>
        <v>-55.066992266309612</v>
      </c>
    </row>
    <row r="236" spans="5:7" x14ac:dyDescent="0.25">
      <c r="E236" s="11">
        <f t="shared" si="25"/>
        <v>-151</v>
      </c>
      <c r="F236" s="11">
        <f t="shared" si="26"/>
        <v>-54.95799503904766</v>
      </c>
      <c r="G236" s="11">
        <f t="shared" si="27"/>
        <v>-55.018956894288962</v>
      </c>
    </row>
    <row r="237" spans="5:7" x14ac:dyDescent="0.25">
      <c r="E237" s="11">
        <f t="shared" si="25"/>
        <v>-150</v>
      </c>
      <c r="F237" s="11">
        <f t="shared" si="26"/>
        <v>-54.947477179170448</v>
      </c>
      <c r="G237" s="11">
        <f t="shared" si="27"/>
        <v>-54.966248787760506</v>
      </c>
    </row>
    <row r="238" spans="5:7" x14ac:dyDescent="0.25">
      <c r="E238" s="11">
        <f t="shared" si="25"/>
        <v>-149</v>
      </c>
      <c r="F238" s="11">
        <f t="shared" si="26"/>
        <v>-54.931135673890992</v>
      </c>
      <c r="G238" s="11">
        <f t="shared" si="27"/>
        <v>-54.908534179973664</v>
      </c>
    </row>
    <row r="239" spans="5:7" x14ac:dyDescent="0.25">
      <c r="E239" s="11">
        <f t="shared" si="25"/>
        <v>-148</v>
      </c>
      <c r="F239" s="11">
        <f t="shared" si="26"/>
        <v>-54.907489533680689</v>
      </c>
      <c r="G239" s="11">
        <f t="shared" si="27"/>
        <v>-54.845479304177871</v>
      </c>
    </row>
    <row r="240" spans="5:7" x14ac:dyDescent="0.25">
      <c r="E240" s="11">
        <f t="shared" si="25"/>
        <v>-147</v>
      </c>
      <c r="F240" s="11">
        <f t="shared" si="26"/>
        <v>-54.875237635381609</v>
      </c>
      <c r="G240" s="11">
        <f t="shared" si="27"/>
        <v>-54.776750393622606</v>
      </c>
    </row>
    <row r="241" spans="5:7" x14ac:dyDescent="0.25">
      <c r="E241" s="11">
        <f t="shared" si="25"/>
        <v>-146</v>
      </c>
      <c r="F241" s="11">
        <f t="shared" si="26"/>
        <v>-54.833247721127236</v>
      </c>
      <c r="G241" s="11">
        <f t="shared" si="27"/>
        <v>-54.702013681557268</v>
      </c>
    </row>
    <row r="242" spans="5:7" x14ac:dyDescent="0.25">
      <c r="E242" s="11">
        <f t="shared" si="25"/>
        <v>-145</v>
      </c>
      <c r="F242" s="11">
        <f t="shared" si="26"/>
        <v>-54.780545799331833</v>
      </c>
      <c r="G242" s="11">
        <f t="shared" si="27"/>
        <v>-54.620935401231321</v>
      </c>
    </row>
    <row r="243" spans="5:7" x14ac:dyDescent="0.25">
      <c r="E243" s="11">
        <f t="shared" si="25"/>
        <v>-144</v>
      </c>
      <c r="F243" s="11">
        <f t="shared" si="26"/>
        <v>-54.716305939395625</v>
      </c>
      <c r="G243" s="11">
        <f t="shared" si="27"/>
        <v>-54.5331817858942</v>
      </c>
    </row>
    <row r="244" spans="5:7" x14ac:dyDescent="0.25">
      <c r="E244" s="11">
        <f t="shared" si="25"/>
        <v>-143</v>
      </c>
      <c r="F244" s="11">
        <f t="shared" si="26"/>
        <v>-54.639840451844407</v>
      </c>
      <c r="G244" s="11">
        <f t="shared" si="27"/>
        <v>-54.438419068795355</v>
      </c>
    </row>
    <row r="245" spans="5:7" x14ac:dyDescent="0.25">
      <c r="E245" s="11">
        <f t="shared" si="25"/>
        <v>-142</v>
      </c>
      <c r="F245" s="11">
        <f t="shared" si="26"/>
        <v>-54.550590445701857</v>
      </c>
      <c r="G245" s="11">
        <f t="shared" si="27"/>
        <v>-54.33631348318422</v>
      </c>
    </row>
    <row r="246" spans="5:7" x14ac:dyDescent="0.25">
      <c r="E246" s="11">
        <f t="shared" si="25"/>
        <v>-141</v>
      </c>
      <c r="F246" s="11">
        <f t="shared" si="26"/>
        <v>-54.448116754968225</v>
      </c>
      <c r="G246" s="11">
        <f t="shared" si="27"/>
        <v>-54.226531262310232</v>
      </c>
    </row>
    <row r="247" spans="5:7" x14ac:dyDescent="0.25">
      <c r="E247" s="11">
        <f t="shared" si="25"/>
        <v>-140</v>
      </c>
      <c r="F247" s="11">
        <f t="shared" si="26"/>
        <v>-54.332091226155455</v>
      </c>
      <c r="G247" s="11">
        <f t="shared" si="27"/>
        <v>-54.108738639422839</v>
      </c>
    </row>
    <row r="248" spans="5:7" x14ac:dyDescent="0.25">
      <c r="E248" s="11">
        <f t="shared" si="25"/>
        <v>-139</v>
      </c>
      <c r="F248" s="11">
        <f t="shared" si="26"/>
        <v>-54.202288358903672</v>
      </c>
      <c r="G248" s="11">
        <f t="shared" si="27"/>
        <v>-53.982601847771477</v>
      </c>
    </row>
    <row r="249" spans="5:7" x14ac:dyDescent="0.25">
      <c r="E249" s="11">
        <f t="shared" si="25"/>
        <v>-138</v>
      </c>
      <c r="F249" s="11">
        <f t="shared" si="26"/>
        <v>-54.058577291784275</v>
      </c>
      <c r="G249" s="11">
        <f t="shared" si="27"/>
        <v>-53.847787120605602</v>
      </c>
    </row>
    <row r="250" spans="5:7" x14ac:dyDescent="0.25">
      <c r="E250" s="11">
        <f t="shared" si="25"/>
        <v>-137</v>
      </c>
      <c r="F250" s="11">
        <f t="shared" si="26"/>
        <v>-53.900914125466045</v>
      </c>
      <c r="G250" s="11">
        <f t="shared" si="27"/>
        <v>-53.703960691174629</v>
      </c>
    </row>
    <row r="251" spans="5:7" x14ac:dyDescent="0.25">
      <c r="E251" s="11">
        <f t="shared" si="25"/>
        <v>-136</v>
      </c>
      <c r="F251" s="11">
        <f t="shared" si="26"/>
        <v>-53.729334575502492</v>
      </c>
      <c r="G251" s="11">
        <f t="shared" si="27"/>
        <v>-53.550788792728028</v>
      </c>
    </row>
    <row r="252" spans="5:7" x14ac:dyDescent="0.25">
      <c r="E252" s="11">
        <f t="shared" si="25"/>
        <v>-135</v>
      </c>
      <c r="F252" s="11">
        <f t="shared" si="26"/>
        <v>-53.543946947070054</v>
      </c>
      <c r="G252" s="11">
        <f t="shared" si="27"/>
        <v>-53.387937658515227</v>
      </c>
    </row>
    <row r="253" spans="5:7" x14ac:dyDescent="0.25">
      <c r="E253" s="11">
        <f t="shared" si="25"/>
        <v>-134</v>
      </c>
      <c r="F253" s="11">
        <f t="shared" si="26"/>
        <v>-53.344925424067185</v>
      </c>
      <c r="G253" s="11">
        <f t="shared" si="27"/>
        <v>-53.215073521785655</v>
      </c>
    </row>
    <row r="254" spans="5:7" x14ac:dyDescent="0.25">
      <c r="E254" s="11">
        <f t="shared" si="25"/>
        <v>-133</v>
      </c>
      <c r="F254" s="11">
        <f t="shared" si="26"/>
        <v>-53.132503665058522</v>
      </c>
      <c r="G254" s="11">
        <f t="shared" si="27"/>
        <v>-53.031862615788782</v>
      </c>
    </row>
    <row r="255" spans="5:7" x14ac:dyDescent="0.25">
      <c r="E255" s="11">
        <f t="shared" si="25"/>
        <v>-132</v>
      </c>
      <c r="F255" s="11">
        <f t="shared" si="26"/>
        <v>-52.906968698623814</v>
      </c>
      <c r="G255" s="11">
        <f t="shared" si="27"/>
        <v>-52.837971173774022</v>
      </c>
    </row>
    <row r="256" spans="5:7" x14ac:dyDescent="0.25">
      <c r="E256" s="11">
        <f t="shared" si="25"/>
        <v>-131</v>
      </c>
      <c r="F256" s="11">
        <f t="shared" si="26"/>
        <v>-52.668655110752496</v>
      </c>
      <c r="G256" s="11">
        <f t="shared" si="27"/>
        <v>-52.633065428990832</v>
      </c>
    </row>
    <row r="257" spans="5:7" x14ac:dyDescent="0.25">
      <c r="E257" s="11">
        <f t="shared" si="25"/>
        <v>-130</v>
      </c>
      <c r="F257" s="11">
        <f t="shared" si="26"/>
        <v>-52.417939516994352</v>
      </c>
      <c r="G257" s="11">
        <f t="shared" si="27"/>
        <v>-52.416811614688648</v>
      </c>
    </row>
    <row r="258" spans="5:7" x14ac:dyDescent="0.25">
      <c r="E258" s="11">
        <f t="shared" si="25"/>
        <v>-129</v>
      </c>
      <c r="F258" s="11">
        <f t="shared" si="26"/>
        <v>-52.155235312158254</v>
      </c>
      <c r="G258" s="11">
        <f t="shared" si="27"/>
        <v>-52.188875964116917</v>
      </c>
    </row>
    <row r="259" spans="5:7" x14ac:dyDescent="0.25">
      <c r="E259" s="11">
        <f t="shared" si="25"/>
        <v>-128</v>
      </c>
      <c r="F259" s="11">
        <f t="shared" si="26"/>
        <v>-51.880987690425314</v>
      </c>
      <c r="G259" s="11">
        <f t="shared" si="27"/>
        <v>-51.94892471052507</v>
      </c>
    </row>
    <row r="260" spans="5:7" x14ac:dyDescent="0.25">
      <c r="E260" s="11">
        <f t="shared" si="25"/>
        <v>-127</v>
      </c>
      <c r="F260" s="11">
        <f t="shared" si="26"/>
        <v>-51.595668928820544</v>
      </c>
      <c r="G260" s="11">
        <f t="shared" si="27"/>
        <v>-51.696624087162562</v>
      </c>
    </row>
    <row r="261" spans="5:7" x14ac:dyDescent="0.25">
      <c r="E261" s="11">
        <f t="shared" si="25"/>
        <v>-126</v>
      </c>
      <c r="F261" s="11">
        <f t="shared" si="26"/>
        <v>-51.299773927060684</v>
      </c>
      <c r="G261" s="11">
        <f t="shared" si="27"/>
        <v>-51.431640327278821</v>
      </c>
    </row>
    <row r="262" spans="5:7" x14ac:dyDescent="0.25">
      <c r="E262" s="11">
        <f t="shared" si="25"/>
        <v>-125</v>
      </c>
      <c r="F262" s="11">
        <f t="shared" si="26"/>
        <v>-50.993815996874972</v>
      </c>
      <c r="G262" s="11">
        <f t="shared" si="27"/>
        <v>-51.153639664123297</v>
      </c>
    </row>
    <row r="263" spans="5:7" x14ac:dyDescent="0.25">
      <c r="E263" s="11">
        <f t="shared" si="25"/>
        <v>-124</v>
      </c>
      <c r="F263" s="11">
        <f t="shared" si="26"/>
        <v>-50.678322893971853</v>
      </c>
      <c r="G263" s="11">
        <f t="shared" si="27"/>
        <v>-50.852880544120438</v>
      </c>
    </row>
    <row r="264" spans="5:7" x14ac:dyDescent="0.25">
      <c r="E264" s="11">
        <f t="shared" si="25"/>
        <v>-123</v>
      </c>
      <c r="F264" s="11">
        <f t="shared" si="26"/>
        <v>-50.353833085898941</v>
      </c>
      <c r="G264" s="11">
        <f t="shared" si="27"/>
        <v>-50.539479056769999</v>
      </c>
    </row>
    <row r="265" spans="5:7" x14ac:dyDescent="0.25">
      <c r="E265" s="11">
        <f t="shared" si="25"/>
        <v>-122</v>
      </c>
      <c r="F265" s="11">
        <f t="shared" si="26"/>
        <v>-50.02089224912261</v>
      </c>
      <c r="G265" s="11">
        <f t="shared" si="27"/>
        <v>-50.214143504746758</v>
      </c>
    </row>
    <row r="266" spans="5:7" x14ac:dyDescent="0.25">
      <c r="E266" s="11">
        <f t="shared" si="25"/>
        <v>-121</v>
      </c>
      <c r="F266" s="11">
        <f t="shared" si="26"/>
        <v>-49.680049988727177</v>
      </c>
      <c r="G266" s="11">
        <f t="shared" si="27"/>
        <v>-49.877582190725477</v>
      </c>
    </row>
    <row r="267" spans="5:7" x14ac:dyDescent="0.25">
      <c r="E267" s="11">
        <f t="shared" si="25"/>
        <v>-120</v>
      </c>
      <c r="F267" s="11">
        <f t="shared" si="26"/>
        <v>-49.331856774213492</v>
      </c>
      <c r="G267" s="11">
        <f t="shared" si="27"/>
        <v>-49.530503417380942</v>
      </c>
    </row>
    <row r="268" spans="5:7" x14ac:dyDescent="0.25">
      <c r="E268" s="11">
        <f t="shared" si="25"/>
        <v>-119</v>
      </c>
      <c r="F268" s="11">
        <f t="shared" si="26"/>
        <v>-48.976861084948595</v>
      </c>
      <c r="G268" s="11">
        <f t="shared" si="27"/>
        <v>-49.173615487387906</v>
      </c>
    </row>
    <row r="269" spans="5:7" x14ac:dyDescent="0.25">
      <c r="E269" s="11">
        <f t="shared" si="25"/>
        <v>-118</v>
      </c>
      <c r="F269" s="11">
        <f t="shared" si="26"/>
        <v>-48.615606758899901</v>
      </c>
      <c r="G269" s="11">
        <f t="shared" si="27"/>
        <v>-48.807626703421143</v>
      </c>
    </row>
    <row r="270" spans="5:7" x14ac:dyDescent="0.25">
      <c r="E270" s="11">
        <f t="shared" si="25"/>
        <v>-117</v>
      </c>
      <c r="F270" s="11">
        <f t="shared" si="26"/>
        <v>-48.248630538358753</v>
      </c>
      <c r="G270" s="11">
        <f t="shared" si="27"/>
        <v>-48.433245368155426</v>
      </c>
    </row>
    <row r="271" spans="5:7" x14ac:dyDescent="0.25">
      <c r="E271" s="11">
        <f t="shared" si="25"/>
        <v>-116</v>
      </c>
      <c r="F271" s="11">
        <f t="shared" si="26"/>
        <v>-47.876459806437836</v>
      </c>
      <c r="G271" s="11">
        <f t="shared" si="27"/>
        <v>-48.051179784265528</v>
      </c>
    </row>
    <row r="272" spans="5:7" x14ac:dyDescent="0.25">
      <c r="E272" s="11">
        <f t="shared" si="25"/>
        <v>-115</v>
      </c>
      <c r="F272" s="11">
        <f t="shared" si="26"/>
        <v>-47.499610508202018</v>
      </c>
      <c r="G272" s="11">
        <f t="shared" si="27"/>
        <v>-47.66213825442621</v>
      </c>
    </row>
    <row r="273" spans="5:7" x14ac:dyDescent="0.25">
      <c r="E273" s="11">
        <f t="shared" si="25"/>
        <v>-114</v>
      </c>
      <c r="F273" s="11">
        <f t="shared" si="26"/>
        <v>-47.118585250368547</v>
      </c>
      <c r="G273" s="11">
        <f t="shared" si="27"/>
        <v>-47.266829081312252</v>
      </c>
    </row>
    <row r="274" spans="5:7" x14ac:dyDescent="0.25">
      <c r="E274" s="11">
        <f t="shared" si="25"/>
        <v>-113</v>
      </c>
      <c r="F274" s="11">
        <f t="shared" si="26"/>
        <v>-46.733871573590037</v>
      </c>
      <c r="G274" s="11">
        <f t="shared" si="27"/>
        <v>-46.865960567598421</v>
      </c>
    </row>
    <row r="275" spans="5:7" x14ac:dyDescent="0.25">
      <c r="E275" s="11">
        <f t="shared" si="25"/>
        <v>-112</v>
      </c>
      <c r="F275" s="11">
        <f t="shared" si="26"/>
        <v>-46.345940391407858</v>
      </c>
      <c r="G275" s="11">
        <f t="shared" si="27"/>
        <v>-46.460241015959483</v>
      </c>
    </row>
    <row r="276" spans="5:7" x14ac:dyDescent="0.25">
      <c r="E276" s="11">
        <f t="shared" si="25"/>
        <v>-111</v>
      </c>
      <c r="F276" s="11">
        <f t="shared" si="26"/>
        <v>-45.955244590042781</v>
      </c>
      <c r="G276" s="11">
        <f t="shared" si="27"/>
        <v>-46.050378729070211</v>
      </c>
    </row>
    <row r="277" spans="5:7" x14ac:dyDescent="0.25">
      <c r="E277" s="11">
        <f t="shared" si="25"/>
        <v>-110</v>
      </c>
      <c r="F277" s="11">
        <f t="shared" si="26"/>
        <v>-45.562217783263996</v>
      </c>
      <c r="G277" s="11">
        <f t="shared" si="27"/>
        <v>-45.637082009605379</v>
      </c>
    </row>
    <row r="278" spans="5:7" x14ac:dyDescent="0.25">
      <c r="E278" s="11">
        <f t="shared" si="25"/>
        <v>-109</v>
      </c>
      <c r="F278" s="11">
        <f t="shared" si="26"/>
        <v>-45.167273216654046</v>
      </c>
      <c r="G278" s="11">
        <f t="shared" si="27"/>
        <v>-45.22105916023974</v>
      </c>
    </row>
    <row r="279" spans="5:7" x14ac:dyDescent="0.25">
      <c r="E279" s="11">
        <f t="shared" si="25"/>
        <v>-108</v>
      </c>
      <c r="F279" s="11">
        <f t="shared" si="26"/>
        <v>-44.770802815665633</v>
      </c>
      <c r="G279" s="11">
        <f t="shared" si="27"/>
        <v>-44.803018483648081</v>
      </c>
    </row>
    <row r="280" spans="5:7" x14ac:dyDescent="0.25">
      <c r="E280" s="11">
        <f t="shared" si="25"/>
        <v>-107</v>
      </c>
      <c r="F280" s="11">
        <f t="shared" si="26"/>
        <v>-44.373176371939927</v>
      </c>
      <c r="G280" s="11">
        <f t="shared" si="27"/>
        <v>-44.38366828250517</v>
      </c>
    </row>
    <row r="281" spans="5:7" x14ac:dyDescent="0.25">
      <c r="E281" s="11">
        <f t="shared" si="25"/>
        <v>-106</v>
      </c>
      <c r="F281" s="11">
        <f t="shared" si="26"/>
        <v>-43.974740862434878</v>
      </c>
      <c r="G281" s="11">
        <f t="shared" si="27"/>
        <v>-43.963716859485771</v>
      </c>
    </row>
    <row r="282" spans="5:7" x14ac:dyDescent="0.25">
      <c r="E282" s="11">
        <f t="shared" si="25"/>
        <v>-105</v>
      </c>
      <c r="F282" s="11">
        <f t="shared" si="26"/>
        <v>-43.575819895986157</v>
      </c>
      <c r="G282" s="11">
        <f t="shared" si="27"/>
        <v>-43.54387251726466</v>
      </c>
    </row>
    <row r="283" spans="5:7" x14ac:dyDescent="0.25">
      <c r="E283" s="11">
        <f t="shared" si="25"/>
        <v>-104</v>
      </c>
      <c r="F283" s="11">
        <f t="shared" si="26"/>
        <v>-43.1767132820017</v>
      </c>
      <c r="G283" s="11">
        <f t="shared" si="27"/>
        <v>-43.124843558516609</v>
      </c>
    </row>
    <row r="284" spans="5:7" x14ac:dyDescent="0.25">
      <c r="E284" s="11">
        <f t="shared" si="25"/>
        <v>-103</v>
      </c>
      <c r="F284" s="11">
        <f t="shared" si="26"/>
        <v>-42.777696716066174</v>
      </c>
      <c r="G284" s="11">
        <f t="shared" si="27"/>
        <v>-42.707338285916371</v>
      </c>
    </row>
    <row r="285" spans="5:7" x14ac:dyDescent="0.25">
      <c r="E285" s="11">
        <f t="shared" si="25"/>
        <v>-102</v>
      </c>
      <c r="F285" s="11">
        <f t="shared" si="26"/>
        <v>-42.379021577307995</v>
      </c>
      <c r="G285" s="11">
        <f t="shared" si="27"/>
        <v>-42.292065002138735</v>
      </c>
    </row>
    <row r="286" spans="5:7" x14ac:dyDescent="0.25">
      <c r="E286" s="11">
        <f t="shared" si="25"/>
        <v>-101</v>
      </c>
      <c r="F286" s="11">
        <f t="shared" si="26"/>
        <v>-41.980914832458765</v>
      </c>
      <c r="G286" s="11">
        <f t="shared" si="27"/>
        <v>-41.879732009858472</v>
      </c>
    </row>
    <row r="287" spans="5:7" x14ac:dyDescent="0.25">
      <c r="E287" s="11">
        <f t="shared" ref="E287:E350" si="28">E80</f>
        <v>-100</v>
      </c>
      <c r="F287" s="11">
        <f t="shared" ref="F287:F350" si="29">$H$217*0+E287*$I$217+E287^2*$J$217+E287^3*$K$217+E287^4*$L$217+E287^5*$M$217+E287^6*$N$217+E287^7*$O$217+E287^8*$P$217</f>
        <v>-41.583579041610164</v>
      </c>
      <c r="G287" s="11">
        <f t="shared" ref="G287:G350" si="30">F80</f>
        <v>-41.471047611750329</v>
      </c>
    </row>
    <row r="288" spans="5:7" x14ac:dyDescent="0.25">
      <c r="E288" s="11">
        <f t="shared" si="28"/>
        <v>-99</v>
      </c>
      <c r="F288" s="11">
        <f t="shared" si="29"/>
        <v>-41.187192460751177</v>
      </c>
      <c r="G288" s="11">
        <f t="shared" si="30"/>
        <v>-41.066563005222321</v>
      </c>
    </row>
    <row r="289" spans="5:7" x14ac:dyDescent="0.25">
      <c r="E289" s="11">
        <f t="shared" si="28"/>
        <v>-98</v>
      </c>
      <c r="F289" s="11">
        <f t="shared" si="29"/>
        <v>-40.791909236243427</v>
      </c>
      <c r="G289" s="11">
        <f t="shared" si="30"/>
        <v>-40.666200966615257</v>
      </c>
    </row>
    <row r="290" spans="5:7" x14ac:dyDescent="0.25">
      <c r="E290" s="11">
        <f t="shared" si="28"/>
        <v>-97</v>
      </c>
      <c r="F290" s="11">
        <f t="shared" si="29"/>
        <v>-40.397859686469999</v>
      </c>
      <c r="G290" s="11">
        <f t="shared" si="30"/>
        <v>-40.269727167003211</v>
      </c>
    </row>
    <row r="291" spans="5:7" x14ac:dyDescent="0.25">
      <c r="E291" s="11">
        <f t="shared" si="28"/>
        <v>-96</v>
      </c>
      <c r="F291" s="11">
        <f t="shared" si="29"/>
        <v>-40.005150665968863</v>
      </c>
      <c r="G291" s="11">
        <f t="shared" si="30"/>
        <v>-39.876907277460234</v>
      </c>
    </row>
    <row r="292" spans="5:7" x14ac:dyDescent="0.25">
      <c r="E292" s="11">
        <f t="shared" si="28"/>
        <v>-95</v>
      </c>
      <c r="F292" s="11">
        <f t="shared" si="29"/>
        <v>-39.613866007438546</v>
      </c>
      <c r="G292" s="11">
        <f t="shared" si="30"/>
        <v>-39.487506969060377</v>
      </c>
    </row>
    <row r="293" spans="5:7" x14ac:dyDescent="0.25">
      <c r="E293" s="11">
        <f t="shared" si="28"/>
        <v>-94</v>
      </c>
      <c r="F293" s="11">
        <f t="shared" si="29"/>
        <v>-39.224067037080246</v>
      </c>
      <c r="G293" s="11">
        <f t="shared" si="30"/>
        <v>-39.101291912877699</v>
      </c>
    </row>
    <row r="294" spans="5:7" x14ac:dyDescent="0.25">
      <c r="E294" s="11">
        <f t="shared" si="28"/>
        <v>-93</v>
      </c>
      <c r="F294" s="11">
        <f t="shared" si="29"/>
        <v>-38.835793158816841</v>
      </c>
      <c r="G294" s="11">
        <f t="shared" si="30"/>
        <v>-38.718027779986244</v>
      </c>
    </row>
    <row r="295" spans="5:7" x14ac:dyDescent="0.25">
      <c r="E295" s="11">
        <f t="shared" si="28"/>
        <v>-92</v>
      </c>
      <c r="F295" s="11">
        <f t="shared" si="29"/>
        <v>-38.44906250300545</v>
      </c>
      <c r="G295" s="11">
        <f t="shared" si="30"/>
        <v>-38.337480241460085</v>
      </c>
    </row>
    <row r="296" spans="5:7" x14ac:dyDescent="0.25">
      <c r="E296" s="11">
        <f t="shared" si="28"/>
        <v>-91</v>
      </c>
      <c r="F296" s="11">
        <f t="shared" si="29"/>
        <v>-38.063872635337006</v>
      </c>
      <c r="G296" s="11">
        <f t="shared" si="30"/>
        <v>-37.959414968373267</v>
      </c>
    </row>
    <row r="297" spans="5:7" x14ac:dyDescent="0.25">
      <c r="E297" s="11">
        <f t="shared" si="28"/>
        <v>-90</v>
      </c>
      <c r="F297" s="11">
        <f t="shared" si="29"/>
        <v>-37.680201321692586</v>
      </c>
      <c r="G297" s="11">
        <f t="shared" si="30"/>
        <v>-37.583597631799833</v>
      </c>
    </row>
    <row r="298" spans="5:7" x14ac:dyDescent="0.25">
      <c r="E298" s="11">
        <f t="shared" si="28"/>
        <v>-89</v>
      </c>
      <c r="F298" s="11">
        <f t="shared" si="29"/>
        <v>-37.298007344802187</v>
      </c>
      <c r="G298" s="11">
        <f t="shared" si="30"/>
        <v>-37.20979390281385</v>
      </c>
    </row>
    <row r="299" spans="5:7" x14ac:dyDescent="0.25">
      <c r="E299" s="11">
        <f t="shared" si="28"/>
        <v>-88</v>
      </c>
      <c r="F299" s="11">
        <f t="shared" si="29"/>
        <v>-36.917231368628812</v>
      </c>
      <c r="G299" s="11">
        <f t="shared" si="30"/>
        <v>-36.837769452489368</v>
      </c>
    </row>
    <row r="300" spans="5:7" x14ac:dyDescent="0.25">
      <c r="E300" s="11">
        <f t="shared" si="28"/>
        <v>-87</v>
      </c>
      <c r="F300" s="11">
        <f t="shared" si="29"/>
        <v>-36.537796846476262</v>
      </c>
      <c r="G300" s="11">
        <f t="shared" si="30"/>
        <v>-36.46728995190044</v>
      </c>
    </row>
    <row r="301" spans="5:7" x14ac:dyDescent="0.25">
      <c r="E301" s="11">
        <f t="shared" si="28"/>
        <v>-86</v>
      </c>
      <c r="F301" s="11">
        <f t="shared" si="29"/>
        <v>-36.159610968896267</v>
      </c>
      <c r="G301" s="11">
        <f t="shared" si="30"/>
        <v>-36.098121072121124</v>
      </c>
    </row>
    <row r="302" spans="5:7" x14ac:dyDescent="0.25">
      <c r="E302" s="11">
        <f t="shared" si="28"/>
        <v>-85</v>
      </c>
      <c r="F302" s="11">
        <f t="shared" si="29"/>
        <v>-35.782565647546186</v>
      </c>
      <c r="G302" s="11">
        <f t="shared" si="30"/>
        <v>-35.730028484225471</v>
      </c>
    </row>
    <row r="303" spans="5:7" x14ac:dyDescent="0.25">
      <c r="E303" s="11">
        <f t="shared" si="28"/>
        <v>-84</v>
      </c>
      <c r="F303" s="11">
        <f t="shared" si="29"/>
        <v>-35.406538531225692</v>
      </c>
      <c r="G303" s="11">
        <f t="shared" si="30"/>
        <v>-35.362777859287547</v>
      </c>
    </row>
    <row r="304" spans="5:7" x14ac:dyDescent="0.25">
      <c r="E304" s="11">
        <f t="shared" si="28"/>
        <v>-83</v>
      </c>
      <c r="F304" s="11">
        <f t="shared" si="29"/>
        <v>-35.031394050396422</v>
      </c>
      <c r="G304" s="11">
        <f t="shared" si="30"/>
        <v>-34.99613486838139</v>
      </c>
    </row>
    <row r="305" spans="5:7" x14ac:dyDescent="0.25">
      <c r="E305" s="11">
        <f t="shared" si="28"/>
        <v>-82</v>
      </c>
      <c r="F305" s="11">
        <f t="shared" si="29"/>
        <v>-34.656984486565804</v>
      </c>
      <c r="G305" s="11">
        <f t="shared" si="30"/>
        <v>-34.629865182581057</v>
      </c>
    </row>
    <row r="306" spans="5:7" x14ac:dyDescent="0.25">
      <c r="E306" s="11">
        <f t="shared" si="28"/>
        <v>-81</v>
      </c>
      <c r="F306" s="11">
        <f t="shared" si="29"/>
        <v>-34.283151062991884</v>
      </c>
      <c r="G306" s="11">
        <f t="shared" si="30"/>
        <v>-34.263734472960607</v>
      </c>
    </row>
    <row r="307" spans="5:7" x14ac:dyDescent="0.25">
      <c r="E307" s="11">
        <f t="shared" si="28"/>
        <v>-80</v>
      </c>
      <c r="F307" s="11">
        <f t="shared" si="29"/>
        <v>-33.90972505324293</v>
      </c>
      <c r="G307" s="11">
        <f t="shared" si="30"/>
        <v>-33.897508410594092</v>
      </c>
    </row>
    <row r="308" spans="5:7" x14ac:dyDescent="0.25">
      <c r="E308" s="11">
        <f t="shared" si="28"/>
        <v>-79</v>
      </c>
      <c r="F308" s="11">
        <f t="shared" si="29"/>
        <v>-33.536528904221861</v>
      </c>
      <c r="G308" s="11">
        <f t="shared" si="30"/>
        <v>-33.530952666555571</v>
      </c>
    </row>
    <row r="309" spans="5:7" x14ac:dyDescent="0.25">
      <c r="E309" s="11">
        <f t="shared" si="28"/>
        <v>-78</v>
      </c>
      <c r="F309" s="11">
        <f t="shared" si="29"/>
        <v>-33.163377370341664</v>
      </c>
      <c r="G309" s="11">
        <f t="shared" si="30"/>
        <v>-33.163832911919094</v>
      </c>
    </row>
    <row r="310" spans="5:7" x14ac:dyDescent="0.25">
      <c r="E310" s="11">
        <f t="shared" si="28"/>
        <v>-77</v>
      </c>
      <c r="F310" s="11">
        <f t="shared" si="29"/>
        <v>-32.790078655614678</v>
      </c>
      <c r="G310" s="11">
        <f t="shared" si="30"/>
        <v>-32.795914817758714</v>
      </c>
    </row>
    <row r="311" spans="5:7" x14ac:dyDescent="0.25">
      <c r="E311" s="11">
        <f t="shared" si="28"/>
        <v>-76</v>
      </c>
      <c r="F311" s="11">
        <f t="shared" si="29"/>
        <v>-32.416435560494961</v>
      </c>
      <c r="G311" s="11">
        <f t="shared" si="30"/>
        <v>-32.426964055148488</v>
      </c>
    </row>
    <row r="312" spans="5:7" x14ac:dyDescent="0.25">
      <c r="E312" s="11">
        <f t="shared" si="28"/>
        <v>-75</v>
      </c>
      <c r="F312" s="11">
        <f t="shared" si="29"/>
        <v>-32.042246630389172</v>
      </c>
      <c r="G312" s="11">
        <f t="shared" si="30"/>
        <v>-32.056746295162469</v>
      </c>
    </row>
    <row r="313" spans="5:7" x14ac:dyDescent="0.25">
      <c r="E313" s="11">
        <f t="shared" si="28"/>
        <v>-74</v>
      </c>
      <c r="F313" s="11">
        <f t="shared" si="29"/>
        <v>-31.667307302827922</v>
      </c>
      <c r="G313" s="11">
        <f t="shared" si="30"/>
        <v>-31.685047411625273</v>
      </c>
    </row>
    <row r="314" spans="5:7" x14ac:dyDescent="0.25">
      <c r="E314" s="11">
        <f t="shared" si="28"/>
        <v>-73</v>
      </c>
      <c r="F314" s="11">
        <f t="shared" si="29"/>
        <v>-31.291411050366108</v>
      </c>
      <c r="G314" s="11">
        <f t="shared" si="30"/>
        <v>-31.311734089363753</v>
      </c>
    </row>
    <row r="315" spans="5:7" x14ac:dyDescent="0.25">
      <c r="E315" s="11">
        <f t="shared" si="28"/>
        <v>-72</v>
      </c>
      <c r="F315" s="11">
        <f t="shared" si="29"/>
        <v>-30.914350516356652</v>
      </c>
      <c r="G315" s="11">
        <f t="shared" si="30"/>
        <v>-30.936693215955334</v>
      </c>
    </row>
    <row r="316" spans="5:7" x14ac:dyDescent="0.25">
      <c r="E316" s="11">
        <f t="shared" si="28"/>
        <v>-71</v>
      </c>
      <c r="F316" s="11">
        <f t="shared" si="29"/>
        <v>-30.535918640819123</v>
      </c>
      <c r="G316" s="11">
        <f t="shared" si="30"/>
        <v>-30.559811678977422</v>
      </c>
    </row>
    <row r="317" spans="5:7" x14ac:dyDescent="0.25">
      <c r="E317" s="11">
        <f t="shared" si="28"/>
        <v>-70</v>
      </c>
      <c r="F317" s="11">
        <f t="shared" si="29"/>
        <v>-30.155909773700397</v>
      </c>
      <c r="G317" s="11">
        <f t="shared" si="30"/>
        <v>-30.180976366007446</v>
      </c>
    </row>
    <row r="318" spans="5:7" x14ac:dyDescent="0.25">
      <c r="E318" s="11">
        <f t="shared" si="28"/>
        <v>-69</v>
      </c>
      <c r="F318" s="11">
        <f t="shared" si="29"/>
        <v>-29.774120772901625</v>
      </c>
      <c r="G318" s="11">
        <f t="shared" si="30"/>
        <v>-29.800074164622814</v>
      </c>
    </row>
    <row r="319" spans="5:7" x14ac:dyDescent="0.25">
      <c r="E319" s="11">
        <f t="shared" si="28"/>
        <v>-68</v>
      </c>
      <c r="F319" s="11">
        <f t="shared" si="29"/>
        <v>-29.390352084521528</v>
      </c>
      <c r="G319" s="11">
        <f t="shared" si="30"/>
        <v>-29.416991962400942</v>
      </c>
    </row>
    <row r="320" spans="5:7" x14ac:dyDescent="0.25">
      <c r="E320" s="11">
        <f t="shared" si="28"/>
        <v>-67</v>
      </c>
      <c r="F320" s="11">
        <f t="shared" si="29"/>
        <v>-29.004408802842832</v>
      </c>
      <c r="G320" s="11">
        <f t="shared" si="30"/>
        <v>-29.031616646919257</v>
      </c>
    </row>
    <row r="321" spans="5:7" x14ac:dyDescent="0.25">
      <c r="E321" s="11">
        <f t="shared" si="28"/>
        <v>-66</v>
      </c>
      <c r="F321" s="11">
        <f t="shared" si="29"/>
        <v>-28.61610170766501</v>
      </c>
      <c r="G321" s="11">
        <f t="shared" si="30"/>
        <v>-28.643835105755169</v>
      </c>
    </row>
    <row r="322" spans="5:7" x14ac:dyDescent="0.25">
      <c r="E322" s="11">
        <f t="shared" si="28"/>
        <v>-65</v>
      </c>
      <c r="F322" s="11">
        <f t="shared" si="29"/>
        <v>-28.225248276662636</v>
      </c>
      <c r="G322" s="11">
        <f t="shared" si="30"/>
        <v>-28.253534226486089</v>
      </c>
    </row>
    <row r="323" spans="5:7" x14ac:dyDescent="0.25">
      <c r="E323" s="11">
        <f t="shared" si="28"/>
        <v>-64</v>
      </c>
      <c r="F323" s="11">
        <f t="shared" si="29"/>
        <v>-27.831673670525426</v>
      </c>
      <c r="G323" s="11">
        <f t="shared" si="30"/>
        <v>-27.860600896689451</v>
      </c>
    </row>
    <row r="324" spans="5:7" x14ac:dyDescent="0.25">
      <c r="E324" s="11">
        <f t="shared" si="28"/>
        <v>-63</v>
      </c>
      <c r="F324" s="11">
        <f t="shared" si="29"/>
        <v>-27.435211688712066</v>
      </c>
      <c r="G324" s="11">
        <f t="shared" si="30"/>
        <v>-27.464922003942657</v>
      </c>
    </row>
    <row r="325" spans="5:7" x14ac:dyDescent="0.25">
      <c r="E325" s="11">
        <f t="shared" si="28"/>
        <v>-62</v>
      </c>
      <c r="F325" s="11">
        <f t="shared" si="29"/>
        <v>-27.035705693726619</v>
      </c>
      <c r="G325" s="11">
        <f t="shared" si="30"/>
        <v>-27.066384435823135</v>
      </c>
    </row>
    <row r="326" spans="5:7" x14ac:dyDescent="0.25">
      <c r="E326" s="11">
        <f t="shared" si="28"/>
        <v>-61</v>
      </c>
      <c r="F326" s="11">
        <f t="shared" si="29"/>
        <v>-26.633009501902489</v>
      </c>
      <c r="G326" s="11">
        <f t="shared" si="30"/>
        <v>-26.664875079908292</v>
      </c>
    </row>
    <row r="327" spans="5:7" x14ac:dyDescent="0.25">
      <c r="E327" s="11">
        <f t="shared" si="28"/>
        <v>-60</v>
      </c>
      <c r="F327" s="11">
        <f t="shared" si="29"/>
        <v>-26.22698823875546</v>
      </c>
      <c r="G327" s="11">
        <f t="shared" si="30"/>
        <v>-26.260280823775549</v>
      </c>
    </row>
    <row r="328" spans="5:7" x14ac:dyDescent="0.25">
      <c r="E328" s="11">
        <f t="shared" si="28"/>
        <v>-59</v>
      </c>
      <c r="F328" s="11">
        <f t="shared" si="29"/>
        <v>-25.817519157043588</v>
      </c>
      <c r="G328" s="11">
        <f t="shared" si="30"/>
        <v>-25.852488555002324</v>
      </c>
    </row>
    <row r="329" spans="5:7" x14ac:dyDescent="0.25">
      <c r="E329" s="11">
        <f t="shared" si="28"/>
        <v>-58</v>
      </c>
      <c r="F329" s="11">
        <f t="shared" si="29"/>
        <v>-25.404492415748219</v>
      </c>
      <c r="G329" s="11">
        <f t="shared" si="30"/>
        <v>-25.441385161166036</v>
      </c>
    </row>
    <row r="330" spans="5:7" x14ac:dyDescent="0.25">
      <c r="E330" s="11">
        <f t="shared" si="28"/>
        <v>-57</v>
      </c>
      <c r="F330" s="11">
        <f t="shared" si="29"/>
        <v>-24.98781181826682</v>
      </c>
      <c r="G330" s="11">
        <f t="shared" si="30"/>
        <v>-25.026857529844097</v>
      </c>
    </row>
    <row r="331" spans="5:7" x14ac:dyDescent="0.25">
      <c r="E331" s="11">
        <f t="shared" si="28"/>
        <v>-56</v>
      </c>
      <c r="F331" s="11">
        <f t="shared" si="29"/>
        <v>-24.567395508184507</v>
      </c>
      <c r="G331" s="11">
        <f t="shared" si="30"/>
        <v>-24.608792548613927</v>
      </c>
    </row>
    <row r="332" spans="5:7" x14ac:dyDescent="0.25">
      <c r="E332" s="11">
        <f t="shared" si="28"/>
        <v>-55</v>
      </c>
      <c r="F332" s="11">
        <f t="shared" si="29"/>
        <v>-24.143176621067845</v>
      </c>
      <c r="G332" s="11">
        <f t="shared" si="30"/>
        <v>-24.187077105052943</v>
      </c>
    </row>
    <row r="333" spans="5:7" x14ac:dyDescent="0.25">
      <c r="E333" s="11">
        <f t="shared" si="28"/>
        <v>-54</v>
      </c>
      <c r="F333" s="11">
        <f t="shared" si="29"/>
        <v>-23.715103890800663</v>
      </c>
      <c r="G333" s="11">
        <f t="shared" si="30"/>
        <v>-23.761598086738566</v>
      </c>
    </row>
    <row r="334" spans="5:7" x14ac:dyDescent="0.25">
      <c r="E334" s="11">
        <f t="shared" si="28"/>
        <v>-53</v>
      </c>
      <c r="F334" s="11">
        <f t="shared" si="29"/>
        <v>-23.28314220905801</v>
      </c>
      <c r="G334" s="11">
        <f t="shared" si="30"/>
        <v>-23.332242381248207</v>
      </c>
    </row>
    <row r="335" spans="5:7" x14ac:dyDescent="0.25">
      <c r="E335" s="11">
        <f t="shared" si="28"/>
        <v>-52</v>
      </c>
      <c r="F335" s="11">
        <f t="shared" si="29"/>
        <v>-22.847273136591085</v>
      </c>
      <c r="G335" s="11">
        <f t="shared" si="30"/>
        <v>-22.898896876159281</v>
      </c>
    </row>
    <row r="336" spans="5:7" x14ac:dyDescent="0.25">
      <c r="E336" s="11">
        <f t="shared" si="28"/>
        <v>-51</v>
      </c>
      <c r="F336" s="11">
        <f t="shared" si="29"/>
        <v>-22.40749536507181</v>
      </c>
      <c r="G336" s="11">
        <f t="shared" si="30"/>
        <v>-22.461448459049212</v>
      </c>
    </row>
    <row r="337" spans="5:7" x14ac:dyDescent="0.25">
      <c r="E337" s="11">
        <f t="shared" si="28"/>
        <v>-50</v>
      </c>
      <c r="F337" s="11">
        <f t="shared" si="29"/>
        <v>-21.963825128322753</v>
      </c>
      <c r="G337" s="11">
        <f t="shared" si="30"/>
        <v>-22.019784017495414</v>
      </c>
    </row>
    <row r="338" spans="5:7" x14ac:dyDescent="0.25">
      <c r="E338" s="11">
        <f t="shared" si="28"/>
        <v>-49</v>
      </c>
      <c r="F338" s="11">
        <f t="shared" si="29"/>
        <v>-21.516296561833929</v>
      </c>
      <c r="G338" s="11">
        <f t="shared" si="30"/>
        <v>-21.573790439075307</v>
      </c>
    </row>
    <row r="339" spans="5:7" x14ac:dyDescent="0.25">
      <c r="E339" s="11">
        <f t="shared" si="28"/>
        <v>-48</v>
      </c>
      <c r="F339" s="11">
        <f t="shared" si="29"/>
        <v>-21.064962009544821</v>
      </c>
      <c r="G339" s="11">
        <f t="shared" si="30"/>
        <v>-21.123354611366299</v>
      </c>
    </row>
    <row r="340" spans="5:7" x14ac:dyDescent="0.25">
      <c r="E340" s="11">
        <f t="shared" si="28"/>
        <v>-47</v>
      </c>
      <c r="F340" s="11">
        <f t="shared" si="29"/>
        <v>-20.609892276946109</v>
      </c>
      <c r="G340" s="11">
        <f t="shared" si="30"/>
        <v>-20.668363421945816</v>
      </c>
    </row>
    <row r="341" spans="5:7" x14ac:dyDescent="0.25">
      <c r="E341" s="11">
        <f t="shared" si="28"/>
        <v>-46</v>
      </c>
      <c r="F341" s="11">
        <f t="shared" si="29"/>
        <v>-20.151176829632067</v>
      </c>
      <c r="G341" s="11">
        <f t="shared" si="30"/>
        <v>-20.208703758391277</v>
      </c>
    </row>
    <row r="342" spans="5:7" x14ac:dyDescent="0.25">
      <c r="E342" s="11">
        <f t="shared" si="28"/>
        <v>-45</v>
      </c>
      <c r="F342" s="11">
        <f t="shared" si="29"/>
        <v>-19.688923936510989</v>
      </c>
      <c r="G342" s="11">
        <f t="shared" si="30"/>
        <v>-19.744262508280087</v>
      </c>
    </row>
    <row r="343" spans="5:7" x14ac:dyDescent="0.25">
      <c r="E343" s="11">
        <f t="shared" si="28"/>
        <v>-44</v>
      </c>
      <c r="F343" s="11">
        <f t="shared" si="29"/>
        <v>-19.223260756957465</v>
      </c>
      <c r="G343" s="11">
        <f t="shared" si="30"/>
        <v>-19.275013677475158</v>
      </c>
    </row>
    <row r="344" spans="5:7" x14ac:dyDescent="0.25">
      <c r="E344" s="11">
        <f t="shared" si="28"/>
        <v>-43</v>
      </c>
      <c r="F344" s="11">
        <f t="shared" si="29"/>
        <v>-18.754333371266526</v>
      </c>
      <c r="G344" s="11">
        <f t="shared" si="30"/>
        <v>-18.80127974498135</v>
      </c>
    </row>
    <row r="345" spans="5:7" x14ac:dyDescent="0.25">
      <c r="E345" s="11">
        <f t="shared" si="28"/>
        <v>-42</v>
      </c>
      <c r="F345" s="11">
        <f t="shared" si="29"/>
        <v>-18.2823067538462</v>
      </c>
      <c r="G345" s="11">
        <f t="shared" si="30"/>
        <v>-18.323470308088996</v>
      </c>
    </row>
    <row r="346" spans="5:7" x14ac:dyDescent="0.25">
      <c r="E346" s="11">
        <f t="shared" si="28"/>
        <v>-41</v>
      </c>
      <c r="F346" s="11">
        <f t="shared" si="29"/>
        <v>-17.8073646886616</v>
      </c>
      <c r="G346" s="11">
        <f t="shared" si="30"/>
        <v>-17.841994964088432</v>
      </c>
    </row>
    <row r="347" spans="5:7" x14ac:dyDescent="0.25">
      <c r="E347" s="11">
        <f t="shared" si="28"/>
        <v>-40</v>
      </c>
      <c r="F347" s="11">
        <f t="shared" si="29"/>
        <v>-17.329709626519577</v>
      </c>
      <c r="G347" s="11">
        <f t="shared" si="30"/>
        <v>-17.35726331027001</v>
      </c>
    </row>
    <row r="348" spans="5:7" x14ac:dyDescent="0.25">
      <c r="E348" s="11">
        <f t="shared" si="28"/>
        <v>-39</v>
      </c>
      <c r="F348" s="11">
        <f t="shared" si="29"/>
        <v>-16.849562483859891</v>
      </c>
      <c r="G348" s="11">
        <f t="shared" si="30"/>
        <v>-16.869684943924067</v>
      </c>
    </row>
    <row r="349" spans="5:7" x14ac:dyDescent="0.25">
      <c r="E349" s="11">
        <f t="shared" si="28"/>
        <v>-38</v>
      </c>
      <c r="F349" s="11">
        <f t="shared" si="29"/>
        <v>-16.367162382794859</v>
      </c>
      <c r="G349" s="11">
        <f t="shared" si="30"/>
        <v>-16.379669462340942</v>
      </c>
    </row>
    <row r="350" spans="5:7" x14ac:dyDescent="0.25">
      <c r="E350" s="11">
        <f t="shared" si="28"/>
        <v>-37</v>
      </c>
      <c r="F350" s="11">
        <f t="shared" si="29"/>
        <v>-15.882766332216036</v>
      </c>
      <c r="G350" s="11">
        <f t="shared" si="30"/>
        <v>-15.887626462810982</v>
      </c>
    </row>
    <row r="351" spans="5:7" x14ac:dyDescent="0.25">
      <c r="E351" s="11">
        <f t="shared" ref="E351:E414" si="31">E144</f>
        <v>-36</v>
      </c>
      <c r="F351" s="11">
        <f t="shared" ref="F351:F414" si="32">$H$217*0+E351*$I$217+E351^2*$J$217+E351^3*$K$217+E351^4*$L$217+E351^5*$M$217+E351^6*$N$217+E351^7*$O$217+E351^8*$P$217</f>
        <v>-15.396648849862876</v>
      </c>
      <c r="G351" s="11">
        <f t="shared" ref="G351:G414" si="33">F144</f>
        <v>-15.393965542624517</v>
      </c>
    </row>
    <row r="352" spans="5:7" x14ac:dyDescent="0.25">
      <c r="E352" s="11">
        <f t="shared" si="31"/>
        <v>-35</v>
      </c>
      <c r="F352" s="11">
        <f t="shared" si="32"/>
        <v>-14.909101525324532</v>
      </c>
      <c r="G352" s="11">
        <f t="shared" si="33"/>
        <v>-14.899096299071896</v>
      </c>
    </row>
    <row r="353" spans="5:7" x14ac:dyDescent="0.25">
      <c r="E353" s="11">
        <f t="shared" si="31"/>
        <v>-34</v>
      </c>
      <c r="F353" s="11">
        <f t="shared" si="32"/>
        <v>-14.420432524022624</v>
      </c>
      <c r="G353" s="11">
        <f t="shared" si="33"/>
        <v>-14.403428329443459</v>
      </c>
    </row>
    <row r="354" spans="5:7" x14ac:dyDescent="0.25">
      <c r="E354" s="11">
        <f t="shared" si="31"/>
        <v>-33</v>
      </c>
      <c r="F354" s="11">
        <f t="shared" si="32"/>
        <v>-13.930966032298924</v>
      </c>
      <c r="G354" s="11">
        <f t="shared" si="33"/>
        <v>-13.907371231029547</v>
      </c>
    </row>
    <row r="355" spans="5:7" x14ac:dyDescent="0.25">
      <c r="E355" s="11">
        <f t="shared" si="31"/>
        <v>-32</v>
      </c>
      <c r="F355" s="11">
        <f t="shared" si="32"/>
        <v>-13.441041643808502</v>
      </c>
      <c r="G355" s="11">
        <f t="shared" si="33"/>
        <v>-13.411334601120497</v>
      </c>
    </row>
    <row r="356" spans="5:7" x14ac:dyDescent="0.25">
      <c r="E356" s="11">
        <f t="shared" si="31"/>
        <v>-31</v>
      </c>
      <c r="F356" s="11">
        <f t="shared" si="32"/>
        <v>-12.951013687495198</v>
      </c>
      <c r="G356" s="11">
        <f t="shared" si="33"/>
        <v>-12.915728037006655</v>
      </c>
    </row>
    <row r="357" spans="5:7" x14ac:dyDescent="0.25">
      <c r="E357" s="11">
        <f t="shared" si="31"/>
        <v>-30</v>
      </c>
      <c r="F357" s="11">
        <f t="shared" si="32"/>
        <v>-12.461250497502588</v>
      </c>
      <c r="G357" s="11">
        <f t="shared" si="33"/>
        <v>-12.420961135978361</v>
      </c>
    </row>
    <row r="358" spans="5:7" x14ac:dyDescent="0.25">
      <c r="E358" s="11">
        <f t="shared" si="31"/>
        <v>-29</v>
      </c>
      <c r="F358" s="11">
        <f t="shared" si="32"/>
        <v>-11.972133625450232</v>
      </c>
      <c r="G358" s="11">
        <f t="shared" si="33"/>
        <v>-11.927443495325953</v>
      </c>
    </row>
    <row r="359" spans="5:7" x14ac:dyDescent="0.25">
      <c r="E359" s="11">
        <f t="shared" si="31"/>
        <v>-28</v>
      </c>
      <c r="F359" s="11">
        <f t="shared" si="32"/>
        <v>-11.484056995581106</v>
      </c>
      <c r="G359" s="11">
        <f t="shared" si="33"/>
        <v>-11.435584712339773</v>
      </c>
    </row>
    <row r="360" spans="5:7" x14ac:dyDescent="0.25">
      <c r="E360" s="11">
        <f t="shared" si="31"/>
        <v>-27</v>
      </c>
      <c r="F360" s="11">
        <f t="shared" si="32"/>
        <v>-10.997426003362763</v>
      </c>
      <c r="G360" s="11">
        <f t="shared" si="33"/>
        <v>-10.945794384310165</v>
      </c>
    </row>
    <row r="361" spans="5:7" x14ac:dyDescent="0.25">
      <c r="E361" s="11">
        <f t="shared" si="31"/>
        <v>-26</v>
      </c>
      <c r="F361" s="11">
        <f t="shared" si="32"/>
        <v>-10.512656558200977</v>
      </c>
      <c r="G361" s="11">
        <f t="shared" si="33"/>
        <v>-10.458482108527468</v>
      </c>
    </row>
    <row r="362" spans="5:7" x14ac:dyDescent="0.25">
      <c r="E362" s="11">
        <f t="shared" si="31"/>
        <v>-25</v>
      </c>
      <c r="F362" s="11">
        <f t="shared" si="32"/>
        <v>-10.030174071001129</v>
      </c>
      <c r="G362" s="11">
        <f t="shared" si="33"/>
        <v>-9.9740574822820207</v>
      </c>
    </row>
    <row r="363" spans="5:7" x14ac:dyDescent="0.25">
      <c r="E363" s="11">
        <f t="shared" si="31"/>
        <v>-24</v>
      </c>
      <c r="F363" s="11">
        <f t="shared" si="32"/>
        <v>-9.5504123873889668</v>
      </c>
      <c r="G363" s="11">
        <f t="shared" si="33"/>
        <v>-9.4929301028641682</v>
      </c>
    </row>
    <row r="364" spans="5:7" x14ac:dyDescent="0.25">
      <c r="E364" s="11">
        <f t="shared" si="31"/>
        <v>-23</v>
      </c>
      <c r="F364" s="11">
        <f t="shared" si="32"/>
        <v>-9.0738126674786912</v>
      </c>
      <c r="G364" s="11">
        <f t="shared" si="33"/>
        <v>-9.0155095675642478</v>
      </c>
    </row>
    <row r="365" spans="5:7" x14ac:dyDescent="0.25">
      <c r="E365" s="11">
        <f t="shared" si="31"/>
        <v>-22</v>
      </c>
      <c r="F365" s="11">
        <f t="shared" si="32"/>
        <v>-8.6008222131528154</v>
      </c>
      <c r="G365" s="11">
        <f t="shared" si="33"/>
        <v>-8.5422054736726025</v>
      </c>
    </row>
    <row r="366" spans="5:7" x14ac:dyDescent="0.25">
      <c r="E366" s="11">
        <f t="shared" si="31"/>
        <v>-21</v>
      </c>
      <c r="F366" s="11">
        <f t="shared" si="32"/>
        <v>-8.131893243894611</v>
      </c>
      <c r="G366" s="11">
        <f t="shared" si="33"/>
        <v>-8.0734274184795751</v>
      </c>
    </row>
    <row r="367" spans="5:7" x14ac:dyDescent="0.25">
      <c r="E367" s="11">
        <f t="shared" si="31"/>
        <v>-20</v>
      </c>
      <c r="F367" s="11">
        <f t="shared" si="32"/>
        <v>-7.6674816222902589</v>
      </c>
      <c r="G367" s="11">
        <f t="shared" si="33"/>
        <v>-7.6095849992754996</v>
      </c>
    </row>
    <row r="368" spans="5:7" x14ac:dyDescent="0.25">
      <c r="E368" s="11">
        <f t="shared" si="31"/>
        <v>-19</v>
      </c>
      <c r="F368" s="11">
        <f t="shared" si="32"/>
        <v>-7.2080455303943696</v>
      </c>
      <c r="G368" s="11">
        <f t="shared" si="33"/>
        <v>-7.1510878133507241</v>
      </c>
    </row>
    <row r="369" spans="5:7" x14ac:dyDescent="0.25">
      <c r="E369" s="11">
        <f t="shared" si="31"/>
        <v>-18</v>
      </c>
      <c r="F369" s="11">
        <f t="shared" si="32"/>
        <v>-6.7540440982287864</v>
      </c>
      <c r="G369" s="11">
        <f t="shared" si="33"/>
        <v>-6.6983454579955888</v>
      </c>
    </row>
    <row r="370" spans="5:7" x14ac:dyDescent="0.25">
      <c r="E370" s="11">
        <f t="shared" si="31"/>
        <v>-17</v>
      </c>
      <c r="F370" s="11">
        <f t="shared" si="32"/>
        <v>-6.3059359857610904</v>
      </c>
      <c r="G370" s="11">
        <f t="shared" si="33"/>
        <v>-6.2517675305004303</v>
      </c>
    </row>
    <row r="371" spans="5:7" x14ac:dyDescent="0.25">
      <c r="E371" s="11">
        <f t="shared" si="31"/>
        <v>-16</v>
      </c>
      <c r="F371" s="11">
        <f t="shared" si="32"/>
        <v>-5.8641779197855168</v>
      </c>
      <c r="G371" s="11">
        <f t="shared" si="33"/>
        <v>-5.8117636281555942</v>
      </c>
    </row>
    <row r="372" spans="5:7" x14ac:dyDescent="0.25">
      <c r="E372" s="11">
        <f t="shared" si="31"/>
        <v>-15</v>
      </c>
      <c r="F372" s="11">
        <f t="shared" si="32"/>
        <v>-5.4292231872055075</v>
      </c>
      <c r="G372" s="11">
        <f t="shared" si="33"/>
        <v>-5.3787433482514189</v>
      </c>
    </row>
    <row r="373" spans="5:7" x14ac:dyDescent="0.25">
      <c r="E373" s="11">
        <f t="shared" si="31"/>
        <v>-14</v>
      </c>
      <c r="F373" s="11">
        <f t="shared" si="32"/>
        <v>-5.0015200862933789</v>
      </c>
      <c r="G373" s="11">
        <f t="shared" si="33"/>
        <v>-4.9531162880782444</v>
      </c>
    </row>
    <row r="374" spans="5:7" x14ac:dyDescent="0.25">
      <c r="E374" s="11">
        <f t="shared" si="31"/>
        <v>-13</v>
      </c>
      <c r="F374" s="11">
        <f t="shared" si="32"/>
        <v>-4.5815103375791049</v>
      </c>
      <c r="G374" s="11">
        <f t="shared" si="33"/>
        <v>-4.5352920449264147</v>
      </c>
    </row>
    <row r="375" spans="5:7" x14ac:dyDescent="0.25">
      <c r="E375" s="11">
        <f t="shared" si="31"/>
        <v>-12</v>
      </c>
      <c r="F375" s="11">
        <f t="shared" si="32"/>
        <v>-4.1696274560965172</v>
      </c>
      <c r="G375" s="11">
        <f t="shared" si="33"/>
        <v>-4.1256802160862698</v>
      </c>
    </row>
    <row r="376" spans="5:7" x14ac:dyDescent="0.25">
      <c r="E376" s="11">
        <f t="shared" si="31"/>
        <v>-11</v>
      </c>
      <c r="F376" s="11">
        <f t="shared" si="32"/>
        <v>-3.7662950867916694</v>
      </c>
      <c r="G376" s="11">
        <f t="shared" si="33"/>
        <v>-3.7246903988481477</v>
      </c>
    </row>
    <row r="377" spans="5:7" x14ac:dyDescent="0.25">
      <c r="E377" s="11">
        <f t="shared" si="31"/>
        <v>-10</v>
      </c>
      <c r="F377" s="11">
        <f t="shared" si="32"/>
        <v>-3.3719253049744937</v>
      </c>
      <c r="G377" s="11">
        <f t="shared" si="33"/>
        <v>-3.3327321905023934</v>
      </c>
    </row>
    <row r="378" spans="5:7" x14ac:dyDescent="0.25">
      <c r="E378" s="11">
        <f t="shared" si="31"/>
        <v>-9</v>
      </c>
      <c r="F378" s="11">
        <f t="shared" si="32"/>
        <v>-2.9869168837712401</v>
      </c>
      <c r="G378" s="11">
        <f t="shared" si="33"/>
        <v>-2.9502151883393473</v>
      </c>
    </row>
    <row r="379" spans="5:7" x14ac:dyDescent="0.25">
      <c r="E379" s="11">
        <f t="shared" si="31"/>
        <v>-8</v>
      </c>
      <c r="F379" s="11">
        <f t="shared" si="32"/>
        <v>-2.611653530611648</v>
      </c>
      <c r="G379" s="11">
        <f t="shared" si="33"/>
        <v>-2.5775489896493475</v>
      </c>
    </row>
    <row r="380" spans="5:7" x14ac:dyDescent="0.25">
      <c r="E380" s="11">
        <f t="shared" si="31"/>
        <v>-7</v>
      </c>
      <c r="F380" s="11">
        <f t="shared" si="32"/>
        <v>-2.2465020948611252</v>
      </c>
      <c r="G380" s="11">
        <f t="shared" si="33"/>
        <v>-2.2151431917227367</v>
      </c>
    </row>
    <row r="381" spans="5:7" x14ac:dyDescent="0.25">
      <c r="E381" s="11">
        <f t="shared" si="31"/>
        <v>-6</v>
      </c>
      <c r="F381" s="11">
        <f t="shared" si="32"/>
        <v>-1.8918107487846401</v>
      </c>
      <c r="G381" s="11">
        <f t="shared" si="33"/>
        <v>-1.8634073918498566</v>
      </c>
    </row>
    <row r="382" spans="5:7" x14ac:dyDescent="0.25">
      <c r="E382" s="11">
        <f t="shared" si="31"/>
        <v>-5</v>
      </c>
      <c r="F382" s="11">
        <f t="shared" si="32"/>
        <v>-1.5479071441054222</v>
      </c>
      <c r="G382" s="11">
        <f t="shared" si="33"/>
        <v>-1.522751187321048</v>
      </c>
    </row>
    <row r="383" spans="5:7" x14ac:dyDescent="0.25">
      <c r="E383" s="11">
        <f t="shared" si="31"/>
        <v>-4</v>
      </c>
      <c r="F383" s="11">
        <f t="shared" si="32"/>
        <v>-1.2150965464979557</v>
      </c>
      <c r="G383" s="11">
        <f t="shared" si="33"/>
        <v>-1.1935841754266514</v>
      </c>
    </row>
    <row r="384" spans="5:7" x14ac:dyDescent="0.25">
      <c r="E384" s="11">
        <f t="shared" si="31"/>
        <v>-3</v>
      </c>
      <c r="F384" s="11">
        <f t="shared" si="32"/>
        <v>-0.89365995043113422</v>
      </c>
      <c r="G384" s="11">
        <f t="shared" si="33"/>
        <v>-0.87631595345700664</v>
      </c>
    </row>
    <row r="385" spans="5:7" x14ac:dyDescent="0.25">
      <c r="E385" s="11">
        <f t="shared" si="31"/>
        <v>-2</v>
      </c>
      <c r="F385" s="11">
        <f t="shared" si="32"/>
        <v>-0.58385217685386093</v>
      </c>
      <c r="G385" s="11">
        <f t="shared" si="33"/>
        <v>-0.57135611870245562</v>
      </c>
    </row>
    <row r="386" spans="5:7" x14ac:dyDescent="0.25">
      <c r="E386" s="11">
        <f t="shared" si="31"/>
        <v>-1</v>
      </c>
      <c r="F386" s="11">
        <f t="shared" si="32"/>
        <v>-0.2858999562917518</v>
      </c>
      <c r="G386" s="11">
        <f t="shared" si="33"/>
        <v>-0.27911426845333942</v>
      </c>
    </row>
    <row r="387" spans="5:7" x14ac:dyDescent="0.25">
      <c r="E387" s="11">
        <f t="shared" si="31"/>
        <v>0</v>
      </c>
      <c r="F387" s="11">
        <f t="shared" si="32"/>
        <v>0</v>
      </c>
      <c r="G387" s="11">
        <f t="shared" si="33"/>
        <v>0</v>
      </c>
    </row>
    <row r="388" spans="5:7" x14ac:dyDescent="0.25">
      <c r="E388" s="11">
        <f t="shared" si="31"/>
        <v>1</v>
      </c>
      <c r="F388" s="11">
        <f t="shared" si="32"/>
        <v>0.27368293810614353</v>
      </c>
      <c r="G388" s="11">
        <f t="shared" si="33"/>
        <v>0.26570981833983276</v>
      </c>
    </row>
    <row r="389" spans="5:7" x14ac:dyDescent="0.25">
      <c r="E389" s="11">
        <f t="shared" si="31"/>
        <v>2</v>
      </c>
      <c r="F389" s="11">
        <f t="shared" si="32"/>
        <v>0.53501800594543036</v>
      </c>
      <c r="G389" s="11">
        <f t="shared" si="33"/>
        <v>0.51826923413886661</v>
      </c>
    </row>
    <row r="390" spans="5:7" x14ac:dyDescent="0.25">
      <c r="E390" s="11">
        <f t="shared" si="31"/>
        <v>3</v>
      </c>
      <c r="F390" s="11">
        <f t="shared" si="32"/>
        <v>0.78391020131497613</v>
      </c>
      <c r="G390" s="11">
        <f t="shared" si="33"/>
        <v>0.75806502394241926</v>
      </c>
    </row>
    <row r="391" spans="5:7" x14ac:dyDescent="0.25">
      <c r="E391" s="11">
        <f t="shared" si="31"/>
        <v>4</v>
      </c>
      <c r="F391" s="11">
        <f t="shared" si="32"/>
        <v>1.0203023205342925</v>
      </c>
      <c r="G391" s="11">
        <f t="shared" si="33"/>
        <v>0.98548396429580787</v>
      </c>
    </row>
    <row r="392" spans="5:7" x14ac:dyDescent="0.25">
      <c r="E392" s="11">
        <f t="shared" si="31"/>
        <v>5</v>
      </c>
      <c r="F392" s="11">
        <f t="shared" si="32"/>
        <v>1.2441769046619631</v>
      </c>
      <c r="G392" s="11">
        <f t="shared" si="33"/>
        <v>1.20091283174435</v>
      </c>
    </row>
    <row r="393" spans="5:7" x14ac:dyDescent="0.25">
      <c r="E393" s="11">
        <f t="shared" si="31"/>
        <v>6</v>
      </c>
      <c r="F393" s="11">
        <f t="shared" si="32"/>
        <v>1.4555581801815443</v>
      </c>
      <c r="G393" s="11">
        <f t="shared" si="33"/>
        <v>1.4047384028333638</v>
      </c>
    </row>
    <row r="394" spans="5:7" x14ac:dyDescent="0.25">
      <c r="E394" s="11">
        <f t="shared" si="31"/>
        <v>7</v>
      </c>
      <c r="F394" s="11">
        <f t="shared" si="32"/>
        <v>1.6545139909768791</v>
      </c>
      <c r="G394" s="11">
        <f t="shared" si="33"/>
        <v>1.5973474541081665</v>
      </c>
    </row>
    <row r="395" spans="5:7" x14ac:dyDescent="0.25">
      <c r="E395" s="11">
        <f t="shared" si="31"/>
        <v>8</v>
      </c>
      <c r="F395" s="11">
        <f t="shared" si="32"/>
        <v>1.8411577183406187</v>
      </c>
      <c r="G395" s="11">
        <f t="shared" si="33"/>
        <v>1.7791267621140758</v>
      </c>
    </row>
    <row r="396" spans="5:7" x14ac:dyDescent="0.25">
      <c r="E396" s="11">
        <f t="shared" si="31"/>
        <v>9</v>
      </c>
      <c r="F396" s="11">
        <f t="shared" si="32"/>
        <v>2.0156501856833531</v>
      </c>
      <c r="G396" s="11">
        <f t="shared" si="33"/>
        <v>1.9504631033964095</v>
      </c>
    </row>
    <row r="397" spans="5:7" x14ac:dyDescent="0.25">
      <c r="E397" s="11">
        <f t="shared" si="31"/>
        <v>10</v>
      </c>
      <c r="F397" s="11">
        <f t="shared" si="32"/>
        <v>2.1782015445343523</v>
      </c>
      <c r="G397" s="11">
        <f t="shared" si="33"/>
        <v>2.1117432545004848</v>
      </c>
    </row>
    <row r="398" spans="5:7" x14ac:dyDescent="0.25">
      <c r="E398" s="11">
        <f t="shared" si="31"/>
        <v>11</v>
      </c>
      <c r="F398" s="11">
        <f t="shared" si="32"/>
        <v>2.3290731383485452</v>
      </c>
      <c r="G398" s="11">
        <f t="shared" si="33"/>
        <v>2.2633539919716199</v>
      </c>
    </row>
    <row r="399" spans="5:7" x14ac:dyDescent="0.25">
      <c r="E399" s="11">
        <f t="shared" si="31"/>
        <v>12</v>
      </c>
      <c r="F399" s="11">
        <f t="shared" si="32"/>
        <v>2.4685793405579401</v>
      </c>
      <c r="G399" s="11">
        <f t="shared" si="33"/>
        <v>2.4056820923551321</v>
      </c>
    </row>
    <row r="400" spans="5:7" x14ac:dyDescent="0.25">
      <c r="E400" s="11">
        <f t="shared" si="31"/>
        <v>13</v>
      </c>
      <c r="F400" s="11">
        <f t="shared" si="32"/>
        <v>2.5970893632293257</v>
      </c>
      <c r="G400" s="11">
        <f t="shared" si="33"/>
        <v>2.5391143321963385</v>
      </c>
    </row>
    <row r="401" spans="5:7" x14ac:dyDescent="0.25">
      <c r="E401" s="11">
        <f t="shared" si="31"/>
        <v>14</v>
      </c>
      <c r="F401" s="11">
        <f t="shared" si="32"/>
        <v>2.7150290326136846</v>
      </c>
      <c r="G401" s="11">
        <f t="shared" si="33"/>
        <v>2.6640374880405577</v>
      </c>
    </row>
    <row r="402" spans="5:7" x14ac:dyDescent="0.25">
      <c r="E402" s="11">
        <f t="shared" si="31"/>
        <v>15</v>
      </c>
      <c r="F402" s="11">
        <f t="shared" si="32"/>
        <v>2.8228825277963514</v>
      </c>
      <c r="G402" s="11">
        <f t="shared" si="33"/>
        <v>2.7808383364331064</v>
      </c>
    </row>
    <row r="403" spans="5:7" x14ac:dyDescent="0.25">
      <c r="E403" s="11">
        <f t="shared" si="31"/>
        <v>16</v>
      </c>
      <c r="F403" s="11">
        <f t="shared" si="32"/>
        <v>2.9211940785805814</v>
      </c>
      <c r="G403" s="11">
        <f t="shared" si="33"/>
        <v>2.8899036539193035</v>
      </c>
    </row>
    <row r="404" spans="5:7" x14ac:dyDescent="0.25">
      <c r="E404" s="11">
        <f t="shared" si="31"/>
        <v>17</v>
      </c>
      <c r="F404" s="11">
        <f t="shared" si="32"/>
        <v>3.0105696186607487</v>
      </c>
      <c r="G404" s="11">
        <f t="shared" si="33"/>
        <v>2.9916202170444652</v>
      </c>
    </row>
    <row r="405" spans="5:7" x14ac:dyDescent="0.25">
      <c r="E405" s="11">
        <f t="shared" si="31"/>
        <v>18</v>
      </c>
      <c r="F405" s="11">
        <f t="shared" si="32"/>
        <v>3.0916783900650771</v>
      </c>
      <c r="G405" s="11">
        <f t="shared" si="33"/>
        <v>3.0863748023539097</v>
      </c>
    </row>
    <row r="406" spans="5:7" x14ac:dyDescent="0.25">
      <c r="E406" s="11">
        <f t="shared" si="31"/>
        <v>19</v>
      </c>
      <c r="F406" s="11">
        <f t="shared" si="32"/>
        <v>3.1652544947713355</v>
      </c>
      <c r="G406" s="11">
        <f t="shared" si="33"/>
        <v>3.1745541863929549</v>
      </c>
    </row>
    <row r="407" spans="5:7" x14ac:dyDescent="0.25">
      <c r="E407" s="11">
        <f t="shared" si="31"/>
        <v>20</v>
      </c>
      <c r="F407" s="11">
        <f t="shared" si="32"/>
        <v>3.2320983893225859</v>
      </c>
      <c r="G407" s="11">
        <f t="shared" si="33"/>
        <v>3.2565451457069181</v>
      </c>
    </row>
    <row r="408" spans="5:7" x14ac:dyDescent="0.25">
      <c r="E408" s="11">
        <f t="shared" si="31"/>
        <v>21</v>
      </c>
      <c r="F408" s="11">
        <f t="shared" si="32"/>
        <v>3.2930783181936674</v>
      </c>
      <c r="G408" s="11">
        <f t="shared" si="33"/>
        <v>3.3327344568411172</v>
      </c>
    </row>
    <row r="409" spans="5:7" x14ac:dyDescent="0.25">
      <c r="E409" s="11">
        <f t="shared" si="31"/>
        <v>22</v>
      </c>
      <c r="F409" s="11">
        <f t="shared" si="32"/>
        <v>3.3491316815826839</v>
      </c>
      <c r="G409" s="11">
        <f t="shared" si="33"/>
        <v>3.4035088963408691</v>
      </c>
    </row>
    <row r="410" spans="5:7" x14ac:dyDescent="0.25">
      <c r="E410" s="11">
        <f t="shared" si="31"/>
        <v>23</v>
      </c>
      <c r="F410" s="11">
        <f t="shared" si="32"/>
        <v>3.4012663332254136</v>
      </c>
      <c r="G410" s="11">
        <f t="shared" si="33"/>
        <v>3.4692552407514921</v>
      </c>
    </row>
    <row r="411" spans="5:7" x14ac:dyDescent="0.25">
      <c r="E411" s="11">
        <f t="shared" si="31"/>
        <v>24</v>
      </c>
      <c r="F411" s="11">
        <f t="shared" si="32"/>
        <v>3.4505618037541197</v>
      </c>
      <c r="G411" s="11">
        <f t="shared" si="33"/>
        <v>3.5303602666183043</v>
      </c>
    </row>
    <row r="412" spans="5:7" x14ac:dyDescent="0.25">
      <c r="E412" s="11">
        <f t="shared" si="31"/>
        <v>25</v>
      </c>
      <c r="F412" s="11">
        <f t="shared" si="32"/>
        <v>3.4981704450458739</v>
      </c>
      <c r="G412" s="11">
        <f t="shared" si="33"/>
        <v>3.5872107504866215</v>
      </c>
    </row>
    <row r="413" spans="5:7" x14ac:dyDescent="0.25">
      <c r="E413" s="11">
        <f t="shared" si="31"/>
        <v>26</v>
      </c>
      <c r="F413" s="11">
        <f t="shared" si="32"/>
        <v>3.5453184909291164</v>
      </c>
      <c r="G413" s="11">
        <f t="shared" si="33"/>
        <v>3.6401934689017637</v>
      </c>
    </row>
    <row r="414" spans="5:7" x14ac:dyDescent="0.25">
      <c r="E414" s="11">
        <f t="shared" si="31"/>
        <v>27</v>
      </c>
      <c r="F414" s="11">
        <f t="shared" si="32"/>
        <v>3.5933070295407412</v>
      </c>
      <c r="G414" s="11">
        <f t="shared" si="33"/>
        <v>3.689695198409046</v>
      </c>
    </row>
    <row r="415" spans="5:7" x14ac:dyDescent="0.25">
      <c r="E415" s="11">
        <f t="shared" ref="E415:E422" si="34">E208</f>
        <v>28</v>
      </c>
      <c r="F415" s="11">
        <f t="shared" ref="F415:F422" si="35">$H$217*0+E415*$I$217+E415^2*$J$217+E415^3*$K$217+E415^4*$L$217+E415^5*$M$217+E415^6*$N$217+E415^7*$O$217+E415^8*$P$217</f>
        <v>3.6435128825496856</v>
      </c>
      <c r="G415" s="11">
        <f t="shared" ref="G415:G422" si="36">F208</f>
        <v>3.7361027155537885</v>
      </c>
    </row>
    <row r="416" spans="5:7" x14ac:dyDescent="0.25">
      <c r="E416" s="11">
        <f t="shared" si="34"/>
        <v>29</v>
      </c>
      <c r="F416" s="11">
        <f t="shared" si="35"/>
        <v>3.69738938638648</v>
      </c>
      <c r="G416" s="11">
        <f t="shared" si="36"/>
        <v>3.7798027968813068</v>
      </c>
    </row>
    <row r="417" spans="5:7" x14ac:dyDescent="0.25">
      <c r="E417" s="11">
        <f t="shared" si="34"/>
        <v>30</v>
      </c>
      <c r="F417" s="11">
        <f t="shared" si="35"/>
        <v>3.7564670705419796</v>
      </c>
      <c r="G417" s="11">
        <f t="shared" si="36"/>
        <v>3.82118221893692</v>
      </c>
    </row>
    <row r="418" spans="5:7" x14ac:dyDescent="0.25">
      <c r="E418" s="11">
        <f t="shared" si="34"/>
        <v>31</v>
      </c>
      <c r="F418" s="11">
        <f t="shared" si="35"/>
        <v>3.8223542279219593</v>
      </c>
      <c r="G418" s="11">
        <f t="shared" si="36"/>
        <v>3.8606277582659447</v>
      </c>
    </row>
    <row r="419" spans="5:7" x14ac:dyDescent="0.25">
      <c r="E419" s="11">
        <f t="shared" si="34"/>
        <v>32</v>
      </c>
      <c r="F419" s="11">
        <f t="shared" si="35"/>
        <v>3.896737372167951</v>
      </c>
      <c r="G419" s="11">
        <f t="shared" si="36"/>
        <v>3.8985261914136995</v>
      </c>
    </row>
    <row r="420" spans="5:7" x14ac:dyDescent="0.25">
      <c r="E420" s="11">
        <f t="shared" si="34"/>
        <v>33</v>
      </c>
      <c r="F420" s="11">
        <f t="shared" si="35"/>
        <v>3.9813815767782939</v>
      </c>
      <c r="G420" s="11">
        <f t="shared" si="36"/>
        <v>3.935264294925501</v>
      </c>
    </row>
    <row r="421" spans="5:7" x14ac:dyDescent="0.25">
      <c r="E421" s="11">
        <f t="shared" si="34"/>
        <v>34</v>
      </c>
      <c r="F421" s="11">
        <f t="shared" si="35"/>
        <v>4.0781306907869226</v>
      </c>
      <c r="G421" s="11">
        <f t="shared" si="36"/>
        <v>3.9712288453466673</v>
      </c>
    </row>
    <row r="422" spans="5:7" x14ac:dyDescent="0.25">
      <c r="E422" s="11">
        <f t="shared" si="34"/>
        <v>35</v>
      </c>
      <c r="F422" s="11">
        <f t="shared" si="35"/>
        <v>4.1889074256811112</v>
      </c>
      <c r="G422" s="11">
        <f t="shared" si="36"/>
        <v>4.006806619222516</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2022-01-07T06:48:43Z</dcterms:modified>
</cp:coreProperties>
</file>