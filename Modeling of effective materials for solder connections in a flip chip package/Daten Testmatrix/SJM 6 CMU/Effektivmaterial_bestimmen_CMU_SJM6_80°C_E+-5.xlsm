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<sst xmlns="http://schemas.openxmlformats.org/spreadsheetml/2006/main" count="309" uniqueCount="163">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</sst>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5012840"/>
        <c:axId val="125013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28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232"/>
        <c:crossesAt val="-8.0000000000000019E-3"/>
        <c:crossBetween val="midCat"/>
      </c:valAx>
      <c:valAx>
        <c:axId val="12501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2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5013624"/>
        <c:axId val="1250144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362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408"/>
        <c:crosses val="autoZero"/>
        <c:crossBetween val="midCat"/>
      </c:valAx>
      <c:valAx>
        <c:axId val="12501440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62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5014800"/>
        <c:axId val="1250159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50148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5976"/>
        <c:crosses val="autoZero"/>
        <c:crossBetween val="midCat"/>
        <c:majorUnit val="10000"/>
      </c:valAx>
      <c:valAx>
        <c:axId val="12501597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800"/>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124049120"/>
        <c:axId val="1240487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1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48728"/>
        <c:crosses val="autoZero"/>
        <c:crossBetween val="midCat"/>
        <c:majorUnit val="10000"/>
      </c:valAx>
      <c:valAx>
        <c:axId val="1240487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49120"/>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124049904"/>
        <c:axId val="124048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9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8336"/>
        <c:crosses val="autoZero"/>
        <c:crossBetween val="midCat"/>
        <c:majorUnit val="10000"/>
      </c:valAx>
      <c:valAx>
        <c:axId val="12404833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9904"/>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5.1778177353843069E-5</c:v>
                </c:pt>
                <c:pt idx="1">
                  <c:v>4.5296123749897124E-5</c:v>
                </c:pt>
                <c:pt idx="2">
                  <c:v>4.6323443019237001E-5</c:v>
                </c:pt>
                <c:pt idx="3">
                  <c:v>2.039085393198963E-5</c:v>
                </c:pt>
                <c:pt idx="4">
                  <c:v>2.0117678645092265E-4</c:v>
                </c:pt>
                <c:pt idx="5">
                  <c:v>4.3812561677949411E-5</c:v>
                </c:pt>
                <c:pt idx="6">
                  <c:v>5.1887745613985414E-6</c:v>
                </c:pt>
                <c:pt idx="7">
                  <c:v>2.2495971014771445E-5</c:v>
                </c:pt>
                <c:pt idx="8">
                  <c:v>5.1752109345642535E-5</c:v>
                </c:pt>
                <c:pt idx="9">
                  <c:v>1.0519680682007685E-4</c:v>
                </c:pt>
                <c:pt idx="10">
                  <c:v>1.8004087827243513E-4</c:v>
                </c:pt>
                <c:pt idx="11">
                  <c:v>2.6311260021177251E-4</c:v>
                </c:pt>
                <c:pt idx="12">
                  <c:v>3.2770809048272392E-4</c:v>
                </c:pt>
                <c:pt idx="13">
                  <c:v>3.4444039770090514E-4</c:v>
                </c:pt>
                <c:pt idx="14">
                  <c:v>3.1171012816443906E-4</c:v>
                </c:pt>
                <c:pt idx="15">
                  <c:v>2.4958432225046049E-4</c:v>
                </c:pt>
                <c:pt idx="16">
                  <c:v>1.8137640546992244E-4</c:v>
                </c:pt>
                <c:pt idx="17">
                  <c:v>1.1622306690306049E-4</c:v>
                </c:pt>
                <c:pt idx="18">
                  <c:v>6.851612757936128E-5</c:v>
                </c:pt>
                <c:pt idx="19">
                  <c:v>2.5106286741774794E-5</c:v>
                </c:pt>
                <c:pt idx="20">
                  <c:v>9.1640009268335533E-6</c:v>
                </c:pt>
                <c:pt idx="21">
                  <c:v>1.1653119290182292E-5</c:v>
                </c:pt>
                <c:pt idx="22">
                  <c:v>8.6218571673127158E-6</c:v>
                </c:pt>
                <c:pt idx="23">
                  <c:v>1.4083718211945254E-4</c:v>
                </c:pt>
                <c:pt idx="24">
                  <c:v>8.5190332708262483E-7</c:v>
                </c:pt>
                <c:pt idx="25">
                  <c:v>1.8395176336295695E-4</c:v>
                </c:pt>
                <c:pt idx="26">
                  <c:v>2.1965171382670265E-4</c:v>
                </c:pt>
                <c:pt idx="27">
                  <c:v>2.5577712407989783E-4</c:v>
                </c:pt>
                <c:pt idx="28">
                  <c:v>5.9056677790350861E-5</c:v>
                </c:pt>
                <c:pt idx="29">
                  <c:v>5.3428923619743307E-5</c:v>
                </c:pt>
                <c:pt idx="30">
                  <c:v>7.4175197145380425E-5</c:v>
                </c:pt>
              </c:numCache>
            </c:numRef>
          </c:yVal>
          <c:smooth val="1"/>
        </c:ser>
        <c:dLbls>
          <c:showLegendKey val="0"/>
          <c:showVal val="0"/>
          <c:showCatName val="0"/>
          <c:showSerName val="0"/>
          <c:showPercent val="0"/>
          <c:showBubbleSize val="0"/>
        </c:dLbls>
        <c:axId val="124051472"/>
        <c:axId val="124051864"/>
      </c:scatterChart>
      <c:valAx>
        <c:axId val="124051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864"/>
        <c:crossesAt val="-1.5000000000000005E-3"/>
        <c:crossBetween val="midCat"/>
      </c:valAx>
      <c:valAx>
        <c:axId val="12405186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47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709385504"/>
        <c:axId val="709384720"/>
      </c:scatterChart>
      <c:valAx>
        <c:axId val="709385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4720"/>
        <c:crosses val="autoZero"/>
        <c:crossBetween val="midCat"/>
      </c:valAx>
      <c:valAx>
        <c:axId val="709384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5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4.7922264077788854E-3</c:v>
                </c:pt>
                <c:pt idx="11">
                  <c:v>4.7922306653945925E-3</c:v>
                </c:pt>
                <c:pt idx="12">
                  <c:v>4.7922326672759381E-3</c:v>
                </c:pt>
                <c:pt idx="13">
                  <c:v>4.7921748630969018E-3</c:v>
                </c:pt>
                <c:pt idx="14">
                  <c:v>4.7916655360001866E-3</c:v>
                </c:pt>
                <c:pt idx="15">
                  <c:v>4.7862415469692382E-3</c:v>
                </c:pt>
                <c:pt idx="16">
                  <c:v>4.7029635122641808E-3</c:v>
                </c:pt>
                <c:pt idx="17">
                  <c:v>2.6267689484310215E-3</c:v>
                </c:pt>
                <c:pt idx="18">
                  <c:v>1.5091915509435902E-3</c:v>
                </c:pt>
                <c:pt idx="19">
                  <c:v>8.4487844042730527E-4</c:v>
                </c:pt>
                <c:pt idx="20">
                  <c:v>3.6587211005213258E-3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3.7368993913636979E-5</c:v>
                </c:pt>
                <c:pt idx="1">
                  <c:v>1.232763968279696E-3</c:v>
                </c:pt>
                <c:pt idx="2">
                  <c:v>1.2327278937395358E-3</c:v>
                </c:pt>
                <c:pt idx="3">
                  <c:v>1.2315858465733135E-3</c:v>
                </c:pt>
                <c:pt idx="4">
                  <c:v>1.2312453776692994E-3</c:v>
                </c:pt>
                <c:pt idx="5">
                  <c:v>1.2311744944881525E-3</c:v>
                </c:pt>
                <c:pt idx="6">
                  <c:v>1.2315442184155294E-3</c:v>
                </c:pt>
                <c:pt idx="7">
                  <c:v>1.2357931023819655E-3</c:v>
                </c:pt>
                <c:pt idx="8">
                  <c:v>1.2780170572482554E-3</c:v>
                </c:pt>
                <c:pt idx="9">
                  <c:v>1.6750108651115267E-3</c:v>
                </c:pt>
                <c:pt idx="10">
                  <c:v>3.921121214564385E-3</c:v>
                </c:pt>
                <c:pt idx="11">
                  <c:v>5.3204578617165668E-3</c:v>
                </c:pt>
                <c:pt idx="12">
                  <c:v>7.0453188525160786E-3</c:v>
                </c:pt>
                <c:pt idx="13">
                  <c:v>7.9437390293225392E-3</c:v>
                </c:pt>
                <c:pt idx="14">
                  <c:v>9.6288452500812895E-3</c:v>
                </c:pt>
                <c:pt idx="15">
                  <c:v>1.1032504291402755E-2</c:v>
                </c:pt>
                <c:pt idx="16">
                  <c:v>1.2420008682067748E-2</c:v>
                </c:pt>
                <c:pt idx="17">
                  <c:v>1.0003221921721071E-2</c:v>
                </c:pt>
                <c:pt idx="18">
                  <c:v>4.5350794137944597E-3</c:v>
                </c:pt>
                <c:pt idx="19">
                  <c:v>1.7665346870335413E-2</c:v>
                </c:pt>
                <c:pt idx="20">
                  <c:v>3.0345551145385459E-2</c:v>
                </c:pt>
                <c:pt idx="21">
                  <c:v>2.6650621469683153E-2</c:v>
                </c:pt>
                <c:pt idx="22">
                  <c:v>6.1754500764145811E-3</c:v>
                </c:pt>
                <c:pt idx="23">
                  <c:v>1.8921245637862849E-2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1.8031110512101698E-4</c:v>
                </c:pt>
                <c:pt idx="11">
                  <c:v>2.6271286815480625E-4</c:v>
                </c:pt>
                <c:pt idx="12">
                  <c:v>3.280728401430756E-4</c:v>
                </c:pt>
                <c:pt idx="13">
                  <c:v>3.4401975821231746E-4</c:v>
                </c:pt>
                <c:pt idx="14">
                  <c:v>3.1214309773520515E-4</c:v>
                </c:pt>
                <c:pt idx="15">
                  <c:v>2.4903772291457642E-4</c:v>
                </c:pt>
                <c:pt idx="16">
                  <c:v>1.8220979734742535E-4</c:v>
                </c:pt>
                <c:pt idx="17">
                  <c:v>1.1515201543122871E-4</c:v>
                </c:pt>
                <c:pt idx="18">
                  <c:v>6.9997564451021948E-5</c:v>
                </c:pt>
                <c:pt idx="19">
                  <c:v>2.3065651636510055E-5</c:v>
                </c:pt>
                <c:pt idx="20">
                  <c:v>6.5846898922533535E-6</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5.618641809364654E-3</c:v>
                </c:pt>
                <c:pt idx="11">
                  <c:v>3.6856214281942377E-2</c:v>
                </c:pt>
                <c:pt idx="12">
                  <c:v>4.5297879776528535E-2</c:v>
                </c:pt>
                <c:pt idx="13">
                  <c:v>6.2593761016252067E-2</c:v>
                </c:pt>
                <c:pt idx="14">
                  <c:v>4.3667983627868005E-3</c:v>
                </c:pt>
                <c:pt idx="15">
                  <c:v>2.5720360740454373E-2</c:v>
                </c:pt>
                <c:pt idx="16">
                  <c:v>1.1213229516930632E-2</c:v>
                </c:pt>
                <c:pt idx="17">
                  <c:v>1.1213597759120619E-2</c:v>
                </c:pt>
                <c:pt idx="18">
                  <c:v>1.0376893123513602E-2</c:v>
                </c:pt>
                <c:pt idx="19">
                  <c:v>9.3988491942837999E-3</c:v>
                </c:pt>
                <c:pt idx="20">
                  <c:v>8.1872109796435454E-3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709382368"/>
        <c:axId val="709385112"/>
      </c:scatterChart>
      <c:valAx>
        <c:axId val="709382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112"/>
        <c:crossesAt val="1.0000000000000005E-9"/>
        <c:crossBetween val="midCat"/>
      </c:valAx>
      <c:valAx>
        <c:axId val="709385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3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-27.726011857479499</c:v>
                </c:pt>
                <c:pt idx="1">
                  <c:v>-23.435619610247425</c:v>
                </c:pt>
                <c:pt idx="2">
                  <c:v>-18.727922871408328</c:v>
                </c:pt>
                <c:pt idx="3">
                  <c:v>-11.958512386842379</c:v>
                </c:pt>
                <c:pt idx="4">
                  <c:v>0</c:v>
                </c:pt>
                <c:pt idx="5">
                  <c:v>19.713782742631036</c:v>
                </c:pt>
                <c:pt idx="6">
                  <c:v>23.96952864586272</c:v>
                </c:pt>
              </c:numCache>
            </c:numRef>
          </c:yVal>
          <c:smooth val="0"/>
        </c:ser>
        <c:dLbls>
          <c:showLegendKey val="0"/>
          <c:showVal val="0"/>
          <c:showCatName val="0"/>
          <c:showSerName val="0"/>
          <c:showPercent val="0"/>
          <c:showBubbleSize val="0"/>
        </c:dLbls>
        <c:axId val="709383152"/>
        <c:axId val="671924456"/>
      </c:scatterChart>
      <c:valAx>
        <c:axId val="709383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4456"/>
        <c:crossesAt val="-100"/>
        <c:crossBetween val="midCat"/>
      </c:valAx>
      <c:valAx>
        <c:axId val="671924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315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671922888"/>
        <c:axId val="671924848"/>
      </c:scatterChart>
      <c:valAx>
        <c:axId val="6719228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4848"/>
        <c:crosses val="autoZero"/>
        <c:crossBetween val="midCat"/>
      </c:valAx>
      <c:valAx>
        <c:axId val="67192484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288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-27.726011857479499</c:v>
                </c:pt>
                <c:pt idx="1">
                  <c:v>-27.646177225288262</c:v>
                </c:pt>
                <c:pt idx="2">
                  <c:v>-27.566239684376619</c:v>
                </c:pt>
                <c:pt idx="3">
                  <c:v>-27.486096326024153</c:v>
                </c:pt>
                <c:pt idx="4">
                  <c:v>-27.405644241510451</c:v>
                </c:pt>
                <c:pt idx="5">
                  <c:v>-27.324780522115109</c:v>
                </c:pt>
                <c:pt idx="6">
                  <c:v>-27.243402259117708</c:v>
                </c:pt>
                <c:pt idx="7">
                  <c:v>-27.161406543797838</c:v>
                </c:pt>
                <c:pt idx="8">
                  <c:v>-27.078690467435095</c:v>
                </c:pt>
                <c:pt idx="9">
                  <c:v>-26.995151121309064</c:v>
                </c:pt>
                <c:pt idx="10">
                  <c:v>-26.910685596699331</c:v>
                </c:pt>
                <c:pt idx="11">
                  <c:v>-26.825190984885484</c:v>
                </c:pt>
                <c:pt idx="12">
                  <c:v>-26.738564377147117</c:v>
                </c:pt>
                <c:pt idx="13">
                  <c:v>-26.650702864763812</c:v>
                </c:pt>
                <c:pt idx="14">
                  <c:v>-26.561503539015167</c:v>
                </c:pt>
                <c:pt idx="15">
                  <c:v>-26.470863491180765</c:v>
                </c:pt>
                <c:pt idx="16">
                  <c:v>-26.378679812540192</c:v>
                </c:pt>
                <c:pt idx="17">
                  <c:v>-26.284849594373046</c:v>
                </c:pt>
                <c:pt idx="18">
                  <c:v>-26.189269927958907</c:v>
                </c:pt>
                <c:pt idx="19">
                  <c:v>-26.091837904577368</c:v>
                </c:pt>
                <c:pt idx="20">
                  <c:v>-25.992450615508019</c:v>
                </c:pt>
                <c:pt idx="21">
                  <c:v>-25.891005152030448</c:v>
                </c:pt>
                <c:pt idx="22">
                  <c:v>-25.787398605424244</c:v>
                </c:pt>
                <c:pt idx="23">
                  <c:v>-25.68152806696899</c:v>
                </c:pt>
                <c:pt idx="24">
                  <c:v>-25.573290627944282</c:v>
                </c:pt>
                <c:pt idx="25">
                  <c:v>-25.462583379629706</c:v>
                </c:pt>
                <c:pt idx="26">
                  <c:v>-25.349303413304852</c:v>
                </c:pt>
                <c:pt idx="27">
                  <c:v>-25.233347820249314</c:v>
                </c:pt>
                <c:pt idx="28">
                  <c:v>-25.114613691742669</c:v>
                </c:pt>
                <c:pt idx="29">
                  <c:v>-24.992998119064513</c:v>
                </c:pt>
                <c:pt idx="30">
                  <c:v>-24.868398193494436</c:v>
                </c:pt>
                <c:pt idx="31">
                  <c:v>-24.740711006312019</c:v>
                </c:pt>
                <c:pt idx="32">
                  <c:v>-24.609833648796862</c:v>
                </c:pt>
                <c:pt idx="33">
                  <c:v>-24.475663212228547</c:v>
                </c:pt>
                <c:pt idx="34">
                  <c:v>-24.338096787886663</c:v>
                </c:pt>
                <c:pt idx="35">
                  <c:v>-24.197031467050802</c:v>
                </c:pt>
                <c:pt idx="36">
                  <c:v>-24.052364341000551</c:v>
                </c:pt>
                <c:pt idx="37">
                  <c:v>-23.903992501015502</c:v>
                </c:pt>
                <c:pt idx="38">
                  <c:v>-23.751813038375236</c:v>
                </c:pt>
                <c:pt idx="39">
                  <c:v>-23.59572304435935</c:v>
                </c:pt>
                <c:pt idx="40">
                  <c:v>-23.435619610247425</c:v>
                </c:pt>
                <c:pt idx="41">
                  <c:v>-23.290529781954817</c:v>
                </c:pt>
                <c:pt idx="42">
                  <c:v>-23.141383010081704</c:v>
                </c:pt>
                <c:pt idx="43">
                  <c:v>-22.988238699863988</c:v>
                </c:pt>
                <c:pt idx="44">
                  <c:v>-22.831156256537607</c:v>
                </c:pt>
                <c:pt idx="45">
                  <c:v>-22.670195085338491</c:v>
                </c:pt>
                <c:pt idx="46">
                  <c:v>-22.505414591502564</c:v>
                </c:pt>
                <c:pt idx="47">
                  <c:v>-22.336874180265749</c:v>
                </c:pt>
                <c:pt idx="48">
                  <c:v>-22.164633256863979</c:v>
                </c:pt>
                <c:pt idx="49">
                  <c:v>-21.988751226533175</c:v>
                </c:pt>
                <c:pt idx="50">
                  <c:v>-21.809287494509267</c:v>
                </c:pt>
                <c:pt idx="51">
                  <c:v>-21.626301466028181</c:v>
                </c:pt>
                <c:pt idx="52">
                  <c:v>-21.439852546325845</c:v>
                </c:pt>
                <c:pt idx="53">
                  <c:v>-21.250000140638186</c:v>
                </c:pt>
                <c:pt idx="54">
                  <c:v>-21.056803654201129</c:v>
                </c:pt>
                <c:pt idx="55">
                  <c:v>-20.860322492250599</c:v>
                </c:pt>
                <c:pt idx="56">
                  <c:v>-20.660616060022527</c:v>
                </c:pt>
                <c:pt idx="57">
                  <c:v>-20.457743762752841</c:v>
                </c:pt>
                <c:pt idx="58">
                  <c:v>-20.251765005677459</c:v>
                </c:pt>
                <c:pt idx="59">
                  <c:v>-20.042739194032315</c:v>
                </c:pt>
                <c:pt idx="60">
                  <c:v>-19.830725733053338</c:v>
                </c:pt>
                <c:pt idx="61">
                  <c:v>-19.615784027976449</c:v>
                </c:pt>
                <c:pt idx="62">
                  <c:v>-19.397973484037575</c:v>
                </c:pt>
                <c:pt idx="63">
                  <c:v>-19.177353506472645</c:v>
                </c:pt>
                <c:pt idx="64">
                  <c:v>-18.953983500517591</c:v>
                </c:pt>
                <c:pt idx="65">
                  <c:v>-18.727922871408328</c:v>
                </c:pt>
                <c:pt idx="66">
                  <c:v>-18.499204323417796</c:v>
                </c:pt>
                <c:pt idx="67">
                  <c:v>-18.26775375696694</c:v>
                </c:pt>
                <c:pt idx="68">
                  <c:v>-18.033470371513715</c:v>
                </c:pt>
                <c:pt idx="69">
                  <c:v>-17.79625336651608</c:v>
                </c:pt>
                <c:pt idx="70">
                  <c:v>-17.55600194143198</c:v>
                </c:pt>
                <c:pt idx="71">
                  <c:v>-17.312615295719379</c:v>
                </c:pt>
                <c:pt idx="72">
                  <c:v>-17.06599262883622</c:v>
                </c:pt>
                <c:pt idx="73">
                  <c:v>-16.816033140240467</c:v>
                </c:pt>
                <c:pt idx="74">
                  <c:v>-16.562636029390067</c:v>
                </c:pt>
                <c:pt idx="75">
                  <c:v>-16.305700495742975</c:v>
                </c:pt>
                <c:pt idx="76">
                  <c:v>-16.04512573875715</c:v>
                </c:pt>
                <c:pt idx="77">
                  <c:v>-15.780810957890537</c:v>
                </c:pt>
                <c:pt idx="78">
                  <c:v>-15.512655352601101</c:v>
                </c:pt>
                <c:pt idx="79">
                  <c:v>-15.240558122346783</c:v>
                </c:pt>
                <c:pt idx="80">
                  <c:v>-14.964418466585546</c:v>
                </c:pt>
                <c:pt idx="81">
                  <c:v>-14.684135584775344</c:v>
                </c:pt>
                <c:pt idx="82">
                  <c:v>-14.399608676374129</c:v>
                </c:pt>
                <c:pt idx="83">
                  <c:v>-14.11073694083985</c:v>
                </c:pt>
                <c:pt idx="84">
                  <c:v>-13.817419577630471</c:v>
                </c:pt>
                <c:pt idx="85">
                  <c:v>-13.519555786203934</c:v>
                </c:pt>
                <c:pt idx="86">
                  <c:v>-13.217044766018205</c:v>
                </c:pt>
                <c:pt idx="87">
                  <c:v>-12.909785716531228</c:v>
                </c:pt>
                <c:pt idx="88">
                  <c:v>-12.597677837200964</c:v>
                </c:pt>
                <c:pt idx="89">
                  <c:v>-12.280620327485364</c:v>
                </c:pt>
                <c:pt idx="90">
                  <c:v>-11.958512386842379</c:v>
                </c:pt>
                <c:pt idx="91">
                  <c:v>-11.631273701652272</c:v>
                </c:pt>
                <c:pt idx="92">
                  <c:v>-11.298905905984519</c:v>
                </c:pt>
                <c:pt idx="93">
                  <c:v>-10.961431120830902</c:v>
                </c:pt>
                <c:pt idx="94">
                  <c:v>-10.618871467183206</c:v>
                </c:pt>
                <c:pt idx="95">
                  <c:v>-10.271249066033212</c:v>
                </c:pt>
                <c:pt idx="96">
                  <c:v>-9.9185860383726983</c:v>
                </c:pt>
                <c:pt idx="97">
                  <c:v>-9.5609045051934558</c:v>
                </c:pt>
                <c:pt idx="98">
                  <c:v>-9.1982265874872589</c:v>
                </c:pt>
                <c:pt idx="99">
                  <c:v>-8.8305744062458942</c:v>
                </c:pt>
                <c:pt idx="100">
                  <c:v>-8.457970082461145</c:v>
                </c:pt>
                <c:pt idx="101">
                  <c:v>-8.080435737124791</c:v>
                </c:pt>
                <c:pt idx="102">
                  <c:v>-7.6979934912286145</c:v>
                </c:pt>
                <c:pt idx="103">
                  <c:v>-7.3106654657643997</c:v>
                </c:pt>
                <c:pt idx="104">
                  <c:v>-6.9184737817239288</c:v>
                </c:pt>
                <c:pt idx="105">
                  <c:v>-6.5214405600989842</c:v>
                </c:pt>
                <c:pt idx="106">
                  <c:v>-6.1195879218813474</c:v>
                </c:pt>
                <c:pt idx="107">
                  <c:v>-5.7129379880628015</c:v>
                </c:pt>
                <c:pt idx="108">
                  <c:v>-5.3015128796351298</c:v>
                </c:pt>
                <c:pt idx="109">
                  <c:v>-4.8853347175901138</c:v>
                </c:pt>
                <c:pt idx="110">
                  <c:v>-4.4644256229195349</c:v>
                </c:pt>
                <c:pt idx="111">
                  <c:v>-4.0388077166151781</c:v>
                </c:pt>
                <c:pt idx="112">
                  <c:v>-3.6085031196688244</c:v>
                </c:pt>
                <c:pt idx="113">
                  <c:v>-3.1735339530722557</c:v>
                </c:pt>
                <c:pt idx="114">
                  <c:v>-2.7339223378172552</c:v>
                </c:pt>
                <c:pt idx="115">
                  <c:v>-2.2896903948956053</c:v>
                </c:pt>
                <c:pt idx="116">
                  <c:v>-1.8408602452990888</c:v>
                </c:pt>
                <c:pt idx="117">
                  <c:v>-1.3874540100194874</c:v>
                </c:pt>
                <c:pt idx="118">
                  <c:v>-0.92949381004858389</c:v>
                </c:pt>
                <c:pt idx="119">
                  <c:v>-0.46700176637816065</c:v>
                </c:pt>
                <c:pt idx="120">
                  <c:v>-1.1102230246251565E-16</c:v>
                </c:pt>
                <c:pt idx="121">
                  <c:v>0.4714278024659655</c:v>
                </c:pt>
                <c:pt idx="122">
                  <c:v>0.9469516918872054</c:v>
                </c:pt>
                <c:pt idx="123">
                  <c:v>1.4261801535030385</c:v>
                </c:pt>
                <c:pt idx="124">
                  <c:v>1.9087216725527845</c:v>
                </c:pt>
                <c:pt idx="125">
                  <c:v>2.3941847342757625</c:v>
                </c:pt>
                <c:pt idx="126">
                  <c:v>2.8821778239112921</c:v>
                </c:pt>
                <c:pt idx="127">
                  <c:v>3.3723094266986924</c:v>
                </c:pt>
                <c:pt idx="128">
                  <c:v>3.8641880278772822</c:v>
                </c:pt>
                <c:pt idx="129">
                  <c:v>4.3574221126863826</c:v>
                </c:pt>
                <c:pt idx="130">
                  <c:v>4.8516201663653105</c:v>
                </c:pt>
                <c:pt idx="131">
                  <c:v>5.3463906741533869</c:v>
                </c:pt>
                <c:pt idx="132">
                  <c:v>5.8413421212899301</c:v>
                </c:pt>
                <c:pt idx="133">
                  <c:v>6.3360829930142613</c:v>
                </c:pt>
                <c:pt idx="134">
                  <c:v>6.8302217745656977</c:v>
                </c:pt>
                <c:pt idx="135">
                  <c:v>7.3233669511835586</c:v>
                </c:pt>
                <c:pt idx="136">
                  <c:v>7.815127008107166</c:v>
                </c:pt>
                <c:pt idx="137">
                  <c:v>8.3051104305758372</c:v>
                </c:pt>
                <c:pt idx="138">
                  <c:v>8.7929257038288888</c:v>
                </c:pt>
                <c:pt idx="139">
                  <c:v>9.2781813131056445</c:v>
                </c:pt>
                <c:pt idx="140">
                  <c:v>9.7604857436454235</c:v>
                </c:pt>
                <c:pt idx="141">
                  <c:v>10.239447480687545</c:v>
                </c:pt>
                <c:pt idx="142">
                  <c:v>10.714675009471325</c:v>
                </c:pt>
                <c:pt idx="143">
                  <c:v>11.185776815236084</c:v>
                </c:pt>
                <c:pt idx="144">
                  <c:v>11.652361383221143</c:v>
                </c:pt>
                <c:pt idx="145">
                  <c:v>12.114037198665823</c:v>
                </c:pt>
                <c:pt idx="146">
                  <c:v>12.570412746809437</c:v>
                </c:pt>
                <c:pt idx="147">
                  <c:v>13.021096512891308</c:v>
                </c:pt>
                <c:pt idx="148">
                  <c:v>13.46569698215076</c:v>
                </c:pt>
                <c:pt idx="149">
                  <c:v>13.903822639827105</c:v>
                </c:pt>
                <c:pt idx="150">
                  <c:v>14.335081971159664</c:v>
                </c:pt>
                <c:pt idx="151">
                  <c:v>14.75908346138776</c:v>
                </c:pt>
                <c:pt idx="152">
                  <c:v>15.175435595750709</c:v>
                </c:pt>
                <c:pt idx="153">
                  <c:v>15.583746859487832</c:v>
                </c:pt>
                <c:pt idx="154">
                  <c:v>15.983625737838448</c:v>
                </c:pt>
                <c:pt idx="155">
                  <c:v>16.374680716041873</c:v>
                </c:pt>
                <c:pt idx="156">
                  <c:v>16.75652027933743</c:v>
                </c:pt>
                <c:pt idx="157">
                  <c:v>17.128752912964437</c:v>
                </c:pt>
                <c:pt idx="158">
                  <c:v>17.490987102162215</c:v>
                </c:pt>
                <c:pt idx="159">
                  <c:v>17.842831332170082</c:v>
                </c:pt>
                <c:pt idx="160">
                  <c:v>18.183894088227358</c:v>
                </c:pt>
                <c:pt idx="161">
                  <c:v>18.513783855573362</c:v>
                </c:pt>
                <c:pt idx="162">
                  <c:v>18.832109119447413</c:v>
                </c:pt>
                <c:pt idx="163">
                  <c:v>19.138478365088826</c:v>
                </c:pt>
                <c:pt idx="164">
                  <c:v>19.432500077736929</c:v>
                </c:pt>
                <c:pt idx="165">
                  <c:v>19.713782742631039</c:v>
                </c:pt>
                <c:pt idx="166">
                  <c:v>19.982062623958743</c:v>
                </c:pt>
                <c:pt idx="167">
                  <c:v>20.237587101700772</c:v>
                </c:pt>
                <c:pt idx="168">
                  <c:v>20.4807313347861</c:v>
                </c:pt>
                <c:pt idx="169">
                  <c:v>20.711870482143727</c:v>
                </c:pt>
                <c:pt idx="170">
                  <c:v>20.931379702702642</c:v>
                </c:pt>
                <c:pt idx="171">
                  <c:v>21.139634155391835</c:v>
                </c:pt>
                <c:pt idx="172">
                  <c:v>21.337008999140298</c:v>
                </c:pt>
                <c:pt idx="173">
                  <c:v>21.523879392877021</c:v>
                </c:pt>
                <c:pt idx="174">
                  <c:v>21.700620495530991</c:v>
                </c:pt>
                <c:pt idx="175">
                  <c:v>21.867607466031203</c:v>
                </c:pt>
                <c:pt idx="176">
                  <c:v>22.025215463306647</c:v>
                </c:pt>
                <c:pt idx="177">
                  <c:v>22.173819646286315</c:v>
                </c:pt>
                <c:pt idx="178">
                  <c:v>22.313795173899194</c:v>
                </c:pt>
                <c:pt idx="179">
                  <c:v>22.445517205074278</c:v>
                </c:pt>
                <c:pt idx="180">
                  <c:v>22.569360898740555</c:v>
                </c:pt>
                <c:pt idx="181">
                  <c:v>22.685701413827019</c:v>
                </c:pt>
                <c:pt idx="182">
                  <c:v>22.794913909262661</c:v>
                </c:pt>
                <c:pt idx="183">
                  <c:v>22.897373543976464</c:v>
                </c:pt>
                <c:pt idx="184">
                  <c:v>22.993455476897431</c:v>
                </c:pt>
                <c:pt idx="185">
                  <c:v>23.083534866954544</c:v>
                </c:pt>
                <c:pt idx="186">
                  <c:v>23.167986873076792</c:v>
                </c:pt>
                <c:pt idx="187">
                  <c:v>23.247186654193172</c:v>
                </c:pt>
                <c:pt idx="188">
                  <c:v>23.321509369232675</c:v>
                </c:pt>
                <c:pt idx="189">
                  <c:v>23.391330177124292</c:v>
                </c:pt>
                <c:pt idx="190">
                  <c:v>23.457024236797004</c:v>
                </c:pt>
                <c:pt idx="191">
                  <c:v>23.518966707179814</c:v>
                </c:pt>
                <c:pt idx="192">
                  <c:v>23.577532747201705</c:v>
                </c:pt>
                <c:pt idx="193">
                  <c:v>23.633097515791668</c:v>
                </c:pt>
                <c:pt idx="194">
                  <c:v>23.686036171878698</c:v>
                </c:pt>
                <c:pt idx="195">
                  <c:v>23.736723874391785</c:v>
                </c:pt>
                <c:pt idx="196">
                  <c:v>23.785535782259917</c:v>
                </c:pt>
                <c:pt idx="197">
                  <c:v>23.832847054412085</c:v>
                </c:pt>
                <c:pt idx="198">
                  <c:v>23.879032849777282</c:v>
                </c:pt>
                <c:pt idx="199">
                  <c:v>23.924468327284497</c:v>
                </c:pt>
                <c:pt idx="200">
                  <c:v>23.96952864586272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-27.726011857479499</c:v>
                </c:pt>
                <c:pt idx="1">
                  <c:v>-23.435619610247425</c:v>
                </c:pt>
                <c:pt idx="2">
                  <c:v>-18.727922871408328</c:v>
                </c:pt>
                <c:pt idx="3">
                  <c:v>-11.958512386842379</c:v>
                </c:pt>
                <c:pt idx="4">
                  <c:v>0</c:v>
                </c:pt>
                <c:pt idx="5">
                  <c:v>19.713782742631036</c:v>
                </c:pt>
                <c:pt idx="6">
                  <c:v>23.96952864586272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-27.812240110939157</c:v>
                </c:pt>
                <c:pt idx="1">
                  <c:v>-27.697061957754087</c:v>
                </c:pt>
                <c:pt idx="2">
                  <c:v>-27.588825446479866</c:v>
                </c:pt>
                <c:pt idx="3">
                  <c:v>-27.486558631176393</c:v>
                </c:pt>
                <c:pt idx="4">
                  <c:v>-27.389357954590668</c:v>
                </c:pt>
                <c:pt idx="5">
                  <c:v>-27.296385035704166</c:v>
                </c:pt>
                <c:pt idx="6">
                  <c:v>-27.206863547924613</c:v>
                </c:pt>
                <c:pt idx="7">
                  <c:v>-27.120076186664804</c:v>
                </c:pt>
                <c:pt idx="8">
                  <c:v>-27.035361725054354</c:v>
                </c:pt>
                <c:pt idx="9">
                  <c:v>-26.952112156534984</c:v>
                </c:pt>
                <c:pt idx="10">
                  <c:v>-26.86976992309441</c:v>
                </c:pt>
                <c:pt idx="11">
                  <c:v>-26.787825227897592</c:v>
                </c:pt>
                <c:pt idx="12">
                  <c:v>-26.705813431078937</c:v>
                </c:pt>
                <c:pt idx="13">
                  <c:v>-26.62331252746284</c:v>
                </c:pt>
                <c:pt idx="14">
                  <c:v>-26.539940704984506</c:v>
                </c:pt>
                <c:pt idx="15">
                  <c:v>-26.455353982587191</c:v>
                </c:pt>
                <c:pt idx="16">
                  <c:v>-26.369243926376075</c:v>
                </c:pt>
                <c:pt idx="17">
                  <c:v>-26.281335442813635</c:v>
                </c:pt>
                <c:pt idx="18">
                  <c:v>-26.191384647745025</c:v>
                </c:pt>
                <c:pt idx="19">
                  <c:v>-26.099176810047009</c:v>
                </c:pt>
                <c:pt idx="20">
                  <c:v>-26.004524368697442</c:v>
                </c:pt>
                <c:pt idx="21">
                  <c:v>-25.9072650220673</c:v>
                </c:pt>
                <c:pt idx="22">
                  <c:v>-25.807259888240786</c:v>
                </c:pt>
                <c:pt idx="23">
                  <c:v>-25.70439173517406</c:v>
                </c:pt>
                <c:pt idx="24">
                  <c:v>-25.598563279506671</c:v>
                </c:pt>
                <c:pt idx="25">
                  <c:v>-25.489695552844562</c:v>
                </c:pt>
                <c:pt idx="26">
                  <c:v>-25.377726334337577</c:v>
                </c:pt>
                <c:pt idx="27">
                  <c:v>-25.262608648378411</c:v>
                </c:pt>
                <c:pt idx="28">
                  <c:v>-25.144309326254859</c:v>
                </c:pt>
                <c:pt idx="29">
                  <c:v>-25.022807630590648</c:v>
                </c:pt>
                <c:pt idx="30">
                  <c:v>-24.898093941415087</c:v>
                </c:pt>
                <c:pt idx="31">
                  <c:v>-24.770168502705666</c:v>
                </c:pt>
                <c:pt idx="32">
                  <c:v>-24.639040228251961</c:v>
                </c:pt>
                <c:pt idx="33">
                  <c:v>-24.504725565693779</c:v>
                </c:pt>
                <c:pt idx="34">
                  <c:v>-24.36724741759032</c:v>
                </c:pt>
                <c:pt idx="35">
                  <c:v>-24.226634118381853</c:v>
                </c:pt>
                <c:pt idx="36">
                  <c:v>-24.082918466108993</c:v>
                </c:pt>
                <c:pt idx="37">
                  <c:v>-23.93613680775983</c:v>
                </c:pt>
                <c:pt idx="38">
                  <c:v>-23.786328177118538</c:v>
                </c:pt>
                <c:pt idx="39">
                  <c:v>-23.633533483993915</c:v>
                </c:pt>
                <c:pt idx="40">
                  <c:v>-23.477794753710302</c:v>
                </c:pt>
                <c:pt idx="41">
                  <c:v>-23.319154415747747</c:v>
                </c:pt>
                <c:pt idx="42">
                  <c:v>-23.157654640422344</c:v>
                </c:pt>
                <c:pt idx="43">
                  <c:v>-22.993336722502129</c:v>
                </c:pt>
                <c:pt idx="44">
                  <c:v>-22.826240510658078</c:v>
                </c:pt>
                <c:pt idx="45">
                  <c:v>-22.656403881653929</c:v>
                </c:pt>
                <c:pt idx="46">
                  <c:v>-22.483862258183031</c:v>
                </c:pt>
                <c:pt idx="47">
                  <c:v>-22.308648169264419</c:v>
                </c:pt>
                <c:pt idx="48">
                  <c:v>-22.130790852114806</c:v>
                </c:pt>
                <c:pt idx="49">
                  <c:v>-21.950315894417223</c:v>
                </c:pt>
                <c:pt idx="50">
                  <c:v>-21.767244915911462</c:v>
                </c:pt>
                <c:pt idx="51">
                  <c:v>-21.581595288235693</c:v>
                </c:pt>
                <c:pt idx="52">
                  <c:v>-21.393379891952797</c:v>
                </c:pt>
                <c:pt idx="53">
                  <c:v>-21.202606909699366</c:v>
                </c:pt>
                <c:pt idx="54">
                  <c:v>-21.009279654399375</c:v>
                </c:pt>
                <c:pt idx="55">
                  <c:v>-20.813396431489036</c:v>
                </c:pt>
                <c:pt idx="56">
                  <c:v>-20.614950434103378</c:v>
                </c:pt>
                <c:pt idx="57">
                  <c:v>-20.413929670179474</c:v>
                </c:pt>
                <c:pt idx="58">
                  <c:v>-20.210316920435492</c:v>
                </c:pt>
                <c:pt idx="59">
                  <c:v>-20.004089726188933</c:v>
                </c:pt>
                <c:pt idx="60">
                  <c:v>-19.795220405981766</c:v>
                </c:pt>
                <c:pt idx="61">
                  <c:v>-19.58367609998426</c:v>
                </c:pt>
                <c:pt idx="62">
                  <c:v>-19.369418841153959</c:v>
                </c:pt>
                <c:pt idx="63">
                  <c:v>-19.152405652129882</c:v>
                </c:pt>
                <c:pt idx="64">
                  <c:v>-18.932588666846961</c:v>
                </c:pt>
                <c:pt idx="65">
                  <c:v>-18.709915275859405</c:v>
                </c:pt>
                <c:pt idx="66">
                  <c:v>-18.48432829436641</c:v>
                </c:pt>
                <c:pt idx="67">
                  <c:v>-18.255766151937539</c:v>
                </c:pt>
                <c:pt idx="68">
                  <c:v>-18.024163102939536</c:v>
                </c:pt>
                <c:pt idx="69">
                  <c:v>-17.789449456670571</c:v>
                </c:pt>
                <c:pt idx="70">
                  <c:v>-17.551551826212066</c:v>
                </c:pt>
                <c:pt idx="71">
                  <c:v>-17.310393395012778</c:v>
                </c:pt>
                <c:pt idx="72">
                  <c:v>-17.065894200223607</c:v>
                </c:pt>
                <c:pt idx="73">
                  <c:v>-16.817971431806431</c:v>
                </c:pt>
                <c:pt idx="74">
                  <c:v>-16.566539746443986</c:v>
                </c:pt>
                <c:pt idx="75">
                  <c:v>-16.311511595282479</c:v>
                </c:pt>
                <c:pt idx="76">
                  <c:v>-16.052797564542598</c:v>
                </c:pt>
                <c:pt idx="77">
                  <c:v>-15.790306728039008</c:v>
                </c:pt>
                <c:pt idx="78">
                  <c:v>-15.523947010652639</c:v>
                </c:pt>
                <c:pt idx="79">
                  <c:v>-15.253625561804215</c:v>
                </c:pt>
                <c:pt idx="80">
                  <c:v>-14.979249137981963</c:v>
                </c:pt>
                <c:pt idx="81">
                  <c:v>-14.700724493380447</c:v>
                </c:pt>
                <c:pt idx="82">
                  <c:v>-14.417958777711913</c:v>
                </c:pt>
                <c:pt idx="83">
                  <c:v>-14.130859940255682</c:v>
                </c:pt>
                <c:pt idx="84">
                  <c:v>-13.83933713921545</c:v>
                </c:pt>
                <c:pt idx="85">
                  <c:v>-13.543301155458554</c:v>
                </c:pt>
                <c:pt idx="86">
                  <c:v>-13.242664809715558</c:v>
                </c:pt>
                <c:pt idx="87">
                  <c:v>-12.937343382322801</c:v>
                </c:pt>
                <c:pt idx="88">
                  <c:v>-12.627255034594679</c:v>
                </c:pt>
                <c:pt idx="89">
                  <c:v>-12.312321230916877</c:v>
                </c:pt>
                <c:pt idx="90">
                  <c:v>-11.992467160655828</c:v>
                </c:pt>
                <c:pt idx="91">
                  <c:v>-11.667622158984113</c:v>
                </c:pt>
                <c:pt idx="92">
                  <c:v>-11.337720125725623</c:v>
                </c:pt>
                <c:pt idx="93">
                  <c:v>-11.002699941328677</c:v>
                </c:pt>
                <c:pt idx="94">
                  <c:v>-10.662505879079456</c:v>
                </c:pt>
                <c:pt idx="95">
                  <c:v>-10.31708801267242</c:v>
                </c:pt>
                <c:pt idx="96">
                  <c:v>-9.9664026182586625</c:v>
                </c:pt>
                <c:pt idx="97">
                  <c:v>-9.6104125700972922</c:v>
                </c:pt>
                <c:pt idx="98">
                  <c:v>-9.2490877289393687</c:v>
                </c:pt>
                <c:pt idx="99">
                  <c:v>-8.8824053222779806</c:v>
                </c:pt>
                <c:pt idx="100">
                  <c:v>-8.5103503156025067</c:v>
                </c:pt>
                <c:pt idx="101">
                  <c:v>-8.132915773799116</c:v>
                </c:pt>
                <c:pt idx="102">
                  <c:v>-7.7501032118441895</c:v>
                </c:pt>
                <c:pt idx="103">
                  <c:v>-7.3619229339411039</c:v>
                </c:pt>
                <c:pt idx="104">
                  <c:v>-6.9683943602555694</c:v>
                </c:pt>
                <c:pt idx="105">
                  <c:v>-6.5695463404086212</c:v>
                </c:pt>
                <c:pt idx="106">
                  <c:v>-6.1654174528908188</c:v>
                </c:pt>
                <c:pt idx="107">
                  <c:v>-5.7560562895653336</c:v>
                </c:pt>
                <c:pt idx="108">
                  <c:v>-5.3415217244319777</c:v>
                </c:pt>
                <c:pt idx="109">
                  <c:v>-4.921883165828393</c:v>
                </c:pt>
                <c:pt idx="110">
                  <c:v>-4.4972207912489166</c:v>
                </c:pt>
                <c:pt idx="111">
                  <c:v>-4.0676257639659159</c:v>
                </c:pt>
                <c:pt idx="112">
                  <c:v>-3.6332004306425842</c:v>
                </c:pt>
                <c:pt idx="113">
                  <c:v>-3.1940584991304988</c:v>
                </c:pt>
                <c:pt idx="114">
                  <c:v>-2.7503251956494812</c:v>
                </c:pt>
                <c:pt idx="115">
                  <c:v>-2.3021374005515467</c:v>
                </c:pt>
                <c:pt idx="116">
                  <c:v>-1.849643761875005</c:v>
                </c:pt>
                <c:pt idx="117">
                  <c:v>-1.3930047858990176</c:v>
                </c:pt>
                <c:pt idx="118">
                  <c:v>-0.93239290391317831</c:v>
                </c:pt>
                <c:pt idx="119">
                  <c:v>-0.46799251442094525</c:v>
                </c:pt>
                <c:pt idx="120">
                  <c:v>0</c:v>
                </c:pt>
                <c:pt idx="121">
                  <c:v>0.4713762819531242</c:v>
                </c:pt>
                <c:pt idx="122">
                  <c:v>0.94591603536255142</c:v>
                </c:pt>
                <c:pt idx="123">
                  <c:v>1.4233870892608584</c:v>
                </c:pt>
                <c:pt idx="124">
                  <c:v>1.9035454899850477</c:v>
                </c:pt>
                <c:pt idx="125">
                  <c:v>2.3861356225363277</c:v>
                </c:pt>
                <c:pt idx="126">
                  <c:v>2.8708903618550852</c:v>
                </c:pt>
                <c:pt idx="127">
                  <c:v>3.3575312547581699</c:v>
                </c:pt>
                <c:pt idx="128">
                  <c:v>3.8457687332813375</c:v>
                </c:pt>
                <c:pt idx="129">
                  <c:v>4.3353023601654925</c:v>
                </c:pt>
                <c:pt idx="130">
                  <c:v>4.8258211072210342</c:v>
                </c:pt>
                <c:pt idx="131">
                  <c:v>5.3170036673004484</c:v>
                </c:pt>
                <c:pt idx="132">
                  <c:v>5.8085188006049364</c:v>
                </c:pt>
                <c:pt idx="133">
                  <c:v>6.3000257160466946</c:v>
                </c:pt>
                <c:pt idx="134">
                  <c:v>6.7911744883841285</c:v>
                </c:pt>
                <c:pt idx="135">
                  <c:v>7.281606511843119</c:v>
                </c:pt>
                <c:pt idx="136">
                  <c:v>7.7709549909330899</c:v>
                </c:pt>
                <c:pt idx="137">
                  <c:v>8.2588454691624751</c:v>
                </c:pt>
                <c:pt idx="138">
                  <c:v>8.7448963963538464</c:v>
                </c:pt>
                <c:pt idx="139">
                  <c:v>9.2287197352547565</c:v>
                </c:pt>
                <c:pt idx="140">
                  <c:v>9.709921608136094</c:v>
                </c:pt>
                <c:pt idx="141">
                  <c:v>10.188102984065408</c:v>
                </c:pt>
                <c:pt idx="142">
                  <c:v>10.662860407538552</c:v>
                </c:pt>
                <c:pt idx="143">
                  <c:v>11.13378676914861</c:v>
                </c:pt>
                <c:pt idx="144">
                  <c:v>11.600472118966845</c:v>
                </c:pt>
                <c:pt idx="145">
                  <c:v>12.062504523306215</c:v>
                </c:pt>
                <c:pt idx="146">
                  <c:v>12.51947096553363</c:v>
                </c:pt>
                <c:pt idx="147">
                  <c:v>12.970958291593005</c:v>
                </c:pt>
                <c:pt idx="148">
                  <c:v>13.41655420089675</c:v>
                </c:pt>
                <c:pt idx="149">
                  <c:v>13.855848283239251</c:v>
                </c:pt>
                <c:pt idx="150">
                  <c:v>14.288433102381486</c:v>
                </c:pt>
                <c:pt idx="151">
                  <c:v>14.713905326951755</c:v>
                </c:pt>
                <c:pt idx="152">
                  <c:v>15.131866909303227</c:v>
                </c:pt>
                <c:pt idx="153">
                  <c:v>15.541926312964742</c:v>
                </c:pt>
                <c:pt idx="154">
                  <c:v>15.943699789317014</c:v>
                </c:pt>
                <c:pt idx="155">
                  <c:v>16.336812704122245</c:v>
                </c:pt>
                <c:pt idx="156">
                  <c:v>16.720900914530706</c:v>
                </c:pt>
                <c:pt idx="157">
                  <c:v>17.095612197183794</c:v>
                </c:pt>
                <c:pt idx="158">
                  <c:v>17.460607728028695</c:v>
                </c:pt>
                <c:pt idx="159">
                  <c:v>17.815563614455499</c:v>
                </c:pt>
                <c:pt idx="160">
                  <c:v>18.160172480363443</c:v>
                </c:pt>
                <c:pt idx="161">
                  <c:v>18.494145104758722</c:v>
                </c:pt>
                <c:pt idx="162">
                  <c:v>18.817212114481951</c:v>
                </c:pt>
                <c:pt idx="163">
                  <c:v>19.129125731659013</c:v>
                </c:pt>
                <c:pt idx="164">
                  <c:v>19.429661576465218</c:v>
                </c:pt>
                <c:pt idx="165">
                  <c:v>19.718620525787777</c:v>
                </c:pt>
                <c:pt idx="166">
                  <c:v>19.995830628368019</c:v>
                </c:pt>
                <c:pt idx="167">
                  <c:v>20.261149076999875</c:v>
                </c:pt>
                <c:pt idx="168">
                  <c:v>20.514464238357473</c:v>
                </c:pt>
                <c:pt idx="169">
                  <c:v>20.755697741020082</c:v>
                </c:pt>
                <c:pt idx="170">
                  <c:v>20.984806622258379</c:v>
                </c:pt>
                <c:pt idx="171">
                  <c:v>21.201785534142022</c:v>
                </c:pt>
                <c:pt idx="172">
                  <c:v>21.406669009523984</c:v>
                </c:pt>
                <c:pt idx="173">
                  <c:v>21.599533788452952</c:v>
                </c:pt>
                <c:pt idx="174">
                  <c:v>21.780501205560864</c:v>
                </c:pt>
                <c:pt idx="175">
                  <c:v>21.949739638968378</c:v>
                </c:pt>
                <c:pt idx="176">
                  <c:v>22.107467021246769</c:v>
                </c:pt>
                <c:pt idx="177">
                  <c:v>22.253953412970535</c:v>
                </c:pt>
                <c:pt idx="178">
                  <c:v>22.389523639390735</c:v>
                </c:pt>
                <c:pt idx="179">
                  <c:v>22.514559990754869</c:v>
                </c:pt>
                <c:pt idx="180">
                  <c:v>22.629504986794675</c:v>
                </c:pt>
                <c:pt idx="181">
                  <c:v>22.734864205899207</c:v>
                </c:pt>
                <c:pt idx="182">
                  <c:v>22.831209179486176</c:v>
                </c:pt>
                <c:pt idx="183">
                  <c:v>22.919180352080147</c:v>
                </c:pt>
                <c:pt idx="184">
                  <c:v>22.999490107602291</c:v>
                </c:pt>
                <c:pt idx="185">
                  <c:v>23.072925862371683</c:v>
                </c:pt>
                <c:pt idx="186">
                  <c:v>23.140353225314296</c:v>
                </c:pt>
                <c:pt idx="187">
                  <c:v>23.202719225871249</c:v>
                </c:pt>
                <c:pt idx="188">
                  <c:v>23.261055610093813</c:v>
                </c:pt>
                <c:pt idx="189">
                  <c:v>23.316482205408445</c:v>
                </c:pt>
                <c:pt idx="190">
                  <c:v>23.370210354530592</c:v>
                </c:pt>
                <c:pt idx="191">
                  <c:v>23.42354641900215</c:v>
                </c:pt>
                <c:pt idx="192">
                  <c:v>23.477895352822834</c:v>
                </c:pt>
                <c:pt idx="193">
                  <c:v>23.53476434664174</c:v>
                </c:pt>
                <c:pt idx="194">
                  <c:v>23.595766542970896</c:v>
                </c:pt>
                <c:pt idx="195">
                  <c:v>23.662624822878549</c:v>
                </c:pt>
                <c:pt idx="196">
                  <c:v>23.737175664615517</c:v>
                </c:pt>
                <c:pt idx="197">
                  <c:v>23.821373074623736</c:v>
                </c:pt>
                <c:pt idx="198">
                  <c:v>23.917292591371957</c:v>
                </c:pt>
                <c:pt idx="199">
                  <c:v>24.027135362459063</c:v>
                </c:pt>
                <c:pt idx="200">
                  <c:v>24.153232295421592</c:v>
                </c:pt>
              </c:numCache>
            </c:numRef>
          </c:yVal>
          <c:smooth val="1"/>
        </c:ser>
        <c:dLbls>
          <c:showLegendKey val="0"/>
          <c:showVal val="0"/>
          <c:showCatName val="0"/>
          <c:showSerName val="0"/>
          <c:showPercent val="0"/>
          <c:showBubbleSize val="0"/>
        </c:dLbls>
        <c:axId val="671923672"/>
        <c:axId val="671926024"/>
      </c:scatterChart>
      <c:valAx>
        <c:axId val="6719236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6024"/>
        <c:crossesAt val="-1000"/>
        <c:crossBetween val="midCat"/>
      </c:valAx>
      <c:valAx>
        <c:axId val="671926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36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0.46972012096974758</v>
      </c>
      <c r="D59" s="55">
        <v>1</v>
      </c>
    </row>
    <row r="60" spans="1:4" s="11" customFormat="1" x14ac:dyDescent="0.25">
      <c r="A60" s="54">
        <v>2</v>
      </c>
      <c r="B60" s="56">
        <f>'Shiftfunktion bestimmen'!N2</f>
        <v>1.6923813646674115E-3</v>
      </c>
      <c r="D60" s="55">
        <v>2</v>
      </c>
    </row>
    <row r="61" spans="1:4" s="11" customFormat="1" x14ac:dyDescent="0.25">
      <c r="A61" s="54">
        <v>3</v>
      </c>
      <c r="B61" s="56">
        <f>'Shiftfunktion bestimmen'!N3</f>
        <v>-3.5723197111082403E-5</v>
      </c>
      <c r="D61" s="55">
        <v>3</v>
      </c>
    </row>
    <row r="62" spans="1:4" s="11" customFormat="1" x14ac:dyDescent="0.25">
      <c r="A62" s="54">
        <v>4</v>
      </c>
      <c r="B62" s="56">
        <f>'Shiftfunktion bestimmen'!N4</f>
        <v>-4.9763697975450752E-7</v>
      </c>
      <c r="D62" s="55">
        <v>4</v>
      </c>
    </row>
    <row r="63" spans="1:4" s="11" customFormat="1" x14ac:dyDescent="0.25">
      <c r="A63" s="54">
        <v>5</v>
      </c>
      <c r="B63" s="56">
        <f>'Shiftfunktion bestimmen'!N5</f>
        <v>4.1424704743700949E-10</v>
      </c>
      <c r="D63" s="55">
        <v>5</v>
      </c>
    </row>
    <row r="64" spans="1:4" s="11" customFormat="1" x14ac:dyDescent="0.25">
      <c r="A64" s="54">
        <v>6</v>
      </c>
      <c r="B64" s="56">
        <f>'Shiftfunktion bestimmen'!N6</f>
        <v>3.8401874772697309E-11</v>
      </c>
      <c r="D64" s="55">
        <v>6</v>
      </c>
    </row>
    <row r="65" spans="1:5" s="11" customFormat="1" x14ac:dyDescent="0.25">
      <c r="A65" s="54">
        <v>7</v>
      </c>
      <c r="B65" s="56">
        <f>'Shiftfunktion bestimmen'!N7</f>
        <v>1.5119438375562377E-13</v>
      </c>
      <c r="D65" s="55">
        <v>7</v>
      </c>
    </row>
    <row r="66" spans="1:5" x14ac:dyDescent="0.25">
      <c r="A66" s="54">
        <v>8</v>
      </c>
      <c r="B66" s="56">
        <f>'Shiftfunktion bestimmen'!N8</f>
        <v>-1.0557909767933002E-16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2.261088063148565E-3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4.2263320671389317E-3</v>
      </c>
      <c r="D78" s="51">
        <v>5</v>
      </c>
      <c r="E78" s="56">
        <f>'Mastercurve bestimmen'!A22</f>
        <v>5.31812225239524E-11</v>
      </c>
    </row>
    <row r="79" spans="1:5" x14ac:dyDescent="0.25">
      <c r="A79" s="50">
        <f t="shared" si="0"/>
        <v>6</v>
      </c>
      <c r="B79" s="56">
        <f>'Mastercurve bestimmen'!C23</f>
        <v>3.0334384971501784E-2</v>
      </c>
      <c r="D79" s="51">
        <v>6</v>
      </c>
      <c r="E79" s="56">
        <f>'Mastercurve bestimmen'!A23</f>
        <v>5.8953789402578301E-10</v>
      </c>
    </row>
    <row r="80" spans="1:5" x14ac:dyDescent="0.25">
      <c r="A80" s="50">
        <f t="shared" si="0"/>
        <v>7</v>
      </c>
      <c r="B80" s="56">
        <f>'Mastercurve bestimmen'!C24</f>
        <v>2.3501586958650868E-2</v>
      </c>
      <c r="D80" s="51">
        <v>7</v>
      </c>
      <c r="E80" s="56">
        <f>'Mastercurve bestimmen'!A24</f>
        <v>6.5352940755699598E-9</v>
      </c>
    </row>
    <row r="81" spans="1:5" x14ac:dyDescent="0.25">
      <c r="A81" s="50">
        <f t="shared" si="0"/>
        <v>8</v>
      </c>
      <c r="B81" s="56">
        <f>'Mastercurve bestimmen'!C25</f>
        <v>3.0161245732589943E-2</v>
      </c>
      <c r="D81" s="51">
        <v>8</v>
      </c>
      <c r="E81" s="56">
        <f>'Mastercurve bestimmen'!A25</f>
        <v>7.2446689325643296E-8</v>
      </c>
    </row>
    <row r="82" spans="1:5" x14ac:dyDescent="0.25">
      <c r="A82" s="50">
        <f t="shared" si="0"/>
        <v>9</v>
      </c>
      <c r="B82" s="56">
        <f>'Mastercurve bestimmen'!C26</f>
        <v>3.6781885068377713E-2</v>
      </c>
      <c r="D82" s="51">
        <f>A82</f>
        <v>9</v>
      </c>
      <c r="E82" s="56">
        <f>'Mastercurve bestimmen'!A26</f>
        <v>8.03104303120212E-7</v>
      </c>
    </row>
    <row r="83" spans="1:5" x14ac:dyDescent="0.25">
      <c r="A83" s="50">
        <f t="shared" si="0"/>
        <v>10</v>
      </c>
      <c r="B83" s="56">
        <f>'Mastercurve bestimmen'!C27</f>
        <v>3.0958488235130539E-2</v>
      </c>
      <c r="C83" s="11"/>
      <c r="D83" s="51">
        <f t="shared" ref="D83:D104" si="1">A83</f>
        <v>10</v>
      </c>
      <c r="E83" s="56">
        <f>'Mastercurve bestimmen'!A27</f>
        <v>8.9027742702096099E-6</v>
      </c>
    </row>
    <row r="84" spans="1:5" x14ac:dyDescent="0.25">
      <c r="A84" s="50">
        <f t="shared" si="0"/>
        <v>11</v>
      </c>
      <c r="B84" s="56">
        <f>'Mastercurve bestimmen'!C28</f>
        <v>5.2155951905646973E-2</v>
      </c>
      <c r="C84" s="11"/>
      <c r="D84" s="51">
        <f t="shared" si="1"/>
        <v>11</v>
      </c>
      <c r="E84" s="56">
        <f>'Mastercurve bestimmen'!A28</f>
        <v>9.86912775817142E-5</v>
      </c>
    </row>
    <row r="85" spans="1:5" x14ac:dyDescent="0.25">
      <c r="A85" s="50">
        <f t="shared" si="0"/>
        <v>12</v>
      </c>
      <c r="B85" s="56">
        <f>'Mastercurve bestimmen'!C29</f>
        <v>4.3160709564069449E-2</v>
      </c>
      <c r="C85" s="11"/>
      <c r="D85" s="51">
        <f t="shared" si="1"/>
        <v>12</v>
      </c>
      <c r="E85" s="56">
        <f>'Mastercurve bestimmen'!A29</f>
        <v>1.0940374286813801E-3</v>
      </c>
    </row>
    <row r="86" spans="1:5" x14ac:dyDescent="0.25">
      <c r="A86" s="50">
        <f t="shared" si="0"/>
        <v>13</v>
      </c>
      <c r="B86" s="56">
        <f>'Mastercurve bestimmen'!C30</f>
        <v>4.9762672836986856E-2</v>
      </c>
      <c r="C86" s="11"/>
      <c r="D86" s="51">
        <f t="shared" si="1"/>
        <v>13</v>
      </c>
      <c r="E86" s="56">
        <f>'Mastercurve bestimmen'!A30</f>
        <v>1.2127899493091E-2</v>
      </c>
    </row>
    <row r="87" spans="1:5" x14ac:dyDescent="0.25">
      <c r="A87" s="50">
        <f t="shared" si="0"/>
        <v>14</v>
      </c>
      <c r="B87" s="56">
        <f>'Mastercurve bestimmen'!C31</f>
        <v>4.7420297810237655E-2</v>
      </c>
      <c r="C87" s="11"/>
      <c r="D87" s="51">
        <f t="shared" si="1"/>
        <v>14</v>
      </c>
      <c r="E87" s="56">
        <f>'Mastercurve bestimmen'!A31</f>
        <v>0.13444324870292301</v>
      </c>
    </row>
    <row r="88" spans="1:5" x14ac:dyDescent="0.25">
      <c r="A88" s="50">
        <f t="shared" si="0"/>
        <v>15</v>
      </c>
      <c r="B88" s="56">
        <f>'Mastercurve bestimmen'!C32</f>
        <v>5.5060707858971492E-2</v>
      </c>
      <c r="C88" s="11"/>
      <c r="D88" s="51">
        <f t="shared" si="1"/>
        <v>15</v>
      </c>
      <c r="E88" s="56">
        <f>'Mastercurve bestimmen'!A32</f>
        <v>1.49036419143257</v>
      </c>
    </row>
    <row r="89" spans="1:5" x14ac:dyDescent="0.25">
      <c r="A89" s="50">
        <f t="shared" si="0"/>
        <v>16</v>
      </c>
      <c r="B89" s="56">
        <f>'Mastercurve bestimmen'!C33</f>
        <v>8.2774016803130748E-2</v>
      </c>
      <c r="C89" s="11"/>
      <c r="D89" s="51">
        <f t="shared" si="1"/>
        <v>16</v>
      </c>
      <c r="E89" s="56">
        <f>'Mastercurve bestimmen'!A33</f>
        <v>16.521360830937301</v>
      </c>
    </row>
    <row r="90" spans="1:5" x14ac:dyDescent="0.25">
      <c r="A90" s="50">
        <f t="shared" si="0"/>
        <v>17</v>
      </c>
      <c r="B90" s="56">
        <f>'Mastercurve bestimmen'!C34</f>
        <v>9.2826583311544017E-2</v>
      </c>
      <c r="C90" s="11"/>
      <c r="D90" s="51">
        <f t="shared" si="1"/>
        <v>17</v>
      </c>
      <c r="E90" s="56">
        <f>'Mastercurve bestimmen'!A34</f>
        <v>183.146753843879</v>
      </c>
    </row>
    <row r="91" spans="1:5" x14ac:dyDescent="0.25">
      <c r="A91" s="50">
        <f t="shared" si="0"/>
        <v>18</v>
      </c>
      <c r="B91" s="56">
        <f>'Mastercurve bestimmen'!C35</f>
        <v>0.10795546608785625</v>
      </c>
      <c r="C91" s="11"/>
      <c r="D91" s="51">
        <f t="shared" si="1"/>
        <v>18</v>
      </c>
      <c r="E91" s="56">
        <f>'Mastercurve bestimmen'!A35</f>
        <v>2030.26456396616</v>
      </c>
    </row>
    <row r="92" spans="1:5" x14ac:dyDescent="0.25">
      <c r="A92" s="50">
        <f t="shared" si="0"/>
        <v>19</v>
      </c>
      <c r="B92" s="56">
        <f>'Mastercurve bestimmen'!C36</f>
        <v>0.11222824358997255</v>
      </c>
      <c r="C92" s="11"/>
      <c r="D92" s="51">
        <f t="shared" si="1"/>
        <v>19</v>
      </c>
      <c r="E92" s="56">
        <f>'Mastercurve bestimmen'!A36</f>
        <v>22506.400540467101</v>
      </c>
    </row>
    <row r="93" spans="1:5" x14ac:dyDescent="0.25">
      <c r="A93" s="50">
        <f t="shared" si="0"/>
        <v>20</v>
      </c>
      <c r="B93" s="56">
        <f>'Mastercurve bestimmen'!C37</f>
        <v>8.9690702482137605E-2</v>
      </c>
      <c r="C93" s="11"/>
      <c r="D93" s="51">
        <f t="shared" si="1"/>
        <v>20</v>
      </c>
      <c r="E93" s="56">
        <f>'Mastercurve bestimmen'!A37</f>
        <v>249493.62476110301</v>
      </c>
    </row>
    <row r="94" spans="1:5" x14ac:dyDescent="0.25">
      <c r="A94" s="50">
        <f t="shared" si="0"/>
        <v>21</v>
      </c>
      <c r="B94" s="56">
        <f>'Mastercurve bestimmen'!C38</f>
        <v>3.260199419264094E-2</v>
      </c>
      <c r="C94" s="11"/>
      <c r="D94" s="51">
        <f t="shared" si="1"/>
        <v>21</v>
      </c>
      <c r="E94" s="56">
        <f>'Mastercurve bestimmen'!A38</f>
        <v>2765749.6224023802</v>
      </c>
    </row>
    <row r="95" spans="1:5" x14ac:dyDescent="0.25">
      <c r="A95" s="50">
        <f t="shared" si="0"/>
        <v>22</v>
      </c>
      <c r="B95" s="56">
        <f>'Mastercurve bestimmen'!C39</f>
        <v>3.3353536546241076E-2</v>
      </c>
      <c r="C95" s="11"/>
      <c r="D95" s="51">
        <f t="shared" si="1"/>
        <v>22</v>
      </c>
      <c r="E95" s="56">
        <f>'Mastercurve bestimmen'!A39</f>
        <v>10000000</v>
      </c>
    </row>
    <row r="96" spans="1:5" x14ac:dyDescent="0.25">
      <c r="A96" s="50">
        <f t="shared" si="0"/>
        <v>23</v>
      </c>
      <c r="B96" s="56">
        <f>'Mastercurve bestimmen'!C40</f>
        <v>1.7436587013509221E-2</v>
      </c>
      <c r="C96" s="11"/>
      <c r="D96" s="51">
        <f t="shared" si="1"/>
        <v>23</v>
      </c>
      <c r="E96" s="56">
        <f>'Mastercurve bestimmen'!A40</f>
        <v>100000000</v>
      </c>
    </row>
    <row r="97" spans="1:5" x14ac:dyDescent="0.25">
      <c r="A97" s="50">
        <f t="shared" si="0"/>
        <v>24</v>
      </c>
      <c r="B97" s="56">
        <f>'Mastercurve bestimmen'!C41</f>
        <v>4.7217849635186409E-4</v>
      </c>
      <c r="C97" s="11"/>
      <c r="D97" s="51">
        <f t="shared" si="1"/>
        <v>24</v>
      </c>
      <c r="E97" s="56">
        <f>'Mastercurve bestimmen'!A41</f>
        <v>1000000000</v>
      </c>
    </row>
    <row r="98" spans="1:5" x14ac:dyDescent="0.25">
      <c r="A98" s="50">
        <f t="shared" si="0"/>
        <v>25</v>
      </c>
      <c r="B98" s="56">
        <f>'Mastercurve bestimmen'!C42</f>
        <v>3.9532606595692786E-3</v>
      </c>
      <c r="C98" s="11"/>
      <c r="D98" s="51">
        <f t="shared" si="1"/>
        <v>25</v>
      </c>
      <c r="E98" s="56">
        <f>'Mastercurve bestimmen'!A42</f>
        <v>10000000000</v>
      </c>
    </row>
    <row r="99" spans="1:5" x14ac:dyDescent="0.25">
      <c r="A99" s="50">
        <f t="shared" si="0"/>
        <v>26</v>
      </c>
      <c r="B99" s="56">
        <f>'Mastercurve bestimmen'!C43</f>
        <v>4.2057154474780992E-7</v>
      </c>
      <c r="C99" s="11"/>
      <c r="D99" s="51">
        <f t="shared" si="1"/>
        <v>26</v>
      </c>
      <c r="E99" s="56">
        <f>'Mastercurve bestimmen'!A43</f>
        <v>100000000000</v>
      </c>
    </row>
    <row r="100" spans="1:5" x14ac:dyDescent="0.25">
      <c r="A100" s="50">
        <f t="shared" si="0"/>
        <v>27</v>
      </c>
      <c r="B100" s="56">
        <f>'Mastercurve bestimmen'!C44</f>
        <v>1.8675724725031384E-5</v>
      </c>
      <c r="C100" s="11"/>
      <c r="D100" s="51">
        <f t="shared" si="1"/>
        <v>27</v>
      </c>
      <c r="E100" s="56">
        <f>'Mastercurve bestimmen'!A44</f>
        <v>1000000000000</v>
      </c>
    </row>
    <row r="101" spans="1:5" x14ac:dyDescent="0.25">
      <c r="A101" s="50">
        <f t="shared" si="0"/>
        <v>28</v>
      </c>
      <c r="B101" s="56">
        <f>'Mastercurve bestimmen'!C45</f>
        <v>6.5581020384023116E-8</v>
      </c>
      <c r="C101" s="11"/>
      <c r="D101" s="51">
        <f t="shared" si="1"/>
        <v>28</v>
      </c>
      <c r="E101" s="56">
        <f>'Mastercurve bestimmen'!A45</f>
        <v>10000000000000</v>
      </c>
    </row>
    <row r="102" spans="1:5" x14ac:dyDescent="0.25">
      <c r="A102" s="50">
        <f t="shared" si="0"/>
        <v>29</v>
      </c>
      <c r="B102" s="56">
        <f>'Mastercurve bestimmen'!C46</f>
        <v>7.3021852336235098E-8</v>
      </c>
      <c r="C102" s="11"/>
      <c r="D102" s="51">
        <f t="shared" si="1"/>
        <v>29</v>
      </c>
      <c r="E102" s="56">
        <f>'Mastercurve bestimmen'!A46</f>
        <v>100000000000000</v>
      </c>
    </row>
    <row r="103" spans="1:5" x14ac:dyDescent="0.25">
      <c r="A103" s="50">
        <f t="shared" si="0"/>
        <v>30</v>
      </c>
      <c r="B103" s="56">
        <f>'Mastercurve bestimmen'!C47</f>
        <v>1.1629614521313135E-6</v>
      </c>
      <c r="C103" s="11"/>
      <c r="D103" s="51">
        <f t="shared" si="1"/>
        <v>30</v>
      </c>
      <c r="E103" s="56">
        <f>'Mastercurve bestimmen'!A47</f>
        <v>1000000000000000</v>
      </c>
    </row>
    <row r="104" spans="1:5" x14ac:dyDescent="0.25">
      <c r="A104" s="50">
        <f t="shared" si="0"/>
        <v>31</v>
      </c>
      <c r="B104" s="56">
        <f>'Mastercurve bestimmen'!C48</f>
        <v>4.9365030271996854E-7</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D67" sqref="D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1000.0232976856266</v>
      </c>
      <c r="AA16" s="26">
        <f>INDEX(Comparison!$AM$3:$AS$33,AA14,$B$3)</f>
        <v>576.00660610456418</v>
      </c>
      <c r="AB16" s="26">
        <f>INDEX(Comparison!$AM$3:$AS$33,AB14,$B$3)</f>
        <v>321.80010935687142</v>
      </c>
      <c r="AC16" s="26">
        <f>INDEX(Comparison!$AM$3:$AS$33,AC14,$B$3)</f>
        <v>187.89777287454069</v>
      </c>
      <c r="AD16" s="26">
        <f>INDEX(Comparison!$AM$3:$AS$33,AD14,$B$3)</f>
        <v>146.32445551645827</v>
      </c>
      <c r="AE16" s="26">
        <f>INDEX(Comparison!$AM$3:$AS$33,AE14,$B$3)</f>
        <v>132.67557886184474</v>
      </c>
      <c r="AF16" s="26">
        <f>INDEX(Comparison!$AM$3:$AS$33,AF14,$B$3)</f>
        <v>124.09266721325585</v>
      </c>
      <c r="AG16" s="26">
        <f>INDEX(Comparison!$AM$3:$AS$33,AG14,$B$3)</f>
        <v>123.97220489326934</v>
      </c>
      <c r="AH16" s="26">
        <f>INDEX(Comparison!$AM$3:$AS$33,AH14,$B$3)</f>
        <v>123.97018586453261</v>
      </c>
      <c r="AI16" s="26">
        <f>INDEX(Comparison!$AM$3:$AS$33,AI14,$B$3)</f>
        <v>123.96849358445334</v>
      </c>
      <c r="AJ16" s="26">
        <f>INDEX(Comparison!$AM$3:$AS$33,AJ14,$B$3)</f>
        <v>123.96695327212331</v>
      </c>
    </row>
    <row r="17" spans="1:36" x14ac:dyDescent="0.25">
      <c r="A17" s="14" t="s">
        <v>20</v>
      </c>
      <c r="B17" s="14">
        <v>2.2559941946259536E-2</v>
      </c>
      <c r="C17" s="18">
        <f t="shared" ref="C17:C48" si="3">ABS(B17/$B$49)</f>
        <v>2.0901188233697934E-2</v>
      </c>
      <c r="D17" s="67"/>
      <c r="E17" s="66" t="s">
        <v>22</v>
      </c>
      <c r="F17" s="27">
        <f>($C$17+SUM(F18:F48))*$B$51</f>
        <v>5916.9979249634189</v>
      </c>
      <c r="G17" s="27">
        <f t="shared" ref="G17:M17" si="4">($C$17+SUM(G18:G48))*$B$51</f>
        <v>5916.990720667045</v>
      </c>
      <c r="H17" s="27">
        <f t="shared" si="4"/>
        <v>5916.9187194765027</v>
      </c>
      <c r="I17" s="27">
        <f t="shared" si="4"/>
        <v>5916.2028601687643</v>
      </c>
      <c r="J17" s="27">
        <f t="shared" si="4"/>
        <v>5909.4359197520544</v>
      </c>
      <c r="K17" s="27">
        <f t="shared" si="4"/>
        <v>5865.298332125798</v>
      </c>
      <c r="L17" s="27">
        <f t="shared" si="4"/>
        <v>5722.504834086978</v>
      </c>
      <c r="M17" s="27">
        <f t="shared" si="4"/>
        <v>5576.8396404162977</v>
      </c>
      <c r="N17" s="27">
        <f t="shared" ref="N17" si="5">($C$17+SUM(N18:N48))*$B$51</f>
        <v>5410.8538448255113</v>
      </c>
      <c r="O17" s="27">
        <f t="shared" ref="O17" si="6">($C$17+SUM(O18:O48))*$B$51</f>
        <v>5215.5789829411924</v>
      </c>
      <c r="P17" s="27">
        <f t="shared" ref="P17" si="7">($C$17+SUM(P18:P48))*$B$51</f>
        <v>5019.378760476412</v>
      </c>
      <c r="Q17" s="27">
        <f t="shared" ref="Q17" si="8">($C$17+SUM(Q18:Q48))*$B$51</f>
        <v>4770.0375913804974</v>
      </c>
      <c r="R17" s="27">
        <f t="shared" ref="R17" si="9">($C$17+SUM(R18:R48))*$B$51</f>
        <v>4503.7357547733145</v>
      </c>
      <c r="S17" s="27">
        <f t="shared" ref="S17:T17" si="10">($C$17+SUM(S18:S48))*$B$51</f>
        <v>4238.4318400110424</v>
      </c>
      <c r="T17" s="27">
        <f t="shared" si="10"/>
        <v>3959.7218036325066</v>
      </c>
      <c r="U17" s="27">
        <f t="shared" ref="U17" si="11">($C$17+SUM(U18:U48))*$B$51</f>
        <v>3658.8516477758903</v>
      </c>
      <c r="V17" s="27">
        <f t="shared" ref="V17" si="12">($C$17+SUM(V18:V48))*$B$51</f>
        <v>3268.7188856130133</v>
      </c>
      <c r="W17" s="27">
        <f t="shared" ref="W17" si="13">($C$17+SUM(W18:W48))*$B$51</f>
        <v>2768.6439243961586</v>
      </c>
      <c r="X17" s="27">
        <f t="shared" ref="X17" si="14">($C$17+SUM(X18:X48))*$B$51</f>
        <v>2204.7485028903266</v>
      </c>
      <c r="Y17" s="27">
        <f t="shared" ref="Y17" si="15">($C$17+SUM(Y18:Y48))*$B$51</f>
        <v>1586.4143389839735</v>
      </c>
      <c r="Z17" s="27">
        <f t="shared" ref="Z17:AA17" si="16">($C$17+SUM(Z18:Z48))*$B$51</f>
        <v>1000.0141334711998</v>
      </c>
      <c r="AA17" s="27">
        <f t="shared" si="16"/>
        <v>576.01331837825705</v>
      </c>
      <c r="AB17" s="27">
        <f t="shared" ref="AB17" si="17">($C$17+SUM(AB18:AB48))*$B$51</f>
        <v>321.80288387145072</v>
      </c>
      <c r="AC17" s="27">
        <f t="shared" ref="AC17" si="18">($C$17+SUM(AC18:AC48))*$B$51</f>
        <v>187.87130988168252</v>
      </c>
      <c r="AD17" s="27">
        <f t="shared" ref="AD17" si="19">($C$17+SUM(AD18:AD48))*$B$51</f>
        <v>146.32458017074876</v>
      </c>
      <c r="AE17" s="27">
        <f t="shared" ref="AE17" si="20">($C$17+SUM(AE18:AE48))*$B$51</f>
        <v>132.69998476853158</v>
      </c>
      <c r="AF17" s="27">
        <f t="shared" ref="AF17" si="21">($C$17+SUM(AF18:AF48))*$B$51</f>
        <v>124.06541004622913</v>
      </c>
      <c r="AG17" s="27">
        <f t="shared" ref="AG17:AH17" si="22">($C$17+SUM(AG18:AG48))*$B$51</f>
        <v>124.00391414730278</v>
      </c>
      <c r="AH17" s="27">
        <f t="shared" si="22"/>
        <v>123.9628645972104</v>
      </c>
      <c r="AI17" s="27">
        <f t="shared" ref="AI17" si="23">($C$17+SUM(AI18:AI48))*$B$51</f>
        <v>123.96187008127836</v>
      </c>
      <c r="AJ17" s="27">
        <f t="shared" ref="AJ17" si="24">($C$17+SUM(AJ18:AJ48))*$B$51</f>
        <v>123.95775799892483</v>
      </c>
    </row>
    <row r="18" spans="1:36" x14ac:dyDescent="0.25">
      <c r="A18" s="3">
        <f>0.000000000000001/10^5</f>
        <v>1.0000000000000001E-20</v>
      </c>
      <c r="B18" s="17">
        <v>2.4405318429586297E-3</v>
      </c>
      <c r="C18" s="18">
        <f t="shared" si="3"/>
        <v>2.261088063148565E-3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4.5617409409551236E-3</v>
      </c>
      <c r="C22" s="18">
        <f t="shared" si="3"/>
        <v>4.2263320671389317E-3</v>
      </c>
      <c r="D22" s="17"/>
      <c r="F22" s="3">
        <f t="shared" si="25"/>
        <v>4.2262525975041319E-3</v>
      </c>
      <c r="G22" s="3">
        <f t="shared" si="25"/>
        <v>4.2255374380312178E-3</v>
      </c>
      <c r="H22" s="3">
        <f t="shared" si="25"/>
        <v>4.2183924959199332E-3</v>
      </c>
      <c r="I22" s="3">
        <f t="shared" si="25"/>
        <v>4.1476041897731053E-3</v>
      </c>
      <c r="J22" s="3">
        <f t="shared" si="25"/>
        <v>3.5018738087572326E-3</v>
      </c>
      <c r="K22" s="3">
        <f t="shared" si="25"/>
        <v>6.4466244008542985E-4</v>
      </c>
      <c r="L22" s="3">
        <f t="shared" si="25"/>
        <v>2.8817156412834858E-11</v>
      </c>
      <c r="M22" s="3">
        <f t="shared" si="25"/>
        <v>9.1799155210047889E-85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3.2741773160496104E-2</v>
      </c>
      <c r="C23" s="18">
        <f t="shared" si="3"/>
        <v>3.0334384971501784E-2</v>
      </c>
      <c r="D23" s="17"/>
      <c r="F23" s="3">
        <f t="shared" si="25"/>
        <v>3.0334333517032866E-2</v>
      </c>
      <c r="G23" s="3">
        <f t="shared" si="25"/>
        <v>3.0333870430740151E-2</v>
      </c>
      <c r="H23" s="3">
        <f t="shared" si="25"/>
        <v>3.0329239956618313E-2</v>
      </c>
      <c r="I23" s="3">
        <f t="shared" si="25"/>
        <v>3.028297407397889E-2</v>
      </c>
      <c r="J23" s="3">
        <f t="shared" si="25"/>
        <v>2.9824179245586745E-2</v>
      </c>
      <c r="K23" s="3">
        <f t="shared" si="25"/>
        <v>2.560166801584661E-2</v>
      </c>
      <c r="L23" s="3">
        <f t="shared" si="25"/>
        <v>5.5624467954162506E-3</v>
      </c>
      <c r="M23" s="3">
        <f t="shared" si="25"/>
        <v>1.3038929987952781E-9</v>
      </c>
      <c r="N23" s="3">
        <f t="shared" si="25"/>
        <v>6.5313474470218182E-76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2.5366712720060958E-2</v>
      </c>
      <c r="C24" s="18">
        <f t="shared" si="3"/>
        <v>2.3501586958650868E-2</v>
      </c>
      <c r="D24" s="17"/>
      <c r="F24" s="3">
        <f t="shared" si="25"/>
        <v>2.3501583362548706E-2</v>
      </c>
      <c r="G24" s="3">
        <f t="shared" si="25"/>
        <v>2.3501550997654001E-2</v>
      </c>
      <c r="H24" s="3">
        <f t="shared" si="25"/>
        <v>2.3501227351158342E-2</v>
      </c>
      <c r="I24" s="3">
        <f t="shared" si="25"/>
        <v>2.3497991131328118E-2</v>
      </c>
      <c r="J24" s="3">
        <f t="shared" si="25"/>
        <v>2.3465653433177674E-2</v>
      </c>
      <c r="K24" s="3">
        <f t="shared" si="25"/>
        <v>2.3144714028873647E-2</v>
      </c>
      <c r="L24" s="3">
        <f t="shared" si="25"/>
        <v>2.016710166920959E-2</v>
      </c>
      <c r="M24" s="3">
        <f t="shared" si="25"/>
        <v>5.0881531400853025E-3</v>
      </c>
      <c r="N24" s="3">
        <f t="shared" si="25"/>
        <v>5.3177392256898695E-9</v>
      </c>
      <c r="O24" s="3">
        <f t="shared" si="25"/>
        <v>8.2679084694477471E-69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3.2554893298222379E-2</v>
      </c>
      <c r="C25" s="18">
        <f t="shared" si="3"/>
        <v>3.0161245732589943E-2</v>
      </c>
      <c r="D25" s="17"/>
      <c r="F25" s="3">
        <f t="shared" si="25"/>
        <v>3.0161245316266631E-2</v>
      </c>
      <c r="G25" s="3">
        <f t="shared" si="25"/>
        <v>3.0161241569357098E-2</v>
      </c>
      <c r="H25" s="3">
        <f t="shared" si="25"/>
        <v>3.0161204100287355E-2</v>
      </c>
      <c r="I25" s="3">
        <f t="shared" si="25"/>
        <v>3.0160829412150005E-2</v>
      </c>
      <c r="J25" s="3">
        <f t="shared" si="25"/>
        <v>3.015708278677523E-2</v>
      </c>
      <c r="K25" s="3">
        <f t="shared" si="25"/>
        <v>3.0119642121131815E-2</v>
      </c>
      <c r="L25" s="3">
        <f t="shared" si="25"/>
        <v>2.9747782552585842E-2</v>
      </c>
      <c r="M25" s="3">
        <f t="shared" si="25"/>
        <v>2.6272566972480798E-2</v>
      </c>
      <c r="N25" s="3">
        <f t="shared" si="25"/>
        <v>7.585454419279037E-3</v>
      </c>
      <c r="O25" s="3">
        <f t="shared" si="25"/>
        <v>3.0533216384644685E-8</v>
      </c>
      <c r="P25" s="3">
        <f t="shared" si="25"/>
        <v>3.4094323709945826E-62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3.9700957789507461E-2</v>
      </c>
      <c r="C26" s="18">
        <f t="shared" si="3"/>
        <v>3.6781885068377713E-2</v>
      </c>
      <c r="D26" s="17"/>
      <c r="F26" s="3">
        <f t="shared" si="25"/>
        <v>3.6781885022578079E-2</v>
      </c>
      <c r="G26" s="3">
        <f t="shared" si="25"/>
        <v>3.678188461038135E-2</v>
      </c>
      <c r="H26" s="3">
        <f t="shared" si="25"/>
        <v>3.678188048841436E-2</v>
      </c>
      <c r="I26" s="3">
        <f t="shared" si="25"/>
        <v>3.6781839268769836E-2</v>
      </c>
      <c r="J26" s="3">
        <f t="shared" si="25"/>
        <v>3.6781427074865189E-2</v>
      </c>
      <c r="K26" s="3">
        <f t="shared" si="25"/>
        <v>3.677730538986787E-2</v>
      </c>
      <c r="L26" s="3">
        <f t="shared" si="25"/>
        <v>3.6736113934280785E-2</v>
      </c>
      <c r="M26" s="3">
        <f t="shared" si="25"/>
        <v>3.6326728318950369E-2</v>
      </c>
      <c r="N26" s="3">
        <f t="shared" si="25"/>
        <v>3.2475587163545365E-2</v>
      </c>
      <c r="O26" s="3">
        <f t="shared" si="25"/>
        <v>1.05892273340392E-2</v>
      </c>
      <c r="P26" s="3">
        <f t="shared" si="25"/>
        <v>1.4385894564732299E-7</v>
      </c>
      <c r="Q26" s="3">
        <f t="shared" si="25"/>
        <v>3.080795581648489E-56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3.3415406316587959E-2</v>
      </c>
      <c r="C27" s="18">
        <f t="shared" si="3"/>
        <v>3.0958488235130539E-2</v>
      </c>
      <c r="D27" s="17"/>
      <c r="F27" s="3">
        <f t="shared" si="25"/>
        <v>3.0958488231653144E-2</v>
      </c>
      <c r="G27" s="3">
        <f t="shared" si="25"/>
        <v>3.095848820035656E-2</v>
      </c>
      <c r="H27" s="3">
        <f t="shared" si="25"/>
        <v>3.0958487887390754E-2</v>
      </c>
      <c r="I27" s="3">
        <f t="shared" si="25"/>
        <v>3.0958484757732871E-2</v>
      </c>
      <c r="J27" s="3">
        <f t="shared" si="25"/>
        <v>3.0958453461171424E-2</v>
      </c>
      <c r="K27" s="3">
        <f t="shared" si="25"/>
        <v>3.095814049729707E-2</v>
      </c>
      <c r="L27" s="3">
        <f t="shared" si="25"/>
        <v>3.0955011032557305E-2</v>
      </c>
      <c r="M27" s="3">
        <f t="shared" si="25"/>
        <v>3.0923733779030863E-2</v>
      </c>
      <c r="N27" s="3">
        <f t="shared" si="25"/>
        <v>3.0612694142427014E-2</v>
      </c>
      <c r="O27" s="3">
        <f t="shared" si="25"/>
        <v>2.7669277459454644E-2</v>
      </c>
      <c r="P27" s="3">
        <f t="shared" si="25"/>
        <v>1.006840039522267E-2</v>
      </c>
      <c r="Q27" s="3">
        <f t="shared" si="25"/>
        <v>4.0981426812170906E-7</v>
      </c>
      <c r="R27" s="3">
        <f t="shared" si="25"/>
        <v>5.1150872024480884E-51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5.6295136620331969E-2</v>
      </c>
      <c r="C28" s="18">
        <f t="shared" si="3"/>
        <v>5.2155951905646973E-2</v>
      </c>
      <c r="D28" s="17"/>
      <c r="F28" s="3">
        <f t="shared" si="25"/>
        <v>5.21559519051185E-2</v>
      </c>
      <c r="G28" s="3">
        <f t="shared" si="25"/>
        <v>5.2155951900362214E-2</v>
      </c>
      <c r="H28" s="3">
        <f t="shared" si="25"/>
        <v>5.2155951852799393E-2</v>
      </c>
      <c r="I28" s="3">
        <f t="shared" si="25"/>
        <v>5.2155951377171175E-2</v>
      </c>
      <c r="J28" s="3">
        <f t="shared" si="25"/>
        <v>5.2155946620889237E-2</v>
      </c>
      <c r="K28" s="3">
        <f t="shared" si="25"/>
        <v>5.2155899058093716E-2</v>
      </c>
      <c r="L28" s="3">
        <f t="shared" si="25"/>
        <v>5.2155423432524051E-2</v>
      </c>
      <c r="M28" s="3">
        <f t="shared" si="25"/>
        <v>5.2150667415376523E-2</v>
      </c>
      <c r="N28" s="3">
        <f t="shared" si="25"/>
        <v>5.2103131090762971E-2</v>
      </c>
      <c r="O28" s="3">
        <f t="shared" si="25"/>
        <v>5.1630144504082896E-2</v>
      </c>
      <c r="P28" s="3">
        <f t="shared" si="25"/>
        <v>4.7130117231955024E-2</v>
      </c>
      <c r="Q28" s="3">
        <f t="shared" si="25"/>
        <v>1.8934346246669283E-2</v>
      </c>
      <c r="R28" s="3">
        <f t="shared" si="25"/>
        <v>2.073806641637052E-6</v>
      </c>
      <c r="S28" s="3">
        <f t="shared" si="25"/>
        <v>5.1516663105036268E-46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4.6586016605262806E-2</v>
      </c>
      <c r="C29" s="18">
        <f t="shared" si="3"/>
        <v>4.3160709564069449E-2</v>
      </c>
      <c r="D29" s="17"/>
      <c r="F29" s="3">
        <f t="shared" si="25"/>
        <v>4.3160709564030002E-2</v>
      </c>
      <c r="G29" s="3">
        <f t="shared" si="25"/>
        <v>4.3160709563674939E-2</v>
      </c>
      <c r="H29" s="3">
        <f t="shared" si="25"/>
        <v>4.3160709560124362E-2</v>
      </c>
      <c r="I29" s="3">
        <f t="shared" si="25"/>
        <v>4.3160709524618597E-2</v>
      </c>
      <c r="J29" s="3">
        <f t="shared" si="25"/>
        <v>4.3160709169560926E-2</v>
      </c>
      <c r="K29" s="3">
        <f t="shared" si="25"/>
        <v>4.316070561898435E-2</v>
      </c>
      <c r="L29" s="3">
        <f t="shared" si="25"/>
        <v>4.3160670113234677E-2</v>
      </c>
      <c r="M29" s="3">
        <f t="shared" si="25"/>
        <v>4.316031505734437E-2</v>
      </c>
      <c r="N29" s="3">
        <f t="shared" si="25"/>
        <v>4.3156764659082643E-2</v>
      </c>
      <c r="O29" s="3">
        <f t="shared" si="25"/>
        <v>4.3121276735707932E-2</v>
      </c>
      <c r="P29" s="3">
        <f t="shared" si="25"/>
        <v>4.2767998548881497E-2</v>
      </c>
      <c r="Q29" s="3">
        <f t="shared" si="25"/>
        <v>3.9390553533407091E-2</v>
      </c>
      <c r="R29" s="3">
        <f t="shared" si="25"/>
        <v>1.7303089512141101E-2</v>
      </c>
      <c r="S29" s="3">
        <f t="shared" si="25"/>
        <v>4.6284903406816963E-6</v>
      </c>
      <c r="T29" s="3">
        <f t="shared" si="25"/>
        <v>8.6815332763457035E-42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5.3711922869683987E-2</v>
      </c>
      <c r="C30" s="18">
        <f t="shared" si="3"/>
        <v>4.9762672836986856E-2</v>
      </c>
      <c r="D30" s="17"/>
      <c r="F30" s="3">
        <f t="shared" si="25"/>
        <v>4.9762672836982748E-2</v>
      </c>
      <c r="G30" s="3">
        <f t="shared" si="25"/>
        <v>4.9762672836945826E-2</v>
      </c>
      <c r="H30" s="3">
        <f t="shared" si="25"/>
        <v>4.9762672836576545E-2</v>
      </c>
      <c r="I30" s="3">
        <f t="shared" si="25"/>
        <v>4.97626728328837E-2</v>
      </c>
      <c r="J30" s="3">
        <f t="shared" si="25"/>
        <v>4.9762672795955289E-2</v>
      </c>
      <c r="K30" s="3">
        <f t="shared" si="25"/>
        <v>4.9762672426671178E-2</v>
      </c>
      <c r="L30" s="3">
        <f t="shared" si="25"/>
        <v>4.9762668733830263E-2</v>
      </c>
      <c r="M30" s="3">
        <f t="shared" si="25"/>
        <v>4.9762631805436129E-2</v>
      </c>
      <c r="N30" s="3">
        <f t="shared" si="25"/>
        <v>4.9762262523002081E-2</v>
      </c>
      <c r="O30" s="3">
        <f t="shared" si="25"/>
        <v>4.9758569849380194E-2</v>
      </c>
      <c r="P30" s="3">
        <f t="shared" si="25"/>
        <v>4.9721658180888272E-2</v>
      </c>
      <c r="Q30" s="3">
        <f t="shared" si="25"/>
        <v>4.9354044139663357E-2</v>
      </c>
      <c r="R30" s="3">
        <f t="shared" si="25"/>
        <v>4.5824122856463728E-2</v>
      </c>
      <c r="S30" s="3">
        <f t="shared" si="25"/>
        <v>2.1817667335948653E-2</v>
      </c>
      <c r="T30" s="3">
        <f t="shared" si="25"/>
        <v>1.3060201117853398E-5</v>
      </c>
      <c r="U30" s="3">
        <f t="shared" si="25"/>
        <v>7.7155227685484524E-38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5.1183652991963223E-2</v>
      </c>
      <c r="C31" s="18">
        <f t="shared" si="3"/>
        <v>4.7420297810237655E-2</v>
      </c>
      <c r="D31" s="17"/>
      <c r="F31" s="3">
        <f t="shared" si="25"/>
        <v>4.7420297810237301E-2</v>
      </c>
      <c r="G31" s="3">
        <f t="shared" si="25"/>
        <v>4.742029781023413E-2</v>
      </c>
      <c r="H31" s="3">
        <f t="shared" si="25"/>
        <v>4.7420297810202384E-2</v>
      </c>
      <c r="I31" s="3">
        <f t="shared" si="25"/>
        <v>4.7420297809884937E-2</v>
      </c>
      <c r="J31" s="3">
        <f t="shared" si="25"/>
        <v>4.742029780671049E-2</v>
      </c>
      <c r="K31" s="3">
        <f t="shared" si="25"/>
        <v>4.742029777496605E-2</v>
      </c>
      <c r="L31" s="3">
        <f t="shared" si="25"/>
        <v>4.7420297457521556E-2</v>
      </c>
      <c r="M31" s="3">
        <f t="shared" si="25"/>
        <v>4.7420294283076828E-2</v>
      </c>
      <c r="N31" s="3">
        <f t="shared" si="25"/>
        <v>4.7420262538641178E-2</v>
      </c>
      <c r="O31" s="3">
        <f t="shared" si="25"/>
        <v>4.7419945095453463E-2</v>
      </c>
      <c r="P31" s="3">
        <f t="shared" si="25"/>
        <v>4.7416770780451409E-2</v>
      </c>
      <c r="Q31" s="3">
        <f t="shared" si="25"/>
        <v>4.7385039315047672E-2</v>
      </c>
      <c r="R31" s="3">
        <f t="shared" si="25"/>
        <v>4.7068890233721676E-2</v>
      </c>
      <c r="S31" s="3">
        <f t="shared" si="25"/>
        <v>4.4021120673552967E-2</v>
      </c>
      <c r="T31" s="3">
        <f t="shared" si="25"/>
        <v>2.2538886190651974E-2</v>
      </c>
      <c r="U31" s="3">
        <f t="shared" si="25"/>
        <v>2.7902686012442299E-5</v>
      </c>
      <c r="V31" s="3">
        <f t="shared" si="26"/>
        <v>2.3592916258563223E-34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5.9430418927842142E-2</v>
      </c>
      <c r="C32" s="18">
        <f t="shared" si="3"/>
        <v>5.5060707858971492E-2</v>
      </c>
      <c r="D32" s="17"/>
      <c r="F32" s="3">
        <f t="shared" si="25"/>
        <v>5.5060707858971457E-2</v>
      </c>
      <c r="G32" s="3">
        <f t="shared" si="25"/>
        <v>5.5060707858971124E-2</v>
      </c>
      <c r="H32" s="3">
        <f t="shared" si="25"/>
        <v>5.50607078589678E-2</v>
      </c>
      <c r="I32" s="3">
        <f t="shared" si="25"/>
        <v>5.5060707858934542E-2</v>
      </c>
      <c r="J32" s="3">
        <f t="shared" si="25"/>
        <v>5.5060707858602051E-2</v>
      </c>
      <c r="K32" s="3">
        <f t="shared" si="25"/>
        <v>5.5060707855277044E-2</v>
      </c>
      <c r="L32" s="3">
        <f t="shared" si="25"/>
        <v>5.5060707822027023E-2</v>
      </c>
      <c r="M32" s="3">
        <f t="shared" si="25"/>
        <v>5.5060707489526843E-2</v>
      </c>
      <c r="N32" s="3">
        <f t="shared" si="25"/>
        <v>5.5060704164525104E-2</v>
      </c>
      <c r="O32" s="3">
        <f t="shared" si="25"/>
        <v>5.5060670914518786E-2</v>
      </c>
      <c r="P32" s="3">
        <f t="shared" si="25"/>
        <v>5.5060338415559913E-2</v>
      </c>
      <c r="Q32" s="3">
        <f t="shared" si="25"/>
        <v>5.5057013536402986E-2</v>
      </c>
      <c r="R32" s="3">
        <f t="shared" si="25"/>
        <v>5.5023775785540296E-2</v>
      </c>
      <c r="S32" s="3">
        <f t="shared" si="25"/>
        <v>5.4692499884673083E-2</v>
      </c>
      <c r="T32" s="3">
        <f t="shared" si="25"/>
        <v>5.1487479524458583E-2</v>
      </c>
      <c r="U32" s="3">
        <f t="shared" si="25"/>
        <v>2.8147524719060041E-2</v>
      </c>
      <c r="V32" s="3">
        <f t="shared" si="26"/>
        <v>6.7115986599976788E-5</v>
      </c>
      <c r="W32" s="3">
        <f t="shared" si="26"/>
        <v>3.9873437078086156E-31</v>
      </c>
      <c r="X32" s="3">
        <f t="shared" si="26"/>
        <v>2.1840401602338786E-293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8.9343103026394602E-2</v>
      </c>
      <c r="C33" s="18">
        <f t="shared" si="3"/>
        <v>8.2774016803130748E-2</v>
      </c>
      <c r="D33" s="17"/>
      <c r="F33" s="3">
        <f t="shared" si="25"/>
        <v>8.2774016803130734E-2</v>
      </c>
      <c r="G33" s="3">
        <f t="shared" si="25"/>
        <v>8.2774016803130707E-2</v>
      </c>
      <c r="H33" s="3">
        <f t="shared" si="25"/>
        <v>8.2774016803130249E-2</v>
      </c>
      <c r="I33" s="3">
        <f t="shared" si="25"/>
        <v>8.2774016803125738E-2</v>
      </c>
      <c r="J33" s="3">
        <f t="shared" si="25"/>
        <v>8.2774016803080649E-2</v>
      </c>
      <c r="K33" s="3">
        <f t="shared" si="25"/>
        <v>8.2774016802629732E-2</v>
      </c>
      <c r="L33" s="3">
        <f t="shared" si="25"/>
        <v>8.2774016798120631E-2</v>
      </c>
      <c r="M33" s="3">
        <f t="shared" si="25"/>
        <v>8.2774016753029533E-2</v>
      </c>
      <c r="N33" s="3">
        <f t="shared" si="25"/>
        <v>8.2774016302118641E-2</v>
      </c>
      <c r="O33" s="3">
        <f t="shared" si="25"/>
        <v>8.2774011793009902E-2</v>
      </c>
      <c r="P33" s="3">
        <f t="shared" si="25"/>
        <v>8.2773966701935944E-2</v>
      </c>
      <c r="Q33" s="3">
        <f t="shared" si="25"/>
        <v>8.277351579254727E-2</v>
      </c>
      <c r="R33" s="3">
        <f t="shared" si="25"/>
        <v>8.2769006833755931E-2</v>
      </c>
      <c r="S33" s="3">
        <f t="shared" si="25"/>
        <v>8.272393075265444E-2</v>
      </c>
      <c r="T33" s="3">
        <f t="shared" si="25"/>
        <v>8.2274517904387612E-2</v>
      </c>
      <c r="U33" s="3">
        <f t="shared" ref="P33:AE48" si="27">$C33*EXP(-U$15/$A33)</f>
        <v>7.7912507914846718E-2</v>
      </c>
      <c r="V33" s="3">
        <f t="shared" si="27"/>
        <v>4.5188254119297284E-2</v>
      </c>
      <c r="W33" s="3">
        <f t="shared" si="27"/>
        <v>1.9462980429316794E-4</v>
      </c>
      <c r="X33" s="3">
        <f t="shared" si="27"/>
        <v>4.2760933902138657E-28</v>
      </c>
      <c r="Y33" s="3">
        <f t="shared" si="27"/>
        <v>1.120535290375232E-264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0.10019345824567738</v>
      </c>
      <c r="C34" s="18">
        <f t="shared" si="3"/>
        <v>9.2826583311544017E-2</v>
      </c>
      <c r="D34" s="17"/>
      <c r="F34" s="3">
        <f t="shared" ref="F34:O48" si="28">$C34*EXP(-F$15/$A34)</f>
        <v>9.2826583311544017E-2</v>
      </c>
      <c r="G34" s="3">
        <f t="shared" si="28"/>
        <v>9.2826583311544017E-2</v>
      </c>
      <c r="H34" s="3">
        <f t="shared" si="28"/>
        <v>9.2826583311543961E-2</v>
      </c>
      <c r="I34" s="3">
        <f t="shared" si="28"/>
        <v>9.2826583311543517E-2</v>
      </c>
      <c r="J34" s="3">
        <f t="shared" si="28"/>
        <v>9.2826583311538952E-2</v>
      </c>
      <c r="K34" s="3">
        <f t="shared" si="28"/>
        <v>9.2826583311493335E-2</v>
      </c>
      <c r="L34" s="3">
        <f t="shared" si="28"/>
        <v>9.2826583311037172E-2</v>
      </c>
      <c r="M34" s="3">
        <f t="shared" si="28"/>
        <v>9.2826583306475599E-2</v>
      </c>
      <c r="N34" s="3">
        <f t="shared" si="28"/>
        <v>9.2826583260859755E-2</v>
      </c>
      <c r="O34" s="3">
        <f t="shared" si="28"/>
        <v>9.282658280470138E-2</v>
      </c>
      <c r="P34" s="3">
        <f t="shared" si="27"/>
        <v>9.282657824311781E-2</v>
      </c>
      <c r="Q34" s="3">
        <f t="shared" si="27"/>
        <v>9.2826532627294345E-2</v>
      </c>
      <c r="R34" s="3">
        <f t="shared" si="27"/>
        <v>9.2826076470292715E-2</v>
      </c>
      <c r="S34" s="3">
        <f t="shared" si="27"/>
        <v>9.2821515023562035E-2</v>
      </c>
      <c r="T34" s="3">
        <f t="shared" si="27"/>
        <v>9.2775912882588116E-2</v>
      </c>
      <c r="U34" s="3">
        <f t="shared" si="27"/>
        <v>9.2321121867878594E-2</v>
      </c>
      <c r="V34" s="3">
        <f t="shared" si="27"/>
        <v>8.7894043203734437E-2</v>
      </c>
      <c r="W34" s="3">
        <f t="shared" si="27"/>
        <v>5.3770384056048962E-2</v>
      </c>
      <c r="X34" s="3">
        <f t="shared" si="27"/>
        <v>3.9480268199216335E-4</v>
      </c>
      <c r="Y34" s="3">
        <f t="shared" si="27"/>
        <v>1.7978342616493151E-25</v>
      </c>
      <c r="Z34" s="3">
        <f t="shared" si="27"/>
        <v>6.8935866010195576E-239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0.11652299479303492</v>
      </c>
      <c r="C35" s="18">
        <f t="shared" si="3"/>
        <v>0.10795546608785625</v>
      </c>
      <c r="D35" s="17"/>
      <c r="F35" s="3">
        <f t="shared" si="28"/>
        <v>0.10795546608785625</v>
      </c>
      <c r="G35" s="3">
        <f t="shared" si="28"/>
        <v>0.10795546608785625</v>
      </c>
      <c r="H35" s="3">
        <f t="shared" si="28"/>
        <v>0.10795546608785625</v>
      </c>
      <c r="I35" s="3">
        <f t="shared" si="28"/>
        <v>0.10795546608785621</v>
      </c>
      <c r="J35" s="3">
        <f t="shared" si="28"/>
        <v>0.10795546608785572</v>
      </c>
      <c r="K35" s="3">
        <f t="shared" si="28"/>
        <v>0.10795546608785093</v>
      </c>
      <c r="L35" s="3">
        <f t="shared" si="28"/>
        <v>0.10795546608780308</v>
      </c>
      <c r="M35" s="3">
        <f t="shared" si="28"/>
        <v>0.10795546608732451</v>
      </c>
      <c r="N35" s="3">
        <f t="shared" si="28"/>
        <v>0.10795546608253893</v>
      </c>
      <c r="O35" s="3">
        <f t="shared" si="28"/>
        <v>0.10795546603468315</v>
      </c>
      <c r="P35" s="3">
        <f t="shared" si="27"/>
        <v>0.10795546555612522</v>
      </c>
      <c r="Q35" s="3">
        <f t="shared" si="27"/>
        <v>0.10795546077054612</v>
      </c>
      <c r="R35" s="3">
        <f t="shared" si="27"/>
        <v>0.10795541291476668</v>
      </c>
      <c r="S35" s="3">
        <f t="shared" si="27"/>
        <v>0.10795493435813916</v>
      </c>
      <c r="T35" s="3">
        <f t="shared" si="27"/>
        <v>0.10795014890853921</v>
      </c>
      <c r="U35" s="3">
        <f t="shared" si="27"/>
        <v>0.10790230607816265</v>
      </c>
      <c r="V35" s="3">
        <f t="shared" si="27"/>
        <v>0.10742504242557699</v>
      </c>
      <c r="W35" s="3">
        <f t="shared" si="27"/>
        <v>0.10276698321874198</v>
      </c>
      <c r="X35" s="3">
        <f t="shared" si="27"/>
        <v>6.5968156331636135E-2</v>
      </c>
      <c r="Y35" s="3">
        <f t="shared" si="27"/>
        <v>7.8368536315215267E-4</v>
      </c>
      <c r="Z35" s="3">
        <f t="shared" si="27"/>
        <v>4.3874847962208371E-23</v>
      </c>
      <c r="AA35" s="3">
        <f t="shared" si="27"/>
        <v>1.3272554409484522E-215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0.12113486715738295</v>
      </c>
      <c r="C36" s="18">
        <f t="shared" si="3"/>
        <v>0.11222824358997255</v>
      </c>
      <c r="D36" s="17"/>
      <c r="F36" s="3">
        <f t="shared" si="28"/>
        <v>0.11222824358997255</v>
      </c>
      <c r="G36" s="3">
        <f t="shared" si="28"/>
        <v>0.11222824358997255</v>
      </c>
      <c r="H36" s="3">
        <f t="shared" si="28"/>
        <v>0.11222824358997255</v>
      </c>
      <c r="I36" s="3">
        <f t="shared" si="28"/>
        <v>0.11222824358997255</v>
      </c>
      <c r="J36" s="3">
        <f t="shared" si="28"/>
        <v>0.11222824358997249</v>
      </c>
      <c r="K36" s="3">
        <f t="shared" si="28"/>
        <v>0.11222824358997205</v>
      </c>
      <c r="L36" s="3">
        <f t="shared" si="28"/>
        <v>0.11222824358996757</v>
      </c>
      <c r="M36" s="3">
        <f t="shared" si="28"/>
        <v>0.11222824358992269</v>
      </c>
      <c r="N36" s="3">
        <f t="shared" si="28"/>
        <v>0.11222824358947389</v>
      </c>
      <c r="O36" s="3">
        <f t="shared" si="28"/>
        <v>0.11222824358498605</v>
      </c>
      <c r="P36" s="3">
        <f t="shared" si="27"/>
        <v>0.11222824354010752</v>
      </c>
      <c r="Q36" s="3">
        <f t="shared" si="27"/>
        <v>0.11222824309132221</v>
      </c>
      <c r="R36" s="3">
        <f t="shared" si="27"/>
        <v>0.11222823860346923</v>
      </c>
      <c r="S36" s="3">
        <f t="shared" si="27"/>
        <v>0.11222819372494929</v>
      </c>
      <c r="T36" s="3">
        <f t="shared" si="27"/>
        <v>0.11222774494073691</v>
      </c>
      <c r="U36" s="3">
        <f t="shared" si="27"/>
        <v>0.11222325719731623</v>
      </c>
      <c r="V36" s="3">
        <f t="shared" si="27"/>
        <v>0.11217838963195589</v>
      </c>
      <c r="W36" s="3">
        <f t="shared" si="27"/>
        <v>0.11173069940438553</v>
      </c>
      <c r="X36" s="3">
        <f t="shared" si="27"/>
        <v>0.10735089718030459</v>
      </c>
      <c r="Y36" s="3">
        <f t="shared" si="27"/>
        <v>7.196764455555231E-2</v>
      </c>
      <c r="Z36" s="3">
        <f t="shared" si="27"/>
        <v>1.319633685506201E-3</v>
      </c>
      <c r="AA36" s="3">
        <f t="shared" si="27"/>
        <v>5.6704096490187753E-21</v>
      </c>
      <c r="AB36" s="3">
        <f t="shared" si="27"/>
        <v>1.2168158379780219E-194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9.6808708600308532E-2</v>
      </c>
      <c r="C37" s="18">
        <f t="shared" si="3"/>
        <v>8.9690702482137605E-2</v>
      </c>
      <c r="D37" s="17"/>
      <c r="F37" s="3">
        <f t="shared" si="28"/>
        <v>8.9690702482137605E-2</v>
      </c>
      <c r="G37" s="3">
        <f t="shared" si="28"/>
        <v>8.9690702482137605E-2</v>
      </c>
      <c r="H37" s="3">
        <f t="shared" si="28"/>
        <v>8.9690702482137605E-2</v>
      </c>
      <c r="I37" s="3">
        <f t="shared" si="28"/>
        <v>8.9690702482137605E-2</v>
      </c>
      <c r="J37" s="3">
        <f t="shared" si="28"/>
        <v>8.9690702482137605E-2</v>
      </c>
      <c r="K37" s="3">
        <f t="shared" si="28"/>
        <v>8.9690702482137563E-2</v>
      </c>
      <c r="L37" s="3">
        <f t="shared" si="28"/>
        <v>8.9690702482137244E-2</v>
      </c>
      <c r="M37" s="3">
        <f t="shared" si="28"/>
        <v>8.969070248213401E-2</v>
      </c>
      <c r="N37" s="3">
        <f t="shared" si="28"/>
        <v>8.9690702482101661E-2</v>
      </c>
      <c r="O37" s="3">
        <f t="shared" si="28"/>
        <v>8.9690702481778115E-2</v>
      </c>
      <c r="P37" s="3">
        <f t="shared" si="27"/>
        <v>8.9690702478542703E-2</v>
      </c>
      <c r="Q37" s="3">
        <f t="shared" si="27"/>
        <v>8.9690702446188514E-2</v>
      </c>
      <c r="R37" s="3">
        <f t="shared" si="27"/>
        <v>8.9690702122646654E-2</v>
      </c>
      <c r="S37" s="3">
        <f t="shared" si="27"/>
        <v>8.9690698887228082E-2</v>
      </c>
      <c r="T37" s="3">
        <f t="shared" si="27"/>
        <v>8.9690666533048885E-2</v>
      </c>
      <c r="U37" s="3">
        <f t="shared" si="27"/>
        <v>8.9690342991898833E-2</v>
      </c>
      <c r="V37" s="3">
        <f t="shared" si="27"/>
        <v>8.9687107644588662E-2</v>
      </c>
      <c r="W37" s="3">
        <f t="shared" si="27"/>
        <v>8.9654760589665886E-2</v>
      </c>
      <c r="X37" s="3">
        <f t="shared" si="27"/>
        <v>8.9331931002526219E-2</v>
      </c>
      <c r="Y37" s="3">
        <f t="shared" si="27"/>
        <v>8.6166884037568739E-2</v>
      </c>
      <c r="Z37" s="3">
        <f t="shared" si="27"/>
        <v>6.0072686318241544E-2</v>
      </c>
      <c r="AA37" s="3">
        <f t="shared" si="27"/>
        <v>1.6294599887589111E-3</v>
      </c>
      <c r="AB37" s="3">
        <f t="shared" si="27"/>
        <v>3.5132590918818402E-19</v>
      </c>
      <c r="AC37" s="3">
        <f t="shared" si="27"/>
        <v>7.6273725317622534E-176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3.5189343691592712E-2</v>
      </c>
      <c r="C38" s="18">
        <f t="shared" si="3"/>
        <v>3.260199419264094E-2</v>
      </c>
      <c r="D38" s="17"/>
      <c r="F38" s="3">
        <f t="shared" si="28"/>
        <v>3.260199419264094E-2</v>
      </c>
      <c r="G38" s="3">
        <f t="shared" si="28"/>
        <v>3.260199419264094E-2</v>
      </c>
      <c r="H38" s="3">
        <f t="shared" si="28"/>
        <v>3.260199419264094E-2</v>
      </c>
      <c r="I38" s="3">
        <f t="shared" si="28"/>
        <v>3.260199419264094E-2</v>
      </c>
      <c r="J38" s="3">
        <f t="shared" si="28"/>
        <v>3.260199419264094E-2</v>
      </c>
      <c r="K38" s="3">
        <f t="shared" si="28"/>
        <v>3.260199419264094E-2</v>
      </c>
      <c r="L38" s="3">
        <f t="shared" si="28"/>
        <v>3.2601994192640926E-2</v>
      </c>
      <c r="M38" s="3">
        <f t="shared" si="28"/>
        <v>3.2601994192640822E-2</v>
      </c>
      <c r="N38" s="3">
        <f t="shared" si="28"/>
        <v>3.2601994192639761E-2</v>
      </c>
      <c r="O38" s="3">
        <f t="shared" si="28"/>
        <v>3.2601994192629151E-2</v>
      </c>
      <c r="P38" s="3">
        <f t="shared" si="27"/>
        <v>3.2601994192523062E-2</v>
      </c>
      <c r="Q38" s="3">
        <f t="shared" si="27"/>
        <v>3.2601994191462168E-2</v>
      </c>
      <c r="R38" s="3">
        <f t="shared" si="27"/>
        <v>3.2601994180853175E-2</v>
      </c>
      <c r="S38" s="3">
        <f t="shared" si="27"/>
        <v>3.2601994074763337E-2</v>
      </c>
      <c r="T38" s="3">
        <f t="shared" si="27"/>
        <v>3.2601993013864912E-2</v>
      </c>
      <c r="U38" s="3">
        <f t="shared" si="27"/>
        <v>3.260198240488256E-2</v>
      </c>
      <c r="V38" s="3">
        <f t="shared" si="27"/>
        <v>3.2601876315248898E-2</v>
      </c>
      <c r="W38" s="3">
        <f t="shared" si="27"/>
        <v>3.2600815437899451E-2</v>
      </c>
      <c r="X38" s="3">
        <f t="shared" si="27"/>
        <v>3.2590208562893894E-2</v>
      </c>
      <c r="Y38" s="3">
        <f t="shared" si="27"/>
        <v>3.2484329433342202E-2</v>
      </c>
      <c r="Z38" s="3">
        <f t="shared" si="27"/>
        <v>3.1444273856158923E-2</v>
      </c>
      <c r="AA38" s="3">
        <f t="shared" si="27"/>
        <v>2.2710056175925024E-2</v>
      </c>
      <c r="AB38" s="3">
        <f t="shared" si="27"/>
        <v>8.7696971022710197E-4</v>
      </c>
      <c r="AC38" s="3">
        <f t="shared" si="27"/>
        <v>6.4661897259082322E-18</v>
      </c>
      <c r="AD38" s="3">
        <f t="shared" si="27"/>
        <v>3.0710503757646862E-159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3.600052971976498E-2</v>
      </c>
      <c r="C39" s="18">
        <f t="shared" si="3"/>
        <v>3.3353536546241076E-2</v>
      </c>
      <c r="D39" s="17"/>
      <c r="F39" s="3">
        <f t="shared" si="28"/>
        <v>3.3353536546241076E-2</v>
      </c>
      <c r="G39" s="3">
        <f t="shared" si="28"/>
        <v>3.3353536546241076E-2</v>
      </c>
      <c r="H39" s="3">
        <f t="shared" si="28"/>
        <v>3.3353536546241076E-2</v>
      </c>
      <c r="I39" s="3">
        <f t="shared" si="28"/>
        <v>3.3353536546241076E-2</v>
      </c>
      <c r="J39" s="3">
        <f t="shared" si="28"/>
        <v>3.3353536546241076E-2</v>
      </c>
      <c r="K39" s="3">
        <f t="shared" si="28"/>
        <v>3.3353536546241076E-2</v>
      </c>
      <c r="L39" s="3">
        <f t="shared" si="28"/>
        <v>3.3353536546241069E-2</v>
      </c>
      <c r="M39" s="3">
        <f t="shared" si="28"/>
        <v>3.3353536546241042E-2</v>
      </c>
      <c r="N39" s="3">
        <f t="shared" si="28"/>
        <v>3.3353536546240743E-2</v>
      </c>
      <c r="O39" s="3">
        <f t="shared" si="28"/>
        <v>3.3353536546237739E-2</v>
      </c>
      <c r="P39" s="3">
        <f t="shared" si="27"/>
        <v>3.3353536546207721E-2</v>
      </c>
      <c r="Q39" s="3">
        <f t="shared" si="27"/>
        <v>3.3353536545907538E-2</v>
      </c>
      <c r="R39" s="3">
        <f t="shared" si="27"/>
        <v>3.3353536542905723E-2</v>
      </c>
      <c r="S39" s="3">
        <f t="shared" si="27"/>
        <v>3.3353536512887541E-2</v>
      </c>
      <c r="T39" s="3">
        <f t="shared" si="27"/>
        <v>3.335353621270571E-2</v>
      </c>
      <c r="U39" s="3">
        <f t="shared" si="27"/>
        <v>3.335353321088759E-2</v>
      </c>
      <c r="V39" s="3">
        <f t="shared" si="27"/>
        <v>3.3353503192721207E-2</v>
      </c>
      <c r="W39" s="3">
        <f t="shared" si="27"/>
        <v>3.3353203012543284E-2</v>
      </c>
      <c r="X39" s="3">
        <f t="shared" si="27"/>
        <v>3.3350201359348575E-2</v>
      </c>
      <c r="Y39" s="3">
        <f t="shared" si="27"/>
        <v>3.3320199680905577E-2</v>
      </c>
      <c r="Z39" s="3">
        <f t="shared" si="27"/>
        <v>3.3021663312552782E-2</v>
      </c>
      <c r="AA39" s="3">
        <f t="shared" si="27"/>
        <v>3.017952789086879E-2</v>
      </c>
      <c r="AB39" s="3">
        <f t="shared" si="27"/>
        <v>1.2270080385722446E-2</v>
      </c>
      <c r="AC39" s="3">
        <f t="shared" si="27"/>
        <v>1.5142482165298166E-6</v>
      </c>
      <c r="AD39" s="3">
        <f t="shared" si="27"/>
        <v>1.240776900210044E-45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1.8820384102922097E-2</v>
      </c>
      <c r="C40" s="18">
        <f t="shared" si="3"/>
        <v>1.7436587013509221E-2</v>
      </c>
      <c r="D40" s="17"/>
      <c r="F40" s="3">
        <f t="shared" si="28"/>
        <v>1.7436587013509221E-2</v>
      </c>
      <c r="G40" s="3">
        <f t="shared" si="28"/>
        <v>1.7436587013509221E-2</v>
      </c>
      <c r="H40" s="3">
        <f t="shared" si="28"/>
        <v>1.7436587013509221E-2</v>
      </c>
      <c r="I40" s="3">
        <f t="shared" si="28"/>
        <v>1.7436587013509221E-2</v>
      </c>
      <c r="J40" s="3">
        <f t="shared" si="28"/>
        <v>1.7436587013509221E-2</v>
      </c>
      <c r="K40" s="3">
        <f t="shared" si="28"/>
        <v>1.7436587013509221E-2</v>
      </c>
      <c r="L40" s="3">
        <f t="shared" si="28"/>
        <v>1.7436587013509221E-2</v>
      </c>
      <c r="M40" s="3">
        <f t="shared" si="28"/>
        <v>1.7436587013509218E-2</v>
      </c>
      <c r="N40" s="3">
        <f t="shared" si="28"/>
        <v>1.7436587013509204E-2</v>
      </c>
      <c r="O40" s="3">
        <f t="shared" si="28"/>
        <v>1.7436587013509048E-2</v>
      </c>
      <c r="P40" s="3">
        <f t="shared" si="27"/>
        <v>1.7436587013507476E-2</v>
      </c>
      <c r="Q40" s="3">
        <f t="shared" si="27"/>
        <v>1.7436587013491784E-2</v>
      </c>
      <c r="R40" s="3">
        <f t="shared" si="27"/>
        <v>1.7436587013334854E-2</v>
      </c>
      <c r="S40" s="3">
        <f t="shared" si="27"/>
        <v>1.7436587011765564E-2</v>
      </c>
      <c r="T40" s="3">
        <f t="shared" si="27"/>
        <v>1.7436586996072635E-2</v>
      </c>
      <c r="U40" s="3">
        <f t="shared" si="27"/>
        <v>1.7436586839143352E-2</v>
      </c>
      <c r="V40" s="3">
        <f t="shared" si="27"/>
        <v>1.7436585269850608E-2</v>
      </c>
      <c r="W40" s="3">
        <f t="shared" si="27"/>
        <v>1.7436569576930926E-2</v>
      </c>
      <c r="X40" s="3">
        <f t="shared" si="27"/>
        <v>1.7436412648510913E-2</v>
      </c>
      <c r="Y40" s="3">
        <f t="shared" si="27"/>
        <v>1.74348434419879E-2</v>
      </c>
      <c r="Z40" s="3">
        <f t="shared" si="27"/>
        <v>1.7419159141883848E-2</v>
      </c>
      <c r="AA40" s="3">
        <f t="shared" si="27"/>
        <v>1.7263090073877708E-2</v>
      </c>
      <c r="AB40" s="3">
        <f t="shared" si="27"/>
        <v>1.5777276372663025E-2</v>
      </c>
      <c r="AC40" s="3">
        <f t="shared" si="27"/>
        <v>6.4145618864670014E-3</v>
      </c>
      <c r="AD40" s="3">
        <f t="shared" si="27"/>
        <v>7.9161982571077424E-7</v>
      </c>
      <c r="AE40" s="3">
        <f t="shared" si="27"/>
        <v>6.4865428452752554E-46</v>
      </c>
      <c r="AF40" s="3">
        <f t="shared" si="29"/>
        <v>0</v>
      </c>
      <c r="AG40" s="3">
        <f t="shared" si="29"/>
        <v>0</v>
      </c>
      <c r="AH40" s="3">
        <f t="shared" si="29"/>
        <v>0</v>
      </c>
      <c r="AI40" s="3">
        <f t="shared" si="29"/>
        <v>0</v>
      </c>
      <c r="AJ40" s="3">
        <f t="shared" si="29"/>
        <v>0</v>
      </c>
    </row>
    <row r="41" spans="1:36" x14ac:dyDescent="0.25">
      <c r="A41" s="3">
        <f t="shared" si="30"/>
        <v>1000000000</v>
      </c>
      <c r="B41" s="17">
        <v>5.0965138186717901E-4</v>
      </c>
      <c r="C41" s="18">
        <f t="shared" si="3"/>
        <v>4.7217849635186409E-4</v>
      </c>
      <c r="D41" s="17"/>
      <c r="F41" s="3">
        <f t="shared" si="28"/>
        <v>4.7217849635186409E-4</v>
      </c>
      <c r="G41" s="3">
        <f t="shared" si="28"/>
        <v>4.7217849635186409E-4</v>
      </c>
      <c r="H41" s="3">
        <f t="shared" si="28"/>
        <v>4.7217849635186409E-4</v>
      </c>
      <c r="I41" s="3">
        <f t="shared" si="28"/>
        <v>4.7217849635186409E-4</v>
      </c>
      <c r="J41" s="3">
        <f t="shared" si="28"/>
        <v>4.7217849635186409E-4</v>
      </c>
      <c r="K41" s="3">
        <f t="shared" si="28"/>
        <v>4.7217849635186409E-4</v>
      </c>
      <c r="L41" s="3">
        <f t="shared" si="28"/>
        <v>4.7217849635186409E-4</v>
      </c>
      <c r="M41" s="3">
        <f t="shared" si="28"/>
        <v>4.7217849635186409E-4</v>
      </c>
      <c r="N41" s="3">
        <f t="shared" si="28"/>
        <v>4.7217849635186403E-4</v>
      </c>
      <c r="O41" s="3">
        <f t="shared" si="28"/>
        <v>4.721784963518636E-4</v>
      </c>
      <c r="P41" s="3">
        <f t="shared" si="27"/>
        <v>4.7217849635185937E-4</v>
      </c>
      <c r="Q41" s="3">
        <f t="shared" si="27"/>
        <v>4.7217849635181687E-4</v>
      </c>
      <c r="R41" s="3">
        <f t="shared" si="27"/>
        <v>4.7217849635139192E-4</v>
      </c>
      <c r="S41" s="3">
        <f t="shared" si="27"/>
        <v>4.7217849634714228E-4</v>
      </c>
      <c r="T41" s="3">
        <f t="shared" si="27"/>
        <v>4.7217849630464622E-4</v>
      </c>
      <c r="U41" s="3">
        <f t="shared" si="27"/>
        <v>4.7217849587968558E-4</v>
      </c>
      <c r="V41" s="3">
        <f t="shared" si="27"/>
        <v>4.7217849163007917E-4</v>
      </c>
      <c r="W41" s="3">
        <f t="shared" si="27"/>
        <v>4.7217844913401683E-4</v>
      </c>
      <c r="X41" s="3">
        <f t="shared" si="27"/>
        <v>4.7217802417360384E-4</v>
      </c>
      <c r="Y41" s="3">
        <f t="shared" si="27"/>
        <v>4.721737745905094E-4</v>
      </c>
      <c r="Z41" s="3">
        <f t="shared" si="27"/>
        <v>4.7213128086304271E-4</v>
      </c>
      <c r="AA41" s="3">
        <f t="shared" si="27"/>
        <v>4.7170655386608365E-4</v>
      </c>
      <c r="AB41" s="3">
        <f t="shared" si="27"/>
        <v>4.674802418130952E-4</v>
      </c>
      <c r="AC41" s="3">
        <f t="shared" si="27"/>
        <v>4.2724477149112242E-4</v>
      </c>
      <c r="AD41" s="3">
        <f t="shared" si="27"/>
        <v>1.7370476137109568E-4</v>
      </c>
      <c r="AE41" s="3">
        <f t="shared" si="27"/>
        <v>2.1436870569730342E-8</v>
      </c>
      <c r="AF41" s="3">
        <f t="shared" si="29"/>
        <v>1.7565398806722116E-47</v>
      </c>
      <c r="AG41" s="3">
        <f t="shared" si="29"/>
        <v>0</v>
      </c>
      <c r="AH41" s="3">
        <f t="shared" si="29"/>
        <v>0</v>
      </c>
      <c r="AI41" s="3">
        <f t="shared" si="29"/>
        <v>0</v>
      </c>
      <c r="AJ41" s="3">
        <f t="shared" si="29"/>
        <v>0</v>
      </c>
    </row>
    <row r="42" spans="1:36" x14ac:dyDescent="0.25">
      <c r="A42" s="3">
        <f t="shared" si="30"/>
        <v>10000000000</v>
      </c>
      <c r="B42" s="17">
        <v>4.2669981237968852E-3</v>
      </c>
      <c r="C42" s="18">
        <f t="shared" si="3"/>
        <v>3.9532606595692786E-3</v>
      </c>
      <c r="D42" s="17"/>
      <c r="F42" s="3">
        <f t="shared" si="28"/>
        <v>3.9532606595692786E-3</v>
      </c>
      <c r="G42" s="3">
        <f t="shared" si="28"/>
        <v>3.9532606595692786E-3</v>
      </c>
      <c r="H42" s="3">
        <f t="shared" si="28"/>
        <v>3.9532606595692786E-3</v>
      </c>
      <c r="I42" s="3">
        <f t="shared" si="28"/>
        <v>3.9532606595692786E-3</v>
      </c>
      <c r="J42" s="3">
        <f t="shared" si="28"/>
        <v>3.9532606595692786E-3</v>
      </c>
      <c r="K42" s="3">
        <f t="shared" si="28"/>
        <v>3.9532606595692786E-3</v>
      </c>
      <c r="L42" s="3">
        <f t="shared" si="28"/>
        <v>3.9532606595692786E-3</v>
      </c>
      <c r="M42" s="3">
        <f t="shared" si="28"/>
        <v>3.9532606595692786E-3</v>
      </c>
      <c r="N42" s="3">
        <f t="shared" si="28"/>
        <v>3.9532606595692786E-3</v>
      </c>
      <c r="O42" s="3">
        <f t="shared" si="28"/>
        <v>3.9532606595692778E-3</v>
      </c>
      <c r="P42" s="3">
        <f t="shared" si="27"/>
        <v>3.9532606595692743E-3</v>
      </c>
      <c r="Q42" s="3">
        <f t="shared" si="27"/>
        <v>3.9532606595692387E-3</v>
      </c>
      <c r="R42" s="3">
        <f t="shared" si="27"/>
        <v>3.9532606595688831E-3</v>
      </c>
      <c r="S42" s="3">
        <f t="shared" si="27"/>
        <v>3.9532606595653252E-3</v>
      </c>
      <c r="T42" s="3">
        <f t="shared" si="27"/>
        <v>3.953260659529746E-3</v>
      </c>
      <c r="U42" s="3">
        <f t="shared" si="27"/>
        <v>3.9532606591739525E-3</v>
      </c>
      <c r="V42" s="3">
        <f t="shared" si="27"/>
        <v>3.9532606556160182E-3</v>
      </c>
      <c r="W42" s="3">
        <f t="shared" si="27"/>
        <v>3.9532606200366723E-3</v>
      </c>
      <c r="X42" s="3">
        <f t="shared" si="27"/>
        <v>3.9532602642432324E-3</v>
      </c>
      <c r="Y42" s="3">
        <f t="shared" si="27"/>
        <v>3.9532567063105956E-3</v>
      </c>
      <c r="Z42" s="3">
        <f t="shared" si="27"/>
        <v>3.9532211271603454E-3</v>
      </c>
      <c r="AA42" s="3">
        <f t="shared" si="27"/>
        <v>3.952865353268966E-3</v>
      </c>
      <c r="AB42" s="3">
        <f t="shared" si="27"/>
        <v>3.9493093748813272E-3</v>
      </c>
      <c r="AC42" s="3">
        <f t="shared" si="27"/>
        <v>3.9139250587736912E-3</v>
      </c>
      <c r="AD42" s="3">
        <f t="shared" si="27"/>
        <v>3.5770581680278006E-3</v>
      </c>
      <c r="AE42" s="3">
        <f t="shared" si="27"/>
        <v>1.4543233222473937E-3</v>
      </c>
      <c r="AF42" s="3">
        <f t="shared" si="29"/>
        <v>1.7947775627723979E-7</v>
      </c>
      <c r="AG42" s="3">
        <f t="shared" si="29"/>
        <v>1.4706430006611958E-46</v>
      </c>
      <c r="AH42" s="3">
        <f t="shared" si="29"/>
        <v>0</v>
      </c>
      <c r="AI42" s="3">
        <f t="shared" si="29"/>
        <v>0</v>
      </c>
      <c r="AJ42" s="3">
        <f t="shared" si="29"/>
        <v>0</v>
      </c>
    </row>
    <row r="43" spans="1:36" x14ac:dyDescent="0.25">
      <c r="A43" s="3">
        <f t="shared" si="30"/>
        <v>100000000000</v>
      </c>
      <c r="B43" s="17">
        <v>4.539488151425836E-7</v>
      </c>
      <c r="C43" s="18">
        <f t="shared" si="3"/>
        <v>4.2057154474780992E-7</v>
      </c>
      <c r="D43" s="17"/>
      <c r="F43" s="3">
        <f t="shared" si="28"/>
        <v>4.2057154474780992E-7</v>
      </c>
      <c r="G43" s="3">
        <f t="shared" si="28"/>
        <v>4.2057154474780992E-7</v>
      </c>
      <c r="H43" s="3">
        <f t="shared" si="28"/>
        <v>4.2057154474780992E-7</v>
      </c>
      <c r="I43" s="3">
        <f t="shared" si="28"/>
        <v>4.2057154474780992E-7</v>
      </c>
      <c r="J43" s="3">
        <f t="shared" si="28"/>
        <v>4.2057154474780992E-7</v>
      </c>
      <c r="K43" s="3">
        <f t="shared" si="28"/>
        <v>4.2057154474780992E-7</v>
      </c>
      <c r="L43" s="3">
        <f t="shared" si="28"/>
        <v>4.2057154474780992E-7</v>
      </c>
      <c r="M43" s="3">
        <f t="shared" si="28"/>
        <v>4.2057154474780992E-7</v>
      </c>
      <c r="N43" s="3">
        <f t="shared" si="28"/>
        <v>4.2057154474780992E-7</v>
      </c>
      <c r="O43" s="3">
        <f t="shared" si="28"/>
        <v>4.2057154474780992E-7</v>
      </c>
      <c r="P43" s="3">
        <f t="shared" si="27"/>
        <v>4.2057154474780987E-7</v>
      </c>
      <c r="Q43" s="3">
        <f t="shared" si="27"/>
        <v>4.205715447478095E-7</v>
      </c>
      <c r="R43" s="3">
        <f t="shared" si="27"/>
        <v>4.2057154474780574E-7</v>
      </c>
      <c r="S43" s="3">
        <f t="shared" si="27"/>
        <v>4.2057154474776784E-7</v>
      </c>
      <c r="T43" s="3">
        <f t="shared" si="27"/>
        <v>4.2057154474738937E-7</v>
      </c>
      <c r="U43" s="3">
        <f t="shared" si="27"/>
        <v>4.2057154474360419E-7</v>
      </c>
      <c r="V43" s="3">
        <f t="shared" si="27"/>
        <v>4.2057154470575278E-7</v>
      </c>
      <c r="W43" s="3">
        <f t="shared" si="27"/>
        <v>4.2057154432723837E-7</v>
      </c>
      <c r="X43" s="3">
        <f t="shared" si="27"/>
        <v>4.2057154054209451E-7</v>
      </c>
      <c r="Y43" s="3">
        <f t="shared" si="27"/>
        <v>4.2057150269065755E-7</v>
      </c>
      <c r="Z43" s="3">
        <f t="shared" si="27"/>
        <v>4.2057112417647546E-7</v>
      </c>
      <c r="AA43" s="3">
        <f t="shared" si="27"/>
        <v>4.2056733905339097E-7</v>
      </c>
      <c r="AB43" s="3">
        <f t="shared" si="27"/>
        <v>4.2052948969612277E-7</v>
      </c>
      <c r="AC43" s="3">
        <f t="shared" si="27"/>
        <v>4.2015118341875675E-7</v>
      </c>
      <c r="AD43" s="3">
        <f t="shared" si="27"/>
        <v>4.1638678795720004E-7</v>
      </c>
      <c r="AE43" s="3">
        <f t="shared" si="27"/>
        <v>3.8054887064900335E-7</v>
      </c>
      <c r="AF43" s="3">
        <f t="shared" si="29"/>
        <v>1.5471962485443457E-7</v>
      </c>
      <c r="AG43" s="3">
        <f t="shared" si="29"/>
        <v>1.9093918591650325E-11</v>
      </c>
      <c r="AH43" s="3">
        <f t="shared" si="29"/>
        <v>1.5645580998142998E-50</v>
      </c>
      <c r="AI43" s="3">
        <f t="shared" si="29"/>
        <v>0</v>
      </c>
      <c r="AJ43" s="3">
        <f t="shared" si="29"/>
        <v>0</v>
      </c>
    </row>
    <row r="44" spans="1:36" x14ac:dyDescent="0.25">
      <c r="A44" s="3">
        <f t="shared" si="30"/>
        <v>1000000000000</v>
      </c>
      <c r="B44" s="17">
        <v>2.0157861882787772E-5</v>
      </c>
      <c r="C44" s="18">
        <f t="shared" si="3"/>
        <v>1.8675724725031384E-5</v>
      </c>
      <c r="D44" s="17"/>
      <c r="F44" s="3">
        <f t="shared" si="28"/>
        <v>1.8675724725031384E-5</v>
      </c>
      <c r="G44" s="3">
        <f t="shared" si="28"/>
        <v>1.8675724725031384E-5</v>
      </c>
      <c r="H44" s="3">
        <f t="shared" si="28"/>
        <v>1.8675724725031384E-5</v>
      </c>
      <c r="I44" s="3">
        <f t="shared" si="28"/>
        <v>1.8675724725031384E-5</v>
      </c>
      <c r="J44" s="3">
        <f t="shared" si="28"/>
        <v>1.8675724725031384E-5</v>
      </c>
      <c r="K44" s="3">
        <f t="shared" si="28"/>
        <v>1.8675724725031384E-5</v>
      </c>
      <c r="L44" s="3">
        <f t="shared" si="28"/>
        <v>1.8675724725031384E-5</v>
      </c>
      <c r="M44" s="3">
        <f t="shared" si="28"/>
        <v>1.8675724725031384E-5</v>
      </c>
      <c r="N44" s="3">
        <f t="shared" si="28"/>
        <v>1.8675724725031384E-5</v>
      </c>
      <c r="O44" s="3">
        <f t="shared" si="28"/>
        <v>1.8675724725031384E-5</v>
      </c>
      <c r="P44" s="3">
        <f t="shared" si="27"/>
        <v>1.8675724725031384E-5</v>
      </c>
      <c r="Q44" s="3">
        <f t="shared" si="27"/>
        <v>1.867572472503138E-5</v>
      </c>
      <c r="R44" s="3">
        <f t="shared" si="27"/>
        <v>1.8675724725031363E-5</v>
      </c>
      <c r="S44" s="3">
        <f t="shared" si="27"/>
        <v>1.8675724725031197E-5</v>
      </c>
      <c r="T44" s="3">
        <f t="shared" si="27"/>
        <v>1.8675724725029517E-5</v>
      </c>
      <c r="U44" s="3">
        <f t="shared" si="27"/>
        <v>1.8675724725012708E-5</v>
      </c>
      <c r="V44" s="3">
        <f t="shared" si="27"/>
        <v>1.8675724724844627E-5</v>
      </c>
      <c r="W44" s="3">
        <f t="shared" si="27"/>
        <v>1.8675724723163812E-5</v>
      </c>
      <c r="X44" s="3">
        <f t="shared" si="27"/>
        <v>1.8675724706355659E-5</v>
      </c>
      <c r="Y44" s="3">
        <f t="shared" si="27"/>
        <v>1.8675724538274138E-5</v>
      </c>
      <c r="Z44" s="3">
        <f t="shared" si="27"/>
        <v>1.8675722857459006E-5</v>
      </c>
      <c r="AA44" s="3">
        <f t="shared" si="27"/>
        <v>1.8675706049315998E-5</v>
      </c>
      <c r="AB44" s="3">
        <f t="shared" si="27"/>
        <v>1.8675537968717916E-5</v>
      </c>
      <c r="AC44" s="3">
        <f t="shared" si="27"/>
        <v>1.8673857245934393E-5</v>
      </c>
      <c r="AD44" s="3">
        <f t="shared" si="27"/>
        <v>1.8657058335056872E-5</v>
      </c>
      <c r="AE44" s="3">
        <f t="shared" si="27"/>
        <v>1.8489898159162551E-5</v>
      </c>
      <c r="AF44" s="3">
        <f t="shared" si="29"/>
        <v>1.6898494540147728E-5</v>
      </c>
      <c r="AG44" s="3">
        <f t="shared" si="29"/>
        <v>6.8704151753162338E-6</v>
      </c>
      <c r="AH44" s="3">
        <f t="shared" si="29"/>
        <v>8.4787659077992656E-10</v>
      </c>
      <c r="AI44" s="3">
        <f t="shared" si="29"/>
        <v>6.9475114884367591E-49</v>
      </c>
      <c r="AJ44" s="3">
        <f t="shared" si="29"/>
        <v>0</v>
      </c>
    </row>
    <row r="45" spans="1:36" x14ac:dyDescent="0.25">
      <c r="A45" s="3">
        <f t="shared" si="30"/>
        <v>10000000000000</v>
      </c>
      <c r="B45" s="17">
        <v>7.0785641280178267E-8</v>
      </c>
      <c r="C45" s="18">
        <f t="shared" si="3"/>
        <v>6.5581020384023116E-8</v>
      </c>
      <c r="D45" s="17"/>
      <c r="F45" s="3">
        <f t="shared" si="28"/>
        <v>6.5581020384023116E-8</v>
      </c>
      <c r="G45" s="3">
        <f t="shared" si="28"/>
        <v>6.5581020384023116E-8</v>
      </c>
      <c r="H45" s="3">
        <f t="shared" si="28"/>
        <v>6.5581020384023116E-8</v>
      </c>
      <c r="I45" s="3">
        <f t="shared" si="28"/>
        <v>6.5581020384023116E-8</v>
      </c>
      <c r="J45" s="3">
        <f t="shared" si="28"/>
        <v>6.5581020384023116E-8</v>
      </c>
      <c r="K45" s="3">
        <f t="shared" si="28"/>
        <v>6.5581020384023116E-8</v>
      </c>
      <c r="L45" s="3">
        <f t="shared" si="28"/>
        <v>6.5581020384023116E-8</v>
      </c>
      <c r="M45" s="3">
        <f t="shared" si="28"/>
        <v>6.5581020384023116E-8</v>
      </c>
      <c r="N45" s="3">
        <f t="shared" si="28"/>
        <v>6.5581020384023116E-8</v>
      </c>
      <c r="O45" s="3">
        <f t="shared" si="28"/>
        <v>6.5581020384023116E-8</v>
      </c>
      <c r="P45" s="3">
        <f t="shared" si="27"/>
        <v>6.5581020384023116E-8</v>
      </c>
      <c r="Q45" s="3">
        <f t="shared" si="27"/>
        <v>6.5581020384023116E-8</v>
      </c>
      <c r="R45" s="3">
        <f t="shared" si="27"/>
        <v>6.5581020384023102E-8</v>
      </c>
      <c r="S45" s="3">
        <f t="shared" si="27"/>
        <v>6.5581020384023049E-8</v>
      </c>
      <c r="T45" s="3">
        <f t="shared" si="27"/>
        <v>6.5581020384022454E-8</v>
      </c>
      <c r="U45" s="3">
        <f t="shared" si="27"/>
        <v>6.5581020384016551E-8</v>
      </c>
      <c r="V45" s="3">
        <f t="shared" si="27"/>
        <v>6.5581020383957537E-8</v>
      </c>
      <c r="W45" s="3">
        <f t="shared" si="27"/>
        <v>6.55810203833673E-8</v>
      </c>
      <c r="X45" s="3">
        <f t="shared" si="27"/>
        <v>6.5581020377465016E-8</v>
      </c>
      <c r="Y45" s="3">
        <f t="shared" si="27"/>
        <v>6.5581020318442093E-8</v>
      </c>
      <c r="Z45" s="3">
        <f t="shared" si="27"/>
        <v>6.5581019728212912E-8</v>
      </c>
      <c r="AA45" s="3">
        <f t="shared" si="27"/>
        <v>6.558101382592141E-8</v>
      </c>
      <c r="AB45" s="3">
        <f t="shared" si="27"/>
        <v>6.5580954803035517E-8</v>
      </c>
      <c r="AC45" s="3">
        <f t="shared" si="27"/>
        <v>6.558036457709831E-8</v>
      </c>
      <c r="AD45" s="3">
        <f t="shared" si="27"/>
        <v>6.5574462609878886E-8</v>
      </c>
      <c r="AE45" s="3">
        <f t="shared" si="27"/>
        <v>6.5515472143221843E-8</v>
      </c>
      <c r="AF45" s="3">
        <f t="shared" si="29"/>
        <v>6.4928478328302887E-8</v>
      </c>
      <c r="AG45" s="3">
        <f t="shared" si="29"/>
        <v>5.9340161156443103E-8</v>
      </c>
      <c r="AH45" s="3">
        <f t="shared" si="29"/>
        <v>2.4125909130327392E-8</v>
      </c>
      <c r="AI45" s="3">
        <f t="shared" si="29"/>
        <v>2.977373719186737E-12</v>
      </c>
      <c r="AJ45" s="3">
        <f t="shared" si="29"/>
        <v>2.4396637841353715E-51</v>
      </c>
    </row>
    <row r="46" spans="1:36" x14ac:dyDescent="0.25">
      <c r="A46" s="3">
        <f t="shared" si="30"/>
        <v>100000000000000</v>
      </c>
      <c r="B46" s="17">
        <v>7.8816990263636332E-8</v>
      </c>
      <c r="C46" s="18">
        <f t="shared" si="3"/>
        <v>7.3021852336235098E-8</v>
      </c>
      <c r="D46" s="17"/>
      <c r="F46" s="3">
        <f t="shared" si="28"/>
        <v>7.3021852336235098E-8</v>
      </c>
      <c r="G46" s="3">
        <f t="shared" si="28"/>
        <v>7.3021852336235098E-8</v>
      </c>
      <c r="H46" s="3">
        <f t="shared" si="28"/>
        <v>7.3021852336235098E-8</v>
      </c>
      <c r="I46" s="3">
        <f t="shared" si="28"/>
        <v>7.3021852336235098E-8</v>
      </c>
      <c r="J46" s="3">
        <f t="shared" si="28"/>
        <v>7.3021852336235098E-8</v>
      </c>
      <c r="K46" s="3">
        <f t="shared" si="28"/>
        <v>7.3021852336235098E-8</v>
      </c>
      <c r="L46" s="3">
        <f t="shared" si="28"/>
        <v>7.3021852336235098E-8</v>
      </c>
      <c r="M46" s="3">
        <f t="shared" si="28"/>
        <v>7.3021852336235098E-8</v>
      </c>
      <c r="N46" s="3">
        <f t="shared" si="28"/>
        <v>7.3021852336235098E-8</v>
      </c>
      <c r="O46" s="3">
        <f t="shared" si="28"/>
        <v>7.3021852336235098E-8</v>
      </c>
      <c r="P46" s="3">
        <f t="shared" si="27"/>
        <v>7.3021852336235098E-8</v>
      </c>
      <c r="Q46" s="3">
        <f t="shared" si="27"/>
        <v>7.3021852336235098E-8</v>
      </c>
      <c r="R46" s="3">
        <f t="shared" si="27"/>
        <v>7.3021852336235098E-8</v>
      </c>
      <c r="S46" s="3">
        <f t="shared" si="27"/>
        <v>7.3021852336235085E-8</v>
      </c>
      <c r="T46" s="3">
        <f t="shared" si="27"/>
        <v>7.3021852336235019E-8</v>
      </c>
      <c r="U46" s="3">
        <f t="shared" si="27"/>
        <v>7.302185233623437E-8</v>
      </c>
      <c r="V46" s="3">
        <f t="shared" si="27"/>
        <v>7.3021852336227792E-8</v>
      </c>
      <c r="W46" s="3">
        <f t="shared" si="27"/>
        <v>7.3021852336162081E-8</v>
      </c>
      <c r="X46" s="3">
        <f t="shared" si="27"/>
        <v>7.3021852335504876E-8</v>
      </c>
      <c r="Y46" s="3">
        <f t="shared" si="27"/>
        <v>7.3021852328932906E-8</v>
      </c>
      <c r="Z46" s="3">
        <f t="shared" si="27"/>
        <v>7.3021852263213248E-8</v>
      </c>
      <c r="AA46" s="3">
        <f t="shared" si="27"/>
        <v>7.3021851606016584E-8</v>
      </c>
      <c r="AB46" s="3">
        <f t="shared" si="27"/>
        <v>7.3021845034050232E-8</v>
      </c>
      <c r="AC46" s="3">
        <f t="shared" si="27"/>
        <v>7.3021779314419275E-8</v>
      </c>
      <c r="AD46" s="3">
        <f t="shared" si="27"/>
        <v>7.302112212136281E-8</v>
      </c>
      <c r="AE46" s="3">
        <f t="shared" si="27"/>
        <v>7.3014550516098569E-8</v>
      </c>
      <c r="AF46" s="3">
        <f t="shared" si="29"/>
        <v>7.2948866982657762E-8</v>
      </c>
      <c r="AG46" s="3">
        <f t="shared" si="29"/>
        <v>7.2295272765545857E-8</v>
      </c>
      <c r="AH46" s="3">
        <f t="shared" si="29"/>
        <v>6.6072904328122069E-8</v>
      </c>
      <c r="AI46" s="3">
        <f t="shared" si="29"/>
        <v>2.6863238230757748E-8</v>
      </c>
      <c r="AJ46" s="3">
        <f t="shared" si="29"/>
        <v>3.3151869671916141E-12</v>
      </c>
    </row>
    <row r="47" spans="1:36" x14ac:dyDescent="0.25">
      <c r="A47" s="3">
        <f t="shared" si="30"/>
        <v>1000000000000000</v>
      </c>
      <c r="B47" s="17">
        <v>1.2552560434588396E-6</v>
      </c>
      <c r="C47" s="18">
        <f t="shared" si="3"/>
        <v>1.1629614521313135E-6</v>
      </c>
      <c r="D47" s="17"/>
      <c r="F47" s="3">
        <f t="shared" si="28"/>
        <v>1.1629614521313135E-6</v>
      </c>
      <c r="G47" s="3">
        <f t="shared" si="28"/>
        <v>1.1629614521313135E-6</v>
      </c>
      <c r="H47" s="3">
        <f t="shared" si="28"/>
        <v>1.1629614521313135E-6</v>
      </c>
      <c r="I47" s="3">
        <f t="shared" si="28"/>
        <v>1.1629614521313135E-6</v>
      </c>
      <c r="J47" s="3">
        <f t="shared" si="28"/>
        <v>1.1629614521313135E-6</v>
      </c>
      <c r="K47" s="3">
        <f t="shared" si="28"/>
        <v>1.1629614521313135E-6</v>
      </c>
      <c r="L47" s="3">
        <f t="shared" si="28"/>
        <v>1.1629614521313135E-6</v>
      </c>
      <c r="M47" s="3">
        <f t="shared" si="28"/>
        <v>1.1629614521313135E-6</v>
      </c>
      <c r="N47" s="3">
        <f t="shared" si="28"/>
        <v>1.1629614521313135E-6</v>
      </c>
      <c r="O47" s="3">
        <f t="shared" si="28"/>
        <v>1.1629614521313135E-6</v>
      </c>
      <c r="P47" s="3">
        <f t="shared" si="27"/>
        <v>1.1629614521313135E-6</v>
      </c>
      <c r="Q47" s="3">
        <f t="shared" si="27"/>
        <v>1.1629614521313135E-6</v>
      </c>
      <c r="R47" s="3">
        <f t="shared" si="27"/>
        <v>1.1629614521313135E-6</v>
      </c>
      <c r="S47" s="3">
        <f t="shared" si="27"/>
        <v>1.1629614521313135E-6</v>
      </c>
      <c r="T47" s="3">
        <f t="shared" si="27"/>
        <v>1.1629614521313132E-6</v>
      </c>
      <c r="U47" s="3">
        <f t="shared" si="27"/>
        <v>1.1629614521313124E-6</v>
      </c>
      <c r="V47" s="3">
        <f t="shared" si="27"/>
        <v>1.1629614521313018E-6</v>
      </c>
      <c r="W47" s="3">
        <f t="shared" si="27"/>
        <v>1.1629614521311972E-6</v>
      </c>
      <c r="X47" s="3">
        <f t="shared" si="27"/>
        <v>1.1629614521301505E-6</v>
      </c>
      <c r="Y47" s="3">
        <f t="shared" si="27"/>
        <v>1.1629614521196839E-6</v>
      </c>
      <c r="Z47" s="3">
        <f t="shared" si="27"/>
        <v>1.1629614520150173E-6</v>
      </c>
      <c r="AA47" s="3">
        <f t="shared" si="27"/>
        <v>1.162961450968352E-6</v>
      </c>
      <c r="AB47" s="3">
        <f t="shared" si="27"/>
        <v>1.1629614405016991E-6</v>
      </c>
      <c r="AC47" s="3">
        <f t="shared" si="27"/>
        <v>1.162961335835174E-6</v>
      </c>
      <c r="AD47" s="3">
        <f t="shared" si="27"/>
        <v>1.1629602891704429E-6</v>
      </c>
      <c r="AE47" s="3">
        <f t="shared" si="27"/>
        <v>1.1629498225749399E-6</v>
      </c>
      <c r="AF47" s="3">
        <f t="shared" si="29"/>
        <v>1.1628451618007137E-6</v>
      </c>
      <c r="AG47" s="3">
        <f t="shared" si="29"/>
        <v>1.1617990719661298E-6</v>
      </c>
      <c r="AH47" s="3">
        <f t="shared" si="29"/>
        <v>1.151389792339298E-6</v>
      </c>
      <c r="AI47" s="3">
        <f t="shared" si="29"/>
        <v>1.0522910376218478E-6</v>
      </c>
      <c r="AJ47" s="3">
        <f t="shared" si="29"/>
        <v>4.2782960911399666E-7</v>
      </c>
    </row>
    <row r="48" spans="1:36" x14ac:dyDescent="0.25">
      <c r="A48" s="3">
        <f t="shared" si="30"/>
        <v>1E+16</v>
      </c>
      <c r="B48" s="17">
        <v>5.3282722716982956E-7</v>
      </c>
      <c r="C48" s="18">
        <f t="shared" si="3"/>
        <v>4.9365030271996854E-7</v>
      </c>
      <c r="D48" s="17"/>
      <c r="F48" s="3">
        <f t="shared" si="28"/>
        <v>4.9365030271996854E-7</v>
      </c>
      <c r="G48" s="3">
        <f t="shared" si="28"/>
        <v>4.9365030271996854E-7</v>
      </c>
      <c r="H48" s="3">
        <f t="shared" si="28"/>
        <v>4.9365030271996854E-7</v>
      </c>
      <c r="I48" s="3">
        <f t="shared" si="28"/>
        <v>4.9365030271996854E-7</v>
      </c>
      <c r="J48" s="3">
        <f t="shared" si="28"/>
        <v>4.9365030271996854E-7</v>
      </c>
      <c r="K48" s="3">
        <f t="shared" si="28"/>
        <v>4.9365030271996854E-7</v>
      </c>
      <c r="L48" s="3">
        <f t="shared" si="28"/>
        <v>4.9365030271996854E-7</v>
      </c>
      <c r="M48" s="3">
        <f t="shared" si="28"/>
        <v>4.9365030271996854E-7</v>
      </c>
      <c r="N48" s="3">
        <f t="shared" si="28"/>
        <v>4.9365030271996854E-7</v>
      </c>
      <c r="O48" s="3">
        <f t="shared" si="28"/>
        <v>4.9365030271996854E-7</v>
      </c>
      <c r="P48" s="3">
        <f t="shared" si="27"/>
        <v>4.9365030271996854E-7</v>
      </c>
      <c r="Q48" s="3">
        <f t="shared" si="27"/>
        <v>4.9365030271996854E-7</v>
      </c>
      <c r="R48" s="3">
        <f t="shared" si="27"/>
        <v>4.9365030271996854E-7</v>
      </c>
      <c r="S48" s="3">
        <f t="shared" si="27"/>
        <v>4.9365030271996854E-7</v>
      </c>
      <c r="T48" s="3">
        <f t="shared" si="27"/>
        <v>4.9365030271996854E-7</v>
      </c>
      <c r="U48" s="3">
        <f t="shared" si="27"/>
        <v>4.9365030271996844E-7</v>
      </c>
      <c r="V48" s="3">
        <f t="shared" si="27"/>
        <v>4.9365030271996801E-7</v>
      </c>
      <c r="W48" s="3">
        <f t="shared" si="27"/>
        <v>4.9365030271996357E-7</v>
      </c>
      <c r="X48" s="3">
        <f t="shared" si="27"/>
        <v>4.936503027199192E-7</v>
      </c>
      <c r="Y48" s="3">
        <f t="shared" si="27"/>
        <v>4.9365030271947493E-7</v>
      </c>
      <c r="Z48" s="3">
        <f t="shared" si="27"/>
        <v>4.9365030271503203E-7</v>
      </c>
      <c r="AA48" s="3">
        <f t="shared" si="27"/>
        <v>4.9365030267060346E-7</v>
      </c>
      <c r="AB48" s="3">
        <f t="shared" si="27"/>
        <v>4.9365030222631827E-7</v>
      </c>
      <c r="AC48" s="3">
        <f t="shared" si="27"/>
        <v>4.936502977834655E-7</v>
      </c>
      <c r="AD48" s="3">
        <f t="shared" si="27"/>
        <v>4.9365025335494079E-7</v>
      </c>
      <c r="AE48" s="3">
        <f t="shared" si="27"/>
        <v>4.936498090699127E-7</v>
      </c>
      <c r="AF48" s="3">
        <f t="shared" si="29"/>
        <v>4.9364536624162372E-7</v>
      </c>
      <c r="AG48" s="3">
        <f t="shared" si="29"/>
        <v>4.9360094015786581E-7</v>
      </c>
      <c r="AH48" s="3">
        <f t="shared" si="29"/>
        <v>4.9315689916014548E-7</v>
      </c>
      <c r="AI48" s="3">
        <f t="shared" si="29"/>
        <v>4.8873840013813131E-7</v>
      </c>
      <c r="AJ48" s="3">
        <f t="shared" si="29"/>
        <v>4.4667326532580614E-7</v>
      </c>
    </row>
    <row r="49" spans="1:36" x14ac:dyDescent="0.25">
      <c r="B49" s="16">
        <f>SUM(B17:B48)</f>
        <v>1.079361694369475</v>
      </c>
      <c r="C49" s="18">
        <f>SUM(C17:C48)</f>
        <v>0.99999999999999967</v>
      </c>
      <c r="F49" s="3">
        <f t="shared" ref="F49:AJ49" si="31">F16-F17</f>
        <v>-0.30635550543138379</v>
      </c>
      <c r="G49" s="3">
        <f t="shared" si="31"/>
        <v>-0.26800460434060369</v>
      </c>
      <c r="H49" s="3">
        <f t="shared" si="31"/>
        <v>-0.27407935085193458</v>
      </c>
      <c r="I49" s="3">
        <f t="shared" si="31"/>
        <v>-0.12063396852408914</v>
      </c>
      <c r="J49" s="3">
        <f t="shared" si="31"/>
        <v>1.1890805434759386</v>
      </c>
      <c r="K49" s="3">
        <f t="shared" si="31"/>
        <v>-0.25696248675103561</v>
      </c>
      <c r="L49" s="3">
        <f t="shared" si="31"/>
        <v>-2.9692633442209626E-2</v>
      </c>
      <c r="M49" s="3">
        <f t="shared" si="31"/>
        <v>0.12545924523237773</v>
      </c>
      <c r="N49" s="3">
        <f t="shared" si="31"/>
        <v>-0.28000860879456013</v>
      </c>
      <c r="O49" s="3">
        <f t="shared" si="31"/>
        <v>0.54871997831287445</v>
      </c>
      <c r="P49" s="3">
        <f t="shared" si="31"/>
        <v>-0.9035306879595737</v>
      </c>
      <c r="Q49" s="3">
        <f t="shared" si="31"/>
        <v>1.2553873019933235</v>
      </c>
      <c r="R49" s="3">
        <f t="shared" si="31"/>
        <v>-1.475427134826532</v>
      </c>
      <c r="S49" s="3">
        <f t="shared" si="31"/>
        <v>1.4603901659711482</v>
      </c>
      <c r="T49" s="3">
        <f t="shared" si="31"/>
        <v>-1.233900771538174</v>
      </c>
      <c r="U49" s="3">
        <f t="shared" si="31"/>
        <v>0.91341998403277103</v>
      </c>
      <c r="V49" s="3">
        <f t="shared" si="31"/>
        <v>-0.59276096911025888</v>
      </c>
      <c r="W49" s="3">
        <f t="shared" si="31"/>
        <v>0.3218176906948429</v>
      </c>
      <c r="X49" s="3">
        <f t="shared" si="31"/>
        <v>-0.15105048031045953</v>
      </c>
      <c r="Y49" s="3">
        <f t="shared" si="31"/>
        <v>3.9829973268524554E-2</v>
      </c>
      <c r="Z49" s="3">
        <f t="shared" si="31"/>
        <v>9.1642144268462289E-3</v>
      </c>
      <c r="AA49" s="3">
        <f t="shared" si="31"/>
        <v>-6.7122736928695304E-3</v>
      </c>
      <c r="AB49" s="3">
        <f t="shared" si="31"/>
        <v>-2.7745145793005577E-3</v>
      </c>
      <c r="AC49" s="3">
        <f t="shared" si="31"/>
        <v>2.6462992858171219E-2</v>
      </c>
      <c r="AD49" s="3">
        <f t="shared" si="31"/>
        <v>-1.2465429048802434E-4</v>
      </c>
      <c r="AE49" s="3">
        <f t="shared" si="31"/>
        <v>-2.4405906686837398E-2</v>
      </c>
      <c r="AF49" s="3">
        <f t="shared" si="31"/>
        <v>2.7257167026718321E-2</v>
      </c>
      <c r="AG49" s="3">
        <f t="shared" si="31"/>
        <v>-3.1709254033444267E-2</v>
      </c>
      <c r="AH49" s="3">
        <f t="shared" si="31"/>
        <v>7.3212673222116109E-3</v>
      </c>
      <c r="AI49" s="3">
        <f t="shared" si="31"/>
        <v>6.6235031749783957E-3</v>
      </c>
      <c r="AJ49" s="3">
        <f t="shared" si="31"/>
        <v>9.1952731984719094E-3</v>
      </c>
    </row>
    <row r="50" spans="1:36" x14ac:dyDescent="0.25">
      <c r="F50" s="57">
        <f t="shared" ref="F50:AJ50" si="32">F49/F17</f>
        <v>-5.1775496513002037E-5</v>
      </c>
      <c r="G50" s="57">
        <f t="shared" si="32"/>
        <v>-4.5294072104001965E-5</v>
      </c>
      <c r="H50" s="57">
        <f t="shared" si="32"/>
        <v>-4.6321297257262925E-5</v>
      </c>
      <c r="I50" s="57">
        <f t="shared" si="32"/>
        <v>-2.0390438153543632E-5</v>
      </c>
      <c r="J50" s="57">
        <f t="shared" si="32"/>
        <v>2.0121726669401462E-4</v>
      </c>
      <c r="K50" s="57">
        <f t="shared" si="32"/>
        <v>-4.3810642221484925E-5</v>
      </c>
      <c r="L50" s="57">
        <f t="shared" si="32"/>
        <v>-5.1887476381567911E-6</v>
      </c>
      <c r="M50" s="57">
        <f t="shared" si="32"/>
        <v>2.2496477094868104E-5</v>
      </c>
      <c r="N50" s="57">
        <f t="shared" si="32"/>
        <v>-5.1749431203420323E-5</v>
      </c>
      <c r="O50" s="57">
        <f t="shared" si="32"/>
        <v>1.0520787435251107E-4</v>
      </c>
      <c r="P50" s="57">
        <f t="shared" si="32"/>
        <v>-1.8000846938950977E-4</v>
      </c>
      <c r="Q50" s="57">
        <f t="shared" si="32"/>
        <v>2.6318184667177888E-4</v>
      </c>
      <c r="R50" s="57">
        <f t="shared" si="32"/>
        <v>-3.2760073307204815E-4</v>
      </c>
      <c r="S50" s="57">
        <f t="shared" si="32"/>
        <v>3.4455907776668256E-4</v>
      </c>
      <c r="T50" s="57">
        <f t="shared" si="32"/>
        <v>-3.1161299523775577E-4</v>
      </c>
      <c r="U50" s="57">
        <f t="shared" si="32"/>
        <v>2.4964663013544498E-4</v>
      </c>
      <c r="V50" s="57">
        <f t="shared" si="32"/>
        <v>-1.8134351403519146E-4</v>
      </c>
      <c r="W50" s="57">
        <f t="shared" si="32"/>
        <v>1.1623657627444142E-4</v>
      </c>
      <c r="X50" s="57">
        <f t="shared" si="32"/>
        <v>-6.8511433441246987E-5</v>
      </c>
      <c r="Y50" s="57">
        <f t="shared" si="32"/>
        <v>2.5106917083234287E-5</v>
      </c>
      <c r="Z50" s="57">
        <f t="shared" si="32"/>
        <v>9.1640849065161295E-6</v>
      </c>
      <c r="AA50" s="57">
        <f t="shared" si="32"/>
        <v>-1.165298349657552E-5</v>
      </c>
      <c r="AB50" s="57">
        <f t="shared" si="32"/>
        <v>-8.6217828315326154E-6</v>
      </c>
      <c r="AC50" s="57">
        <f t="shared" si="32"/>
        <v>1.4085702002523465E-4</v>
      </c>
      <c r="AD50" s="57">
        <f t="shared" si="32"/>
        <v>-8.5190260134396447E-7</v>
      </c>
      <c r="AE50" s="57">
        <f t="shared" si="32"/>
        <v>-1.8391793133517377E-4</v>
      </c>
      <c r="AF50" s="57">
        <f t="shared" si="32"/>
        <v>2.1969997130192679E-4</v>
      </c>
      <c r="AG50" s="57">
        <f t="shared" si="32"/>
        <v>-2.5571171887185125E-4</v>
      </c>
      <c r="AH50" s="57">
        <f t="shared" si="32"/>
        <v>5.9060165687526111E-5</v>
      </c>
      <c r="AI50" s="57">
        <f t="shared" si="32"/>
        <v>5.3431778422151489E-5</v>
      </c>
      <c r="AJ50" s="57">
        <f t="shared" si="32"/>
        <v>7.418069951339122E-5</v>
      </c>
    </row>
    <row r="51" spans="1:36" x14ac:dyDescent="0.25">
      <c r="A51" s="13" t="s">
        <v>21</v>
      </c>
      <c r="B51" s="3">
        <f>STUTT!D8</f>
        <v>5930.4079000000002</v>
      </c>
      <c r="E51" s="11" t="s">
        <v>24</v>
      </c>
      <c r="F51" s="20">
        <f t="shared" ref="F51:AJ51" si="33">(F16-F17)^2</f>
        <v>9.385369570811862E-2</v>
      </c>
      <c r="G51" s="20">
        <f t="shared" si="33"/>
        <v>7.1826467947763525E-2</v>
      </c>
      <c r="H51" s="20">
        <f t="shared" si="33"/>
        <v>7.5119490563417851E-2</v>
      </c>
      <c r="I51" s="20">
        <f t="shared" si="33"/>
        <v>1.455255436187093E-2</v>
      </c>
      <c r="J51" s="20">
        <f t="shared" si="33"/>
        <v>1.4139125388730336</v>
      </c>
      <c r="K51" s="20">
        <f t="shared" si="33"/>
        <v>6.6029719597276146E-2</v>
      </c>
      <c r="L51" s="20">
        <f t="shared" si="33"/>
        <v>8.8165248073342542E-4</v>
      </c>
      <c r="M51" s="20">
        <f t="shared" si="33"/>
        <v>1.5740022214277893E-2</v>
      </c>
      <c r="N51" s="20">
        <f t="shared" si="33"/>
        <v>7.8404820999065011E-2</v>
      </c>
      <c r="O51" s="20">
        <f t="shared" si="33"/>
        <v>0.30109361459968143</v>
      </c>
      <c r="P51" s="20">
        <f t="shared" si="33"/>
        <v>0.8163677040847005</v>
      </c>
      <c r="Q51" s="20">
        <f t="shared" si="33"/>
        <v>1.575997278006076</v>
      </c>
      <c r="R51" s="20">
        <f t="shared" si="33"/>
        <v>2.1768852301824295</v>
      </c>
      <c r="S51" s="20">
        <f t="shared" si="33"/>
        <v>2.1327394368652377</v>
      </c>
      <c r="T51" s="20">
        <f t="shared" si="33"/>
        <v>1.5225111140025012</v>
      </c>
      <c r="U51" s="20">
        <f t="shared" si="33"/>
        <v>0.83433606723042764</v>
      </c>
      <c r="V51" s="20">
        <f t="shared" si="33"/>
        <v>0.3513655665005333</v>
      </c>
      <c r="W51" s="20">
        <f t="shared" si="33"/>
        <v>0.10356662604416157</v>
      </c>
      <c r="X51" s="20">
        <f t="shared" si="33"/>
        <v>2.2816247602020525E-2</v>
      </c>
      <c r="Y51" s="20">
        <f t="shared" si="33"/>
        <v>1.5864267705713805E-3</v>
      </c>
      <c r="Z51" s="20">
        <f t="shared" si="33"/>
        <v>8.3982826061216551E-5</v>
      </c>
      <c r="AA51" s="20">
        <f t="shared" si="33"/>
        <v>4.5054618127988362E-5</v>
      </c>
      <c r="AB51" s="20">
        <f t="shared" si="33"/>
        <v>7.6979311507513506E-6</v>
      </c>
      <c r="AC51" s="20">
        <f t="shared" si="33"/>
        <v>7.0028999101162095E-4</v>
      </c>
      <c r="AD51" s="20">
        <f t="shared" si="33"/>
        <v>1.5538692137072757E-8</v>
      </c>
      <c r="AE51" s="20">
        <f t="shared" si="33"/>
        <v>5.9564828120661436E-4</v>
      </c>
      <c r="AF51" s="20">
        <f t="shared" si="33"/>
        <v>7.4295315432242048E-4</v>
      </c>
      <c r="AG51" s="20">
        <f t="shared" si="33"/>
        <v>1.0054767913575016E-3</v>
      </c>
      <c r="AH51" s="20">
        <f t="shared" si="33"/>
        <v>5.3600955203283571E-5</v>
      </c>
      <c r="AI51" s="20">
        <f t="shared" si="33"/>
        <v>4.3870794308948888E-5</v>
      </c>
      <c r="AJ51" s="20">
        <f t="shared" si="33"/>
        <v>8.4553049194535817E-5</v>
      </c>
    </row>
    <row r="52" spans="1:36" x14ac:dyDescent="0.25">
      <c r="A52" s="13"/>
    </row>
    <row r="53" spans="1:36" x14ac:dyDescent="0.25">
      <c r="E53" s="109" t="s">
        <v>25</v>
      </c>
      <c r="F53" s="109"/>
      <c r="G53" s="21">
        <f>SUM(F51:AJ51)</f>
        <v>11.672949418564537</v>
      </c>
      <c r="I53" s="3">
        <f>G53+C123</f>
        <v>11.672949418564537</v>
      </c>
      <c r="K53" s="3">
        <f>SUM(Z51:AJ51)</f>
        <v>3.3631439306370191E-3</v>
      </c>
    </row>
    <row r="55" spans="1:36" x14ac:dyDescent="0.25">
      <c r="E55" s="30" t="s">
        <v>30</v>
      </c>
      <c r="F55" s="31">
        <f t="shared" ref="F55:AJ55" si="34">ABS(F17-F16)/F16</f>
        <v>5.1778177353843069E-5</v>
      </c>
      <c r="G55" s="31">
        <f t="shared" si="34"/>
        <v>4.5296123749897124E-5</v>
      </c>
      <c r="H55" s="31">
        <f t="shared" si="34"/>
        <v>4.6323443019237001E-5</v>
      </c>
      <c r="I55" s="31">
        <f t="shared" si="34"/>
        <v>2.039085393198963E-5</v>
      </c>
      <c r="J55" s="31">
        <f t="shared" si="34"/>
        <v>2.0117678645092265E-4</v>
      </c>
      <c r="K55" s="31">
        <f t="shared" si="34"/>
        <v>4.3812561677949411E-5</v>
      </c>
      <c r="L55" s="31">
        <f t="shared" si="34"/>
        <v>5.1887745613985414E-6</v>
      </c>
      <c r="M55" s="31">
        <f t="shared" si="34"/>
        <v>2.2495971014771445E-5</v>
      </c>
      <c r="N55" s="31">
        <f t="shared" si="34"/>
        <v>5.1752109345642535E-5</v>
      </c>
      <c r="O55" s="31">
        <f t="shared" si="34"/>
        <v>1.0519680682007685E-4</v>
      </c>
      <c r="P55" s="31">
        <f t="shared" si="34"/>
        <v>1.8004087827243513E-4</v>
      </c>
      <c r="Q55" s="31">
        <f t="shared" si="34"/>
        <v>2.6311260021177251E-4</v>
      </c>
      <c r="R55" s="31">
        <f t="shared" si="34"/>
        <v>3.2770809048272392E-4</v>
      </c>
      <c r="S55" s="31">
        <f t="shared" si="34"/>
        <v>3.4444039770090514E-4</v>
      </c>
      <c r="T55" s="31">
        <f t="shared" si="34"/>
        <v>3.1171012816443906E-4</v>
      </c>
      <c r="U55" s="31">
        <f t="shared" si="34"/>
        <v>2.4958432225046049E-4</v>
      </c>
      <c r="V55" s="31">
        <f t="shared" si="34"/>
        <v>1.8137640546992244E-4</v>
      </c>
      <c r="W55" s="31">
        <f t="shared" si="34"/>
        <v>1.1622306690306049E-4</v>
      </c>
      <c r="X55" s="31">
        <f t="shared" si="34"/>
        <v>6.851612757936128E-5</v>
      </c>
      <c r="Y55" s="31">
        <f t="shared" si="34"/>
        <v>2.5106286741774794E-5</v>
      </c>
      <c r="Z55" s="31">
        <f t="shared" si="34"/>
        <v>9.1640009268335533E-6</v>
      </c>
      <c r="AA55" s="31">
        <f t="shared" si="34"/>
        <v>1.1653119290182292E-5</v>
      </c>
      <c r="AB55" s="31">
        <f t="shared" si="34"/>
        <v>8.6218571673127158E-6</v>
      </c>
      <c r="AC55" s="31">
        <f t="shared" si="34"/>
        <v>1.4083718211945254E-4</v>
      </c>
      <c r="AD55" s="31">
        <f t="shared" si="34"/>
        <v>8.5190332708262483E-7</v>
      </c>
      <c r="AE55" s="31">
        <f t="shared" si="34"/>
        <v>1.8395176336295695E-4</v>
      </c>
      <c r="AF55" s="31">
        <f t="shared" si="34"/>
        <v>2.1965171382670265E-4</v>
      </c>
      <c r="AG55" s="31">
        <f t="shared" si="34"/>
        <v>2.5577712407989783E-4</v>
      </c>
      <c r="AH55" s="31">
        <f t="shared" si="34"/>
        <v>5.9056677790350861E-5</v>
      </c>
      <c r="AI55" s="31">
        <f t="shared" si="34"/>
        <v>5.3428923619743307E-5</v>
      </c>
      <c r="AJ55" s="31">
        <f t="shared" si="34"/>
        <v>7.4175197145380425E-5</v>
      </c>
    </row>
    <row r="56" spans="1:36" x14ac:dyDescent="0.25">
      <c r="E56" s="13" t="s">
        <v>31</v>
      </c>
      <c r="F56" s="32">
        <f>AVERAGE(F55:AJ55)</f>
        <v>1.186580443341445E-4</v>
      </c>
    </row>
    <row r="57" spans="1:36" x14ac:dyDescent="0.25">
      <c r="A57" s="42"/>
      <c r="B57" s="15"/>
      <c r="C57" s="15"/>
      <c r="D57" s="15"/>
      <c r="F57" s="60">
        <f>AVERAGE(S55:X55)</f>
        <v>2.1197507467802482E-4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-27.726011857479499</v>
      </c>
    </row>
    <row r="119" spans="1:14" x14ac:dyDescent="0.25">
      <c r="L119" s="11">
        <f>L118+1</f>
        <v>2</v>
      </c>
      <c r="M119" s="11">
        <f t="shared" ref="M119:M124" si="35">INDEX($B$125:$K$126,1,L119)</f>
        <v>0</v>
      </c>
      <c r="N119" s="11">
        <f t="shared" ref="N119:N124" si="36">IF(L119=$B$3,0,INDEX($B$125:$K$126,2,L119))</f>
        <v>-23.435619610247425</v>
      </c>
    </row>
    <row r="120" spans="1:14" x14ac:dyDescent="0.25">
      <c r="L120" s="11">
        <f t="shared" ref="L120:L124" si="37">L119+1</f>
        <v>3</v>
      </c>
      <c r="M120" s="11">
        <f t="shared" si="35"/>
        <v>25</v>
      </c>
      <c r="N120" s="11">
        <f t="shared" si="36"/>
        <v>-18.727922871408328</v>
      </c>
    </row>
    <row r="121" spans="1:14" x14ac:dyDescent="0.25">
      <c r="A121" s="3">
        <f>(A165+A204+A243+A282+A321+A360+A399)*10^9</f>
        <v>94352549325821.094</v>
      </c>
      <c r="L121" s="11">
        <f t="shared" si="37"/>
        <v>4</v>
      </c>
      <c r="M121" s="11">
        <f t="shared" si="35"/>
        <v>50</v>
      </c>
      <c r="N121" s="11">
        <f t="shared" si="36"/>
        <v>-11.958512386842379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09"/>
      <c r="B123" s="109"/>
      <c r="C123" s="3"/>
      <c r="D123" s="3"/>
      <c r="E123" s="3"/>
      <c r="F123" s="3"/>
      <c r="G123" s="3"/>
      <c r="H123" s="3"/>
      <c r="I123" s="3"/>
      <c r="J123" s="3"/>
      <c r="K123" s="3"/>
      <c r="L123" s="11">
        <f t="shared" si="37"/>
        <v>6</v>
      </c>
      <c r="M123" s="11">
        <f t="shared" si="35"/>
        <v>125</v>
      </c>
      <c r="N123" s="11">
        <f t="shared" si="36"/>
        <v>19.713782742631036</v>
      </c>
    </row>
    <row r="124" spans="1:14" x14ac:dyDescent="0.25">
      <c r="B124" s="3"/>
      <c r="C124" s="3"/>
      <c r="D124" s="3"/>
      <c r="E124" s="3"/>
      <c r="F124" s="3"/>
      <c r="G124" s="3"/>
      <c r="H124" s="3"/>
      <c r="I124" s="3"/>
      <c r="J124" s="3"/>
      <c r="K124" s="3"/>
      <c r="L124" s="11">
        <f t="shared" si="37"/>
        <v>7</v>
      </c>
      <c r="M124" s="11">
        <f t="shared" si="35"/>
        <v>160</v>
      </c>
      <c r="N124" s="11">
        <f t="shared" si="36"/>
        <v>23.96952864586272</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-27.726011857479499</v>
      </c>
      <c r="C126" s="3">
        <v>-23.435619610247425</v>
      </c>
      <c r="D126" s="3">
        <v>-18.727922871408328</v>
      </c>
      <c r="E126" s="3">
        <v>-11.958512386842379</v>
      </c>
      <c r="F126" s="3">
        <v>-1.3840180774545657E-5</v>
      </c>
      <c r="G126" s="3">
        <v>19.713782742631036</v>
      </c>
      <c r="H126" s="3">
        <v>23.96952864586272</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5930.4078987805915</v>
      </c>
      <c r="C131" s="27">
        <f t="shared" ref="C131:AF131" si="40">($C$17+SUM(C132:C162))*$B$51</f>
        <v>5930.4078878059499</v>
      </c>
      <c r="D131" s="27">
        <f t="shared" si="40"/>
        <v>5930.4077780600192</v>
      </c>
      <c r="E131" s="27">
        <f t="shared" si="40"/>
        <v>5930.4066806501132</v>
      </c>
      <c r="F131" s="27">
        <f t="shared" si="40"/>
        <v>5930.3957114895593</v>
      </c>
      <c r="G131" s="27">
        <f t="shared" si="40"/>
        <v>5930.2865122425519</v>
      </c>
      <c r="H131" s="27">
        <f t="shared" si="40"/>
        <v>5929.2422967255816</v>
      </c>
      <c r="I131" s="27">
        <f t="shared" si="40"/>
        <v>5922.3995832322516</v>
      </c>
      <c r="J131" s="27">
        <f t="shared" si="40"/>
        <v>5917.0002320532067</v>
      </c>
      <c r="K131" s="27">
        <f t="shared" si="40"/>
        <v>5916.9987247597192</v>
      </c>
      <c r="L131" s="27">
        <f t="shared" si="40"/>
        <v>5916.9987182078448</v>
      </c>
      <c r="M131" s="27">
        <f t="shared" si="40"/>
        <v>5916.9986526891316</v>
      </c>
      <c r="N131" s="27">
        <f t="shared" si="40"/>
        <v>5916.9979975054594</v>
      </c>
      <c r="O131" s="27">
        <f t="shared" si="40"/>
        <v>5916.9914460143991</v>
      </c>
      <c r="P131" s="27">
        <f t="shared" si="40"/>
        <v>5916.9259656512322</v>
      </c>
      <c r="Q131" s="27">
        <f t="shared" si="40"/>
        <v>5916.2745981624212</v>
      </c>
      <c r="R131" s="27">
        <f t="shared" si="40"/>
        <v>5910.0867022625689</v>
      </c>
      <c r="S131" s="27">
        <f t="shared" si="40"/>
        <v>5868.575846284145</v>
      </c>
      <c r="T131" s="27">
        <f t="shared" si="40"/>
        <v>5729.9033418125327</v>
      </c>
      <c r="U131" s="27">
        <f t="shared" si="40"/>
        <v>5583.553777417932</v>
      </c>
      <c r="V131" s="27">
        <f t="shared" si="40"/>
        <v>5419.2489058895289</v>
      </c>
      <c r="W131" s="27">
        <f t="shared" si="40"/>
        <v>5225.0641894632618</v>
      </c>
      <c r="X131" s="27">
        <f t="shared" si="40"/>
        <v>5028.5908272197676</v>
      </c>
      <c r="Y131" s="27">
        <f t="shared" si="40"/>
        <v>4783.0233743651361</v>
      </c>
      <c r="Z131" s="27">
        <f t="shared" si="40"/>
        <v>4514.8648834264568</v>
      </c>
      <c r="AA131" s="27">
        <f t="shared" si="40"/>
        <v>4250.4981260556015</v>
      </c>
      <c r="AB131" s="27">
        <f t="shared" si="40"/>
        <v>3971.2881106936525</v>
      </c>
      <c r="AC131" s="27">
        <f t="shared" si="40"/>
        <v>3672.3190947213366</v>
      </c>
      <c r="AD131" s="27">
        <f t="shared" si="40"/>
        <v>3287.0600107632731</v>
      </c>
      <c r="AE131" s="27">
        <f t="shared" si="40"/>
        <v>2788.675166065269</v>
      </c>
      <c r="AF131" s="27">
        <f t="shared" si="40"/>
        <v>2226.8736096926923</v>
      </c>
    </row>
    <row r="132" spans="1:33" x14ac:dyDescent="0.25">
      <c r="B132" s="3">
        <f t="shared" ref="B132:Z133" si="41">$C18*EXP(-B$129/$A18/EXP(-$B$126))</f>
        <v>2.2610878575294422E-3</v>
      </c>
      <c r="C132" s="3">
        <f t="shared" ref="C132:AF132" si="42">$C18*EXP(-C$129/$A18/EXP(-$B$126))</f>
        <v>2.2610860069581756E-3</v>
      </c>
      <c r="D132" s="3">
        <f t="shared" si="42"/>
        <v>2.2610675013288164E-3</v>
      </c>
      <c r="E132" s="3">
        <f t="shared" si="42"/>
        <v>2.2608824533651788E-3</v>
      </c>
      <c r="F132" s="3">
        <f t="shared" si="42"/>
        <v>2.2590328064721206E-3</v>
      </c>
      <c r="G132" s="3">
        <f t="shared" si="42"/>
        <v>2.2406193602499511E-3</v>
      </c>
      <c r="H132" s="3">
        <f t="shared" si="42"/>
        <v>2.064541165642969E-3</v>
      </c>
      <c r="I132" s="3">
        <f t="shared" si="42"/>
        <v>9.1070594854471515E-4</v>
      </c>
      <c r="J132" s="3">
        <f t="shared" si="42"/>
        <v>2.5405306445112834E-7</v>
      </c>
      <c r="K132" s="3">
        <f t="shared" si="42"/>
        <v>7.2508193193094787E-43</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4.2263320671389317E-3</v>
      </c>
      <c r="C136" s="3">
        <f t="shared" si="49"/>
        <v>4.2263320671389309E-3</v>
      </c>
      <c r="D136" s="3">
        <f t="shared" si="49"/>
        <v>4.2263320671389248E-3</v>
      </c>
      <c r="E136" s="3">
        <f t="shared" si="49"/>
        <v>4.2263320671388598E-3</v>
      </c>
      <c r="F136" s="3">
        <f t="shared" si="49"/>
        <v>4.2263320671382092E-3</v>
      </c>
      <c r="G136" s="3">
        <f t="shared" si="49"/>
        <v>4.2263320671317049E-3</v>
      </c>
      <c r="H136" s="3">
        <f t="shared" si="49"/>
        <v>4.2263320670666632E-3</v>
      </c>
      <c r="I136" s="3">
        <f t="shared" si="49"/>
        <v>4.2263320664162433E-3</v>
      </c>
      <c r="J136" s="3">
        <f t="shared" si="49"/>
        <v>4.2263320599120434E-3</v>
      </c>
      <c r="K136" s="3">
        <f t="shared" si="49"/>
        <v>4.226331994870049E-3</v>
      </c>
      <c r="L136" s="3">
        <f t="shared" si="49"/>
        <v>4.2263313444501583E-3</v>
      </c>
      <c r="M136" s="3">
        <f t="shared" si="49"/>
        <v>4.2263248402567566E-3</v>
      </c>
      <c r="N136" s="3">
        <f t="shared" si="49"/>
        <v>4.2262597988732735E-3</v>
      </c>
      <c r="O136" s="3">
        <f t="shared" si="49"/>
        <v>4.2256094400886929E-3</v>
      </c>
      <c r="P136" s="3">
        <f t="shared" si="49"/>
        <v>4.2191113541346385E-3</v>
      </c>
      <c r="Q136" s="3">
        <f t="shared" si="49"/>
        <v>4.1546775637422073E-3</v>
      </c>
      <c r="R136" s="3">
        <f t="shared" si="49"/>
        <v>3.5620555985855728E-3</v>
      </c>
      <c r="S136" s="3">
        <f t="shared" si="49"/>
        <v>7.644241268733072E-4</v>
      </c>
      <c r="T136" s="3">
        <f t="shared" si="49"/>
        <v>1.5836941249423332E-10</v>
      </c>
      <c r="U136" s="3">
        <f t="shared" si="49"/>
        <v>2.3069623300052399E-77</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3.0334384971501784E-2</v>
      </c>
      <c r="C137" s="3">
        <f t="shared" si="51"/>
        <v>3.0334384971501784E-2</v>
      </c>
      <c r="D137" s="3">
        <f t="shared" si="51"/>
        <v>3.0334384971501781E-2</v>
      </c>
      <c r="E137" s="3">
        <f t="shared" si="51"/>
        <v>3.0334384971501736E-2</v>
      </c>
      <c r="F137" s="3">
        <f t="shared" si="51"/>
        <v>3.0334384971501316E-2</v>
      </c>
      <c r="G137" s="3">
        <f t="shared" si="51"/>
        <v>3.0334384971497107E-2</v>
      </c>
      <c r="H137" s="3">
        <f t="shared" si="51"/>
        <v>3.0334384971454992E-2</v>
      </c>
      <c r="I137" s="3">
        <f t="shared" si="51"/>
        <v>3.0334384971033867E-2</v>
      </c>
      <c r="J137" s="3">
        <f t="shared" si="51"/>
        <v>3.0334384966822607E-2</v>
      </c>
      <c r="K137" s="3">
        <f t="shared" si="51"/>
        <v>3.0334384924710012E-2</v>
      </c>
      <c r="L137" s="3">
        <f t="shared" si="51"/>
        <v>3.0334384503584045E-2</v>
      </c>
      <c r="M137" s="3">
        <f t="shared" si="51"/>
        <v>3.0334380292324714E-2</v>
      </c>
      <c r="N137" s="3">
        <f t="shared" si="51"/>
        <v>3.0334338179763578E-2</v>
      </c>
      <c r="O137" s="3">
        <f t="shared" si="51"/>
        <v>3.033391705736772E-2</v>
      </c>
      <c r="P137" s="3">
        <f t="shared" si="51"/>
        <v>3.0329706154943025E-2</v>
      </c>
      <c r="Q137" s="3">
        <f t="shared" si="51"/>
        <v>3.0287629267575163E-2</v>
      </c>
      <c r="R137" s="3">
        <f t="shared" si="51"/>
        <v>2.9870057635393871E-2</v>
      </c>
      <c r="S137" s="3">
        <f t="shared" si="51"/>
        <v>2.5998234657595085E-2</v>
      </c>
      <c r="T137" s="3">
        <f t="shared" si="51"/>
        <v>6.4866706331606341E-3</v>
      </c>
      <c r="U137" s="3">
        <f t="shared" si="51"/>
        <v>6.0645938500360531E-9</v>
      </c>
      <c r="V137" s="3">
        <f t="shared" si="51"/>
        <v>3.0945710988935892E-69</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2.3501586958650868E-2</v>
      </c>
      <c r="C138" s="3">
        <f t="shared" si="53"/>
        <v>2.3501586958650868E-2</v>
      </c>
      <c r="D138" s="3">
        <f t="shared" si="53"/>
        <v>2.3501586958650868E-2</v>
      </c>
      <c r="E138" s="3">
        <f t="shared" si="53"/>
        <v>2.3501586958650865E-2</v>
      </c>
      <c r="F138" s="3">
        <f t="shared" si="53"/>
        <v>2.3501586958650834E-2</v>
      </c>
      <c r="G138" s="3">
        <f t="shared" si="53"/>
        <v>2.3501586958650542E-2</v>
      </c>
      <c r="H138" s="3">
        <f t="shared" si="53"/>
        <v>2.35015869586476E-2</v>
      </c>
      <c r="I138" s="3">
        <f t="shared" si="53"/>
        <v>2.3501586958618169E-2</v>
      </c>
      <c r="J138" s="3">
        <f t="shared" si="53"/>
        <v>2.3501586958323845E-2</v>
      </c>
      <c r="K138" s="3">
        <f t="shared" si="53"/>
        <v>2.3501586955380641E-2</v>
      </c>
      <c r="L138" s="3">
        <f t="shared" si="53"/>
        <v>2.3501586925948583E-2</v>
      </c>
      <c r="M138" s="3">
        <f t="shared" si="53"/>
        <v>2.3501586631628019E-2</v>
      </c>
      <c r="N138" s="3">
        <f t="shared" si="53"/>
        <v>2.3501583688422593E-2</v>
      </c>
      <c r="O138" s="3">
        <f t="shared" si="53"/>
        <v>2.3501554256388581E-2</v>
      </c>
      <c r="P138" s="3">
        <f t="shared" si="53"/>
        <v>2.3501259938075721E-2</v>
      </c>
      <c r="Q138" s="3">
        <f t="shared" si="53"/>
        <v>2.34983169576614E-2</v>
      </c>
      <c r="R138" s="3">
        <f t="shared" si="53"/>
        <v>2.3468907415556947E-2</v>
      </c>
      <c r="S138" s="3">
        <f t="shared" si="53"/>
        <v>2.3176828840996082E-2</v>
      </c>
      <c r="T138" s="3">
        <f t="shared" si="53"/>
        <v>2.0448687225130168E-2</v>
      </c>
      <c r="U138" s="3">
        <f t="shared" si="53"/>
        <v>5.8449340946548521E-3</v>
      </c>
      <c r="V138" s="3">
        <f t="shared" si="53"/>
        <v>2.1277543276132192E-8</v>
      </c>
      <c r="W138" s="3">
        <f t="shared" si="53"/>
        <v>8.696412300519139E-63</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3.0161245732589943E-2</v>
      </c>
      <c r="C139" s="3">
        <f t="shared" si="55"/>
        <v>3.0161245732589943E-2</v>
      </c>
      <c r="D139" s="3">
        <f t="shared" si="55"/>
        <v>3.0161245732589943E-2</v>
      </c>
      <c r="E139" s="3">
        <f t="shared" si="55"/>
        <v>3.0161245732589943E-2</v>
      </c>
      <c r="F139" s="3">
        <f t="shared" si="55"/>
        <v>3.016124573258994E-2</v>
      </c>
      <c r="G139" s="3">
        <f t="shared" si="55"/>
        <v>3.0161245732589905E-2</v>
      </c>
      <c r="H139" s="3">
        <f t="shared" si="55"/>
        <v>3.0161245732589565E-2</v>
      </c>
      <c r="I139" s="3">
        <f t="shared" si="55"/>
        <v>3.0161245732586155E-2</v>
      </c>
      <c r="J139" s="3">
        <f t="shared" si="55"/>
        <v>3.0161245732552085E-2</v>
      </c>
      <c r="K139" s="3">
        <f t="shared" si="55"/>
        <v>3.0161245732211347E-2</v>
      </c>
      <c r="L139" s="3">
        <f t="shared" si="55"/>
        <v>3.0161245728803975E-2</v>
      </c>
      <c r="M139" s="3">
        <f t="shared" si="55"/>
        <v>3.0161245694730277E-2</v>
      </c>
      <c r="N139" s="3">
        <f t="shared" si="55"/>
        <v>3.0161245353993286E-2</v>
      </c>
      <c r="O139" s="3">
        <f t="shared" si="55"/>
        <v>3.0161241946623597E-2</v>
      </c>
      <c r="P139" s="3">
        <f t="shared" si="55"/>
        <v>3.016120787294788E-2</v>
      </c>
      <c r="Q139" s="3">
        <f t="shared" si="55"/>
        <v>3.0160867138307845E-2</v>
      </c>
      <c r="R139" s="3">
        <f t="shared" si="55"/>
        <v>3.0157460003612826E-2</v>
      </c>
      <c r="S139" s="3">
        <f t="shared" si="55"/>
        <v>3.0123409818350263E-2</v>
      </c>
      <c r="T139" s="3">
        <f t="shared" si="55"/>
        <v>2.9785015315661599E-2</v>
      </c>
      <c r="U139" s="3">
        <f t="shared" si="55"/>
        <v>2.6603256553506899E-2</v>
      </c>
      <c r="V139" s="3">
        <f t="shared" si="55"/>
        <v>8.5961612163702392E-3</v>
      </c>
      <c r="W139" s="3">
        <f t="shared" si="55"/>
        <v>1.0666011404130759E-7</v>
      </c>
      <c r="X139" s="3">
        <f t="shared" si="55"/>
        <v>9.2252248907990021E-57</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3.6781885068377713E-2</v>
      </c>
      <c r="C140" s="3">
        <f t="shared" si="57"/>
        <v>3.6781885068377713E-2</v>
      </c>
      <c r="D140" s="3">
        <f t="shared" si="57"/>
        <v>3.6781885068377713E-2</v>
      </c>
      <c r="E140" s="3">
        <f t="shared" si="57"/>
        <v>3.6781885068377713E-2</v>
      </c>
      <c r="F140" s="3">
        <f t="shared" si="57"/>
        <v>3.6781885068377713E-2</v>
      </c>
      <c r="G140" s="3">
        <f t="shared" si="57"/>
        <v>3.6781885068377707E-2</v>
      </c>
      <c r="H140" s="3">
        <f t="shared" si="57"/>
        <v>3.6781885068377672E-2</v>
      </c>
      <c r="I140" s="3">
        <f t="shared" si="57"/>
        <v>3.6781885068377297E-2</v>
      </c>
      <c r="J140" s="3">
        <f t="shared" si="57"/>
        <v>3.678188506837355E-2</v>
      </c>
      <c r="K140" s="3">
        <f t="shared" si="57"/>
        <v>3.6781885068336066E-2</v>
      </c>
      <c r="L140" s="3">
        <f t="shared" si="57"/>
        <v>3.678188506796122E-2</v>
      </c>
      <c r="M140" s="3">
        <f t="shared" si="57"/>
        <v>3.6781885064212781E-2</v>
      </c>
      <c r="N140" s="3">
        <f t="shared" si="57"/>
        <v>3.6781885026728377E-2</v>
      </c>
      <c r="O140" s="3">
        <f t="shared" si="57"/>
        <v>3.678188465188436E-2</v>
      </c>
      <c r="P140" s="3">
        <f t="shared" si="57"/>
        <v>3.6781880903444412E-2</v>
      </c>
      <c r="Q140" s="3">
        <f t="shared" si="57"/>
        <v>3.6781843419065943E-2</v>
      </c>
      <c r="R140" s="3">
        <f t="shared" si="57"/>
        <v>3.6781468577382244E-2</v>
      </c>
      <c r="S140" s="3">
        <f t="shared" si="57"/>
        <v>3.6777720370638305E-2</v>
      </c>
      <c r="T140" s="3">
        <f t="shared" si="57"/>
        <v>3.674025930458389E-2</v>
      </c>
      <c r="U140" s="3">
        <f t="shared" si="57"/>
        <v>3.6367740885153987E-2</v>
      </c>
      <c r="V140" s="3">
        <f t="shared" si="57"/>
        <v>3.2844102123781249E-2</v>
      </c>
      <c r="W140" s="3">
        <f t="shared" si="57"/>
        <v>1.1854086475542366E-2</v>
      </c>
      <c r="X140" s="3">
        <f t="shared" si="57"/>
        <v>4.4460573836763687E-7</v>
      </c>
      <c r="Y140" s="3">
        <f t="shared" si="57"/>
        <v>2.4493158312879834E-51</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3.0958488235130539E-2</v>
      </c>
      <c r="C141" s="3">
        <f t="shared" si="59"/>
        <v>3.0958488235130539E-2</v>
      </c>
      <c r="D141" s="3">
        <f t="shared" si="59"/>
        <v>3.0958488235130539E-2</v>
      </c>
      <c r="E141" s="3">
        <f t="shared" si="59"/>
        <v>3.0958488235130539E-2</v>
      </c>
      <c r="F141" s="3">
        <f t="shared" si="59"/>
        <v>3.0958488235130539E-2</v>
      </c>
      <c r="G141" s="3">
        <f t="shared" si="59"/>
        <v>3.0958488235130539E-2</v>
      </c>
      <c r="H141" s="3">
        <f t="shared" si="59"/>
        <v>3.0958488235130536E-2</v>
      </c>
      <c r="I141" s="3">
        <f t="shared" si="59"/>
        <v>3.0958488235130508E-2</v>
      </c>
      <c r="J141" s="3">
        <f t="shared" si="59"/>
        <v>3.0958488235130224E-2</v>
      </c>
      <c r="K141" s="3">
        <f t="shared" si="59"/>
        <v>3.0958488235127379E-2</v>
      </c>
      <c r="L141" s="3">
        <f t="shared" si="59"/>
        <v>3.0958488235098919E-2</v>
      </c>
      <c r="M141" s="3">
        <f t="shared" si="59"/>
        <v>3.095848823481431E-2</v>
      </c>
      <c r="N141" s="3">
        <f t="shared" si="59"/>
        <v>3.095848823196826E-2</v>
      </c>
      <c r="O141" s="3">
        <f t="shared" si="59"/>
        <v>3.0958488203507734E-2</v>
      </c>
      <c r="P141" s="3">
        <f t="shared" si="59"/>
        <v>3.0958487918902461E-2</v>
      </c>
      <c r="Q141" s="3">
        <f t="shared" si="59"/>
        <v>3.0958485072849921E-2</v>
      </c>
      <c r="R141" s="3">
        <f t="shared" si="59"/>
        <v>3.0958456612338911E-2</v>
      </c>
      <c r="S141" s="3">
        <f t="shared" si="59"/>
        <v>3.0958172008667802E-2</v>
      </c>
      <c r="T141" s="3">
        <f t="shared" si="59"/>
        <v>3.0955326115853943E-2</v>
      </c>
      <c r="U141" s="3">
        <f t="shared" si="59"/>
        <v>3.0926881572544022E-2</v>
      </c>
      <c r="V141" s="3">
        <f t="shared" si="59"/>
        <v>3.0643869741384985E-2</v>
      </c>
      <c r="W141" s="3">
        <f t="shared" si="59"/>
        <v>2.7952352890023253E-2</v>
      </c>
      <c r="X141" s="3">
        <f t="shared" si="59"/>
        <v>1.1147205296833879E-2</v>
      </c>
      <c r="Y141" s="3">
        <f t="shared" si="59"/>
        <v>1.1340763401579882E-6</v>
      </c>
      <c r="Z141" s="3">
        <f t="shared" si="59"/>
        <v>1.3471166206200746E-46</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5.2155951905646973E-2</v>
      </c>
      <c r="C142" s="3">
        <f t="shared" si="61"/>
        <v>5.2155951905646973E-2</v>
      </c>
      <c r="D142" s="3">
        <f t="shared" si="61"/>
        <v>5.2155951905646973E-2</v>
      </c>
      <c r="E142" s="3">
        <f t="shared" si="61"/>
        <v>5.2155951905646973E-2</v>
      </c>
      <c r="F142" s="3">
        <f t="shared" si="61"/>
        <v>5.2155951905646973E-2</v>
      </c>
      <c r="G142" s="3">
        <f t="shared" si="61"/>
        <v>5.2155951905646973E-2</v>
      </c>
      <c r="H142" s="3">
        <f t="shared" si="61"/>
        <v>5.2155951905646973E-2</v>
      </c>
      <c r="I142" s="3">
        <f t="shared" si="61"/>
        <v>5.2155951905646966E-2</v>
      </c>
      <c r="J142" s="3">
        <f t="shared" si="61"/>
        <v>5.2155951905646925E-2</v>
      </c>
      <c r="K142" s="3">
        <f t="shared" si="61"/>
        <v>5.2155951905646494E-2</v>
      </c>
      <c r="L142" s="3">
        <f t="shared" si="61"/>
        <v>5.2155951905642164E-2</v>
      </c>
      <c r="M142" s="3">
        <f t="shared" si="61"/>
        <v>5.2155951905598914E-2</v>
      </c>
      <c r="N142" s="3">
        <f t="shared" si="61"/>
        <v>5.2155951905166385E-2</v>
      </c>
      <c r="O142" s="3">
        <f t="shared" si="61"/>
        <v>5.2155951900841109E-2</v>
      </c>
      <c r="P142" s="3">
        <f t="shared" si="61"/>
        <v>5.2155951857588367E-2</v>
      </c>
      <c r="Q142" s="3">
        <f t="shared" si="61"/>
        <v>5.2155951425060937E-2</v>
      </c>
      <c r="R142" s="3">
        <f t="shared" si="61"/>
        <v>5.2155947099786805E-2</v>
      </c>
      <c r="S142" s="3">
        <f t="shared" si="61"/>
        <v>5.2155903847065234E-2</v>
      </c>
      <c r="T142" s="3">
        <f t="shared" si="61"/>
        <v>5.2155471321822321E-2</v>
      </c>
      <c r="U142" s="3">
        <f t="shared" si="61"/>
        <v>5.215114626666785E-2</v>
      </c>
      <c r="V142" s="3">
        <f t="shared" si="61"/>
        <v>5.2107915436538373E-2</v>
      </c>
      <c r="W142" s="3">
        <f t="shared" si="61"/>
        <v>5.1677573238851672E-2</v>
      </c>
      <c r="X142" s="3">
        <f t="shared" si="61"/>
        <v>4.7564860330916489E-2</v>
      </c>
      <c r="Y142" s="3">
        <f t="shared" si="61"/>
        <v>2.0755221504325495E-2</v>
      </c>
      <c r="Z142" s="3">
        <f t="shared" si="61"/>
        <v>5.194441273228277E-6</v>
      </c>
      <c r="AA142" s="3">
        <f t="shared" ref="AA142" si="62">$C28*EXP(-AA$129/$A28/EXP(-$B$126))</f>
        <v>5.007875468586283E-42</v>
      </c>
      <c r="AB142" s="3">
        <f t="shared" si="46"/>
        <v>0</v>
      </c>
      <c r="AC142" s="3">
        <f t="shared" si="46"/>
        <v>0</v>
      </c>
      <c r="AD142" s="3">
        <f t="shared" si="46"/>
        <v>0</v>
      </c>
      <c r="AE142" s="3">
        <f t="shared" si="46"/>
        <v>0</v>
      </c>
      <c r="AF142" s="3">
        <f t="shared" si="46"/>
        <v>0</v>
      </c>
    </row>
    <row r="143" spans="1:33" x14ac:dyDescent="0.25">
      <c r="B143" s="3">
        <f t="shared" ref="B143:Z143" si="63">$C29*EXP(-B$129/$A29/EXP(-$B$126))</f>
        <v>4.3160709564069449E-2</v>
      </c>
      <c r="C143" s="3">
        <f t="shared" si="63"/>
        <v>4.3160709564069449E-2</v>
      </c>
      <c r="D143" s="3">
        <f t="shared" si="63"/>
        <v>4.3160709564069449E-2</v>
      </c>
      <c r="E143" s="3">
        <f t="shared" si="63"/>
        <v>4.3160709564069449E-2</v>
      </c>
      <c r="F143" s="3">
        <f t="shared" si="63"/>
        <v>4.3160709564069449E-2</v>
      </c>
      <c r="G143" s="3">
        <f t="shared" si="63"/>
        <v>4.3160709564069449E-2</v>
      </c>
      <c r="H143" s="3">
        <f t="shared" si="63"/>
        <v>4.3160709564069449E-2</v>
      </c>
      <c r="I143" s="3">
        <f t="shared" si="63"/>
        <v>4.3160709564069449E-2</v>
      </c>
      <c r="J143" s="3">
        <f t="shared" si="63"/>
        <v>4.3160709564069442E-2</v>
      </c>
      <c r="K143" s="3">
        <f t="shared" si="63"/>
        <v>4.3160709564069415E-2</v>
      </c>
      <c r="L143" s="3">
        <f t="shared" si="63"/>
        <v>4.3160709564069089E-2</v>
      </c>
      <c r="M143" s="3">
        <f t="shared" si="63"/>
        <v>4.3160709564065862E-2</v>
      </c>
      <c r="N143" s="3">
        <f t="shared" si="63"/>
        <v>4.3160709564033575E-2</v>
      </c>
      <c r="O143" s="3">
        <f t="shared" si="63"/>
        <v>4.3160709563710695E-2</v>
      </c>
      <c r="P143" s="3">
        <f t="shared" si="63"/>
        <v>4.3160709560481861E-2</v>
      </c>
      <c r="Q143" s="3">
        <f t="shared" si="63"/>
        <v>4.3160709528193578E-2</v>
      </c>
      <c r="R143" s="3">
        <f t="shared" si="63"/>
        <v>4.3160709205310753E-2</v>
      </c>
      <c r="S143" s="3">
        <f t="shared" si="63"/>
        <v>4.3160705976482604E-2</v>
      </c>
      <c r="T143" s="3">
        <f t="shared" si="63"/>
        <v>4.3160673688214427E-2</v>
      </c>
      <c r="U143" s="3">
        <f t="shared" si="63"/>
        <v>4.3160350806861099E-2</v>
      </c>
      <c r="V143" s="3">
        <f t="shared" si="63"/>
        <v>4.3157122126174535E-2</v>
      </c>
      <c r="W143" s="3">
        <f t="shared" si="63"/>
        <v>4.3124848600299033E-2</v>
      </c>
      <c r="X143" s="3">
        <f t="shared" si="63"/>
        <v>4.2803437771792997E-2</v>
      </c>
      <c r="Y143" s="3">
        <f t="shared" si="63"/>
        <v>3.9718178760968073E-2</v>
      </c>
      <c r="Z143" s="3">
        <f t="shared" si="63"/>
        <v>1.8797326207577875E-2</v>
      </c>
      <c r="AA143" s="3">
        <f t="shared" ref="AA143" si="64">$C29*EXP(-AA$129/$A29/EXP(-$B$126))</f>
        <v>1.0596528219839835E-5</v>
      </c>
      <c r="AB143" s="3">
        <f t="shared" si="46"/>
        <v>3.4343045672203932E-38</v>
      </c>
      <c r="AC143" s="3">
        <f t="shared" si="46"/>
        <v>0</v>
      </c>
      <c r="AD143" s="3">
        <f t="shared" si="46"/>
        <v>0</v>
      </c>
      <c r="AE143" s="3">
        <f t="shared" si="46"/>
        <v>0</v>
      </c>
      <c r="AF143" s="3">
        <f t="shared" si="46"/>
        <v>0</v>
      </c>
    </row>
    <row r="144" spans="1:33" x14ac:dyDescent="0.25">
      <c r="B144" s="3">
        <f t="shared" ref="B144:Z144" si="65">$C30*EXP(-B$129/$A30/EXP(-$B$126))</f>
        <v>4.9762672836986856E-2</v>
      </c>
      <c r="C144" s="3">
        <f t="shared" si="65"/>
        <v>4.9762672836986856E-2</v>
      </c>
      <c r="D144" s="3">
        <f t="shared" si="65"/>
        <v>4.9762672836986856E-2</v>
      </c>
      <c r="E144" s="3">
        <f t="shared" si="65"/>
        <v>4.9762672836986856E-2</v>
      </c>
      <c r="F144" s="3">
        <f t="shared" si="65"/>
        <v>4.9762672836986856E-2</v>
      </c>
      <c r="G144" s="3">
        <f t="shared" si="65"/>
        <v>4.9762672836986856E-2</v>
      </c>
      <c r="H144" s="3">
        <f t="shared" si="65"/>
        <v>4.9762672836986856E-2</v>
      </c>
      <c r="I144" s="3">
        <f t="shared" si="65"/>
        <v>4.9762672836986856E-2</v>
      </c>
      <c r="J144" s="3">
        <f t="shared" si="65"/>
        <v>4.9762672836986856E-2</v>
      </c>
      <c r="K144" s="3">
        <f t="shared" si="65"/>
        <v>4.9762672836986849E-2</v>
      </c>
      <c r="L144" s="3">
        <f t="shared" si="65"/>
        <v>4.9762672836986814E-2</v>
      </c>
      <c r="M144" s="3">
        <f t="shared" si="65"/>
        <v>4.9762672836986481E-2</v>
      </c>
      <c r="N144" s="3">
        <f t="shared" si="65"/>
        <v>4.9762672836983129E-2</v>
      </c>
      <c r="O144" s="3">
        <f t="shared" si="65"/>
        <v>4.9762672836949538E-2</v>
      </c>
      <c r="P144" s="3">
        <f t="shared" si="65"/>
        <v>4.9762672836613724E-2</v>
      </c>
      <c r="Q144" s="3">
        <f t="shared" si="65"/>
        <v>4.9762672833255521E-2</v>
      </c>
      <c r="R144" s="3">
        <f t="shared" si="65"/>
        <v>4.9762672799673509E-2</v>
      </c>
      <c r="S144" s="3">
        <f t="shared" si="65"/>
        <v>4.9762672463853436E-2</v>
      </c>
      <c r="T144" s="3">
        <f t="shared" si="65"/>
        <v>4.9762669105652746E-2</v>
      </c>
      <c r="U144" s="3">
        <f t="shared" si="65"/>
        <v>4.9762635523658311E-2</v>
      </c>
      <c r="V144" s="3">
        <f t="shared" si="65"/>
        <v>4.9762299704960461E-2</v>
      </c>
      <c r="W144" s="3">
        <f t="shared" si="65"/>
        <v>4.9758941642622741E-2</v>
      </c>
      <c r="X144" s="3">
        <f t="shared" si="65"/>
        <v>4.9725373480215128E-2</v>
      </c>
      <c r="Y144" s="3">
        <f t="shared" si="65"/>
        <v>4.939093484730292E-2</v>
      </c>
      <c r="Z144" s="3">
        <f t="shared" si="65"/>
        <v>4.616779921411638E-2</v>
      </c>
      <c r="AA144" s="3">
        <f t="shared" ref="AA144" si="66">$C30*EXP(-AA$129/$A30/EXP(-$B$126))</f>
        <v>2.3510314263722264E-2</v>
      </c>
      <c r="AB144" s="3">
        <f t="shared" ref="AB144:AF153" si="67">$C30*EXP(-AB$129/$A30/EXP(-$B$126))</f>
        <v>2.7570906982790164E-5</v>
      </c>
      <c r="AC144" s="3">
        <f t="shared" si="67"/>
        <v>1.3563670767498601E-34</v>
      </c>
      <c r="AD144" s="3">
        <f t="shared" si="67"/>
        <v>0</v>
      </c>
      <c r="AE144" s="3">
        <f t="shared" si="67"/>
        <v>0</v>
      </c>
      <c r="AF144" s="3">
        <f t="shared" si="67"/>
        <v>0</v>
      </c>
    </row>
    <row r="145" spans="1:32" x14ac:dyDescent="0.25">
      <c r="B145" s="3">
        <f t="shared" ref="B145:Z145" si="68">$C31*EXP(-B$129/$A31/EXP(-$B$126))</f>
        <v>4.7420297810237655E-2</v>
      </c>
      <c r="C145" s="3">
        <f t="shared" si="68"/>
        <v>4.7420297810237655E-2</v>
      </c>
      <c r="D145" s="3">
        <f t="shared" si="68"/>
        <v>4.7420297810237655E-2</v>
      </c>
      <c r="E145" s="3">
        <f t="shared" si="68"/>
        <v>4.7420297810237655E-2</v>
      </c>
      <c r="F145" s="3">
        <f t="shared" si="68"/>
        <v>4.7420297810237655E-2</v>
      </c>
      <c r="G145" s="3">
        <f t="shared" si="68"/>
        <v>4.7420297810237655E-2</v>
      </c>
      <c r="H145" s="3">
        <f t="shared" si="68"/>
        <v>4.7420297810237655E-2</v>
      </c>
      <c r="I145" s="3">
        <f t="shared" si="68"/>
        <v>4.7420297810237655E-2</v>
      </c>
      <c r="J145" s="3">
        <f t="shared" si="68"/>
        <v>4.7420297810237655E-2</v>
      </c>
      <c r="K145" s="3">
        <f t="shared" si="68"/>
        <v>4.7420297810237655E-2</v>
      </c>
      <c r="L145" s="3">
        <f t="shared" si="68"/>
        <v>4.7420297810237648E-2</v>
      </c>
      <c r="M145" s="3">
        <f t="shared" si="68"/>
        <v>4.742029781023762E-2</v>
      </c>
      <c r="N145" s="3">
        <f t="shared" si="68"/>
        <v>4.7420297810237336E-2</v>
      </c>
      <c r="O145" s="3">
        <f t="shared" si="68"/>
        <v>4.7420297810234449E-2</v>
      </c>
      <c r="P145" s="3">
        <f t="shared" si="68"/>
        <v>4.7420297810205576E-2</v>
      </c>
      <c r="Q145" s="3">
        <f t="shared" si="68"/>
        <v>4.7420297809916905E-2</v>
      </c>
      <c r="R145" s="3">
        <f t="shared" si="68"/>
        <v>4.7420297807030116E-2</v>
      </c>
      <c r="S145" s="3">
        <f t="shared" si="68"/>
        <v>4.7420297778162313E-2</v>
      </c>
      <c r="T145" s="3">
        <f t="shared" si="68"/>
        <v>4.7420297489484217E-2</v>
      </c>
      <c r="U145" s="3">
        <f t="shared" si="68"/>
        <v>4.7420294602703354E-2</v>
      </c>
      <c r="V145" s="3">
        <f t="shared" si="68"/>
        <v>4.7420265734904418E-2</v>
      </c>
      <c r="W145" s="3">
        <f t="shared" si="68"/>
        <v>4.741997705788157E-2</v>
      </c>
      <c r="X145" s="3">
        <f t="shared" si="68"/>
        <v>4.7417090384306082E-2</v>
      </c>
      <c r="Y145" s="3">
        <f t="shared" si="68"/>
        <v>4.7388233311671683E-2</v>
      </c>
      <c r="Z145" s="3">
        <f t="shared" si="68"/>
        <v>4.710062672436293E-2</v>
      </c>
      <c r="AA145" s="3">
        <f t="shared" ref="AA145" si="69">$C31*EXP(-AA$129/$A31/EXP(-$B$126))</f>
        <v>4.431883800867438E-2</v>
      </c>
      <c r="AB145" s="3">
        <f t="shared" si="67"/>
        <v>2.4110441184378845E-2</v>
      </c>
      <c r="AC145" s="3">
        <f t="shared" si="67"/>
        <v>5.4748607764328927E-5</v>
      </c>
      <c r="AD145" s="3">
        <f t="shared" si="67"/>
        <v>1.9955026234086574E-31</v>
      </c>
      <c r="AE145" s="3">
        <f t="shared" si="67"/>
        <v>8.2574230764985174E-296</v>
      </c>
      <c r="AF145" s="3">
        <f t="shared" si="67"/>
        <v>0</v>
      </c>
    </row>
    <row r="146" spans="1:32" x14ac:dyDescent="0.25">
      <c r="B146" s="3">
        <f t="shared" ref="B146:Z146" si="70">$C32*EXP(-B$129/$A32/EXP(-$B$126))</f>
        <v>5.5060707858971492E-2</v>
      </c>
      <c r="C146" s="3">
        <f t="shared" si="70"/>
        <v>5.5060707858971492E-2</v>
      </c>
      <c r="D146" s="3">
        <f t="shared" si="70"/>
        <v>5.5060707858971492E-2</v>
      </c>
      <c r="E146" s="3">
        <f t="shared" si="70"/>
        <v>5.5060707858971492E-2</v>
      </c>
      <c r="F146" s="3">
        <f t="shared" si="70"/>
        <v>5.5060707858971492E-2</v>
      </c>
      <c r="G146" s="3">
        <f t="shared" si="70"/>
        <v>5.5060707858971492E-2</v>
      </c>
      <c r="H146" s="3">
        <f t="shared" si="70"/>
        <v>5.5060707858971492E-2</v>
      </c>
      <c r="I146" s="3">
        <f t="shared" si="70"/>
        <v>5.5060707858971492E-2</v>
      </c>
      <c r="J146" s="3">
        <f t="shared" si="70"/>
        <v>5.5060707858971492E-2</v>
      </c>
      <c r="K146" s="3">
        <f t="shared" si="70"/>
        <v>5.5060707858971492E-2</v>
      </c>
      <c r="L146" s="3">
        <f t="shared" si="70"/>
        <v>5.5060707858971492E-2</v>
      </c>
      <c r="M146" s="3">
        <f t="shared" si="70"/>
        <v>5.5060707858971485E-2</v>
      </c>
      <c r="N146" s="3">
        <f t="shared" si="70"/>
        <v>5.5060707858971464E-2</v>
      </c>
      <c r="O146" s="3">
        <f t="shared" si="70"/>
        <v>5.5060707858971158E-2</v>
      </c>
      <c r="P146" s="3">
        <f t="shared" si="70"/>
        <v>5.5060707858968126E-2</v>
      </c>
      <c r="Q146" s="3">
        <f t="shared" si="70"/>
        <v>5.5060707858937893E-2</v>
      </c>
      <c r="R146" s="3">
        <f t="shared" si="70"/>
        <v>5.5060707858635524E-2</v>
      </c>
      <c r="S146" s="3">
        <f t="shared" si="70"/>
        <v>5.5060707855611832E-2</v>
      </c>
      <c r="T146" s="3">
        <f t="shared" si="70"/>
        <v>5.5060707825374887E-2</v>
      </c>
      <c r="U146" s="3">
        <f t="shared" si="70"/>
        <v>5.5060707523005417E-2</v>
      </c>
      <c r="V146" s="3">
        <f t="shared" si="70"/>
        <v>5.5060704499310824E-2</v>
      </c>
      <c r="W146" s="3">
        <f t="shared" si="70"/>
        <v>5.506067426237405E-2</v>
      </c>
      <c r="X146" s="3">
        <f t="shared" si="70"/>
        <v>5.5060371893919553E-2</v>
      </c>
      <c r="Y146" s="3">
        <f t="shared" si="70"/>
        <v>5.5057348300698992E-2</v>
      </c>
      <c r="Z146" s="3">
        <f t="shared" si="70"/>
        <v>5.5027121499081108E-2</v>
      </c>
      <c r="AA146" s="3">
        <f t="shared" ref="AA146" si="71">$C32*EXP(-AA$129/$A32/EXP(-$B$126))</f>
        <v>5.4725764689164791E-2</v>
      </c>
      <c r="AB146" s="3">
        <f t="shared" si="67"/>
        <v>5.1801492637257127E-2</v>
      </c>
      <c r="AC146" s="3">
        <f t="shared" si="67"/>
        <v>2.9912080846504943E-2</v>
      </c>
      <c r="AD146" s="3">
        <f t="shared" si="67"/>
        <v>1.2327929618031233E-4</v>
      </c>
      <c r="AE146" s="3">
        <f t="shared" si="67"/>
        <v>1.7431122273088093E-28</v>
      </c>
      <c r="AF146" s="3">
        <f t="shared" si="67"/>
        <v>5.5677199144292261E-267</v>
      </c>
    </row>
    <row r="147" spans="1:32" x14ac:dyDescent="0.25">
      <c r="B147" s="3">
        <f t="shared" ref="B147:Z147" si="72">$C33*EXP(-B$129/$A33/EXP(-$B$126))</f>
        <v>8.2774016803130748E-2</v>
      </c>
      <c r="C147" s="3">
        <f t="shared" si="72"/>
        <v>8.2774016803130748E-2</v>
      </c>
      <c r="D147" s="3">
        <f t="shared" si="72"/>
        <v>8.2774016803130748E-2</v>
      </c>
      <c r="E147" s="3">
        <f t="shared" si="72"/>
        <v>8.2774016803130748E-2</v>
      </c>
      <c r="F147" s="3">
        <f t="shared" si="72"/>
        <v>8.2774016803130748E-2</v>
      </c>
      <c r="G147" s="3">
        <f t="shared" si="72"/>
        <v>8.2774016803130748E-2</v>
      </c>
      <c r="H147" s="3">
        <f t="shared" si="72"/>
        <v>8.2774016803130748E-2</v>
      </c>
      <c r="I147" s="3">
        <f t="shared" si="72"/>
        <v>8.2774016803130748E-2</v>
      </c>
      <c r="J147" s="3">
        <f t="shared" si="72"/>
        <v>8.2774016803130748E-2</v>
      </c>
      <c r="K147" s="3">
        <f t="shared" si="72"/>
        <v>8.2774016803130748E-2</v>
      </c>
      <c r="L147" s="3">
        <f t="shared" si="72"/>
        <v>8.2774016803130748E-2</v>
      </c>
      <c r="M147" s="3">
        <f t="shared" si="72"/>
        <v>8.2774016803130748E-2</v>
      </c>
      <c r="N147" s="3">
        <f t="shared" si="72"/>
        <v>8.2774016803130748E-2</v>
      </c>
      <c r="O147" s="3">
        <f t="shared" si="72"/>
        <v>8.2774016803130707E-2</v>
      </c>
      <c r="P147" s="3">
        <f t="shared" si="72"/>
        <v>8.277401680313029E-2</v>
      </c>
      <c r="Q147" s="3">
        <f t="shared" si="72"/>
        <v>8.2774016803126196E-2</v>
      </c>
      <c r="R147" s="3">
        <f t="shared" si="72"/>
        <v>8.2774016803085187E-2</v>
      </c>
      <c r="S147" s="3">
        <f t="shared" si="72"/>
        <v>8.2774016802675141E-2</v>
      </c>
      <c r="T147" s="3">
        <f t="shared" si="72"/>
        <v>8.2774016798574643E-2</v>
      </c>
      <c r="U147" s="3">
        <f t="shared" si="72"/>
        <v>8.2774016757569652E-2</v>
      </c>
      <c r="V147" s="3">
        <f t="shared" si="72"/>
        <v>8.2774016347519686E-2</v>
      </c>
      <c r="W147" s="3">
        <f t="shared" si="72"/>
        <v>8.2774012247020259E-2</v>
      </c>
      <c r="X147" s="3">
        <f t="shared" si="72"/>
        <v>8.2773971242037128E-2</v>
      </c>
      <c r="Y147" s="3">
        <f t="shared" si="72"/>
        <v>8.2773561193323089E-2</v>
      </c>
      <c r="Z147" s="3">
        <f t="shared" si="72"/>
        <v>8.276946081790322E-2</v>
      </c>
      <c r="AA147" s="3">
        <f t="shared" ref="AA147" si="73">$C33*EXP(-AA$129/$A33/EXP(-$B$126))</f>
        <v>8.2728468233719543E-2</v>
      </c>
      <c r="AB147" s="3">
        <f t="shared" si="67"/>
        <v>8.2319657348703654E-2</v>
      </c>
      <c r="AC147" s="3">
        <f t="shared" si="67"/>
        <v>7.8341027346805397E-2</v>
      </c>
      <c r="AD147" s="3">
        <f t="shared" si="67"/>
        <v>4.7736035421530716E-2</v>
      </c>
      <c r="AE147" s="3">
        <f t="shared" si="67"/>
        <v>3.3683498534854928E-4</v>
      </c>
      <c r="AF147" s="3">
        <f t="shared" si="67"/>
        <v>1.0306842833243138E-25</v>
      </c>
    </row>
    <row r="148" spans="1:32" x14ac:dyDescent="0.25">
      <c r="B148" s="3">
        <f t="shared" ref="B148:Z148" si="74">$C34*EXP(-B$129/$A34/EXP(-$B$126))</f>
        <v>9.2826583311544017E-2</v>
      </c>
      <c r="C148" s="3">
        <f t="shared" si="74"/>
        <v>9.2826583311544017E-2</v>
      </c>
      <c r="D148" s="3">
        <f t="shared" si="74"/>
        <v>9.2826583311544017E-2</v>
      </c>
      <c r="E148" s="3">
        <f t="shared" si="74"/>
        <v>9.2826583311544017E-2</v>
      </c>
      <c r="F148" s="3">
        <f t="shared" si="74"/>
        <v>9.2826583311544017E-2</v>
      </c>
      <c r="G148" s="3">
        <f t="shared" si="74"/>
        <v>9.2826583311544017E-2</v>
      </c>
      <c r="H148" s="3">
        <f t="shared" si="74"/>
        <v>9.2826583311544017E-2</v>
      </c>
      <c r="I148" s="3">
        <f t="shared" si="74"/>
        <v>9.2826583311544017E-2</v>
      </c>
      <c r="J148" s="3">
        <f t="shared" si="74"/>
        <v>9.2826583311544017E-2</v>
      </c>
      <c r="K148" s="3">
        <f t="shared" si="74"/>
        <v>9.2826583311544017E-2</v>
      </c>
      <c r="L148" s="3">
        <f t="shared" si="74"/>
        <v>9.2826583311544017E-2</v>
      </c>
      <c r="M148" s="3">
        <f t="shared" si="74"/>
        <v>9.2826583311544017E-2</v>
      </c>
      <c r="N148" s="3">
        <f t="shared" si="74"/>
        <v>9.2826583311544017E-2</v>
      </c>
      <c r="O148" s="3">
        <f t="shared" si="74"/>
        <v>9.2826583311544017E-2</v>
      </c>
      <c r="P148" s="3">
        <f t="shared" si="74"/>
        <v>9.2826583311543975E-2</v>
      </c>
      <c r="Q148" s="3">
        <f t="shared" si="74"/>
        <v>9.2826583311543559E-2</v>
      </c>
      <c r="R148" s="3">
        <f t="shared" si="74"/>
        <v>9.282658331153941E-2</v>
      </c>
      <c r="S148" s="3">
        <f t="shared" si="74"/>
        <v>9.2826583311497929E-2</v>
      </c>
      <c r="T148" s="3">
        <f t="shared" si="74"/>
        <v>9.2826583311083094E-2</v>
      </c>
      <c r="U148" s="3">
        <f t="shared" si="74"/>
        <v>9.2826583306934884E-2</v>
      </c>
      <c r="V148" s="3">
        <f t="shared" si="74"/>
        <v>9.2826583265452692E-2</v>
      </c>
      <c r="W148" s="3">
        <f t="shared" si="74"/>
        <v>9.2826582850630779E-2</v>
      </c>
      <c r="X148" s="3">
        <f t="shared" si="74"/>
        <v>9.2826578702411719E-2</v>
      </c>
      <c r="Y148" s="3">
        <f t="shared" si="74"/>
        <v>9.2826537220231292E-2</v>
      </c>
      <c r="Z148" s="3">
        <f t="shared" si="74"/>
        <v>9.2826122399446681E-2</v>
      </c>
      <c r="AA148" s="3">
        <f>$C34*EXP(-AA$129/$A34/EXP(-$B$126))</f>
        <v>9.2821974293554765E-2</v>
      </c>
      <c r="AB148" s="3">
        <f t="shared" si="67"/>
        <v>9.2780503428384509E-2</v>
      </c>
      <c r="AC148" s="3">
        <f t="shared" si="67"/>
        <v>9.2366812468093029E-2</v>
      </c>
      <c r="AD148" s="3">
        <f t="shared" si="67"/>
        <v>8.8330009229048295E-2</v>
      </c>
      <c r="AE148" s="3">
        <f t="shared" si="67"/>
        <v>5.6497791030516727E-2</v>
      </c>
      <c r="AF148" s="3">
        <f t="shared" si="67"/>
        <v>6.4753521162836487E-4</v>
      </c>
    </row>
    <row r="149" spans="1:32" x14ac:dyDescent="0.25">
      <c r="B149" s="3">
        <f t="shared" ref="B149:Z149" si="75">$C35*EXP(-B$129/$A35/EXP(-$B$126))</f>
        <v>0.10795546608785625</v>
      </c>
      <c r="C149" s="3">
        <f t="shared" si="75"/>
        <v>0.10795546608785625</v>
      </c>
      <c r="D149" s="3">
        <f t="shared" si="75"/>
        <v>0.10795546608785625</v>
      </c>
      <c r="E149" s="3">
        <f t="shared" si="75"/>
        <v>0.10795546608785625</v>
      </c>
      <c r="F149" s="3">
        <f t="shared" si="75"/>
        <v>0.10795546608785625</v>
      </c>
      <c r="G149" s="3">
        <f t="shared" si="75"/>
        <v>0.10795546608785625</v>
      </c>
      <c r="H149" s="3">
        <f t="shared" si="75"/>
        <v>0.10795546608785625</v>
      </c>
      <c r="I149" s="3">
        <f t="shared" si="75"/>
        <v>0.10795546608785625</v>
      </c>
      <c r="J149" s="3">
        <f t="shared" si="75"/>
        <v>0.10795546608785625</v>
      </c>
      <c r="K149" s="3">
        <f t="shared" si="75"/>
        <v>0.10795546608785625</v>
      </c>
      <c r="L149" s="3">
        <f t="shared" si="75"/>
        <v>0.10795546608785625</v>
      </c>
      <c r="M149" s="3">
        <f t="shared" si="75"/>
        <v>0.10795546608785625</v>
      </c>
      <c r="N149" s="3">
        <f t="shared" si="75"/>
        <v>0.10795546608785625</v>
      </c>
      <c r="O149" s="3">
        <f t="shared" si="75"/>
        <v>0.10795546608785625</v>
      </c>
      <c r="P149" s="3">
        <f t="shared" si="75"/>
        <v>0.10795546608785625</v>
      </c>
      <c r="Q149" s="3">
        <f t="shared" si="75"/>
        <v>0.10795546608785621</v>
      </c>
      <c r="R149" s="3">
        <f t="shared" si="75"/>
        <v>0.10795546608785576</v>
      </c>
      <c r="S149" s="3">
        <f t="shared" si="75"/>
        <v>0.10795546608785142</v>
      </c>
      <c r="T149" s="3">
        <f t="shared" si="75"/>
        <v>0.1079554660878079</v>
      </c>
      <c r="U149" s="3">
        <f t="shared" si="75"/>
        <v>0.10795546608737271</v>
      </c>
      <c r="V149" s="3">
        <f t="shared" si="75"/>
        <v>0.10795546608302078</v>
      </c>
      <c r="W149" s="3">
        <f t="shared" si="75"/>
        <v>0.10795546603950162</v>
      </c>
      <c r="X149" s="3">
        <f t="shared" si="75"/>
        <v>0.10795546560430998</v>
      </c>
      <c r="Y149" s="3">
        <f t="shared" si="75"/>
        <v>0.10795546125239355</v>
      </c>
      <c r="Z149" s="3">
        <f t="shared" si="75"/>
        <v>0.10795541773323898</v>
      </c>
      <c r="AA149" s="3">
        <f t="shared" ref="AA149" si="76">$C35*EXP(-AA$129/$A35/EXP(-$B$126))</f>
        <v>0.1079549825426583</v>
      </c>
      <c r="AB149" s="3">
        <f t="shared" si="67"/>
        <v>0.1079506307333391</v>
      </c>
      <c r="AC149" s="3">
        <f t="shared" si="67"/>
        <v>0.10790712228747842</v>
      </c>
      <c r="AD149" s="3">
        <f t="shared" si="67"/>
        <v>0.10747300112460691</v>
      </c>
      <c r="AE149" s="3">
        <f t="shared" si="67"/>
        <v>0.10322669762756688</v>
      </c>
      <c r="AF149" s="3">
        <f t="shared" si="67"/>
        <v>6.8979272154737134E-2</v>
      </c>
    </row>
    <row r="150" spans="1:32" x14ac:dyDescent="0.25">
      <c r="B150" s="3">
        <f t="shared" ref="B150:Z150" si="77">$C36*EXP(-B$129/$A36/EXP(-$B$126))</f>
        <v>0.11222824358997255</v>
      </c>
      <c r="C150" s="3">
        <f t="shared" si="77"/>
        <v>0.11222824358997255</v>
      </c>
      <c r="D150" s="3">
        <f t="shared" si="77"/>
        <v>0.11222824358997255</v>
      </c>
      <c r="E150" s="3">
        <f t="shared" si="77"/>
        <v>0.11222824358997255</v>
      </c>
      <c r="F150" s="3">
        <f t="shared" si="77"/>
        <v>0.11222824358997255</v>
      </c>
      <c r="G150" s="3">
        <f t="shared" si="77"/>
        <v>0.11222824358997255</v>
      </c>
      <c r="H150" s="3">
        <f t="shared" si="77"/>
        <v>0.11222824358997255</v>
      </c>
      <c r="I150" s="3">
        <f t="shared" si="77"/>
        <v>0.11222824358997255</v>
      </c>
      <c r="J150" s="3">
        <f t="shared" si="77"/>
        <v>0.11222824358997255</v>
      </c>
      <c r="K150" s="3">
        <f t="shared" si="77"/>
        <v>0.11222824358997255</v>
      </c>
      <c r="L150" s="3">
        <f t="shared" si="77"/>
        <v>0.11222824358997255</v>
      </c>
      <c r="M150" s="3">
        <f t="shared" si="77"/>
        <v>0.11222824358997255</v>
      </c>
      <c r="N150" s="3">
        <f t="shared" si="77"/>
        <v>0.11222824358997255</v>
      </c>
      <c r="O150" s="3">
        <f t="shared" si="77"/>
        <v>0.11222824358997255</v>
      </c>
      <c r="P150" s="3">
        <f t="shared" si="77"/>
        <v>0.11222824358997255</v>
      </c>
      <c r="Q150" s="3">
        <f t="shared" si="77"/>
        <v>0.11222824358997255</v>
      </c>
      <c r="R150" s="3">
        <f t="shared" si="77"/>
        <v>0.11222824358997249</v>
      </c>
      <c r="S150" s="3">
        <f t="shared" si="77"/>
        <v>0.1122282435899721</v>
      </c>
      <c r="T150" s="3">
        <f t="shared" si="77"/>
        <v>0.11222824358996801</v>
      </c>
      <c r="U150" s="3">
        <f t="shared" si="77"/>
        <v>0.11222824358992721</v>
      </c>
      <c r="V150" s="3">
        <f t="shared" si="77"/>
        <v>0.11222824358951909</v>
      </c>
      <c r="W150" s="3">
        <f t="shared" si="77"/>
        <v>0.11222824358543791</v>
      </c>
      <c r="X150" s="3">
        <f t="shared" si="77"/>
        <v>0.11222824354462621</v>
      </c>
      <c r="Y150" s="3">
        <f t="shared" si="77"/>
        <v>0.11222824313650923</v>
      </c>
      <c r="Z150" s="3">
        <f t="shared" si="77"/>
        <v>0.11222823905533939</v>
      </c>
      <c r="AA150" s="3">
        <f t="shared" ref="AA150" si="78">$C36*EXP(-AA$129/$A36/EXP(-$B$126))</f>
        <v>0.11222819824364927</v>
      </c>
      <c r="AB150" s="3">
        <f t="shared" si="67"/>
        <v>0.11222779012756424</v>
      </c>
      <c r="AC150" s="3">
        <f t="shared" si="67"/>
        <v>0.11222370904833896</v>
      </c>
      <c r="AD150" s="3">
        <f t="shared" si="67"/>
        <v>0.11218290641749168</v>
      </c>
      <c r="AE150" s="3">
        <f t="shared" si="67"/>
        <v>0.11177569515250969</v>
      </c>
      <c r="AF150" s="3">
        <f t="shared" si="67"/>
        <v>0.10778400079483483</v>
      </c>
    </row>
    <row r="151" spans="1:32" x14ac:dyDescent="0.25">
      <c r="B151" s="3">
        <f t="shared" ref="B151:Z151" si="79">$C37*EXP(-B$129/$A37/EXP(-$B$126))</f>
        <v>8.9690702482137605E-2</v>
      </c>
      <c r="C151" s="3">
        <f t="shared" si="79"/>
        <v>8.9690702482137605E-2</v>
      </c>
      <c r="D151" s="3">
        <f t="shared" si="79"/>
        <v>8.9690702482137605E-2</v>
      </c>
      <c r="E151" s="3">
        <f t="shared" si="79"/>
        <v>8.9690702482137605E-2</v>
      </c>
      <c r="F151" s="3">
        <f t="shared" si="79"/>
        <v>8.9690702482137605E-2</v>
      </c>
      <c r="G151" s="3">
        <f t="shared" si="79"/>
        <v>8.9690702482137605E-2</v>
      </c>
      <c r="H151" s="3">
        <f t="shared" si="79"/>
        <v>8.9690702482137605E-2</v>
      </c>
      <c r="I151" s="3">
        <f t="shared" si="79"/>
        <v>8.9690702482137605E-2</v>
      </c>
      <c r="J151" s="3">
        <f t="shared" si="79"/>
        <v>8.9690702482137605E-2</v>
      </c>
      <c r="K151" s="3">
        <f t="shared" si="79"/>
        <v>8.9690702482137605E-2</v>
      </c>
      <c r="L151" s="3">
        <f t="shared" si="79"/>
        <v>8.9690702482137605E-2</v>
      </c>
      <c r="M151" s="3">
        <f t="shared" si="79"/>
        <v>8.9690702482137605E-2</v>
      </c>
      <c r="N151" s="3">
        <f t="shared" si="79"/>
        <v>8.9690702482137605E-2</v>
      </c>
      <c r="O151" s="3">
        <f t="shared" si="79"/>
        <v>8.9690702482137605E-2</v>
      </c>
      <c r="P151" s="3">
        <f t="shared" si="79"/>
        <v>8.9690702482137605E-2</v>
      </c>
      <c r="Q151" s="3">
        <f t="shared" si="79"/>
        <v>8.9690702482137605E-2</v>
      </c>
      <c r="R151" s="3">
        <f t="shared" si="79"/>
        <v>8.9690702482137605E-2</v>
      </c>
      <c r="S151" s="3">
        <f t="shared" si="79"/>
        <v>8.9690702482137577E-2</v>
      </c>
      <c r="T151" s="3">
        <f t="shared" si="79"/>
        <v>8.9690702482137272E-2</v>
      </c>
      <c r="U151" s="3">
        <f t="shared" si="79"/>
        <v>8.9690702482134343E-2</v>
      </c>
      <c r="V151" s="3">
        <f t="shared" si="79"/>
        <v>8.9690702482104909E-2</v>
      </c>
      <c r="W151" s="3">
        <f t="shared" si="79"/>
        <v>8.96907024818107E-2</v>
      </c>
      <c r="X151" s="3">
        <f t="shared" si="79"/>
        <v>8.9690702478868456E-2</v>
      </c>
      <c r="Y151" s="3">
        <f t="shared" si="79"/>
        <v>8.9690702449446172E-2</v>
      </c>
      <c r="Z151" s="3">
        <f t="shared" si="79"/>
        <v>8.9690702155223234E-2</v>
      </c>
      <c r="AA151" s="3">
        <f t="shared" ref="AA151" si="80">$C37*EXP(-AA$129/$A37/EXP(-$B$126))</f>
        <v>8.9690699212993913E-2</v>
      </c>
      <c r="AB151" s="3">
        <f t="shared" si="67"/>
        <v>8.9690669790706043E-2</v>
      </c>
      <c r="AC151" s="3">
        <f t="shared" si="67"/>
        <v>8.9690375568358197E-2</v>
      </c>
      <c r="AD151" s="3">
        <f t="shared" si="67"/>
        <v>8.9687433397963548E-2</v>
      </c>
      <c r="AE151" s="3">
        <f t="shared" si="67"/>
        <v>8.9658017001758447E-2</v>
      </c>
      <c r="AF151" s="3">
        <f t="shared" si="67"/>
        <v>8.9364383170177059E-2</v>
      </c>
    </row>
    <row r="152" spans="1:32" x14ac:dyDescent="0.25">
      <c r="B152" s="3">
        <f t="shared" ref="B152:Z152" si="81">$C38*EXP(-B$129/$A38/EXP(-$B$126))</f>
        <v>3.260199419264094E-2</v>
      </c>
      <c r="C152" s="3">
        <f t="shared" si="81"/>
        <v>3.260199419264094E-2</v>
      </c>
      <c r="D152" s="3">
        <f t="shared" si="81"/>
        <v>3.260199419264094E-2</v>
      </c>
      <c r="E152" s="3">
        <f t="shared" si="81"/>
        <v>3.260199419264094E-2</v>
      </c>
      <c r="F152" s="3">
        <f t="shared" si="81"/>
        <v>3.260199419264094E-2</v>
      </c>
      <c r="G152" s="3">
        <f t="shared" si="81"/>
        <v>3.260199419264094E-2</v>
      </c>
      <c r="H152" s="3">
        <f t="shared" si="81"/>
        <v>3.260199419264094E-2</v>
      </c>
      <c r="I152" s="3">
        <f t="shared" si="81"/>
        <v>3.260199419264094E-2</v>
      </c>
      <c r="J152" s="3">
        <f t="shared" si="81"/>
        <v>3.260199419264094E-2</v>
      </c>
      <c r="K152" s="3">
        <f t="shared" si="81"/>
        <v>3.260199419264094E-2</v>
      </c>
      <c r="L152" s="3">
        <f t="shared" si="81"/>
        <v>3.260199419264094E-2</v>
      </c>
      <c r="M152" s="3">
        <f t="shared" si="81"/>
        <v>3.260199419264094E-2</v>
      </c>
      <c r="N152" s="3">
        <f t="shared" si="81"/>
        <v>3.260199419264094E-2</v>
      </c>
      <c r="O152" s="3">
        <f t="shared" si="81"/>
        <v>3.260199419264094E-2</v>
      </c>
      <c r="P152" s="3">
        <f t="shared" si="81"/>
        <v>3.260199419264094E-2</v>
      </c>
      <c r="Q152" s="3">
        <f t="shared" si="81"/>
        <v>3.260199419264094E-2</v>
      </c>
      <c r="R152" s="3">
        <f t="shared" si="81"/>
        <v>3.260199419264094E-2</v>
      </c>
      <c r="S152" s="3">
        <f t="shared" si="81"/>
        <v>3.260199419264094E-2</v>
      </c>
      <c r="T152" s="3">
        <f t="shared" si="81"/>
        <v>3.2601994192640926E-2</v>
      </c>
      <c r="U152" s="3">
        <f t="shared" si="81"/>
        <v>3.2601994192640829E-2</v>
      </c>
      <c r="V152" s="3">
        <f t="shared" si="81"/>
        <v>3.2601994192639872E-2</v>
      </c>
      <c r="W152" s="3">
        <f t="shared" si="81"/>
        <v>3.260199419263022E-2</v>
      </c>
      <c r="X152" s="3">
        <f t="shared" si="81"/>
        <v>3.2601994192533741E-2</v>
      </c>
      <c r="Y152" s="3">
        <f t="shared" si="81"/>
        <v>3.2601994191568985E-2</v>
      </c>
      <c r="Z152" s="3">
        <f t="shared" si="81"/>
        <v>3.2601994181921369E-2</v>
      </c>
      <c r="AA152" s="3">
        <f t="shared" ref="AA152" si="82">$C38*EXP(-AA$129/$A38/EXP(-$B$126))</f>
        <v>3.2601994085445243E-2</v>
      </c>
      <c r="AB152" s="3">
        <f t="shared" si="67"/>
        <v>3.2601993120683993E-2</v>
      </c>
      <c r="AC152" s="3">
        <f t="shared" si="67"/>
        <v>3.2601983473073089E-2</v>
      </c>
      <c r="AD152" s="3">
        <f t="shared" si="67"/>
        <v>3.2601886997121007E-2</v>
      </c>
      <c r="AE152" s="3">
        <f t="shared" si="67"/>
        <v>3.2600922253302154E-2</v>
      </c>
      <c r="AF152" s="3">
        <f t="shared" si="67"/>
        <v>3.2591276385134392E-2</v>
      </c>
    </row>
    <row r="153" spans="1:32" x14ac:dyDescent="0.25">
      <c r="B153" s="3">
        <f t="shared" ref="B153:Z153" si="83">$C39*EXP(-B$129/$A39/EXP(-$B$126))</f>
        <v>3.3353536546241076E-2</v>
      </c>
      <c r="C153" s="3">
        <f t="shared" si="83"/>
        <v>3.3353536546241076E-2</v>
      </c>
      <c r="D153" s="3">
        <f t="shared" si="83"/>
        <v>3.3353536546241076E-2</v>
      </c>
      <c r="E153" s="3">
        <f t="shared" si="83"/>
        <v>3.3353536546241076E-2</v>
      </c>
      <c r="F153" s="3">
        <f t="shared" si="83"/>
        <v>3.3353536546241076E-2</v>
      </c>
      <c r="G153" s="3">
        <f t="shared" si="83"/>
        <v>3.3353536546241076E-2</v>
      </c>
      <c r="H153" s="3">
        <f t="shared" si="83"/>
        <v>3.3353536546241076E-2</v>
      </c>
      <c r="I153" s="3">
        <f t="shared" si="83"/>
        <v>3.3353536546241076E-2</v>
      </c>
      <c r="J153" s="3">
        <f t="shared" si="83"/>
        <v>3.3353536546241076E-2</v>
      </c>
      <c r="K153" s="3">
        <f t="shared" si="83"/>
        <v>3.3353536546241076E-2</v>
      </c>
      <c r="L153" s="3">
        <f t="shared" si="83"/>
        <v>3.3353536546241076E-2</v>
      </c>
      <c r="M153" s="3">
        <f t="shared" si="83"/>
        <v>3.3353536546241076E-2</v>
      </c>
      <c r="N153" s="3">
        <f t="shared" si="83"/>
        <v>3.3353536546241076E-2</v>
      </c>
      <c r="O153" s="3">
        <f t="shared" si="83"/>
        <v>3.3353536546241076E-2</v>
      </c>
      <c r="P153" s="3">
        <f t="shared" si="83"/>
        <v>3.3353536546241076E-2</v>
      </c>
      <c r="Q153" s="3">
        <f t="shared" si="83"/>
        <v>3.3353536546241076E-2</v>
      </c>
      <c r="R153" s="3">
        <f t="shared" si="83"/>
        <v>3.3353536546241076E-2</v>
      </c>
      <c r="S153" s="3">
        <f t="shared" si="83"/>
        <v>3.3353536546241076E-2</v>
      </c>
      <c r="T153" s="3">
        <f t="shared" si="83"/>
        <v>3.3353536546241069E-2</v>
      </c>
      <c r="U153" s="3">
        <f t="shared" si="83"/>
        <v>3.3353536546241049E-2</v>
      </c>
      <c r="V153" s="3">
        <f t="shared" si="83"/>
        <v>3.3353536546240771E-2</v>
      </c>
      <c r="W153" s="3">
        <f t="shared" si="83"/>
        <v>3.3353536546238044E-2</v>
      </c>
      <c r="X153" s="3">
        <f t="shared" si="83"/>
        <v>3.3353536546210746E-2</v>
      </c>
      <c r="Y153" s="3">
        <f t="shared" si="83"/>
        <v>3.3353536545937763E-2</v>
      </c>
      <c r="Z153" s="3">
        <f t="shared" si="83"/>
        <v>3.3353536543207968E-2</v>
      </c>
      <c r="AA153" s="3">
        <f t="shared" ref="AA153" si="84">$C39*EXP(-AA$129/$A39/EXP(-$B$126))</f>
        <v>3.3353536515909991E-2</v>
      </c>
      <c r="AB153" s="3">
        <f t="shared" si="67"/>
        <v>3.3353536242930235E-2</v>
      </c>
      <c r="AC153" s="3">
        <f t="shared" si="67"/>
        <v>3.3353533513132791E-2</v>
      </c>
      <c r="AD153" s="3">
        <f t="shared" si="67"/>
        <v>3.3353506215170643E-2</v>
      </c>
      <c r="AE153" s="3">
        <f t="shared" si="67"/>
        <v>3.3353233236777982E-2</v>
      </c>
      <c r="AF153" s="3">
        <f t="shared" si="67"/>
        <v>3.3350503575727365E-2</v>
      </c>
    </row>
    <row r="154" spans="1:32" x14ac:dyDescent="0.25">
      <c r="B154" s="3">
        <f t="shared" ref="B154:Z154" si="85">$C40*EXP(-B$129/$A40/EXP(-$B$126))</f>
        <v>1.7436587013509221E-2</v>
      </c>
      <c r="C154" s="3">
        <f t="shared" si="85"/>
        <v>1.7436587013509221E-2</v>
      </c>
      <c r="D154" s="3">
        <f t="shared" si="85"/>
        <v>1.7436587013509221E-2</v>
      </c>
      <c r="E154" s="3">
        <f t="shared" si="85"/>
        <v>1.7436587013509221E-2</v>
      </c>
      <c r="F154" s="3">
        <f t="shared" si="85"/>
        <v>1.7436587013509221E-2</v>
      </c>
      <c r="G154" s="3">
        <f t="shared" si="85"/>
        <v>1.7436587013509221E-2</v>
      </c>
      <c r="H154" s="3">
        <f t="shared" si="85"/>
        <v>1.7436587013509221E-2</v>
      </c>
      <c r="I154" s="3">
        <f t="shared" si="85"/>
        <v>1.7436587013509221E-2</v>
      </c>
      <c r="J154" s="3">
        <f t="shared" si="85"/>
        <v>1.7436587013509221E-2</v>
      </c>
      <c r="K154" s="3">
        <f t="shared" si="85"/>
        <v>1.7436587013509221E-2</v>
      </c>
      <c r="L154" s="3">
        <f t="shared" si="85"/>
        <v>1.7436587013509221E-2</v>
      </c>
      <c r="M154" s="3">
        <f t="shared" si="85"/>
        <v>1.7436587013509221E-2</v>
      </c>
      <c r="N154" s="3">
        <f t="shared" si="85"/>
        <v>1.7436587013509221E-2</v>
      </c>
      <c r="O154" s="3">
        <f t="shared" si="85"/>
        <v>1.7436587013509221E-2</v>
      </c>
      <c r="P154" s="3">
        <f t="shared" si="85"/>
        <v>1.7436587013509221E-2</v>
      </c>
      <c r="Q154" s="3">
        <f t="shared" si="85"/>
        <v>1.7436587013509221E-2</v>
      </c>
      <c r="R154" s="3">
        <f t="shared" si="85"/>
        <v>1.7436587013509221E-2</v>
      </c>
      <c r="S154" s="3">
        <f t="shared" si="85"/>
        <v>1.7436587013509221E-2</v>
      </c>
      <c r="T154" s="3">
        <f t="shared" si="85"/>
        <v>1.7436587013509221E-2</v>
      </c>
      <c r="U154" s="3">
        <f t="shared" si="85"/>
        <v>1.7436587013509218E-2</v>
      </c>
      <c r="V154" s="3">
        <f t="shared" si="85"/>
        <v>1.7436587013509208E-2</v>
      </c>
      <c r="W154" s="3">
        <f t="shared" si="85"/>
        <v>1.7436587013509062E-2</v>
      </c>
      <c r="X154" s="3">
        <f t="shared" si="85"/>
        <v>1.7436587013507636E-2</v>
      </c>
      <c r="Y154" s="3">
        <f t="shared" si="85"/>
        <v>1.7436587013493366E-2</v>
      </c>
      <c r="Z154" s="3">
        <f t="shared" si="85"/>
        <v>1.7436587013350657E-2</v>
      </c>
      <c r="AA154" s="3">
        <f t="shared" ref="AA154:AF154" si="86">$C40*EXP(-AA$129/$A40/EXP(-$B$126))</f>
        <v>1.743658701192357E-2</v>
      </c>
      <c r="AB154" s="3">
        <f t="shared" si="86"/>
        <v>1.7436586997652714E-2</v>
      </c>
      <c r="AC154" s="3">
        <f t="shared" si="86"/>
        <v>1.7436586854944151E-2</v>
      </c>
      <c r="AD154" s="3">
        <f t="shared" si="86"/>
        <v>1.7436585427858583E-2</v>
      </c>
      <c r="AE154" s="3">
        <f t="shared" si="86"/>
        <v>1.7436571157009324E-2</v>
      </c>
      <c r="AF154" s="3">
        <f t="shared" si="86"/>
        <v>1.7436428449159144E-2</v>
      </c>
    </row>
    <row r="155" spans="1:32" x14ac:dyDescent="0.25">
      <c r="B155" s="3">
        <f t="shared" ref="B155:Z155" si="87">$C41*EXP(-B$129/$A41/EXP(-$B$126))</f>
        <v>4.7217849635186409E-4</v>
      </c>
      <c r="C155" s="3">
        <f t="shared" si="87"/>
        <v>4.7217849635186409E-4</v>
      </c>
      <c r="D155" s="3">
        <f t="shared" si="87"/>
        <v>4.7217849635186409E-4</v>
      </c>
      <c r="E155" s="3">
        <f t="shared" si="87"/>
        <v>4.7217849635186409E-4</v>
      </c>
      <c r="F155" s="3">
        <f t="shared" si="87"/>
        <v>4.7217849635186409E-4</v>
      </c>
      <c r="G155" s="3">
        <f t="shared" si="87"/>
        <v>4.7217849635186409E-4</v>
      </c>
      <c r="H155" s="3">
        <f t="shared" si="87"/>
        <v>4.7217849635186409E-4</v>
      </c>
      <c r="I155" s="3">
        <f t="shared" si="87"/>
        <v>4.7217849635186409E-4</v>
      </c>
      <c r="J155" s="3">
        <f t="shared" si="87"/>
        <v>4.7217849635186409E-4</v>
      </c>
      <c r="K155" s="3">
        <f t="shared" si="87"/>
        <v>4.7217849635186409E-4</v>
      </c>
      <c r="L155" s="3">
        <f t="shared" si="87"/>
        <v>4.7217849635186409E-4</v>
      </c>
      <c r="M155" s="3">
        <f t="shared" si="87"/>
        <v>4.7217849635186409E-4</v>
      </c>
      <c r="N155" s="3">
        <f t="shared" si="87"/>
        <v>4.7217849635186409E-4</v>
      </c>
      <c r="O155" s="3">
        <f t="shared" si="87"/>
        <v>4.7217849635186409E-4</v>
      </c>
      <c r="P155" s="3">
        <f t="shared" si="87"/>
        <v>4.7217849635186409E-4</v>
      </c>
      <c r="Q155" s="3">
        <f t="shared" si="87"/>
        <v>4.7217849635186409E-4</v>
      </c>
      <c r="R155" s="3">
        <f t="shared" si="87"/>
        <v>4.7217849635186409E-4</v>
      </c>
      <c r="S155" s="3">
        <f t="shared" si="87"/>
        <v>4.7217849635186409E-4</v>
      </c>
      <c r="T155" s="3">
        <f t="shared" si="87"/>
        <v>4.7217849635186409E-4</v>
      </c>
      <c r="U155" s="3">
        <f t="shared" si="87"/>
        <v>4.7217849635186409E-4</v>
      </c>
      <c r="V155" s="3">
        <f t="shared" si="87"/>
        <v>4.7217849635186403E-4</v>
      </c>
      <c r="W155" s="3">
        <f t="shared" si="87"/>
        <v>4.7217849635186365E-4</v>
      </c>
      <c r="X155" s="3">
        <f t="shared" si="87"/>
        <v>4.7217849635185981E-4</v>
      </c>
      <c r="Y155" s="3">
        <f t="shared" si="87"/>
        <v>4.7217849635182115E-4</v>
      </c>
      <c r="Z155" s="3">
        <f t="shared" si="87"/>
        <v>4.7217849635143469E-4</v>
      </c>
      <c r="AA155" s="3">
        <f t="shared" ref="AA155:AF155" si="88">$C41*EXP(-AA$129/$A41/EXP(-$B$126))</f>
        <v>4.7217849634757016E-4</v>
      </c>
      <c r="AB155" s="3">
        <f t="shared" si="88"/>
        <v>4.7217849630892507E-4</v>
      </c>
      <c r="AC155" s="3">
        <f t="shared" si="88"/>
        <v>4.7217849592247379E-4</v>
      </c>
      <c r="AD155" s="3">
        <f t="shared" si="88"/>
        <v>4.7217849205796091E-4</v>
      </c>
      <c r="AE155" s="3">
        <f t="shared" si="88"/>
        <v>4.7217845341283399E-4</v>
      </c>
      <c r="AF155" s="3">
        <f t="shared" si="88"/>
        <v>4.7217806696173901E-4</v>
      </c>
    </row>
    <row r="156" spans="1:32" x14ac:dyDescent="0.25">
      <c r="B156" s="3">
        <f t="shared" ref="B156:Z156" si="89">$C42*EXP(-B$129/$A42/EXP(-$B$126))</f>
        <v>3.9532606595692786E-3</v>
      </c>
      <c r="C156" s="3">
        <f t="shared" si="89"/>
        <v>3.9532606595692786E-3</v>
      </c>
      <c r="D156" s="3">
        <f t="shared" si="89"/>
        <v>3.9532606595692786E-3</v>
      </c>
      <c r="E156" s="3">
        <f t="shared" si="89"/>
        <v>3.9532606595692786E-3</v>
      </c>
      <c r="F156" s="3">
        <f t="shared" si="89"/>
        <v>3.9532606595692786E-3</v>
      </c>
      <c r="G156" s="3">
        <f t="shared" si="89"/>
        <v>3.9532606595692786E-3</v>
      </c>
      <c r="H156" s="3">
        <f t="shared" si="89"/>
        <v>3.9532606595692786E-3</v>
      </c>
      <c r="I156" s="3">
        <f t="shared" si="89"/>
        <v>3.9532606595692786E-3</v>
      </c>
      <c r="J156" s="3">
        <f t="shared" si="89"/>
        <v>3.9532606595692786E-3</v>
      </c>
      <c r="K156" s="3">
        <f t="shared" si="89"/>
        <v>3.9532606595692786E-3</v>
      </c>
      <c r="L156" s="3">
        <f t="shared" si="89"/>
        <v>3.9532606595692786E-3</v>
      </c>
      <c r="M156" s="3">
        <f t="shared" si="89"/>
        <v>3.9532606595692786E-3</v>
      </c>
      <c r="N156" s="3">
        <f t="shared" si="89"/>
        <v>3.9532606595692786E-3</v>
      </c>
      <c r="O156" s="3">
        <f t="shared" si="89"/>
        <v>3.9532606595692786E-3</v>
      </c>
      <c r="P156" s="3">
        <f t="shared" si="89"/>
        <v>3.9532606595692786E-3</v>
      </c>
      <c r="Q156" s="3">
        <f t="shared" si="89"/>
        <v>3.9532606595692786E-3</v>
      </c>
      <c r="R156" s="3">
        <f t="shared" si="89"/>
        <v>3.9532606595692786E-3</v>
      </c>
      <c r="S156" s="3">
        <f t="shared" si="89"/>
        <v>3.9532606595692786E-3</v>
      </c>
      <c r="T156" s="3">
        <f t="shared" si="89"/>
        <v>3.9532606595692786E-3</v>
      </c>
      <c r="U156" s="3">
        <f t="shared" si="89"/>
        <v>3.9532606595692786E-3</v>
      </c>
      <c r="V156" s="3">
        <f t="shared" si="89"/>
        <v>3.9532606595692786E-3</v>
      </c>
      <c r="W156" s="3">
        <f t="shared" si="89"/>
        <v>3.9532606595692778E-3</v>
      </c>
      <c r="X156" s="3">
        <f t="shared" si="89"/>
        <v>3.9532606595692752E-3</v>
      </c>
      <c r="Y156" s="3">
        <f t="shared" si="89"/>
        <v>3.9532606595692431E-3</v>
      </c>
      <c r="Z156" s="3">
        <f t="shared" si="89"/>
        <v>3.9532606595689196E-3</v>
      </c>
      <c r="AA156" s="3">
        <f t="shared" ref="AA156:AF156" si="90">$C42*EXP(-AA$129/$A42/EXP(-$B$126))</f>
        <v>3.9532606595656834E-3</v>
      </c>
      <c r="AB156" s="3">
        <f t="shared" si="90"/>
        <v>3.9532606595333282E-3</v>
      </c>
      <c r="AC156" s="3">
        <f t="shared" si="90"/>
        <v>3.9532606592097763E-3</v>
      </c>
      <c r="AD156" s="3">
        <f t="shared" si="90"/>
        <v>3.9532606559742568E-3</v>
      </c>
      <c r="AE156" s="3">
        <f t="shared" si="90"/>
        <v>3.9532606236190636E-3</v>
      </c>
      <c r="AF156" s="3">
        <f t="shared" si="90"/>
        <v>3.9532603000671422E-3</v>
      </c>
    </row>
    <row r="157" spans="1:32" x14ac:dyDescent="0.25">
      <c r="B157" s="3">
        <f t="shared" ref="B157:Z157" si="91">$C43*EXP(-B$129/$A43/EXP(-$B$126))</f>
        <v>4.2057154474780992E-7</v>
      </c>
      <c r="C157" s="3">
        <f t="shared" si="91"/>
        <v>4.2057154474780992E-7</v>
      </c>
      <c r="D157" s="3">
        <f t="shared" si="91"/>
        <v>4.2057154474780992E-7</v>
      </c>
      <c r="E157" s="3">
        <f t="shared" si="91"/>
        <v>4.2057154474780992E-7</v>
      </c>
      <c r="F157" s="3">
        <f t="shared" si="91"/>
        <v>4.2057154474780992E-7</v>
      </c>
      <c r="G157" s="3">
        <f t="shared" si="91"/>
        <v>4.2057154474780992E-7</v>
      </c>
      <c r="H157" s="3">
        <f t="shared" si="91"/>
        <v>4.2057154474780992E-7</v>
      </c>
      <c r="I157" s="3">
        <f t="shared" si="91"/>
        <v>4.2057154474780992E-7</v>
      </c>
      <c r="J157" s="3">
        <f t="shared" si="91"/>
        <v>4.2057154474780992E-7</v>
      </c>
      <c r="K157" s="3">
        <f t="shared" si="91"/>
        <v>4.2057154474780992E-7</v>
      </c>
      <c r="L157" s="3">
        <f t="shared" si="91"/>
        <v>4.2057154474780992E-7</v>
      </c>
      <c r="M157" s="3">
        <f t="shared" si="91"/>
        <v>4.2057154474780992E-7</v>
      </c>
      <c r="N157" s="3">
        <f t="shared" si="91"/>
        <v>4.2057154474780992E-7</v>
      </c>
      <c r="O157" s="3">
        <f t="shared" si="91"/>
        <v>4.2057154474780992E-7</v>
      </c>
      <c r="P157" s="3">
        <f t="shared" si="91"/>
        <v>4.2057154474780992E-7</v>
      </c>
      <c r="Q157" s="3">
        <f t="shared" si="91"/>
        <v>4.2057154474780992E-7</v>
      </c>
      <c r="R157" s="3">
        <f t="shared" si="91"/>
        <v>4.2057154474780992E-7</v>
      </c>
      <c r="S157" s="3">
        <f t="shared" si="91"/>
        <v>4.2057154474780992E-7</v>
      </c>
      <c r="T157" s="3">
        <f t="shared" si="91"/>
        <v>4.2057154474780992E-7</v>
      </c>
      <c r="U157" s="3">
        <f t="shared" si="91"/>
        <v>4.2057154474780992E-7</v>
      </c>
      <c r="V157" s="3">
        <f t="shared" si="91"/>
        <v>4.2057154474780992E-7</v>
      </c>
      <c r="W157" s="3">
        <f t="shared" si="91"/>
        <v>4.2057154474780992E-7</v>
      </c>
      <c r="X157" s="3">
        <f t="shared" si="91"/>
        <v>4.2057154474780987E-7</v>
      </c>
      <c r="Y157" s="3">
        <f t="shared" si="91"/>
        <v>4.2057154474780955E-7</v>
      </c>
      <c r="Z157" s="3">
        <f t="shared" si="91"/>
        <v>4.2057154474780611E-7</v>
      </c>
      <c r="AA157" s="3">
        <f t="shared" ref="AA157:AF157" si="92">$C43*EXP(-AA$129/$A43/EXP(-$B$126))</f>
        <v>4.205715447477717E-7</v>
      </c>
      <c r="AB157" s="3">
        <f t="shared" si="92"/>
        <v>4.2057154474742749E-7</v>
      </c>
      <c r="AC157" s="3">
        <f t="shared" si="92"/>
        <v>4.205715447439853E-7</v>
      </c>
      <c r="AD157" s="3">
        <f t="shared" si="92"/>
        <v>4.2057154470956395E-7</v>
      </c>
      <c r="AE157" s="3">
        <f t="shared" si="92"/>
        <v>4.2057154436534998E-7</v>
      </c>
      <c r="AF157" s="3">
        <f t="shared" si="92"/>
        <v>4.2057154092321074E-7</v>
      </c>
    </row>
    <row r="158" spans="1:32" x14ac:dyDescent="0.25">
      <c r="B158" s="3">
        <f t="shared" ref="B158:Z158" si="93">$C44*EXP(-B$129/$A44/EXP(-$B$126))</f>
        <v>1.8675724725031384E-5</v>
      </c>
      <c r="C158" s="3">
        <f t="shared" si="93"/>
        <v>1.8675724725031384E-5</v>
      </c>
      <c r="D158" s="3">
        <f t="shared" si="93"/>
        <v>1.8675724725031384E-5</v>
      </c>
      <c r="E158" s="3">
        <f t="shared" si="93"/>
        <v>1.8675724725031384E-5</v>
      </c>
      <c r="F158" s="3">
        <f t="shared" si="93"/>
        <v>1.8675724725031384E-5</v>
      </c>
      <c r="G158" s="3">
        <f t="shared" si="93"/>
        <v>1.8675724725031384E-5</v>
      </c>
      <c r="H158" s="3">
        <f t="shared" si="93"/>
        <v>1.8675724725031384E-5</v>
      </c>
      <c r="I158" s="3">
        <f t="shared" si="93"/>
        <v>1.8675724725031384E-5</v>
      </c>
      <c r="J158" s="3">
        <f t="shared" si="93"/>
        <v>1.8675724725031384E-5</v>
      </c>
      <c r="K158" s="3">
        <f t="shared" si="93"/>
        <v>1.8675724725031384E-5</v>
      </c>
      <c r="L158" s="3">
        <f t="shared" si="93"/>
        <v>1.8675724725031384E-5</v>
      </c>
      <c r="M158" s="3">
        <f t="shared" si="93"/>
        <v>1.8675724725031384E-5</v>
      </c>
      <c r="N158" s="3">
        <f t="shared" si="93"/>
        <v>1.8675724725031384E-5</v>
      </c>
      <c r="O158" s="3">
        <f t="shared" si="93"/>
        <v>1.8675724725031384E-5</v>
      </c>
      <c r="P158" s="3">
        <f t="shared" si="93"/>
        <v>1.8675724725031384E-5</v>
      </c>
      <c r="Q158" s="3">
        <f t="shared" si="93"/>
        <v>1.8675724725031384E-5</v>
      </c>
      <c r="R158" s="3">
        <f t="shared" si="93"/>
        <v>1.8675724725031384E-5</v>
      </c>
      <c r="S158" s="3">
        <f t="shared" si="93"/>
        <v>1.8675724725031384E-5</v>
      </c>
      <c r="T158" s="3">
        <f t="shared" si="93"/>
        <v>1.8675724725031384E-5</v>
      </c>
      <c r="U158" s="3">
        <f t="shared" si="93"/>
        <v>1.8675724725031384E-5</v>
      </c>
      <c r="V158" s="3">
        <f t="shared" si="93"/>
        <v>1.8675724725031384E-5</v>
      </c>
      <c r="W158" s="3">
        <f t="shared" si="93"/>
        <v>1.8675724725031384E-5</v>
      </c>
      <c r="X158" s="3">
        <f t="shared" si="93"/>
        <v>1.8675724725031384E-5</v>
      </c>
      <c r="Y158" s="3">
        <f t="shared" si="93"/>
        <v>1.867572472503138E-5</v>
      </c>
      <c r="Z158" s="3">
        <f t="shared" si="93"/>
        <v>1.8675724725031367E-5</v>
      </c>
      <c r="AA158" s="3">
        <f t="shared" ref="AA158:AF158" si="94">$C44*EXP(-AA$129/$A44/EXP(-$B$126))</f>
        <v>1.8675724725031214E-5</v>
      </c>
      <c r="AB158" s="3">
        <f t="shared" si="94"/>
        <v>1.8675724725029686E-5</v>
      </c>
      <c r="AC158" s="3">
        <f t="shared" si="94"/>
        <v>1.8675724725014399E-5</v>
      </c>
      <c r="AD158" s="3">
        <f t="shared" si="94"/>
        <v>1.867572472486155E-5</v>
      </c>
      <c r="AE158" s="3">
        <f t="shared" si="94"/>
        <v>1.8675724723333049E-5</v>
      </c>
      <c r="AF158" s="3">
        <f t="shared" si="94"/>
        <v>1.8675724708048028E-5</v>
      </c>
    </row>
    <row r="159" spans="1:32" x14ac:dyDescent="0.25">
      <c r="A159" s="11" t="s">
        <v>75</v>
      </c>
      <c r="B159" s="3">
        <f t="shared" ref="B159:Z159" si="95">$C45*EXP(-B$129/$A45/EXP(-$B$126))</f>
        <v>6.5581020384023116E-8</v>
      </c>
      <c r="C159" s="3">
        <f t="shared" si="95"/>
        <v>6.5581020384023116E-8</v>
      </c>
      <c r="D159" s="3">
        <f t="shared" si="95"/>
        <v>6.5581020384023116E-8</v>
      </c>
      <c r="E159" s="3">
        <f t="shared" si="95"/>
        <v>6.5581020384023116E-8</v>
      </c>
      <c r="F159" s="3">
        <f t="shared" si="95"/>
        <v>6.5581020384023116E-8</v>
      </c>
      <c r="G159" s="3">
        <f t="shared" si="95"/>
        <v>6.5581020384023116E-8</v>
      </c>
      <c r="H159" s="3">
        <f t="shared" si="95"/>
        <v>6.5581020384023116E-8</v>
      </c>
      <c r="I159" s="3">
        <f t="shared" si="95"/>
        <v>6.5581020384023116E-8</v>
      </c>
      <c r="J159" s="3">
        <f t="shared" si="95"/>
        <v>6.5581020384023116E-8</v>
      </c>
      <c r="K159" s="3">
        <f t="shared" si="95"/>
        <v>6.5581020384023116E-8</v>
      </c>
      <c r="L159" s="3">
        <f t="shared" si="95"/>
        <v>6.5581020384023116E-8</v>
      </c>
      <c r="M159" s="3">
        <f t="shared" si="95"/>
        <v>6.5581020384023116E-8</v>
      </c>
      <c r="N159" s="3">
        <f t="shared" si="95"/>
        <v>6.5581020384023116E-8</v>
      </c>
      <c r="O159" s="3">
        <f t="shared" si="95"/>
        <v>6.5581020384023116E-8</v>
      </c>
      <c r="P159" s="3">
        <f t="shared" si="95"/>
        <v>6.5581020384023116E-8</v>
      </c>
      <c r="Q159" s="3">
        <f t="shared" si="95"/>
        <v>6.5581020384023116E-8</v>
      </c>
      <c r="R159" s="3">
        <f t="shared" si="95"/>
        <v>6.5581020384023116E-8</v>
      </c>
      <c r="S159" s="3">
        <f t="shared" si="95"/>
        <v>6.5581020384023116E-8</v>
      </c>
      <c r="T159" s="3">
        <f t="shared" si="95"/>
        <v>6.5581020384023116E-8</v>
      </c>
      <c r="U159" s="3">
        <f t="shared" si="95"/>
        <v>6.5581020384023116E-8</v>
      </c>
      <c r="V159" s="3">
        <f t="shared" si="95"/>
        <v>6.5581020384023116E-8</v>
      </c>
      <c r="W159" s="3">
        <f t="shared" si="95"/>
        <v>6.5581020384023116E-8</v>
      </c>
      <c r="X159" s="3">
        <f t="shared" si="95"/>
        <v>6.5581020384023116E-8</v>
      </c>
      <c r="Y159" s="3">
        <f t="shared" si="95"/>
        <v>6.5581020384023116E-8</v>
      </c>
      <c r="Z159" s="3">
        <f t="shared" si="95"/>
        <v>6.5581020384023102E-8</v>
      </c>
      <c r="AA159" s="3">
        <f t="shared" ref="AA159:AF159" si="96">$C45*EXP(-AA$129/$A45/EXP(-$B$126))</f>
        <v>6.5581020384023063E-8</v>
      </c>
      <c r="AB159" s="3">
        <f t="shared" si="96"/>
        <v>6.558102038402252E-8</v>
      </c>
      <c r="AC159" s="3">
        <f t="shared" si="96"/>
        <v>6.5581020384017147E-8</v>
      </c>
      <c r="AD159" s="3">
        <f t="shared" si="96"/>
        <v>6.5581020383963479E-8</v>
      </c>
      <c r="AE159" s="3">
        <f t="shared" si="96"/>
        <v>6.5581020383426738E-8</v>
      </c>
      <c r="AF159" s="3">
        <f t="shared" si="96"/>
        <v>6.5581020378059302E-8</v>
      </c>
    </row>
    <row r="160" spans="1:32" x14ac:dyDescent="0.25">
      <c r="B160" s="3">
        <f t="shared" ref="B160:Z160" si="97">$C46*EXP(-B$129/$A46/EXP(-$B$126))</f>
        <v>7.3021852336235098E-8</v>
      </c>
      <c r="C160" s="3">
        <f t="shared" si="97"/>
        <v>7.3021852336235098E-8</v>
      </c>
      <c r="D160" s="3">
        <f t="shared" si="97"/>
        <v>7.3021852336235098E-8</v>
      </c>
      <c r="E160" s="3">
        <f t="shared" si="97"/>
        <v>7.3021852336235098E-8</v>
      </c>
      <c r="F160" s="3">
        <f t="shared" si="97"/>
        <v>7.3021852336235098E-8</v>
      </c>
      <c r="G160" s="3">
        <f t="shared" si="97"/>
        <v>7.3021852336235098E-8</v>
      </c>
      <c r="H160" s="3">
        <f t="shared" si="97"/>
        <v>7.3021852336235098E-8</v>
      </c>
      <c r="I160" s="3">
        <f t="shared" si="97"/>
        <v>7.3021852336235098E-8</v>
      </c>
      <c r="J160" s="3">
        <f t="shared" si="97"/>
        <v>7.3021852336235098E-8</v>
      </c>
      <c r="K160" s="3">
        <f t="shared" si="97"/>
        <v>7.3021852336235098E-8</v>
      </c>
      <c r="L160" s="3">
        <f t="shared" si="97"/>
        <v>7.3021852336235098E-8</v>
      </c>
      <c r="M160" s="3">
        <f t="shared" si="97"/>
        <v>7.3021852336235098E-8</v>
      </c>
      <c r="N160" s="3">
        <f t="shared" si="97"/>
        <v>7.3021852336235098E-8</v>
      </c>
      <c r="O160" s="3">
        <f t="shared" si="97"/>
        <v>7.3021852336235098E-8</v>
      </c>
      <c r="P160" s="3">
        <f t="shared" si="97"/>
        <v>7.3021852336235098E-8</v>
      </c>
      <c r="Q160" s="3">
        <f t="shared" si="97"/>
        <v>7.3021852336235098E-8</v>
      </c>
      <c r="R160" s="3">
        <f t="shared" si="97"/>
        <v>7.3021852336235098E-8</v>
      </c>
      <c r="S160" s="3">
        <f t="shared" si="97"/>
        <v>7.3021852336235098E-8</v>
      </c>
      <c r="T160" s="3">
        <f t="shared" si="97"/>
        <v>7.3021852336235098E-8</v>
      </c>
      <c r="U160" s="3">
        <f t="shared" si="97"/>
        <v>7.3021852336235098E-8</v>
      </c>
      <c r="V160" s="3">
        <f t="shared" si="97"/>
        <v>7.3021852336235098E-8</v>
      </c>
      <c r="W160" s="3">
        <f t="shared" si="97"/>
        <v>7.3021852336235098E-8</v>
      </c>
      <c r="X160" s="3">
        <f t="shared" si="97"/>
        <v>7.3021852336235098E-8</v>
      </c>
      <c r="Y160" s="3">
        <f t="shared" si="97"/>
        <v>7.3021852336235098E-8</v>
      </c>
      <c r="Z160" s="3">
        <f t="shared" si="97"/>
        <v>7.3021852336235098E-8</v>
      </c>
      <c r="AA160" s="3">
        <f t="shared" ref="AA160:AF160" si="98">$C46*EXP(-AA$129/$A46/EXP(-$B$126))</f>
        <v>7.3021852336235085E-8</v>
      </c>
      <c r="AB160" s="3">
        <f t="shared" si="98"/>
        <v>7.3021852336235032E-8</v>
      </c>
      <c r="AC160" s="3">
        <f t="shared" si="98"/>
        <v>7.3021852336234436E-8</v>
      </c>
      <c r="AD160" s="3">
        <f t="shared" si="98"/>
        <v>7.3021852336228454E-8</v>
      </c>
      <c r="AE160" s="3">
        <f t="shared" si="98"/>
        <v>7.3021852336168699E-8</v>
      </c>
      <c r="AF160" s="3">
        <f t="shared" si="98"/>
        <v>7.3021852335571051E-8</v>
      </c>
    </row>
    <row r="161" spans="1:34" x14ac:dyDescent="0.25">
      <c r="A161" s="11" t="s">
        <v>75</v>
      </c>
      <c r="B161" s="3">
        <f t="shared" ref="B161:Z161" si="99">$C47*EXP(-B$129/$A47/EXP(-$B$126))</f>
        <v>1.1629614521313135E-6</v>
      </c>
      <c r="C161" s="3">
        <f t="shared" si="99"/>
        <v>1.1629614521313135E-6</v>
      </c>
      <c r="D161" s="3">
        <f t="shared" si="99"/>
        <v>1.1629614521313135E-6</v>
      </c>
      <c r="E161" s="3">
        <f t="shared" si="99"/>
        <v>1.1629614521313135E-6</v>
      </c>
      <c r="F161" s="3">
        <f t="shared" si="99"/>
        <v>1.1629614521313135E-6</v>
      </c>
      <c r="G161" s="3">
        <f t="shared" si="99"/>
        <v>1.1629614521313135E-6</v>
      </c>
      <c r="H161" s="3">
        <f t="shared" si="99"/>
        <v>1.1629614521313135E-6</v>
      </c>
      <c r="I161" s="3">
        <f t="shared" si="99"/>
        <v>1.1629614521313135E-6</v>
      </c>
      <c r="J161" s="3">
        <f t="shared" si="99"/>
        <v>1.1629614521313135E-6</v>
      </c>
      <c r="K161" s="3">
        <f t="shared" si="99"/>
        <v>1.1629614521313135E-6</v>
      </c>
      <c r="L161" s="3">
        <f t="shared" si="99"/>
        <v>1.1629614521313135E-6</v>
      </c>
      <c r="M161" s="3">
        <f t="shared" si="99"/>
        <v>1.1629614521313135E-6</v>
      </c>
      <c r="N161" s="3">
        <f t="shared" si="99"/>
        <v>1.1629614521313135E-6</v>
      </c>
      <c r="O161" s="3">
        <f t="shared" si="99"/>
        <v>1.1629614521313135E-6</v>
      </c>
      <c r="P161" s="3">
        <f t="shared" si="99"/>
        <v>1.1629614521313135E-6</v>
      </c>
      <c r="Q161" s="3">
        <f t="shared" si="99"/>
        <v>1.1629614521313135E-6</v>
      </c>
      <c r="R161" s="3">
        <f t="shared" si="99"/>
        <v>1.1629614521313135E-6</v>
      </c>
      <c r="S161" s="3">
        <f t="shared" si="99"/>
        <v>1.1629614521313135E-6</v>
      </c>
      <c r="T161" s="3">
        <f t="shared" si="99"/>
        <v>1.1629614521313135E-6</v>
      </c>
      <c r="U161" s="3">
        <f t="shared" si="99"/>
        <v>1.1629614521313135E-6</v>
      </c>
      <c r="V161" s="3">
        <f t="shared" si="99"/>
        <v>1.1629614521313135E-6</v>
      </c>
      <c r="W161" s="3">
        <f t="shared" si="99"/>
        <v>1.1629614521313135E-6</v>
      </c>
      <c r="X161" s="3">
        <f t="shared" si="99"/>
        <v>1.1629614521313135E-6</v>
      </c>
      <c r="Y161" s="3">
        <f t="shared" si="99"/>
        <v>1.1629614521313135E-6</v>
      </c>
      <c r="Z161" s="3">
        <f t="shared" si="99"/>
        <v>1.1629614521313135E-6</v>
      </c>
      <c r="AA161" s="3">
        <f t="shared" ref="AA161:AF161" si="100">$C47*EXP(-AA$129/$A47/EXP(-$B$126))</f>
        <v>1.1629614521313135E-6</v>
      </c>
      <c r="AB161" s="3">
        <f t="shared" si="100"/>
        <v>1.1629614521313132E-6</v>
      </c>
      <c r="AC161" s="3">
        <f t="shared" si="100"/>
        <v>1.1629614521313124E-6</v>
      </c>
      <c r="AD161" s="3">
        <f t="shared" si="100"/>
        <v>1.1629614521313029E-6</v>
      </c>
      <c r="AE161" s="3">
        <f t="shared" si="100"/>
        <v>1.1629614521312078E-6</v>
      </c>
      <c r="AF161" s="3">
        <f t="shared" si="100"/>
        <v>1.1629614521302559E-6</v>
      </c>
    </row>
    <row r="162" spans="1:34" x14ac:dyDescent="0.25">
      <c r="B162" s="3">
        <f t="shared" ref="B162:Z162" si="101">$C48*EXP(-B$129/$A48/EXP(-$B$126))</f>
        <v>4.9365030271996854E-7</v>
      </c>
      <c r="C162" s="3">
        <f t="shared" si="101"/>
        <v>4.9365030271996854E-7</v>
      </c>
      <c r="D162" s="3">
        <f t="shared" si="101"/>
        <v>4.9365030271996854E-7</v>
      </c>
      <c r="E162" s="3">
        <f t="shared" si="101"/>
        <v>4.9365030271996854E-7</v>
      </c>
      <c r="F162" s="3">
        <f t="shared" si="101"/>
        <v>4.9365030271996854E-7</v>
      </c>
      <c r="G162" s="3">
        <f t="shared" si="101"/>
        <v>4.9365030271996854E-7</v>
      </c>
      <c r="H162" s="3">
        <f t="shared" si="101"/>
        <v>4.9365030271996854E-7</v>
      </c>
      <c r="I162" s="3">
        <f t="shared" si="101"/>
        <v>4.9365030271996854E-7</v>
      </c>
      <c r="J162" s="3">
        <f t="shared" si="101"/>
        <v>4.9365030271996854E-7</v>
      </c>
      <c r="K162" s="3">
        <f t="shared" si="101"/>
        <v>4.9365030271996854E-7</v>
      </c>
      <c r="L162" s="3">
        <f t="shared" si="101"/>
        <v>4.9365030271996854E-7</v>
      </c>
      <c r="M162" s="3">
        <f t="shared" si="101"/>
        <v>4.9365030271996854E-7</v>
      </c>
      <c r="N162" s="3">
        <f t="shared" si="101"/>
        <v>4.9365030271996854E-7</v>
      </c>
      <c r="O162" s="3">
        <f t="shared" si="101"/>
        <v>4.9365030271996854E-7</v>
      </c>
      <c r="P162" s="3">
        <f t="shared" si="101"/>
        <v>4.9365030271996854E-7</v>
      </c>
      <c r="Q162" s="3">
        <f t="shared" si="101"/>
        <v>4.9365030271996854E-7</v>
      </c>
      <c r="R162" s="3">
        <f t="shared" si="101"/>
        <v>4.9365030271996854E-7</v>
      </c>
      <c r="S162" s="3">
        <f t="shared" si="101"/>
        <v>4.9365030271996854E-7</v>
      </c>
      <c r="T162" s="3">
        <f t="shared" si="101"/>
        <v>4.9365030271996854E-7</v>
      </c>
      <c r="U162" s="3">
        <f t="shared" si="101"/>
        <v>4.9365030271996854E-7</v>
      </c>
      <c r="V162" s="3">
        <f t="shared" si="101"/>
        <v>4.9365030271996854E-7</v>
      </c>
      <c r="W162" s="3">
        <f t="shared" si="101"/>
        <v>4.9365030271996854E-7</v>
      </c>
      <c r="X162" s="3">
        <f t="shared" si="101"/>
        <v>4.9365030271996854E-7</v>
      </c>
      <c r="Y162" s="3">
        <f t="shared" si="101"/>
        <v>4.9365030271996854E-7</v>
      </c>
      <c r="Z162" s="3">
        <f t="shared" si="101"/>
        <v>4.9365030271996854E-7</v>
      </c>
      <c r="AA162" s="3">
        <f t="shared" ref="AA162:AF162" si="102">$C48*EXP(-AA$129/$A48/EXP(-$B$126))</f>
        <v>4.9365030271996854E-7</v>
      </c>
      <c r="AB162" s="3">
        <f t="shared" si="102"/>
        <v>4.9365030271996854E-7</v>
      </c>
      <c r="AC162" s="3">
        <f t="shared" si="102"/>
        <v>4.9365030271996844E-7</v>
      </c>
      <c r="AD162" s="3">
        <f t="shared" si="102"/>
        <v>4.9365030271996812E-7</v>
      </c>
      <c r="AE162" s="3">
        <f t="shared" si="102"/>
        <v>4.936503027199641E-7</v>
      </c>
      <c r="AF162" s="3">
        <f t="shared" si="102"/>
        <v>4.9365030271992365E-7</v>
      </c>
    </row>
    <row r="163" spans="1:34" x14ac:dyDescent="0.25">
      <c r="A163" s="80">
        <f>AVERAGE(B163:AF163)</f>
        <v>1.3577192012613924E-3</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4.7922264077788854E-3</v>
      </c>
      <c r="M163" s="81">
        <f t="shared" si="103"/>
        <v>4.7922306653945925E-3</v>
      </c>
      <c r="N163" s="81">
        <f t="shared" si="103"/>
        <v>4.7922326672759381E-3</v>
      </c>
      <c r="O163" s="81">
        <f t="shared" si="103"/>
        <v>4.7921748630969018E-3</v>
      </c>
      <c r="P163" s="81">
        <f t="shared" si="103"/>
        <v>4.7916655360001866E-3</v>
      </c>
      <c r="Q163" s="81">
        <f t="shared" si="103"/>
        <v>4.7862415469692382E-3</v>
      </c>
      <c r="R163" s="81">
        <f t="shared" si="103"/>
        <v>4.7029635122641808E-3</v>
      </c>
      <c r="S163" s="81">
        <f t="shared" si="103"/>
        <v>2.6267689484310215E-3</v>
      </c>
      <c r="T163" s="81">
        <f t="shared" si="103"/>
        <v>1.5091915509435902E-3</v>
      </c>
      <c r="U163" s="81">
        <f t="shared" si="103"/>
        <v>8.4487844042730527E-4</v>
      </c>
      <c r="V163" s="81">
        <f t="shared" si="103"/>
        <v>3.6587211005213258E-3</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227.35609799945587</v>
      </c>
      <c r="C164" s="21">
        <f t="shared" ref="C164:AF164" si="104">(C131-C130)^2</f>
        <v>228.47864321518358</v>
      </c>
      <c r="D164" s="21">
        <f t="shared" si="104"/>
        <v>227.79548967113348</v>
      </c>
      <c r="E164" s="21">
        <f t="shared" si="104"/>
        <v>227.6286534443461</v>
      </c>
      <c r="F164" s="21">
        <f t="shared" si="104"/>
        <v>227.8975542547935</v>
      </c>
      <c r="G164" s="21">
        <f t="shared" si="104"/>
        <v>231.18129785293917</v>
      </c>
      <c r="H164" s="21">
        <f t="shared" si="104"/>
        <v>264.01700750654061</v>
      </c>
      <c r="I164" s="21">
        <f t="shared" si="104"/>
        <v>533.20690101316029</v>
      </c>
      <c r="J164" s="21">
        <f t="shared" si="104"/>
        <v>811.71568122920291</v>
      </c>
      <c r="K164" s="21">
        <f t="shared" si="104"/>
        <v>811.80157096649725</v>
      </c>
      <c r="L164" s="21">
        <f t="shared" si="104"/>
        <v>811.80194432027281</v>
      </c>
      <c r="M164" s="21">
        <f t="shared" si="104"/>
        <v>811.8033757668079</v>
      </c>
      <c r="N164" s="21">
        <f t="shared" si="104"/>
        <v>811.80387748927137</v>
      </c>
      <c r="O164" s="21">
        <f t="shared" si="104"/>
        <v>811.78240159237589</v>
      </c>
      <c r="P164" s="21">
        <f t="shared" si="104"/>
        <v>811.59105933003775</v>
      </c>
      <c r="Q164" s="21">
        <f t="shared" si="104"/>
        <v>809.56761773735366</v>
      </c>
      <c r="R164" s="21">
        <f t="shared" si="104"/>
        <v>779.87590201416765</v>
      </c>
      <c r="S164" s="21">
        <f t="shared" si="104"/>
        <v>238.88769255915577</v>
      </c>
      <c r="T164" s="21">
        <f t="shared" si="104"/>
        <v>75.005857319949911</v>
      </c>
      <c r="U164" s="21">
        <f t="shared" si="104"/>
        <v>22.291742867185206</v>
      </c>
      <c r="V164" s="21">
        <f t="shared" si="104"/>
        <v>390.26956286671629</v>
      </c>
      <c r="W164" s="21">
        <f t="shared" si="104"/>
        <v>6925.258694147451</v>
      </c>
      <c r="X164" s="21">
        <f t="shared" si="104"/>
        <v>30012.623791734597</v>
      </c>
      <c r="Y164" s="21">
        <f t="shared" si="104"/>
        <v>63722.680865351453</v>
      </c>
      <c r="Z164" s="21">
        <f t="shared" si="104"/>
        <v>89804.897635844114</v>
      </c>
      <c r="AA164" s="21">
        <f t="shared" si="104"/>
        <v>103308.66585295493</v>
      </c>
      <c r="AB164" s="21">
        <f t="shared" si="104"/>
        <v>108930.41500523862</v>
      </c>
      <c r="AC164" s="21">
        <f t="shared" si="104"/>
        <v>102270.37442940168</v>
      </c>
      <c r="AD164" s="21">
        <f t="shared" si="104"/>
        <v>84347.540425943182</v>
      </c>
      <c r="AE164" s="21">
        <f t="shared" si="104"/>
        <v>50926.364418295052</v>
      </c>
      <c r="AF164" s="21">
        <f t="shared" si="104"/>
        <v>28009.433780941454</v>
      </c>
    </row>
    <row r="165" spans="1:34" x14ac:dyDescent="0.25">
      <c r="A165" s="72">
        <f>SUM(B165:AF165)</f>
        <v>6374.6810338632949</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811.80194432027281</v>
      </c>
      <c r="M165" s="60">
        <f t="shared" si="105"/>
        <v>811.8033757668079</v>
      </c>
      <c r="N165" s="60">
        <f t="shared" si="105"/>
        <v>811.80387748927137</v>
      </c>
      <c r="O165" s="60">
        <f t="shared" si="105"/>
        <v>811.78240159237589</v>
      </c>
      <c r="P165" s="60">
        <f t="shared" si="105"/>
        <v>811.59105933003775</v>
      </c>
      <c r="Q165" s="60">
        <f t="shared" si="105"/>
        <v>809.56761773735366</v>
      </c>
      <c r="R165" s="60">
        <f t="shared" si="105"/>
        <v>779.87590201416765</v>
      </c>
      <c r="S165" s="60">
        <f t="shared" si="105"/>
        <v>238.88769255915577</v>
      </c>
      <c r="T165" s="60">
        <f t="shared" si="105"/>
        <v>75.005857319949911</v>
      </c>
      <c r="U165" s="60">
        <f t="shared" si="105"/>
        <v>22.291742867185206</v>
      </c>
      <c r="V165" s="60">
        <f t="shared" si="105"/>
        <v>390.26956286671629</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5930.4078109896845</v>
      </c>
      <c r="C170" s="27">
        <f t="shared" ref="C170:AF170" si="106">($C$17+SUM(C171:C201))*$B$51</f>
        <v>5930.4070099234623</v>
      </c>
      <c r="D170" s="27">
        <f t="shared" si="106"/>
        <v>5930.3990018928453</v>
      </c>
      <c r="E170" s="27">
        <f t="shared" si="106"/>
        <v>5930.3191841675143</v>
      </c>
      <c r="F170" s="27">
        <f t="shared" si="106"/>
        <v>5929.5466937297588</v>
      </c>
      <c r="G170" s="27">
        <f t="shared" si="106"/>
        <v>5923.9029629891202</v>
      </c>
      <c r="H170" s="27">
        <f t="shared" si="106"/>
        <v>5917.0162860139835</v>
      </c>
      <c r="I170" s="27">
        <f t="shared" si="106"/>
        <v>5916.998724956311</v>
      </c>
      <c r="J170" s="27">
        <f t="shared" si="106"/>
        <v>5916.998720173764</v>
      </c>
      <c r="K170" s="27">
        <f t="shared" si="106"/>
        <v>5916.9986723483098</v>
      </c>
      <c r="L170" s="27">
        <f t="shared" si="106"/>
        <v>5916.9981940956086</v>
      </c>
      <c r="M170" s="27">
        <f t="shared" si="106"/>
        <v>5916.9934117527791</v>
      </c>
      <c r="N170" s="27">
        <f t="shared" si="106"/>
        <v>5916.9456067353203</v>
      </c>
      <c r="O170" s="27">
        <f t="shared" si="106"/>
        <v>5916.4693904010464</v>
      </c>
      <c r="P170" s="27">
        <f t="shared" si="106"/>
        <v>5911.8835868107644</v>
      </c>
      <c r="Q170" s="27">
        <f t="shared" si="106"/>
        <v>5878.3798655217261</v>
      </c>
      <c r="R170" s="27">
        <f t="shared" si="106"/>
        <v>5755.0974294755124</v>
      </c>
      <c r="S170" s="27">
        <f t="shared" si="106"/>
        <v>5605.5253686500209</v>
      </c>
      <c r="T170" s="27">
        <f t="shared" si="106"/>
        <v>5446.4580129017877</v>
      </c>
      <c r="U170" s="27">
        <f t="shared" si="106"/>
        <v>5255.69163117894</v>
      </c>
      <c r="V170" s="27">
        <f t="shared" si="106"/>
        <v>5057.3858804749752</v>
      </c>
      <c r="W170" s="27">
        <f t="shared" si="106"/>
        <v>4823.8966915016326</v>
      </c>
      <c r="X170" s="27">
        <f t="shared" si="106"/>
        <v>4549.4319366309774</v>
      </c>
      <c r="Y170" s="27">
        <f t="shared" si="106"/>
        <v>4287.7835228418926</v>
      </c>
      <c r="Z170" s="27">
        <f t="shared" si="106"/>
        <v>4006.9311548480459</v>
      </c>
      <c r="AA170" s="27">
        <f t="shared" si="106"/>
        <v>3713.5652780337068</v>
      </c>
      <c r="AB170" s="27">
        <f t="shared" si="106"/>
        <v>3343.416088201167</v>
      </c>
      <c r="AC170" s="27">
        <f t="shared" si="106"/>
        <v>2851.81551146315</v>
      </c>
      <c r="AD170" s="27">
        <f t="shared" si="106"/>
        <v>2297.8671143062056</v>
      </c>
      <c r="AE170" s="27">
        <f t="shared" si="106"/>
        <v>1682.1092110059788</v>
      </c>
      <c r="AF170" s="27">
        <f t="shared" si="106"/>
        <v>1081.4099285523555</v>
      </c>
      <c r="AG170" s="27"/>
      <c r="AH170" s="27"/>
    </row>
    <row r="171" spans="1:34" x14ac:dyDescent="0.25">
      <c r="B171" s="3">
        <f t="shared" ref="B171:AF171" si="107">$C18*EXP(-B$168/$A18/EXP(-$C$126))</f>
        <v>2.2610730540102747E-3</v>
      </c>
      <c r="C171" s="3">
        <f t="shared" si="107"/>
        <v>2.2609379762489712E-3</v>
      </c>
      <c r="D171" s="3">
        <f t="shared" si="107"/>
        <v>2.2595876423855354E-3</v>
      </c>
      <c r="E171" s="3">
        <f t="shared" si="107"/>
        <v>2.2461285807780025E-3</v>
      </c>
      <c r="F171" s="3">
        <f t="shared" si="107"/>
        <v>2.1158693388669205E-3</v>
      </c>
      <c r="G171" s="3">
        <f t="shared" si="107"/>
        <v>1.1642095490141274E-3</v>
      </c>
      <c r="H171" s="3">
        <f t="shared" si="107"/>
        <v>2.9611081924959818E-6</v>
      </c>
      <c r="I171" s="3">
        <f t="shared" si="107"/>
        <v>3.3549454520436955E-32</v>
      </c>
      <c r="J171" s="3">
        <f t="shared" si="107"/>
        <v>1.1694922241917497E-291</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4.2263320671389265E-3</v>
      </c>
      <c r="C175" s="3">
        <f t="shared" si="111"/>
        <v>4.2263320671388788E-3</v>
      </c>
      <c r="D175" s="3">
        <f t="shared" si="111"/>
        <v>4.2263320671384044E-3</v>
      </c>
      <c r="E175" s="3">
        <f t="shared" si="111"/>
        <v>4.2263320671336565E-3</v>
      </c>
      <c r="F175" s="3">
        <f t="shared" si="111"/>
        <v>4.2263320670861788E-3</v>
      </c>
      <c r="G175" s="3">
        <f t="shared" si="111"/>
        <v>4.2263320666114049E-3</v>
      </c>
      <c r="H175" s="3">
        <f t="shared" si="111"/>
        <v>4.2263320618636576E-3</v>
      </c>
      <c r="I175" s="3">
        <f t="shared" si="111"/>
        <v>4.2263320143861921E-3</v>
      </c>
      <c r="J175" s="3">
        <f t="shared" si="111"/>
        <v>4.2263315396115627E-3</v>
      </c>
      <c r="K175" s="3">
        <f t="shared" si="111"/>
        <v>4.2263267918682037E-3</v>
      </c>
      <c r="L175" s="3">
        <f t="shared" si="111"/>
        <v>4.226279314727955E-3</v>
      </c>
      <c r="M175" s="3">
        <f t="shared" si="111"/>
        <v>4.2258045726583033E-3</v>
      </c>
      <c r="N175" s="3">
        <f t="shared" si="111"/>
        <v>4.2210600840267313E-3</v>
      </c>
      <c r="O175" s="3">
        <f t="shared" si="111"/>
        <v>4.1739071891517101E-3</v>
      </c>
      <c r="P175" s="3">
        <f t="shared" si="111"/>
        <v>3.7303993410001722E-3</v>
      </c>
      <c r="Q175" s="3">
        <f t="shared" si="111"/>
        <v>1.2130555919243077E-3</v>
      </c>
      <c r="R175" s="3">
        <f t="shared" si="111"/>
        <v>1.6037419471363592E-8</v>
      </c>
      <c r="S175" s="3">
        <f t="shared" si="111"/>
        <v>2.6162083870601714E-57</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3.0334384971501781E-2</v>
      </c>
      <c r="C176" s="3">
        <f t="shared" si="112"/>
        <v>3.033438497150175E-2</v>
      </c>
      <c r="D176" s="3">
        <f t="shared" si="112"/>
        <v>3.0334384971501444E-2</v>
      </c>
      <c r="E176" s="3">
        <f t="shared" si="112"/>
        <v>3.033438497149837E-2</v>
      </c>
      <c r="F176" s="3">
        <f t="shared" si="112"/>
        <v>3.0334384971467628E-2</v>
      </c>
      <c r="G176" s="3">
        <f t="shared" si="112"/>
        <v>3.0334384971160228E-2</v>
      </c>
      <c r="H176" s="3">
        <f t="shared" si="112"/>
        <v>3.0334384968086214E-2</v>
      </c>
      <c r="I176" s="3">
        <f t="shared" si="112"/>
        <v>3.0334384937346082E-2</v>
      </c>
      <c r="J176" s="3">
        <f t="shared" si="112"/>
        <v>3.0334384629944786E-2</v>
      </c>
      <c r="K176" s="3">
        <f t="shared" si="112"/>
        <v>3.0334381555931964E-2</v>
      </c>
      <c r="L176" s="3">
        <f t="shared" si="112"/>
        <v>3.0334350815820914E-2</v>
      </c>
      <c r="M176" s="3">
        <f t="shared" si="112"/>
        <v>3.0334043416423678E-2</v>
      </c>
      <c r="N176" s="3">
        <f t="shared" si="112"/>
        <v>3.0330969593776357E-2</v>
      </c>
      <c r="O176" s="3">
        <f t="shared" si="112"/>
        <v>3.030024849338361E-2</v>
      </c>
      <c r="P176" s="3">
        <f t="shared" si="112"/>
        <v>2.9994743693463912E-2</v>
      </c>
      <c r="Q176" s="3">
        <f t="shared" si="112"/>
        <v>2.7104088432926759E-2</v>
      </c>
      <c r="R176" s="3">
        <f t="shared" si="112"/>
        <v>9.8385548177408657E-3</v>
      </c>
      <c r="S176" s="3">
        <f t="shared" si="112"/>
        <v>3.9074762836703727E-7</v>
      </c>
      <c r="T176" s="3">
        <f t="shared" si="112"/>
        <v>3.8154587357144727E-51</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2.3501586958650868E-2</v>
      </c>
      <c r="C177" s="3">
        <f t="shared" si="113"/>
        <v>2.3501586958650865E-2</v>
      </c>
      <c r="D177" s="3">
        <f t="shared" si="113"/>
        <v>2.3501586958650844E-2</v>
      </c>
      <c r="E177" s="3">
        <f t="shared" si="113"/>
        <v>2.3501586958650632E-2</v>
      </c>
      <c r="F177" s="3">
        <f t="shared" si="113"/>
        <v>2.3501586958648481E-2</v>
      </c>
      <c r="G177" s="3">
        <f t="shared" si="113"/>
        <v>2.3501586958626995E-2</v>
      </c>
      <c r="H177" s="3">
        <f t="shared" si="113"/>
        <v>2.3501586958412157E-2</v>
      </c>
      <c r="I177" s="3">
        <f t="shared" si="113"/>
        <v>2.3501586956263764E-2</v>
      </c>
      <c r="J177" s="3">
        <f t="shared" si="113"/>
        <v>2.3501586934779804E-2</v>
      </c>
      <c r="K177" s="3">
        <f t="shared" si="113"/>
        <v>2.350158671994023E-2</v>
      </c>
      <c r="L177" s="3">
        <f t="shared" si="113"/>
        <v>2.3501584571544585E-2</v>
      </c>
      <c r="M177" s="3">
        <f t="shared" si="113"/>
        <v>2.3501563087598959E-2</v>
      </c>
      <c r="N177" s="3">
        <f t="shared" si="113"/>
        <v>2.3501348249222842E-2</v>
      </c>
      <c r="O177" s="3">
        <f t="shared" si="113"/>
        <v>2.3499199973475115E-2</v>
      </c>
      <c r="P177" s="3">
        <f t="shared" si="113"/>
        <v>2.3477728013688224E-2</v>
      </c>
      <c r="Q177" s="3">
        <f t="shared" si="113"/>
        <v>2.3264084541613002E-2</v>
      </c>
      <c r="R177" s="3">
        <f t="shared" si="113"/>
        <v>2.1231709860935435E-2</v>
      </c>
      <c r="S177" s="3">
        <f t="shared" si="113"/>
        <v>8.5108905276160534E-3</v>
      </c>
      <c r="T177" s="3">
        <f t="shared" si="113"/>
        <v>9.1174909425269258E-7</v>
      </c>
      <c r="U177" s="3">
        <f t="shared" si="113"/>
        <v>1.8150086627900846E-46</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3.0161245732589943E-2</v>
      </c>
      <c r="C178" s="3">
        <f t="shared" si="114"/>
        <v>3.0161245732589943E-2</v>
      </c>
      <c r="D178" s="3">
        <f t="shared" si="114"/>
        <v>3.016124573258994E-2</v>
      </c>
      <c r="E178" s="3">
        <f t="shared" si="114"/>
        <v>3.0161245732589916E-2</v>
      </c>
      <c r="F178" s="3">
        <f t="shared" si="114"/>
        <v>3.0161245732589666E-2</v>
      </c>
      <c r="G178" s="3">
        <f t="shared" si="114"/>
        <v>3.0161245732587182E-2</v>
      </c>
      <c r="H178" s="3">
        <f t="shared" si="114"/>
        <v>3.0161245732562309E-2</v>
      </c>
      <c r="I178" s="3">
        <f t="shared" si="114"/>
        <v>3.0161245732313584E-2</v>
      </c>
      <c r="J178" s="3">
        <f t="shared" si="114"/>
        <v>3.0161245729826373E-2</v>
      </c>
      <c r="K178" s="3">
        <f t="shared" si="114"/>
        <v>3.0161245704954244E-2</v>
      </c>
      <c r="L178" s="3">
        <f t="shared" si="114"/>
        <v>3.0161245456232957E-2</v>
      </c>
      <c r="M178" s="3">
        <f t="shared" si="114"/>
        <v>3.0161242969020164E-2</v>
      </c>
      <c r="N178" s="3">
        <f t="shared" si="114"/>
        <v>3.0161218096903565E-2</v>
      </c>
      <c r="O178" s="3">
        <f t="shared" si="114"/>
        <v>3.0160969376865639E-2</v>
      </c>
      <c r="P178" s="3">
        <f t="shared" si="114"/>
        <v>3.0158482289290384E-2</v>
      </c>
      <c r="Q178" s="3">
        <f t="shared" si="114"/>
        <v>3.0133622690499861E-2</v>
      </c>
      <c r="R178" s="3">
        <f t="shared" si="114"/>
        <v>2.9886150965588127E-2</v>
      </c>
      <c r="S178" s="3">
        <f t="shared" si="114"/>
        <v>2.7520504062447899E-2</v>
      </c>
      <c r="T178" s="3">
        <f t="shared" si="114"/>
        <v>1.2064806652253056E-2</v>
      </c>
      <c r="U178" s="3">
        <f t="shared" si="114"/>
        <v>3.1634442786950189E-6</v>
      </c>
      <c r="V178" s="3">
        <f t="shared" si="114"/>
        <v>4.859128862903672E-42</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3.6781885068377713E-2</v>
      </c>
      <c r="C179" s="3">
        <f t="shared" si="115"/>
        <v>3.6781885068377713E-2</v>
      </c>
      <c r="D179" s="3">
        <f t="shared" si="115"/>
        <v>3.6781885068377713E-2</v>
      </c>
      <c r="E179" s="3">
        <f t="shared" si="115"/>
        <v>3.6781885068377707E-2</v>
      </c>
      <c r="F179" s="3">
        <f t="shared" si="115"/>
        <v>3.6781885068377686E-2</v>
      </c>
      <c r="G179" s="3">
        <f t="shared" si="115"/>
        <v>3.6781885068377408E-2</v>
      </c>
      <c r="H179" s="3">
        <f t="shared" si="115"/>
        <v>3.6781885068374674E-2</v>
      </c>
      <c r="I179" s="3">
        <f t="shared" si="115"/>
        <v>3.6781885068347314E-2</v>
      </c>
      <c r="J179" s="3">
        <f t="shared" si="115"/>
        <v>3.6781885068073693E-2</v>
      </c>
      <c r="K179" s="3">
        <f t="shared" si="115"/>
        <v>3.6781885065337513E-2</v>
      </c>
      <c r="L179" s="3">
        <f t="shared" si="115"/>
        <v>3.6781885037975741E-2</v>
      </c>
      <c r="M179" s="3">
        <f t="shared" si="115"/>
        <v>3.6781884764357994E-2</v>
      </c>
      <c r="N179" s="3">
        <f t="shared" si="115"/>
        <v>3.6781882028180647E-2</v>
      </c>
      <c r="O179" s="3">
        <f t="shared" si="115"/>
        <v>3.6781854666418368E-2</v>
      </c>
      <c r="P179" s="3">
        <f t="shared" si="115"/>
        <v>3.6781581049915045E-2</v>
      </c>
      <c r="Q179" s="3">
        <f t="shared" si="115"/>
        <v>3.677884499682664E-2</v>
      </c>
      <c r="R179" s="3">
        <f t="shared" si="115"/>
        <v>3.6751495657342655E-2</v>
      </c>
      <c r="S179" s="3">
        <f t="shared" si="115"/>
        <v>3.6479118328308947E-2</v>
      </c>
      <c r="T179" s="3">
        <f t="shared" si="115"/>
        <v>3.3863939924930121E-2</v>
      </c>
      <c r="U179" s="3">
        <f t="shared" si="115"/>
        <v>1.6094185512315208E-2</v>
      </c>
      <c r="V179" s="3">
        <f t="shared" si="115"/>
        <v>9.4620269925806003E-6</v>
      </c>
      <c r="W179" s="3">
        <f t="shared" si="115"/>
        <v>4.6680551589650882E-38</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3.0958488235130539E-2</v>
      </c>
      <c r="C180" s="3">
        <f t="shared" si="116"/>
        <v>3.0958488235130539E-2</v>
      </c>
      <c r="D180" s="3">
        <f t="shared" si="116"/>
        <v>3.0958488235130539E-2</v>
      </c>
      <c r="E180" s="3">
        <f t="shared" si="116"/>
        <v>3.0958488235130539E-2</v>
      </c>
      <c r="F180" s="3">
        <f t="shared" si="116"/>
        <v>3.0958488235130536E-2</v>
      </c>
      <c r="G180" s="3">
        <f t="shared" si="116"/>
        <v>3.0958488235130515E-2</v>
      </c>
      <c r="H180" s="3">
        <f t="shared" si="116"/>
        <v>3.095848823513031E-2</v>
      </c>
      <c r="I180" s="3">
        <f t="shared" si="116"/>
        <v>3.0958488235128229E-2</v>
      </c>
      <c r="J180" s="3">
        <f t="shared" si="116"/>
        <v>3.0958488235107457E-2</v>
      </c>
      <c r="K180" s="3">
        <f t="shared" si="116"/>
        <v>3.0958488234899707E-2</v>
      </c>
      <c r="L180" s="3">
        <f t="shared" si="116"/>
        <v>3.095848823282223E-2</v>
      </c>
      <c r="M180" s="3">
        <f t="shared" si="116"/>
        <v>3.0958488212047438E-2</v>
      </c>
      <c r="N180" s="3">
        <f t="shared" si="116"/>
        <v>3.0958488004299553E-2</v>
      </c>
      <c r="O180" s="3">
        <f t="shared" si="116"/>
        <v>3.0958485926820767E-2</v>
      </c>
      <c r="P180" s="3">
        <f t="shared" si="116"/>
        <v>3.0958465152040562E-2</v>
      </c>
      <c r="Q180" s="3">
        <f t="shared" si="116"/>
        <v>3.0958257405005254E-2</v>
      </c>
      <c r="R180" s="3">
        <f t="shared" si="116"/>
        <v>3.095618001132551E-2</v>
      </c>
      <c r="S180" s="3">
        <f t="shared" si="116"/>
        <v>3.0935413739955377E-2</v>
      </c>
      <c r="T180" s="3">
        <f t="shared" si="116"/>
        <v>3.0728515669151153E-2</v>
      </c>
      <c r="U180" s="3">
        <f t="shared" si="116"/>
        <v>2.8734134319025821E-2</v>
      </c>
      <c r="V180" s="3">
        <f t="shared" si="116"/>
        <v>1.4688027265975775E-2</v>
      </c>
      <c r="W180" s="3">
        <f t="shared" si="116"/>
        <v>1.7890274120376619E-5</v>
      </c>
      <c r="X180" s="3">
        <f t="shared" si="116"/>
        <v>1.2857373040496645E-34</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5.2155951905646973E-2</v>
      </c>
      <c r="C181" s="3">
        <f t="shared" si="117"/>
        <v>5.2155951905646973E-2</v>
      </c>
      <c r="D181" s="3">
        <f t="shared" si="117"/>
        <v>5.2155951905646973E-2</v>
      </c>
      <c r="E181" s="3">
        <f t="shared" si="117"/>
        <v>5.2155951905646973E-2</v>
      </c>
      <c r="F181" s="3">
        <f t="shared" si="117"/>
        <v>5.2155951905646973E-2</v>
      </c>
      <c r="G181" s="3">
        <f t="shared" si="117"/>
        <v>5.2155951905646966E-2</v>
      </c>
      <c r="H181" s="3">
        <f t="shared" si="117"/>
        <v>5.2155951905646938E-2</v>
      </c>
      <c r="I181" s="3">
        <f t="shared" si="117"/>
        <v>5.2155951905646619E-2</v>
      </c>
      <c r="J181" s="3">
        <f t="shared" si="117"/>
        <v>5.2155951905643462E-2</v>
      </c>
      <c r="K181" s="3">
        <f t="shared" si="117"/>
        <v>5.2155951905611897E-2</v>
      </c>
      <c r="L181" s="3">
        <f t="shared" si="117"/>
        <v>5.215595190529617E-2</v>
      </c>
      <c r="M181" s="3">
        <f t="shared" si="117"/>
        <v>5.2155951902138932E-2</v>
      </c>
      <c r="N181" s="3">
        <f t="shared" si="117"/>
        <v>5.2155951870566548E-2</v>
      </c>
      <c r="O181" s="3">
        <f t="shared" si="117"/>
        <v>5.215595155484274E-2</v>
      </c>
      <c r="P181" s="3">
        <f t="shared" si="117"/>
        <v>5.2155948397604734E-2</v>
      </c>
      <c r="Q181" s="3">
        <f t="shared" si="117"/>
        <v>5.215591682523521E-2</v>
      </c>
      <c r="R181" s="3">
        <f t="shared" si="117"/>
        <v>5.2155601102591112E-2</v>
      </c>
      <c r="S181" s="3">
        <f t="shared" si="117"/>
        <v>5.2152443981264666E-2</v>
      </c>
      <c r="T181" s="3">
        <f t="shared" si="117"/>
        <v>5.2120883277097518E-2</v>
      </c>
      <c r="U181" s="3">
        <f t="shared" si="117"/>
        <v>5.1806324795158169E-2</v>
      </c>
      <c r="V181" s="3">
        <f t="shared" si="117"/>
        <v>4.8763284950402067E-2</v>
      </c>
      <c r="W181" s="3">
        <f t="shared" si="117"/>
        <v>2.6619179034154061E-2</v>
      </c>
      <c r="X181" s="3">
        <f t="shared" si="117"/>
        <v>6.2547749251660114E-5</v>
      </c>
      <c r="Y181" s="3">
        <f t="shared" si="117"/>
        <v>3.2090906033778317E-31</v>
      </c>
      <c r="Z181" s="3">
        <f t="shared" si="117"/>
        <v>4.0558781858942662E-294</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4.3160709564069449E-2</v>
      </c>
      <c r="C182" s="3">
        <f t="shared" si="118"/>
        <v>4.3160709564069449E-2</v>
      </c>
      <c r="D182" s="3">
        <f t="shared" si="118"/>
        <v>4.3160709564069449E-2</v>
      </c>
      <c r="E182" s="3">
        <f t="shared" si="118"/>
        <v>4.3160709564069449E-2</v>
      </c>
      <c r="F182" s="3">
        <f t="shared" si="118"/>
        <v>4.3160709564069449E-2</v>
      </c>
      <c r="G182" s="3">
        <f t="shared" si="118"/>
        <v>4.3160709564069449E-2</v>
      </c>
      <c r="H182" s="3">
        <f t="shared" si="118"/>
        <v>4.3160709564069442E-2</v>
      </c>
      <c r="I182" s="3">
        <f t="shared" si="118"/>
        <v>4.3160709564069429E-2</v>
      </c>
      <c r="J182" s="3">
        <f t="shared" si="118"/>
        <v>4.3160709564069186E-2</v>
      </c>
      <c r="K182" s="3">
        <f t="shared" si="118"/>
        <v>4.3160709564066826E-2</v>
      </c>
      <c r="L182" s="3">
        <f t="shared" si="118"/>
        <v>4.3160709564043262E-2</v>
      </c>
      <c r="M182" s="3">
        <f t="shared" si="118"/>
        <v>4.3160709563807576E-2</v>
      </c>
      <c r="N182" s="3">
        <f t="shared" si="118"/>
        <v>4.316070956145069E-2</v>
      </c>
      <c r="O182" s="3">
        <f t="shared" si="118"/>
        <v>4.3160709537881821E-2</v>
      </c>
      <c r="P182" s="3">
        <f t="shared" si="118"/>
        <v>4.31607093021932E-2</v>
      </c>
      <c r="Q182" s="3">
        <f t="shared" si="118"/>
        <v>4.3160706945306992E-2</v>
      </c>
      <c r="R182" s="3">
        <f t="shared" si="118"/>
        <v>4.3160683376452048E-2</v>
      </c>
      <c r="S182" s="3">
        <f t="shared" si="118"/>
        <v>4.3160447688610444E-2</v>
      </c>
      <c r="T182" s="3">
        <f t="shared" si="118"/>
        <v>4.3158090880979522E-2</v>
      </c>
      <c r="U182" s="3">
        <f t="shared" si="118"/>
        <v>4.3134529881746507E-2</v>
      </c>
      <c r="V182" s="3">
        <f t="shared" si="118"/>
        <v>4.2899626169231396E-2</v>
      </c>
      <c r="W182" s="3">
        <f t="shared" si="118"/>
        <v>4.0619810614765738E-2</v>
      </c>
      <c r="X182" s="3">
        <f t="shared" si="118"/>
        <v>2.3527823808321503E-2</v>
      </c>
      <c r="Y182" s="3">
        <f t="shared" si="118"/>
        <v>1.0000469952347291E-4</v>
      </c>
      <c r="Z182" s="3">
        <f t="shared" si="118"/>
        <v>1.9248944038109036E-28</v>
      </c>
      <c r="AA182" s="3">
        <f t="shared" si="118"/>
        <v>1.3436059424184172E-265</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4.9762672836986856E-2</v>
      </c>
      <c r="C183" s="3">
        <f t="shared" si="119"/>
        <v>4.9762672836986856E-2</v>
      </c>
      <c r="D183" s="3">
        <f t="shared" si="119"/>
        <v>4.9762672836986856E-2</v>
      </c>
      <c r="E183" s="3">
        <f t="shared" si="119"/>
        <v>4.9762672836986856E-2</v>
      </c>
      <c r="F183" s="3">
        <f t="shared" si="119"/>
        <v>4.9762672836986856E-2</v>
      </c>
      <c r="G183" s="3">
        <f t="shared" si="119"/>
        <v>4.9762672836986856E-2</v>
      </c>
      <c r="H183" s="3">
        <f t="shared" si="119"/>
        <v>4.9762672836986856E-2</v>
      </c>
      <c r="I183" s="3">
        <f t="shared" si="119"/>
        <v>4.9762672836986856E-2</v>
      </c>
      <c r="J183" s="3">
        <f t="shared" si="119"/>
        <v>4.9762672836986828E-2</v>
      </c>
      <c r="K183" s="3">
        <f t="shared" si="119"/>
        <v>4.9762672836986585E-2</v>
      </c>
      <c r="L183" s="3">
        <f t="shared" si="119"/>
        <v>4.9762672836984129E-2</v>
      </c>
      <c r="M183" s="3">
        <f t="shared" si="119"/>
        <v>4.9762672836959621E-2</v>
      </c>
      <c r="N183" s="3">
        <f t="shared" si="119"/>
        <v>4.9762672836714483E-2</v>
      </c>
      <c r="O183" s="3">
        <f t="shared" si="119"/>
        <v>4.9762672834263159E-2</v>
      </c>
      <c r="P183" s="3">
        <f t="shared" si="119"/>
        <v>4.9762672809749942E-2</v>
      </c>
      <c r="Q183" s="3">
        <f t="shared" si="119"/>
        <v>4.9762672564617756E-2</v>
      </c>
      <c r="R183" s="3">
        <f t="shared" si="119"/>
        <v>4.9762670113295944E-2</v>
      </c>
      <c r="S183" s="3">
        <f t="shared" si="119"/>
        <v>4.9762645600084483E-2</v>
      </c>
      <c r="T183" s="3">
        <f t="shared" si="119"/>
        <v>4.9762400468633922E-2</v>
      </c>
      <c r="U183" s="3">
        <f t="shared" si="119"/>
        <v>4.9759949220541014E-2</v>
      </c>
      <c r="V183" s="3">
        <f t="shared" si="119"/>
        <v>4.9735443379667732E-2</v>
      </c>
      <c r="W183" s="3">
        <f t="shared" si="119"/>
        <v>4.9491047767870278E-2</v>
      </c>
      <c r="X183" s="3">
        <f t="shared" si="119"/>
        <v>4.7112179062666307E-2</v>
      </c>
      <c r="Y183" s="3">
        <f t="shared" si="119"/>
        <v>2.8787147212765124E-2</v>
      </c>
      <c r="Z183" s="3">
        <f t="shared" si="119"/>
        <v>2.0885890471355619E-4</v>
      </c>
      <c r="AA183" s="3">
        <f t="shared" si="119"/>
        <v>8.4410538471375867E-26</v>
      </c>
      <c r="AB183" s="3">
        <f t="shared" si="119"/>
        <v>9.8137144309708523E-240</v>
      </c>
      <c r="AC183" s="3">
        <f t="shared" si="119"/>
        <v>0</v>
      </c>
      <c r="AD183" s="3">
        <f t="shared" si="119"/>
        <v>0</v>
      </c>
      <c r="AE183" s="3">
        <f t="shared" si="119"/>
        <v>0</v>
      </c>
      <c r="AF183" s="3">
        <f t="shared" si="119"/>
        <v>0</v>
      </c>
      <c r="AG183" s="3"/>
      <c r="AH183" s="3"/>
    </row>
    <row r="184" spans="2:34" x14ac:dyDescent="0.25">
      <c r="B184" s="3">
        <f t="shared" ref="B184:AF184" si="120">$C31*EXP(-B$168/$A31/EXP(-$C$126))</f>
        <v>4.7420297810237655E-2</v>
      </c>
      <c r="C184" s="3">
        <f t="shared" si="120"/>
        <v>4.7420297810237655E-2</v>
      </c>
      <c r="D184" s="3">
        <f t="shared" si="120"/>
        <v>4.7420297810237655E-2</v>
      </c>
      <c r="E184" s="3">
        <f t="shared" si="120"/>
        <v>4.7420297810237655E-2</v>
      </c>
      <c r="F184" s="3">
        <f t="shared" si="120"/>
        <v>4.7420297810237655E-2</v>
      </c>
      <c r="G184" s="3">
        <f t="shared" si="120"/>
        <v>4.7420297810237655E-2</v>
      </c>
      <c r="H184" s="3">
        <f t="shared" si="120"/>
        <v>4.7420297810237655E-2</v>
      </c>
      <c r="I184" s="3">
        <f t="shared" si="120"/>
        <v>4.7420297810237655E-2</v>
      </c>
      <c r="J184" s="3">
        <f t="shared" si="120"/>
        <v>4.7420297810237655E-2</v>
      </c>
      <c r="K184" s="3">
        <f t="shared" si="120"/>
        <v>4.7420297810237634E-2</v>
      </c>
      <c r="L184" s="3">
        <f t="shared" si="120"/>
        <v>4.7420297810237426E-2</v>
      </c>
      <c r="M184" s="3">
        <f t="shared" si="120"/>
        <v>4.742029781023531E-2</v>
      </c>
      <c r="N184" s="3">
        <f t="shared" si="120"/>
        <v>4.7420297810214243E-2</v>
      </c>
      <c r="O184" s="3">
        <f t="shared" si="120"/>
        <v>4.7420297810003523E-2</v>
      </c>
      <c r="P184" s="3">
        <f t="shared" si="120"/>
        <v>4.7420297807896312E-2</v>
      </c>
      <c r="Q184" s="3">
        <f t="shared" si="120"/>
        <v>4.7420297786824231E-2</v>
      </c>
      <c r="R184" s="3">
        <f t="shared" si="120"/>
        <v>4.7420297576103373E-2</v>
      </c>
      <c r="S184" s="3">
        <f t="shared" si="120"/>
        <v>4.7420295468894924E-2</v>
      </c>
      <c r="T184" s="3">
        <f t="shared" si="120"/>
        <v>4.7420274396815544E-2</v>
      </c>
      <c r="U184" s="3">
        <f t="shared" si="120"/>
        <v>4.7420063676536749E-2</v>
      </c>
      <c r="V184" s="3">
        <f t="shared" si="120"/>
        <v>4.7417956525248606E-2</v>
      </c>
      <c r="W184" s="3">
        <f t="shared" si="120"/>
        <v>4.7396890161500053E-2</v>
      </c>
      <c r="X184" s="3">
        <f t="shared" si="120"/>
        <v>4.7186740591706008E-2</v>
      </c>
      <c r="Y184" s="3">
        <f t="shared" si="120"/>
        <v>4.5135816403979172E-2</v>
      </c>
      <c r="Z184" s="3">
        <f t="shared" si="120"/>
        <v>2.894239914355903E-2</v>
      </c>
      <c r="AA184" s="3">
        <f t="shared" si="120"/>
        <v>3.4014711485136134E-4</v>
      </c>
      <c r="AB184" s="3">
        <f t="shared" si="120"/>
        <v>1.7099736649155069E-23</v>
      </c>
      <c r="AC184" s="3">
        <f t="shared" si="120"/>
        <v>1.7628514826175016E-216</v>
      </c>
      <c r="AD184" s="3">
        <f t="shared" si="120"/>
        <v>0</v>
      </c>
      <c r="AE184" s="3">
        <f t="shared" si="120"/>
        <v>0</v>
      </c>
      <c r="AF184" s="3">
        <f t="shared" si="120"/>
        <v>0</v>
      </c>
      <c r="AG184" s="3"/>
      <c r="AH184" s="3"/>
    </row>
    <row r="185" spans="2:34" x14ac:dyDescent="0.25">
      <c r="B185" s="3">
        <f t="shared" ref="B185:AF185" si="121">$C32*EXP(-B$168/$A32/EXP(-$C$126))</f>
        <v>5.5060707858971492E-2</v>
      </c>
      <c r="C185" s="3">
        <f t="shared" si="121"/>
        <v>5.5060707858971492E-2</v>
      </c>
      <c r="D185" s="3">
        <f t="shared" si="121"/>
        <v>5.5060707858971492E-2</v>
      </c>
      <c r="E185" s="3">
        <f t="shared" si="121"/>
        <v>5.5060707858971492E-2</v>
      </c>
      <c r="F185" s="3">
        <f t="shared" si="121"/>
        <v>5.5060707858971492E-2</v>
      </c>
      <c r="G185" s="3">
        <f t="shared" si="121"/>
        <v>5.5060707858971492E-2</v>
      </c>
      <c r="H185" s="3">
        <f t="shared" si="121"/>
        <v>5.5060707858971492E-2</v>
      </c>
      <c r="I185" s="3">
        <f t="shared" si="121"/>
        <v>5.5060707858971492E-2</v>
      </c>
      <c r="J185" s="3">
        <f t="shared" si="121"/>
        <v>5.5060707858971492E-2</v>
      </c>
      <c r="K185" s="3">
        <f t="shared" si="121"/>
        <v>5.5060707858971492E-2</v>
      </c>
      <c r="L185" s="3">
        <f t="shared" si="121"/>
        <v>5.5060707858971464E-2</v>
      </c>
      <c r="M185" s="3">
        <f t="shared" si="121"/>
        <v>5.5060707858971249E-2</v>
      </c>
      <c r="N185" s="3">
        <f t="shared" si="121"/>
        <v>5.5060707858969042E-2</v>
      </c>
      <c r="O185" s="3">
        <f t="shared" si="121"/>
        <v>5.506070785894697E-2</v>
      </c>
      <c r="P185" s="3">
        <f t="shared" si="121"/>
        <v>5.506070785872625E-2</v>
      </c>
      <c r="Q185" s="3">
        <f t="shared" si="121"/>
        <v>5.5060707856519106E-2</v>
      </c>
      <c r="R185" s="3">
        <f t="shared" si="121"/>
        <v>5.5060707834447616E-2</v>
      </c>
      <c r="S185" s="3">
        <f t="shared" si="121"/>
        <v>5.5060707613732732E-2</v>
      </c>
      <c r="T185" s="3">
        <f t="shared" si="121"/>
        <v>5.5060705406583976E-2</v>
      </c>
      <c r="U185" s="3">
        <f t="shared" si="121"/>
        <v>5.5060683335101245E-2</v>
      </c>
      <c r="V185" s="3">
        <f t="shared" si="121"/>
        <v>5.5060462620760579E-2</v>
      </c>
      <c r="W185" s="3">
        <f t="shared" si="121"/>
        <v>5.5058255526014475E-2</v>
      </c>
      <c r="X185" s="3">
        <f t="shared" si="121"/>
        <v>5.5036189443886316E-2</v>
      </c>
      <c r="Y185" s="3">
        <f t="shared" si="121"/>
        <v>5.4816014435056494E-2</v>
      </c>
      <c r="Z185" s="3">
        <f t="shared" si="121"/>
        <v>5.266213270912793E-2</v>
      </c>
      <c r="AA185" s="3">
        <f t="shared" si="121"/>
        <v>3.5270232159849868E-2</v>
      </c>
      <c r="AB185" s="3">
        <f t="shared" si="121"/>
        <v>6.4048220816997361E-4</v>
      </c>
      <c r="AC185" s="3">
        <f t="shared" si="121"/>
        <v>2.4974372630429506E-21</v>
      </c>
      <c r="AD185" s="3">
        <f t="shared" si="121"/>
        <v>2.0294098311649411E-195</v>
      </c>
      <c r="AE185" s="3">
        <f t="shared" si="121"/>
        <v>0</v>
      </c>
      <c r="AF185" s="3">
        <f t="shared" si="121"/>
        <v>0</v>
      </c>
      <c r="AG185" s="3"/>
      <c r="AH185" s="3"/>
    </row>
    <row r="186" spans="2:34" x14ac:dyDescent="0.25">
      <c r="B186" s="3">
        <f t="shared" ref="B186:AF186" si="122">$C33*EXP(-B$168/$A33/EXP(-$C$126))</f>
        <v>8.2774016803130748E-2</v>
      </c>
      <c r="C186" s="3">
        <f t="shared" si="122"/>
        <v>8.2774016803130748E-2</v>
      </c>
      <c r="D186" s="3">
        <f t="shared" si="122"/>
        <v>8.2774016803130748E-2</v>
      </c>
      <c r="E186" s="3">
        <f t="shared" si="122"/>
        <v>8.2774016803130748E-2</v>
      </c>
      <c r="F186" s="3">
        <f t="shared" si="122"/>
        <v>8.2774016803130748E-2</v>
      </c>
      <c r="G186" s="3">
        <f t="shared" si="122"/>
        <v>8.2774016803130748E-2</v>
      </c>
      <c r="H186" s="3">
        <f t="shared" si="122"/>
        <v>8.2774016803130748E-2</v>
      </c>
      <c r="I186" s="3">
        <f t="shared" si="122"/>
        <v>8.2774016803130748E-2</v>
      </c>
      <c r="J186" s="3">
        <f t="shared" si="122"/>
        <v>8.2774016803130748E-2</v>
      </c>
      <c r="K186" s="3">
        <f t="shared" si="122"/>
        <v>8.2774016803130748E-2</v>
      </c>
      <c r="L186" s="3">
        <f t="shared" si="122"/>
        <v>8.2774016803130748E-2</v>
      </c>
      <c r="M186" s="3">
        <f t="shared" si="122"/>
        <v>8.2774016803130707E-2</v>
      </c>
      <c r="N186" s="3">
        <f t="shared" si="122"/>
        <v>8.2774016803130415E-2</v>
      </c>
      <c r="O186" s="3">
        <f t="shared" si="122"/>
        <v>8.2774016803127418E-2</v>
      </c>
      <c r="P186" s="3">
        <f t="shared" si="122"/>
        <v>8.2774016803097497E-2</v>
      </c>
      <c r="Q186" s="3">
        <f t="shared" si="122"/>
        <v>8.2774016802798167E-2</v>
      </c>
      <c r="R186" s="3">
        <f t="shared" si="122"/>
        <v>8.2774016799805006E-2</v>
      </c>
      <c r="S186" s="3">
        <f t="shared" si="122"/>
        <v>8.2774016769873379E-2</v>
      </c>
      <c r="T186" s="3">
        <f t="shared" si="122"/>
        <v>8.2774016470557016E-2</v>
      </c>
      <c r="U186" s="3">
        <f t="shared" si="122"/>
        <v>8.2774013477393535E-2</v>
      </c>
      <c r="V186" s="3">
        <f t="shared" si="122"/>
        <v>8.2773983545764707E-2</v>
      </c>
      <c r="W186" s="3">
        <f t="shared" si="122"/>
        <v>8.2773684230071601E-2</v>
      </c>
      <c r="X186" s="3">
        <f t="shared" si="122"/>
        <v>8.2770691132668814E-2</v>
      </c>
      <c r="Y186" s="3">
        <f t="shared" si="122"/>
        <v>8.2740766110669398E-2</v>
      </c>
      <c r="Z186" s="3">
        <f t="shared" si="122"/>
        <v>8.2442110297933038E-2</v>
      </c>
      <c r="AA186" s="3">
        <f t="shared" si="122"/>
        <v>7.9514205246103128E-2</v>
      </c>
      <c r="AB186" s="3">
        <f t="shared" si="122"/>
        <v>5.5386120597339272E-2</v>
      </c>
      <c r="AC186" s="3">
        <f t="shared" si="122"/>
        <v>1.4892348544381926E-3</v>
      </c>
      <c r="AD186" s="3">
        <f t="shared" si="122"/>
        <v>2.9416137185647791E-19</v>
      </c>
      <c r="AE186" s="3">
        <f t="shared" si="122"/>
        <v>2.6595621567106878E-176</v>
      </c>
      <c r="AF186" s="3">
        <f t="shared" si="122"/>
        <v>0</v>
      </c>
      <c r="AG186" s="3"/>
      <c r="AH186" s="3"/>
    </row>
    <row r="187" spans="2:34" x14ac:dyDescent="0.25">
      <c r="B187" s="3">
        <f t="shared" ref="B187:AF187" si="123">$C34*EXP(-B$168/$A34/EXP(-$C$126))</f>
        <v>9.2826583311544017E-2</v>
      </c>
      <c r="C187" s="3">
        <f t="shared" si="123"/>
        <v>9.2826583311544017E-2</v>
      </c>
      <c r="D187" s="3">
        <f t="shared" si="123"/>
        <v>9.2826583311544017E-2</v>
      </c>
      <c r="E187" s="3">
        <f t="shared" si="123"/>
        <v>9.2826583311544017E-2</v>
      </c>
      <c r="F187" s="3">
        <f t="shared" si="123"/>
        <v>9.2826583311544017E-2</v>
      </c>
      <c r="G187" s="3">
        <f t="shared" si="123"/>
        <v>9.2826583311544017E-2</v>
      </c>
      <c r="H187" s="3">
        <f t="shared" si="123"/>
        <v>9.2826583311544017E-2</v>
      </c>
      <c r="I187" s="3">
        <f t="shared" si="123"/>
        <v>9.2826583311544017E-2</v>
      </c>
      <c r="J187" s="3">
        <f t="shared" si="123"/>
        <v>9.2826583311544017E-2</v>
      </c>
      <c r="K187" s="3">
        <f t="shared" si="123"/>
        <v>9.2826583311544017E-2</v>
      </c>
      <c r="L187" s="3">
        <f t="shared" si="123"/>
        <v>9.2826583311544017E-2</v>
      </c>
      <c r="M187" s="3">
        <f t="shared" si="123"/>
        <v>9.2826583311544017E-2</v>
      </c>
      <c r="N187" s="3">
        <f t="shared" si="123"/>
        <v>9.2826583311543989E-2</v>
      </c>
      <c r="O187" s="3">
        <f t="shared" si="123"/>
        <v>9.282658331154367E-2</v>
      </c>
      <c r="P187" s="3">
        <f t="shared" si="123"/>
        <v>9.2826583311540659E-2</v>
      </c>
      <c r="Q187" s="3">
        <f t="shared" si="123"/>
        <v>9.2826583311510363E-2</v>
      </c>
      <c r="R187" s="3">
        <f t="shared" si="123"/>
        <v>9.2826583311207578E-2</v>
      </c>
      <c r="S187" s="3">
        <f t="shared" si="123"/>
        <v>9.2826583308179583E-2</v>
      </c>
      <c r="T187" s="3">
        <f t="shared" si="123"/>
        <v>9.282658327789961E-2</v>
      </c>
      <c r="U187" s="3">
        <f t="shared" si="123"/>
        <v>9.2826582975099964E-2</v>
      </c>
      <c r="V187" s="3">
        <f t="shared" si="123"/>
        <v>9.2826579947103499E-2</v>
      </c>
      <c r="W187" s="3">
        <f t="shared" si="123"/>
        <v>9.2826549667144251E-2</v>
      </c>
      <c r="X187" s="3">
        <f t="shared" si="123"/>
        <v>9.2826246868095083E-2</v>
      </c>
      <c r="Y187" s="3">
        <f t="shared" si="123"/>
        <v>9.2823218931927895E-2</v>
      </c>
      <c r="Z187" s="3">
        <f t="shared" si="123"/>
        <v>9.2792945002044228E-2</v>
      </c>
      <c r="AA187" s="3">
        <f t="shared" si="123"/>
        <v>9.2490748227020095E-2</v>
      </c>
      <c r="AB187" s="3">
        <f t="shared" si="123"/>
        <v>8.952238373981479E-2</v>
      </c>
      <c r="AC187" s="3">
        <f t="shared" si="123"/>
        <v>6.4604844795257979E-2</v>
      </c>
      <c r="AD187" s="3">
        <f t="shared" si="123"/>
        <v>2.4751389509578567E-3</v>
      </c>
      <c r="AE187" s="3">
        <f t="shared" si="123"/>
        <v>1.686337727771087E-17</v>
      </c>
      <c r="AF187" s="3">
        <f t="shared" si="123"/>
        <v>3.6340782467418941E-159</v>
      </c>
      <c r="AG187" s="3"/>
      <c r="AH187" s="3"/>
    </row>
    <row r="188" spans="2:34" x14ac:dyDescent="0.25">
      <c r="B188" s="3">
        <f t="shared" ref="B188:AF188" si="124">$C35*EXP(-B$168/$A35/EXP(-$C$126))</f>
        <v>0.10795546608785625</v>
      </c>
      <c r="C188" s="3">
        <f t="shared" si="124"/>
        <v>0.10795546608785625</v>
      </c>
      <c r="D188" s="3">
        <f t="shared" si="124"/>
        <v>0.10795546608785625</v>
      </c>
      <c r="E188" s="3">
        <f t="shared" si="124"/>
        <v>0.10795546608785625</v>
      </c>
      <c r="F188" s="3">
        <f t="shared" si="124"/>
        <v>0.10795546608785625</v>
      </c>
      <c r="G188" s="3">
        <f t="shared" si="124"/>
        <v>0.10795546608785625</v>
      </c>
      <c r="H188" s="3">
        <f t="shared" si="124"/>
        <v>0.10795546608785625</v>
      </c>
      <c r="I188" s="3">
        <f t="shared" si="124"/>
        <v>0.10795546608785625</v>
      </c>
      <c r="J188" s="3">
        <f t="shared" si="124"/>
        <v>0.10795546608785625</v>
      </c>
      <c r="K188" s="3">
        <f t="shared" si="124"/>
        <v>0.10795546608785625</v>
      </c>
      <c r="L188" s="3">
        <f t="shared" si="124"/>
        <v>0.10795546608785625</v>
      </c>
      <c r="M188" s="3">
        <f t="shared" si="124"/>
        <v>0.10795546608785625</v>
      </c>
      <c r="N188" s="3">
        <f t="shared" si="124"/>
        <v>0.10795546608785625</v>
      </c>
      <c r="O188" s="3">
        <f t="shared" si="124"/>
        <v>0.10795546608785621</v>
      </c>
      <c r="P188" s="3">
        <f t="shared" si="124"/>
        <v>0.1079554660878559</v>
      </c>
      <c r="Q188" s="3">
        <f t="shared" si="124"/>
        <v>0.10795546608785273</v>
      </c>
      <c r="R188" s="3">
        <f t="shared" si="124"/>
        <v>0.10795546608782096</v>
      </c>
      <c r="S188" s="3">
        <f t="shared" si="124"/>
        <v>0.1079554660875033</v>
      </c>
      <c r="T188" s="3">
        <f t="shared" si="124"/>
        <v>0.1079554660843266</v>
      </c>
      <c r="U188" s="3">
        <f t="shared" si="124"/>
        <v>0.10795546605255973</v>
      </c>
      <c r="V188" s="3">
        <f t="shared" si="124"/>
        <v>0.10795546573489118</v>
      </c>
      <c r="W188" s="3">
        <f t="shared" si="124"/>
        <v>0.10795546255820564</v>
      </c>
      <c r="X188" s="3">
        <f t="shared" si="124"/>
        <v>0.10795543079135531</v>
      </c>
      <c r="Y188" s="3">
        <f t="shared" si="124"/>
        <v>0.10795511312336613</v>
      </c>
      <c r="Z188" s="3">
        <f t="shared" si="124"/>
        <v>0.10795193649488595</v>
      </c>
      <c r="AA188" s="3">
        <f t="shared" si="124"/>
        <v>0.1079201753506862</v>
      </c>
      <c r="AB188" s="3">
        <f t="shared" si="124"/>
        <v>0.10760307740964775</v>
      </c>
      <c r="AC188" s="3">
        <f t="shared" si="124"/>
        <v>0.10448289339017122</v>
      </c>
      <c r="AD188" s="3">
        <f t="shared" si="124"/>
        <v>7.7848487093237412E-2</v>
      </c>
      <c r="AE188" s="3">
        <f t="shared" si="124"/>
        <v>4.1048759588990609E-3</v>
      </c>
      <c r="AF188" s="3">
        <f t="shared" si="124"/>
        <v>6.8202241863870281E-16</v>
      </c>
      <c r="AG188" s="3"/>
      <c r="AH188" s="3"/>
    </row>
    <row r="189" spans="2:34" x14ac:dyDescent="0.25">
      <c r="B189" s="3">
        <f t="shared" ref="B189:AF189" si="125">$C36*EXP(-B$168/$A36/EXP(-$C$126))</f>
        <v>0.11222824358997255</v>
      </c>
      <c r="C189" s="3">
        <f t="shared" si="125"/>
        <v>0.11222824358997255</v>
      </c>
      <c r="D189" s="3">
        <f t="shared" si="125"/>
        <v>0.11222824358997255</v>
      </c>
      <c r="E189" s="3">
        <f t="shared" si="125"/>
        <v>0.11222824358997255</v>
      </c>
      <c r="F189" s="3">
        <f t="shared" si="125"/>
        <v>0.11222824358997255</v>
      </c>
      <c r="G189" s="3">
        <f t="shared" si="125"/>
        <v>0.11222824358997255</v>
      </c>
      <c r="H189" s="3">
        <f t="shared" si="125"/>
        <v>0.11222824358997255</v>
      </c>
      <c r="I189" s="3">
        <f t="shared" si="125"/>
        <v>0.11222824358997255</v>
      </c>
      <c r="J189" s="3">
        <f t="shared" si="125"/>
        <v>0.11222824358997255</v>
      </c>
      <c r="K189" s="3">
        <f t="shared" si="125"/>
        <v>0.11222824358997255</v>
      </c>
      <c r="L189" s="3">
        <f t="shared" si="125"/>
        <v>0.11222824358997255</v>
      </c>
      <c r="M189" s="3">
        <f t="shared" si="125"/>
        <v>0.11222824358997255</v>
      </c>
      <c r="N189" s="3">
        <f t="shared" si="125"/>
        <v>0.11222824358997255</v>
      </c>
      <c r="O189" s="3">
        <f t="shared" si="125"/>
        <v>0.11222824358997255</v>
      </c>
      <c r="P189" s="3">
        <f t="shared" si="125"/>
        <v>0.11222824358997251</v>
      </c>
      <c r="Q189" s="3">
        <f t="shared" si="125"/>
        <v>0.11222824358997222</v>
      </c>
      <c r="R189" s="3">
        <f t="shared" si="125"/>
        <v>0.11222824358996923</v>
      </c>
      <c r="S189" s="3">
        <f t="shared" si="125"/>
        <v>0.11222824358993944</v>
      </c>
      <c r="T189" s="3">
        <f t="shared" si="125"/>
        <v>0.11222824358964154</v>
      </c>
      <c r="U189" s="3">
        <f t="shared" si="125"/>
        <v>0.11222824358666249</v>
      </c>
      <c r="V189" s="3">
        <f t="shared" si="125"/>
        <v>0.11222824355687196</v>
      </c>
      <c r="W189" s="3">
        <f t="shared" si="125"/>
        <v>0.11222824325896656</v>
      </c>
      <c r="X189" s="3">
        <f t="shared" si="125"/>
        <v>0.11222824027991275</v>
      </c>
      <c r="Y189" s="3">
        <f t="shared" si="125"/>
        <v>0.11222821048937899</v>
      </c>
      <c r="Z189" s="3">
        <f t="shared" si="125"/>
        <v>0.11222791258447619</v>
      </c>
      <c r="AA189" s="3">
        <f t="shared" si="125"/>
        <v>0.11222493357894053</v>
      </c>
      <c r="AB189" s="3">
        <f t="shared" si="125"/>
        <v>0.11219514787238809</v>
      </c>
      <c r="AC189" s="3">
        <f t="shared" si="125"/>
        <v>0.11189772526045545</v>
      </c>
      <c r="AD189" s="3">
        <f t="shared" si="125"/>
        <v>0.10896652081438808</v>
      </c>
      <c r="AE189" s="3">
        <f t="shared" si="125"/>
        <v>8.3562485744746631E-2</v>
      </c>
      <c r="AF189" s="3">
        <f t="shared" si="125"/>
        <v>5.8775185725956879E-3</v>
      </c>
      <c r="AG189" s="3"/>
      <c r="AH189" s="3"/>
    </row>
    <row r="190" spans="2:34" x14ac:dyDescent="0.25">
      <c r="B190" s="3">
        <f t="shared" ref="B190:AF190" si="126">$C37*EXP(-B$168/$A37/EXP(-$C$126))</f>
        <v>8.9690702482137605E-2</v>
      </c>
      <c r="C190" s="3">
        <f t="shared" si="126"/>
        <v>8.9690702482137605E-2</v>
      </c>
      <c r="D190" s="3">
        <f t="shared" si="126"/>
        <v>8.9690702482137605E-2</v>
      </c>
      <c r="E190" s="3">
        <f t="shared" si="126"/>
        <v>8.9690702482137605E-2</v>
      </c>
      <c r="F190" s="3">
        <f t="shared" si="126"/>
        <v>8.9690702482137605E-2</v>
      </c>
      <c r="G190" s="3">
        <f t="shared" si="126"/>
        <v>8.9690702482137605E-2</v>
      </c>
      <c r="H190" s="3">
        <f t="shared" si="126"/>
        <v>8.9690702482137605E-2</v>
      </c>
      <c r="I190" s="3">
        <f t="shared" si="126"/>
        <v>8.9690702482137605E-2</v>
      </c>
      <c r="J190" s="3">
        <f t="shared" si="126"/>
        <v>8.9690702482137605E-2</v>
      </c>
      <c r="K190" s="3">
        <f t="shared" si="126"/>
        <v>8.9690702482137605E-2</v>
      </c>
      <c r="L190" s="3">
        <f t="shared" si="126"/>
        <v>8.9690702482137605E-2</v>
      </c>
      <c r="M190" s="3">
        <f t="shared" si="126"/>
        <v>8.9690702482137605E-2</v>
      </c>
      <c r="N190" s="3">
        <f t="shared" si="126"/>
        <v>8.9690702482137605E-2</v>
      </c>
      <c r="O190" s="3">
        <f t="shared" si="126"/>
        <v>8.9690702482137605E-2</v>
      </c>
      <c r="P190" s="3">
        <f t="shared" si="126"/>
        <v>8.9690702482137605E-2</v>
      </c>
      <c r="Q190" s="3">
        <f t="shared" si="126"/>
        <v>8.9690702482137591E-2</v>
      </c>
      <c r="R190" s="3">
        <f t="shared" si="126"/>
        <v>8.9690702482137369E-2</v>
      </c>
      <c r="S190" s="3">
        <f t="shared" si="126"/>
        <v>8.9690702482135218E-2</v>
      </c>
      <c r="T190" s="3">
        <f t="shared" si="126"/>
        <v>8.9690702482113749E-2</v>
      </c>
      <c r="U190" s="3">
        <f t="shared" si="126"/>
        <v>8.9690702481898962E-2</v>
      </c>
      <c r="V190" s="3">
        <f t="shared" si="126"/>
        <v>8.9690702479751291E-2</v>
      </c>
      <c r="W190" s="3">
        <f t="shared" si="126"/>
        <v>8.9690702458274457E-2</v>
      </c>
      <c r="X190" s="3">
        <f t="shared" si="126"/>
        <v>8.9690702243506143E-2</v>
      </c>
      <c r="Y190" s="3">
        <f t="shared" si="126"/>
        <v>8.9690700095823042E-2</v>
      </c>
      <c r="Z190" s="3">
        <f t="shared" si="126"/>
        <v>8.9690678618994907E-2</v>
      </c>
      <c r="AA190" s="3">
        <f t="shared" si="126"/>
        <v>8.9690463850996285E-2</v>
      </c>
      <c r="AB190" s="3">
        <f t="shared" si="126"/>
        <v>8.9688316199294779E-2</v>
      </c>
      <c r="AC190" s="3">
        <f t="shared" si="126"/>
        <v>8.9666842510498057E-2</v>
      </c>
      <c r="AD190" s="3">
        <f t="shared" si="126"/>
        <v>8.9452388193942994E-2</v>
      </c>
      <c r="AE190" s="3">
        <f t="shared" si="126"/>
        <v>8.7335853412105702E-2</v>
      </c>
      <c r="AF190" s="3">
        <f t="shared" si="126"/>
        <v>6.8738310534109115E-2</v>
      </c>
      <c r="AG190" s="3"/>
      <c r="AH190" s="3"/>
    </row>
    <row r="191" spans="2:34" x14ac:dyDescent="0.25">
      <c r="B191" s="3">
        <f t="shared" ref="B191:AF191" si="127">$C38*EXP(-B$168/$A38/EXP(-$C$126))</f>
        <v>3.260199419264094E-2</v>
      </c>
      <c r="C191" s="3">
        <f t="shared" si="127"/>
        <v>3.260199419264094E-2</v>
      </c>
      <c r="D191" s="3">
        <f t="shared" si="127"/>
        <v>3.260199419264094E-2</v>
      </c>
      <c r="E191" s="3">
        <f t="shared" si="127"/>
        <v>3.260199419264094E-2</v>
      </c>
      <c r="F191" s="3">
        <f t="shared" si="127"/>
        <v>3.260199419264094E-2</v>
      </c>
      <c r="G191" s="3">
        <f t="shared" si="127"/>
        <v>3.260199419264094E-2</v>
      </c>
      <c r="H191" s="3">
        <f t="shared" si="127"/>
        <v>3.260199419264094E-2</v>
      </c>
      <c r="I191" s="3">
        <f t="shared" si="127"/>
        <v>3.260199419264094E-2</v>
      </c>
      <c r="J191" s="3">
        <f t="shared" si="127"/>
        <v>3.260199419264094E-2</v>
      </c>
      <c r="K191" s="3">
        <f t="shared" si="127"/>
        <v>3.260199419264094E-2</v>
      </c>
      <c r="L191" s="3">
        <f t="shared" si="127"/>
        <v>3.260199419264094E-2</v>
      </c>
      <c r="M191" s="3">
        <f t="shared" si="127"/>
        <v>3.260199419264094E-2</v>
      </c>
      <c r="N191" s="3">
        <f t="shared" si="127"/>
        <v>3.260199419264094E-2</v>
      </c>
      <c r="O191" s="3">
        <f t="shared" si="127"/>
        <v>3.260199419264094E-2</v>
      </c>
      <c r="P191" s="3">
        <f t="shared" si="127"/>
        <v>3.260199419264094E-2</v>
      </c>
      <c r="Q191" s="3">
        <f t="shared" si="127"/>
        <v>3.260199419264094E-2</v>
      </c>
      <c r="R191" s="3">
        <f t="shared" si="127"/>
        <v>3.2601994192640933E-2</v>
      </c>
      <c r="S191" s="3">
        <f t="shared" si="127"/>
        <v>3.2601994192640864E-2</v>
      </c>
      <c r="T191" s="3">
        <f t="shared" si="127"/>
        <v>3.2601994192640156E-2</v>
      </c>
      <c r="U191" s="3">
        <f t="shared" si="127"/>
        <v>3.2601994192633113E-2</v>
      </c>
      <c r="V191" s="3">
        <f t="shared" si="127"/>
        <v>3.260199419256269E-2</v>
      </c>
      <c r="W191" s="3">
        <f t="shared" si="127"/>
        <v>3.2601994191858462E-2</v>
      </c>
      <c r="X191" s="3">
        <f t="shared" si="127"/>
        <v>3.2601994184816178E-2</v>
      </c>
      <c r="Y191" s="3">
        <f t="shared" si="127"/>
        <v>3.2601994114393337E-2</v>
      </c>
      <c r="Z191" s="3">
        <f t="shared" si="127"/>
        <v>3.2601993410164946E-2</v>
      </c>
      <c r="AA191" s="3">
        <f t="shared" si="127"/>
        <v>3.2601986367881849E-2</v>
      </c>
      <c r="AB191" s="3">
        <f t="shared" si="127"/>
        <v>3.2601915945134584E-2</v>
      </c>
      <c r="AC191" s="3">
        <f t="shared" si="127"/>
        <v>3.2601211726028319E-2</v>
      </c>
      <c r="AD191" s="3">
        <f t="shared" si="127"/>
        <v>3.2594170371544877E-2</v>
      </c>
      <c r="AE191" s="3">
        <f t="shared" si="127"/>
        <v>3.2523840417801181E-2</v>
      </c>
      <c r="AF191" s="3">
        <f t="shared" si="127"/>
        <v>3.1828833565295964E-2</v>
      </c>
      <c r="AG191" s="3"/>
      <c r="AH191" s="3"/>
    </row>
    <row r="192" spans="2:34" x14ac:dyDescent="0.25">
      <c r="B192" s="3">
        <f t="shared" ref="B192:AF192" si="128">$C39*EXP(-B$168/$A39/EXP(-$C$126))</f>
        <v>3.3353536546241076E-2</v>
      </c>
      <c r="C192" s="3">
        <f t="shared" si="128"/>
        <v>3.3353536546241076E-2</v>
      </c>
      <c r="D192" s="3">
        <f t="shared" si="128"/>
        <v>3.3353536546241076E-2</v>
      </c>
      <c r="E192" s="3">
        <f t="shared" si="128"/>
        <v>3.3353536546241076E-2</v>
      </c>
      <c r="F192" s="3">
        <f t="shared" si="128"/>
        <v>3.3353536546241076E-2</v>
      </c>
      <c r="G192" s="3">
        <f t="shared" si="128"/>
        <v>3.3353536546241076E-2</v>
      </c>
      <c r="H192" s="3">
        <f t="shared" si="128"/>
        <v>3.3353536546241076E-2</v>
      </c>
      <c r="I192" s="3">
        <f t="shared" si="128"/>
        <v>3.3353536546241076E-2</v>
      </c>
      <c r="J192" s="3">
        <f t="shared" si="128"/>
        <v>3.3353536546241076E-2</v>
      </c>
      <c r="K192" s="3">
        <f t="shared" si="128"/>
        <v>3.3353536546241076E-2</v>
      </c>
      <c r="L192" s="3">
        <f t="shared" si="128"/>
        <v>3.3353536546241076E-2</v>
      </c>
      <c r="M192" s="3">
        <f t="shared" si="128"/>
        <v>3.3353536546241076E-2</v>
      </c>
      <c r="N192" s="3">
        <f t="shared" si="128"/>
        <v>3.3353536546241076E-2</v>
      </c>
      <c r="O192" s="3">
        <f t="shared" si="128"/>
        <v>3.3353536546241076E-2</v>
      </c>
      <c r="P192" s="3">
        <f t="shared" si="128"/>
        <v>3.3353536546241076E-2</v>
      </c>
      <c r="Q192" s="3">
        <f t="shared" si="128"/>
        <v>3.3353536546241076E-2</v>
      </c>
      <c r="R192" s="3">
        <f t="shared" si="128"/>
        <v>3.3353536546241069E-2</v>
      </c>
      <c r="S192" s="3">
        <f t="shared" si="128"/>
        <v>3.3353536546241055E-2</v>
      </c>
      <c r="T192" s="3">
        <f t="shared" si="128"/>
        <v>3.3353536546240854E-2</v>
      </c>
      <c r="U192" s="3">
        <f t="shared" si="128"/>
        <v>3.3353536546238863E-2</v>
      </c>
      <c r="V192" s="3">
        <f t="shared" si="128"/>
        <v>3.3353536546218934E-2</v>
      </c>
      <c r="W192" s="3">
        <f t="shared" si="128"/>
        <v>3.3353536546019677E-2</v>
      </c>
      <c r="X192" s="3">
        <f t="shared" si="128"/>
        <v>3.3353536544027056E-2</v>
      </c>
      <c r="Y192" s="3">
        <f t="shared" si="128"/>
        <v>3.335353652410087E-2</v>
      </c>
      <c r="Z192" s="3">
        <f t="shared" si="128"/>
        <v>3.3353536324839041E-2</v>
      </c>
      <c r="AA192" s="3">
        <f t="shared" si="128"/>
        <v>3.3353534332220776E-2</v>
      </c>
      <c r="AB192" s="3">
        <f t="shared" si="128"/>
        <v>3.3353514406044685E-2</v>
      </c>
      <c r="AC192" s="3">
        <f t="shared" si="128"/>
        <v>3.3353315144938465E-2</v>
      </c>
      <c r="AD192" s="3">
        <f t="shared" si="128"/>
        <v>3.335132259934874E-2</v>
      </c>
      <c r="AE192" s="3">
        <f t="shared" si="128"/>
        <v>3.3331403689246218E-2</v>
      </c>
      <c r="AF192" s="3">
        <f t="shared" si="128"/>
        <v>3.3132867723079613E-2</v>
      </c>
      <c r="AG192" s="3"/>
      <c r="AH192" s="3"/>
    </row>
    <row r="193" spans="1:34" x14ac:dyDescent="0.25">
      <c r="B193" s="3">
        <f t="shared" ref="B193:AF193" si="129">$C40*EXP(-B$168/$A40/EXP(-$C$126))</f>
        <v>1.7436587013509221E-2</v>
      </c>
      <c r="C193" s="3">
        <f t="shared" si="129"/>
        <v>1.7436587013509221E-2</v>
      </c>
      <c r="D193" s="3">
        <f t="shared" si="129"/>
        <v>1.7436587013509221E-2</v>
      </c>
      <c r="E193" s="3">
        <f t="shared" si="129"/>
        <v>1.7436587013509221E-2</v>
      </c>
      <c r="F193" s="3">
        <f t="shared" si="129"/>
        <v>1.7436587013509221E-2</v>
      </c>
      <c r="G193" s="3">
        <f t="shared" si="129"/>
        <v>1.7436587013509221E-2</v>
      </c>
      <c r="H193" s="3">
        <f t="shared" si="129"/>
        <v>1.7436587013509221E-2</v>
      </c>
      <c r="I193" s="3">
        <f t="shared" si="129"/>
        <v>1.7436587013509221E-2</v>
      </c>
      <c r="J193" s="3">
        <f t="shared" si="129"/>
        <v>1.7436587013509221E-2</v>
      </c>
      <c r="K193" s="3">
        <f t="shared" si="129"/>
        <v>1.7436587013509221E-2</v>
      </c>
      <c r="L193" s="3">
        <f t="shared" si="129"/>
        <v>1.7436587013509221E-2</v>
      </c>
      <c r="M193" s="3">
        <f t="shared" si="129"/>
        <v>1.7436587013509221E-2</v>
      </c>
      <c r="N193" s="3">
        <f t="shared" si="129"/>
        <v>1.7436587013509221E-2</v>
      </c>
      <c r="O193" s="3">
        <f t="shared" si="129"/>
        <v>1.7436587013509221E-2</v>
      </c>
      <c r="P193" s="3">
        <f t="shared" si="129"/>
        <v>1.7436587013509221E-2</v>
      </c>
      <c r="Q193" s="3">
        <f t="shared" si="129"/>
        <v>1.7436587013509221E-2</v>
      </c>
      <c r="R193" s="3">
        <f t="shared" si="129"/>
        <v>1.7436587013509221E-2</v>
      </c>
      <c r="S193" s="3">
        <f t="shared" si="129"/>
        <v>1.7436587013509218E-2</v>
      </c>
      <c r="T193" s="3">
        <f t="shared" si="129"/>
        <v>1.7436587013509211E-2</v>
      </c>
      <c r="U193" s="3">
        <f t="shared" si="129"/>
        <v>1.7436587013509107E-2</v>
      </c>
      <c r="V193" s="3">
        <f t="shared" si="129"/>
        <v>1.7436587013508063E-2</v>
      </c>
      <c r="W193" s="3">
        <f t="shared" si="129"/>
        <v>1.7436587013497647E-2</v>
      </c>
      <c r="X193" s="3">
        <f t="shared" si="129"/>
        <v>1.7436587013393477E-2</v>
      </c>
      <c r="Y193" s="3">
        <f t="shared" si="129"/>
        <v>1.7436587012351776E-2</v>
      </c>
      <c r="Z193" s="3">
        <f t="shared" si="129"/>
        <v>1.7436587001934747E-2</v>
      </c>
      <c r="AA193" s="3">
        <f t="shared" si="129"/>
        <v>1.7436586897764499E-2</v>
      </c>
      <c r="AB193" s="3">
        <f t="shared" si="129"/>
        <v>1.7436585856062017E-2</v>
      </c>
      <c r="AC193" s="3">
        <f t="shared" si="129"/>
        <v>1.7436575439040636E-2</v>
      </c>
      <c r="AD193" s="3">
        <f t="shared" si="129"/>
        <v>1.7436471269169113E-2</v>
      </c>
      <c r="AE193" s="3">
        <f t="shared" si="129"/>
        <v>1.7435429604681585E-2</v>
      </c>
      <c r="AF193" s="3">
        <f t="shared" si="129"/>
        <v>1.7425016381821833E-2</v>
      </c>
      <c r="AG193" s="3"/>
      <c r="AH193" s="3"/>
    </row>
    <row r="194" spans="1:34" x14ac:dyDescent="0.25">
      <c r="B194" s="3">
        <f t="shared" ref="B194:AF194" si="130">$C41*EXP(-B$168/$A41/EXP(-$C$126))</f>
        <v>4.7217849635186409E-4</v>
      </c>
      <c r="C194" s="3">
        <f t="shared" si="130"/>
        <v>4.7217849635186409E-4</v>
      </c>
      <c r="D194" s="3">
        <f t="shared" si="130"/>
        <v>4.7217849635186409E-4</v>
      </c>
      <c r="E194" s="3">
        <f t="shared" si="130"/>
        <v>4.7217849635186409E-4</v>
      </c>
      <c r="F194" s="3">
        <f t="shared" si="130"/>
        <v>4.7217849635186409E-4</v>
      </c>
      <c r="G194" s="3">
        <f t="shared" si="130"/>
        <v>4.7217849635186409E-4</v>
      </c>
      <c r="H194" s="3">
        <f t="shared" si="130"/>
        <v>4.7217849635186409E-4</v>
      </c>
      <c r="I194" s="3">
        <f t="shared" si="130"/>
        <v>4.7217849635186409E-4</v>
      </c>
      <c r="J194" s="3">
        <f t="shared" si="130"/>
        <v>4.7217849635186409E-4</v>
      </c>
      <c r="K194" s="3">
        <f t="shared" si="130"/>
        <v>4.7217849635186409E-4</v>
      </c>
      <c r="L194" s="3">
        <f t="shared" si="130"/>
        <v>4.7217849635186409E-4</v>
      </c>
      <c r="M194" s="3">
        <f t="shared" si="130"/>
        <v>4.7217849635186409E-4</v>
      </c>
      <c r="N194" s="3">
        <f t="shared" si="130"/>
        <v>4.7217849635186409E-4</v>
      </c>
      <c r="O194" s="3">
        <f t="shared" si="130"/>
        <v>4.7217849635186409E-4</v>
      </c>
      <c r="P194" s="3">
        <f t="shared" si="130"/>
        <v>4.7217849635186409E-4</v>
      </c>
      <c r="Q194" s="3">
        <f t="shared" si="130"/>
        <v>4.7217849635186409E-4</v>
      </c>
      <c r="R194" s="3">
        <f t="shared" si="130"/>
        <v>4.7217849635186409E-4</v>
      </c>
      <c r="S194" s="3">
        <f t="shared" si="130"/>
        <v>4.7217849635186409E-4</v>
      </c>
      <c r="T194" s="3">
        <f t="shared" si="130"/>
        <v>4.7217849635186403E-4</v>
      </c>
      <c r="U194" s="3">
        <f t="shared" si="130"/>
        <v>4.7217849635186376E-4</v>
      </c>
      <c r="V194" s="3">
        <f t="shared" si="130"/>
        <v>4.7217849635186094E-4</v>
      </c>
      <c r="W194" s="3">
        <f t="shared" si="130"/>
        <v>4.7217849635183275E-4</v>
      </c>
      <c r="X194" s="3">
        <f t="shared" si="130"/>
        <v>4.7217849635155064E-4</v>
      </c>
      <c r="Y194" s="3">
        <f t="shared" si="130"/>
        <v>4.7217849634872977E-4</v>
      </c>
      <c r="Z194" s="3">
        <f t="shared" si="130"/>
        <v>4.7217849632052072E-4</v>
      </c>
      <c r="AA194" s="3">
        <f t="shared" si="130"/>
        <v>4.7217849603843024E-4</v>
      </c>
      <c r="AB194" s="3">
        <f t="shared" si="130"/>
        <v>4.7217849321752538E-4</v>
      </c>
      <c r="AC194" s="3">
        <f t="shared" si="130"/>
        <v>4.7217846500847792E-4</v>
      </c>
      <c r="AD194" s="3">
        <f t="shared" si="130"/>
        <v>4.7217818291809589E-4</v>
      </c>
      <c r="AE194" s="3">
        <f t="shared" si="130"/>
        <v>4.7217536202354447E-4</v>
      </c>
      <c r="AF194" s="3">
        <f t="shared" si="130"/>
        <v>4.7214715400490856E-4</v>
      </c>
      <c r="AG194" s="3"/>
      <c r="AH194" s="3"/>
    </row>
    <row r="195" spans="1:34" x14ac:dyDescent="0.25">
      <c r="B195" s="3">
        <f t="shared" ref="B195:AF195" si="131">$C42*EXP(-B$168/$A42/EXP(-$C$126))</f>
        <v>3.9532606595692786E-3</v>
      </c>
      <c r="C195" s="3">
        <f t="shared" si="131"/>
        <v>3.9532606595692786E-3</v>
      </c>
      <c r="D195" s="3">
        <f t="shared" si="131"/>
        <v>3.9532606595692786E-3</v>
      </c>
      <c r="E195" s="3">
        <f t="shared" si="131"/>
        <v>3.9532606595692786E-3</v>
      </c>
      <c r="F195" s="3">
        <f t="shared" si="131"/>
        <v>3.9532606595692786E-3</v>
      </c>
      <c r="G195" s="3">
        <f t="shared" si="131"/>
        <v>3.9532606595692786E-3</v>
      </c>
      <c r="H195" s="3">
        <f t="shared" si="131"/>
        <v>3.9532606595692786E-3</v>
      </c>
      <c r="I195" s="3">
        <f t="shared" si="131"/>
        <v>3.9532606595692786E-3</v>
      </c>
      <c r="J195" s="3">
        <f t="shared" si="131"/>
        <v>3.9532606595692786E-3</v>
      </c>
      <c r="K195" s="3">
        <f t="shared" si="131"/>
        <v>3.9532606595692786E-3</v>
      </c>
      <c r="L195" s="3">
        <f t="shared" si="131"/>
        <v>3.9532606595692786E-3</v>
      </c>
      <c r="M195" s="3">
        <f t="shared" si="131"/>
        <v>3.9532606595692786E-3</v>
      </c>
      <c r="N195" s="3">
        <f t="shared" si="131"/>
        <v>3.9532606595692786E-3</v>
      </c>
      <c r="O195" s="3">
        <f t="shared" si="131"/>
        <v>3.9532606595692786E-3</v>
      </c>
      <c r="P195" s="3">
        <f t="shared" si="131"/>
        <v>3.9532606595692786E-3</v>
      </c>
      <c r="Q195" s="3">
        <f t="shared" si="131"/>
        <v>3.9532606595692786E-3</v>
      </c>
      <c r="R195" s="3">
        <f t="shared" si="131"/>
        <v>3.9532606595692786E-3</v>
      </c>
      <c r="S195" s="3">
        <f t="shared" si="131"/>
        <v>3.9532606595692786E-3</v>
      </c>
      <c r="T195" s="3">
        <f t="shared" si="131"/>
        <v>3.9532606595692786E-3</v>
      </c>
      <c r="U195" s="3">
        <f t="shared" si="131"/>
        <v>3.9532606595692778E-3</v>
      </c>
      <c r="V195" s="3">
        <f t="shared" si="131"/>
        <v>3.953260659569276E-3</v>
      </c>
      <c r="W195" s="3">
        <f t="shared" si="131"/>
        <v>3.9532606595692526E-3</v>
      </c>
      <c r="X195" s="3">
        <f t="shared" si="131"/>
        <v>3.9532606595690158E-3</v>
      </c>
      <c r="Y195" s="3">
        <f t="shared" si="131"/>
        <v>3.9532606595666549E-3</v>
      </c>
      <c r="Z195" s="3">
        <f t="shared" si="131"/>
        <v>3.9532606595430366E-3</v>
      </c>
      <c r="AA195" s="3">
        <f t="shared" si="131"/>
        <v>3.9532606593068601E-3</v>
      </c>
      <c r="AB195" s="3">
        <f t="shared" si="131"/>
        <v>3.9532606569450896E-3</v>
      </c>
      <c r="AC195" s="3">
        <f t="shared" si="131"/>
        <v>3.9532606333273854E-3</v>
      </c>
      <c r="AD195" s="3">
        <f t="shared" si="131"/>
        <v>3.9532603971503492E-3</v>
      </c>
      <c r="AE195" s="3">
        <f t="shared" si="131"/>
        <v>3.9532580353807681E-3</v>
      </c>
      <c r="AF195" s="3">
        <f t="shared" si="131"/>
        <v>3.9532344177625554E-3</v>
      </c>
      <c r="AG195" s="3"/>
      <c r="AH195" s="3"/>
    </row>
    <row r="196" spans="1:34" x14ac:dyDescent="0.25">
      <c r="B196" s="3">
        <f t="shared" ref="B196:AF196" si="132">$C43*EXP(-B$168/$A43/EXP(-$C$126))</f>
        <v>4.2057154474780992E-7</v>
      </c>
      <c r="C196" s="3">
        <f t="shared" si="132"/>
        <v>4.2057154474780992E-7</v>
      </c>
      <c r="D196" s="3">
        <f t="shared" si="132"/>
        <v>4.2057154474780992E-7</v>
      </c>
      <c r="E196" s="3">
        <f t="shared" si="132"/>
        <v>4.2057154474780992E-7</v>
      </c>
      <c r="F196" s="3">
        <f t="shared" si="132"/>
        <v>4.2057154474780992E-7</v>
      </c>
      <c r="G196" s="3">
        <f t="shared" si="132"/>
        <v>4.2057154474780992E-7</v>
      </c>
      <c r="H196" s="3">
        <f t="shared" si="132"/>
        <v>4.2057154474780992E-7</v>
      </c>
      <c r="I196" s="3">
        <f t="shared" si="132"/>
        <v>4.2057154474780992E-7</v>
      </c>
      <c r="J196" s="3">
        <f t="shared" si="132"/>
        <v>4.2057154474780992E-7</v>
      </c>
      <c r="K196" s="3">
        <f t="shared" si="132"/>
        <v>4.2057154474780992E-7</v>
      </c>
      <c r="L196" s="3">
        <f t="shared" si="132"/>
        <v>4.2057154474780992E-7</v>
      </c>
      <c r="M196" s="3">
        <f t="shared" si="132"/>
        <v>4.2057154474780992E-7</v>
      </c>
      <c r="N196" s="3">
        <f t="shared" si="132"/>
        <v>4.2057154474780992E-7</v>
      </c>
      <c r="O196" s="3">
        <f t="shared" si="132"/>
        <v>4.2057154474780992E-7</v>
      </c>
      <c r="P196" s="3">
        <f t="shared" si="132"/>
        <v>4.2057154474780992E-7</v>
      </c>
      <c r="Q196" s="3">
        <f t="shared" si="132"/>
        <v>4.2057154474780992E-7</v>
      </c>
      <c r="R196" s="3">
        <f t="shared" si="132"/>
        <v>4.2057154474780992E-7</v>
      </c>
      <c r="S196" s="3">
        <f t="shared" si="132"/>
        <v>4.2057154474780992E-7</v>
      </c>
      <c r="T196" s="3">
        <f t="shared" si="132"/>
        <v>4.2057154474780992E-7</v>
      </c>
      <c r="U196" s="3">
        <f t="shared" si="132"/>
        <v>4.2057154474780992E-7</v>
      </c>
      <c r="V196" s="3">
        <f t="shared" si="132"/>
        <v>4.2057154474780987E-7</v>
      </c>
      <c r="W196" s="3">
        <f t="shared" si="132"/>
        <v>4.2057154474780966E-7</v>
      </c>
      <c r="X196" s="3">
        <f t="shared" si="132"/>
        <v>4.2057154474780712E-7</v>
      </c>
      <c r="Y196" s="3">
        <f t="shared" si="132"/>
        <v>4.2057154474778202E-7</v>
      </c>
      <c r="Z196" s="3">
        <f t="shared" si="132"/>
        <v>4.2057154474753077E-7</v>
      </c>
      <c r="AA196" s="3">
        <f t="shared" si="132"/>
        <v>4.2057154474501815E-7</v>
      </c>
      <c r="AB196" s="3">
        <f t="shared" si="132"/>
        <v>4.2057154471989225E-7</v>
      </c>
      <c r="AC196" s="3">
        <f t="shared" si="132"/>
        <v>4.2057154446863294E-7</v>
      </c>
      <c r="AD196" s="3">
        <f t="shared" si="132"/>
        <v>4.205715419560401E-7</v>
      </c>
      <c r="AE196" s="3">
        <f t="shared" si="132"/>
        <v>4.2057151683011262E-7</v>
      </c>
      <c r="AF196" s="3">
        <f t="shared" si="132"/>
        <v>4.2057126557092006E-7</v>
      </c>
      <c r="AG196" s="3"/>
      <c r="AH196" s="3"/>
    </row>
    <row r="197" spans="1:34" x14ac:dyDescent="0.25">
      <c r="B197" s="3">
        <f t="shared" ref="B197:AF197" si="133">$C44*EXP(-B$168/$A44/EXP(-$C$126))</f>
        <v>1.8675724725031384E-5</v>
      </c>
      <c r="C197" s="3">
        <f t="shared" si="133"/>
        <v>1.8675724725031384E-5</v>
      </c>
      <c r="D197" s="3">
        <f t="shared" si="133"/>
        <v>1.8675724725031384E-5</v>
      </c>
      <c r="E197" s="3">
        <f t="shared" si="133"/>
        <v>1.8675724725031384E-5</v>
      </c>
      <c r="F197" s="3">
        <f t="shared" si="133"/>
        <v>1.8675724725031384E-5</v>
      </c>
      <c r="G197" s="3">
        <f t="shared" si="133"/>
        <v>1.8675724725031384E-5</v>
      </c>
      <c r="H197" s="3">
        <f t="shared" si="133"/>
        <v>1.8675724725031384E-5</v>
      </c>
      <c r="I197" s="3">
        <f t="shared" si="133"/>
        <v>1.8675724725031384E-5</v>
      </c>
      <c r="J197" s="3">
        <f t="shared" si="133"/>
        <v>1.8675724725031384E-5</v>
      </c>
      <c r="K197" s="3">
        <f t="shared" si="133"/>
        <v>1.8675724725031384E-5</v>
      </c>
      <c r="L197" s="3">
        <f t="shared" si="133"/>
        <v>1.8675724725031384E-5</v>
      </c>
      <c r="M197" s="3">
        <f t="shared" si="133"/>
        <v>1.8675724725031384E-5</v>
      </c>
      <c r="N197" s="3">
        <f t="shared" si="133"/>
        <v>1.8675724725031384E-5</v>
      </c>
      <c r="O197" s="3">
        <f t="shared" si="133"/>
        <v>1.8675724725031384E-5</v>
      </c>
      <c r="P197" s="3">
        <f t="shared" si="133"/>
        <v>1.8675724725031384E-5</v>
      </c>
      <c r="Q197" s="3">
        <f t="shared" si="133"/>
        <v>1.8675724725031384E-5</v>
      </c>
      <c r="R197" s="3">
        <f t="shared" si="133"/>
        <v>1.8675724725031384E-5</v>
      </c>
      <c r="S197" s="3">
        <f t="shared" si="133"/>
        <v>1.8675724725031384E-5</v>
      </c>
      <c r="T197" s="3">
        <f t="shared" si="133"/>
        <v>1.8675724725031384E-5</v>
      </c>
      <c r="U197" s="3">
        <f t="shared" si="133"/>
        <v>1.8675724725031384E-5</v>
      </c>
      <c r="V197" s="3">
        <f t="shared" si="133"/>
        <v>1.8675724725031384E-5</v>
      </c>
      <c r="W197" s="3">
        <f t="shared" si="133"/>
        <v>1.867572472503138E-5</v>
      </c>
      <c r="X197" s="3">
        <f t="shared" si="133"/>
        <v>1.867572472503137E-5</v>
      </c>
      <c r="Y197" s="3">
        <f t="shared" si="133"/>
        <v>1.8675724725031258E-5</v>
      </c>
      <c r="Z197" s="3">
        <f t="shared" si="133"/>
        <v>1.8675724725030144E-5</v>
      </c>
      <c r="AA197" s="3">
        <f t="shared" si="133"/>
        <v>1.8675724725018987E-5</v>
      </c>
      <c r="AB197" s="3">
        <f t="shared" si="133"/>
        <v>1.8675724724907415E-5</v>
      </c>
      <c r="AC197" s="3">
        <f t="shared" si="133"/>
        <v>1.8675724723791683E-5</v>
      </c>
      <c r="AD197" s="3">
        <f t="shared" si="133"/>
        <v>1.8675724712634365E-5</v>
      </c>
      <c r="AE197" s="3">
        <f t="shared" si="133"/>
        <v>1.8675724601061217E-5</v>
      </c>
      <c r="AF197" s="3">
        <f t="shared" si="133"/>
        <v>1.8675723485329754E-5</v>
      </c>
      <c r="AG197" s="3"/>
      <c r="AH197" s="3"/>
    </row>
    <row r="198" spans="1:34" x14ac:dyDescent="0.25">
      <c r="B198" s="3">
        <f t="shared" ref="B198:AF198" si="134">$C45*EXP(-B$168/$A45/EXP(-$C$126))</f>
        <v>6.5581020384023116E-8</v>
      </c>
      <c r="C198" s="3">
        <f t="shared" si="134"/>
        <v>6.5581020384023116E-8</v>
      </c>
      <c r="D198" s="3">
        <f t="shared" si="134"/>
        <v>6.5581020384023116E-8</v>
      </c>
      <c r="E198" s="3">
        <f t="shared" si="134"/>
        <v>6.5581020384023116E-8</v>
      </c>
      <c r="F198" s="3">
        <f t="shared" si="134"/>
        <v>6.5581020384023116E-8</v>
      </c>
      <c r="G198" s="3">
        <f t="shared" si="134"/>
        <v>6.5581020384023116E-8</v>
      </c>
      <c r="H198" s="3">
        <f t="shared" si="134"/>
        <v>6.5581020384023116E-8</v>
      </c>
      <c r="I198" s="3">
        <f t="shared" si="134"/>
        <v>6.5581020384023116E-8</v>
      </c>
      <c r="J198" s="3">
        <f t="shared" si="134"/>
        <v>6.5581020384023116E-8</v>
      </c>
      <c r="K198" s="3">
        <f t="shared" si="134"/>
        <v>6.5581020384023116E-8</v>
      </c>
      <c r="L198" s="3">
        <f t="shared" si="134"/>
        <v>6.5581020384023116E-8</v>
      </c>
      <c r="M198" s="3">
        <f t="shared" si="134"/>
        <v>6.5581020384023116E-8</v>
      </c>
      <c r="N198" s="3">
        <f t="shared" si="134"/>
        <v>6.5581020384023116E-8</v>
      </c>
      <c r="O198" s="3">
        <f t="shared" si="134"/>
        <v>6.5581020384023116E-8</v>
      </c>
      <c r="P198" s="3">
        <f t="shared" si="134"/>
        <v>6.5581020384023116E-8</v>
      </c>
      <c r="Q198" s="3">
        <f t="shared" si="134"/>
        <v>6.5581020384023116E-8</v>
      </c>
      <c r="R198" s="3">
        <f t="shared" si="134"/>
        <v>6.5581020384023116E-8</v>
      </c>
      <c r="S198" s="3">
        <f t="shared" si="134"/>
        <v>6.5581020384023116E-8</v>
      </c>
      <c r="T198" s="3">
        <f t="shared" si="134"/>
        <v>6.5581020384023116E-8</v>
      </c>
      <c r="U198" s="3">
        <f t="shared" si="134"/>
        <v>6.5581020384023116E-8</v>
      </c>
      <c r="V198" s="3">
        <f t="shared" si="134"/>
        <v>6.5581020384023116E-8</v>
      </c>
      <c r="W198" s="3">
        <f t="shared" si="134"/>
        <v>6.5581020384023116E-8</v>
      </c>
      <c r="X198" s="3">
        <f t="shared" si="134"/>
        <v>6.5581020384023102E-8</v>
      </c>
      <c r="Y198" s="3">
        <f t="shared" si="134"/>
        <v>6.5581020384023076E-8</v>
      </c>
      <c r="Z198" s="3">
        <f t="shared" si="134"/>
        <v>6.5581020384022679E-8</v>
      </c>
      <c r="AA198" s="3">
        <f t="shared" si="134"/>
        <v>6.5581020384018761E-8</v>
      </c>
      <c r="AB198" s="3">
        <f t="shared" si="134"/>
        <v>6.5581020383979586E-8</v>
      </c>
      <c r="AC198" s="3">
        <f t="shared" si="134"/>
        <v>6.5581020383587794E-8</v>
      </c>
      <c r="AD198" s="3">
        <f t="shared" si="134"/>
        <v>6.5581020379669829E-8</v>
      </c>
      <c r="AE198" s="3">
        <f t="shared" si="134"/>
        <v>6.5581020340490188E-8</v>
      </c>
      <c r="AF198" s="3">
        <f t="shared" si="134"/>
        <v>6.5581019948693828E-8</v>
      </c>
      <c r="AG198" s="3"/>
      <c r="AH198" s="3"/>
    </row>
    <row r="199" spans="1:34" x14ac:dyDescent="0.25">
      <c r="B199" s="3">
        <f t="shared" ref="B199:AF199" si="135">$C46*EXP(-B$168/$A46/EXP(-$C$126))</f>
        <v>7.3021852336235098E-8</v>
      </c>
      <c r="C199" s="3">
        <f t="shared" si="135"/>
        <v>7.3021852336235098E-8</v>
      </c>
      <c r="D199" s="3">
        <f t="shared" si="135"/>
        <v>7.3021852336235098E-8</v>
      </c>
      <c r="E199" s="3">
        <f t="shared" si="135"/>
        <v>7.3021852336235098E-8</v>
      </c>
      <c r="F199" s="3">
        <f t="shared" si="135"/>
        <v>7.3021852336235098E-8</v>
      </c>
      <c r="G199" s="3">
        <f t="shared" si="135"/>
        <v>7.3021852336235098E-8</v>
      </c>
      <c r="H199" s="3">
        <f t="shared" si="135"/>
        <v>7.3021852336235098E-8</v>
      </c>
      <c r="I199" s="3">
        <f t="shared" si="135"/>
        <v>7.3021852336235098E-8</v>
      </c>
      <c r="J199" s="3">
        <f t="shared" si="135"/>
        <v>7.3021852336235098E-8</v>
      </c>
      <c r="K199" s="3">
        <f t="shared" si="135"/>
        <v>7.3021852336235098E-8</v>
      </c>
      <c r="L199" s="3">
        <f t="shared" si="135"/>
        <v>7.3021852336235098E-8</v>
      </c>
      <c r="M199" s="3">
        <f t="shared" si="135"/>
        <v>7.3021852336235098E-8</v>
      </c>
      <c r="N199" s="3">
        <f t="shared" si="135"/>
        <v>7.3021852336235098E-8</v>
      </c>
      <c r="O199" s="3">
        <f t="shared" si="135"/>
        <v>7.3021852336235098E-8</v>
      </c>
      <c r="P199" s="3">
        <f t="shared" si="135"/>
        <v>7.3021852336235098E-8</v>
      </c>
      <c r="Q199" s="3">
        <f t="shared" si="135"/>
        <v>7.3021852336235098E-8</v>
      </c>
      <c r="R199" s="3">
        <f t="shared" si="135"/>
        <v>7.3021852336235098E-8</v>
      </c>
      <c r="S199" s="3">
        <f t="shared" si="135"/>
        <v>7.3021852336235098E-8</v>
      </c>
      <c r="T199" s="3">
        <f t="shared" si="135"/>
        <v>7.3021852336235098E-8</v>
      </c>
      <c r="U199" s="3">
        <f t="shared" si="135"/>
        <v>7.3021852336235098E-8</v>
      </c>
      <c r="V199" s="3">
        <f t="shared" si="135"/>
        <v>7.3021852336235098E-8</v>
      </c>
      <c r="W199" s="3">
        <f t="shared" si="135"/>
        <v>7.3021852336235098E-8</v>
      </c>
      <c r="X199" s="3">
        <f t="shared" si="135"/>
        <v>7.3021852336235098E-8</v>
      </c>
      <c r="Y199" s="3">
        <f t="shared" si="135"/>
        <v>7.3021852336235085E-8</v>
      </c>
      <c r="Z199" s="3">
        <f t="shared" si="135"/>
        <v>7.3021852336235045E-8</v>
      </c>
      <c r="AA199" s="3">
        <f t="shared" si="135"/>
        <v>7.3021852336234608E-8</v>
      </c>
      <c r="AB199" s="3">
        <f t="shared" si="135"/>
        <v>7.3021852336230254E-8</v>
      </c>
      <c r="AC199" s="3">
        <f t="shared" si="135"/>
        <v>7.3021852336186632E-8</v>
      </c>
      <c r="AD199" s="3">
        <f t="shared" si="135"/>
        <v>7.3021852335750383E-8</v>
      </c>
      <c r="AE199" s="3">
        <f t="shared" si="135"/>
        <v>7.3021852331387886E-8</v>
      </c>
      <c r="AF199" s="3">
        <f t="shared" si="135"/>
        <v>7.302185228776291E-8</v>
      </c>
      <c r="AG199" s="3"/>
      <c r="AH199" s="3"/>
    </row>
    <row r="200" spans="1:34" x14ac:dyDescent="0.25">
      <c r="B200" s="3">
        <f t="shared" ref="B200:AF200" si="136">$C47*EXP(-B$168/$A47/EXP(-$C$126))</f>
        <v>1.1629614521313135E-6</v>
      </c>
      <c r="C200" s="3">
        <f t="shared" si="136"/>
        <v>1.1629614521313135E-6</v>
      </c>
      <c r="D200" s="3">
        <f t="shared" si="136"/>
        <v>1.1629614521313135E-6</v>
      </c>
      <c r="E200" s="3">
        <f t="shared" si="136"/>
        <v>1.1629614521313135E-6</v>
      </c>
      <c r="F200" s="3">
        <f t="shared" si="136"/>
        <v>1.1629614521313135E-6</v>
      </c>
      <c r="G200" s="3">
        <f t="shared" si="136"/>
        <v>1.1629614521313135E-6</v>
      </c>
      <c r="H200" s="3">
        <f t="shared" si="136"/>
        <v>1.1629614521313135E-6</v>
      </c>
      <c r="I200" s="3">
        <f t="shared" si="136"/>
        <v>1.1629614521313135E-6</v>
      </c>
      <c r="J200" s="3">
        <f t="shared" si="136"/>
        <v>1.1629614521313135E-6</v>
      </c>
      <c r="K200" s="3">
        <f t="shared" si="136"/>
        <v>1.1629614521313135E-6</v>
      </c>
      <c r="L200" s="3">
        <f t="shared" si="136"/>
        <v>1.1629614521313135E-6</v>
      </c>
      <c r="M200" s="3">
        <f t="shared" si="136"/>
        <v>1.1629614521313135E-6</v>
      </c>
      <c r="N200" s="3">
        <f t="shared" si="136"/>
        <v>1.1629614521313135E-6</v>
      </c>
      <c r="O200" s="3">
        <f t="shared" si="136"/>
        <v>1.1629614521313135E-6</v>
      </c>
      <c r="P200" s="3">
        <f t="shared" si="136"/>
        <v>1.1629614521313135E-6</v>
      </c>
      <c r="Q200" s="3">
        <f t="shared" si="136"/>
        <v>1.1629614521313135E-6</v>
      </c>
      <c r="R200" s="3">
        <f t="shared" si="136"/>
        <v>1.1629614521313135E-6</v>
      </c>
      <c r="S200" s="3">
        <f t="shared" si="136"/>
        <v>1.1629614521313135E-6</v>
      </c>
      <c r="T200" s="3">
        <f t="shared" si="136"/>
        <v>1.1629614521313135E-6</v>
      </c>
      <c r="U200" s="3">
        <f t="shared" si="136"/>
        <v>1.1629614521313135E-6</v>
      </c>
      <c r="V200" s="3">
        <f t="shared" si="136"/>
        <v>1.1629614521313135E-6</v>
      </c>
      <c r="W200" s="3">
        <f t="shared" si="136"/>
        <v>1.1629614521313135E-6</v>
      </c>
      <c r="X200" s="3">
        <f t="shared" si="136"/>
        <v>1.1629614521313135E-6</v>
      </c>
      <c r="Y200" s="3">
        <f t="shared" si="136"/>
        <v>1.1629614521313135E-6</v>
      </c>
      <c r="Z200" s="3">
        <f t="shared" si="136"/>
        <v>1.1629614521313132E-6</v>
      </c>
      <c r="AA200" s="3">
        <f t="shared" si="136"/>
        <v>1.1629614521313126E-6</v>
      </c>
      <c r="AB200" s="3">
        <f t="shared" si="136"/>
        <v>1.1629614521313056E-6</v>
      </c>
      <c r="AC200" s="3">
        <f t="shared" si="136"/>
        <v>1.1629614521312362E-6</v>
      </c>
      <c r="AD200" s="3">
        <f t="shared" si="136"/>
        <v>1.1629614521305414E-6</v>
      </c>
      <c r="AE200" s="3">
        <f t="shared" si="136"/>
        <v>1.1629614521235936E-6</v>
      </c>
      <c r="AF200" s="3">
        <f t="shared" si="136"/>
        <v>1.1629614520541157E-6</v>
      </c>
      <c r="AG200" s="3"/>
      <c r="AH200" s="3"/>
    </row>
    <row r="201" spans="1:34" x14ac:dyDescent="0.25">
      <c r="B201" s="3">
        <f t="shared" ref="B201:AF201" si="137">$C48*EXP(-B$168/$A48/EXP(-$C$126))</f>
        <v>4.9365030271996854E-7</v>
      </c>
      <c r="C201" s="3">
        <f t="shared" si="137"/>
        <v>4.9365030271996854E-7</v>
      </c>
      <c r="D201" s="3">
        <f t="shared" si="137"/>
        <v>4.9365030271996854E-7</v>
      </c>
      <c r="E201" s="3">
        <f t="shared" si="137"/>
        <v>4.9365030271996854E-7</v>
      </c>
      <c r="F201" s="3">
        <f t="shared" si="137"/>
        <v>4.9365030271996854E-7</v>
      </c>
      <c r="G201" s="3">
        <f t="shared" si="137"/>
        <v>4.9365030271996854E-7</v>
      </c>
      <c r="H201" s="3">
        <f t="shared" si="137"/>
        <v>4.9365030271996854E-7</v>
      </c>
      <c r="I201" s="3">
        <f t="shared" si="137"/>
        <v>4.9365030271996854E-7</v>
      </c>
      <c r="J201" s="3">
        <f t="shared" si="137"/>
        <v>4.9365030271996854E-7</v>
      </c>
      <c r="K201" s="3">
        <f t="shared" si="137"/>
        <v>4.9365030271996854E-7</v>
      </c>
      <c r="L201" s="3">
        <f t="shared" si="137"/>
        <v>4.9365030271996854E-7</v>
      </c>
      <c r="M201" s="3">
        <f t="shared" si="137"/>
        <v>4.9365030271996854E-7</v>
      </c>
      <c r="N201" s="3">
        <f t="shared" si="137"/>
        <v>4.9365030271996854E-7</v>
      </c>
      <c r="O201" s="3">
        <f t="shared" si="137"/>
        <v>4.9365030271996854E-7</v>
      </c>
      <c r="P201" s="3">
        <f t="shared" si="137"/>
        <v>4.9365030271996854E-7</v>
      </c>
      <c r="Q201" s="3">
        <f t="shared" si="137"/>
        <v>4.9365030271996854E-7</v>
      </c>
      <c r="R201" s="3">
        <f t="shared" si="137"/>
        <v>4.9365030271996854E-7</v>
      </c>
      <c r="S201" s="3">
        <f t="shared" si="137"/>
        <v>4.9365030271996854E-7</v>
      </c>
      <c r="T201" s="3">
        <f t="shared" si="137"/>
        <v>4.9365030271996854E-7</v>
      </c>
      <c r="U201" s="3">
        <f t="shared" si="137"/>
        <v>4.9365030271996854E-7</v>
      </c>
      <c r="V201" s="3">
        <f t="shared" si="137"/>
        <v>4.9365030271996854E-7</v>
      </c>
      <c r="W201" s="3">
        <f t="shared" si="137"/>
        <v>4.9365030271996854E-7</v>
      </c>
      <c r="X201" s="3">
        <f t="shared" si="137"/>
        <v>4.9365030271996854E-7</v>
      </c>
      <c r="Y201" s="3">
        <f t="shared" si="137"/>
        <v>4.9365030271996854E-7</v>
      </c>
      <c r="Z201" s="3">
        <f t="shared" si="137"/>
        <v>4.9365030271996854E-7</v>
      </c>
      <c r="AA201" s="3">
        <f t="shared" si="137"/>
        <v>4.9365030271996844E-7</v>
      </c>
      <c r="AB201" s="3">
        <f t="shared" si="137"/>
        <v>4.9365030271996822E-7</v>
      </c>
      <c r="AC201" s="3">
        <f t="shared" si="137"/>
        <v>4.9365030271996526E-7</v>
      </c>
      <c r="AD201" s="3">
        <f t="shared" si="137"/>
        <v>4.9365030271993572E-7</v>
      </c>
      <c r="AE201" s="3">
        <f t="shared" si="137"/>
        <v>4.9365030271964085E-7</v>
      </c>
      <c r="AF201" s="3">
        <f t="shared" si="137"/>
        <v>4.9365030271669169E-7</v>
      </c>
      <c r="AG201" s="3"/>
      <c r="AH201" s="3"/>
    </row>
    <row r="202" spans="1:34" x14ac:dyDescent="0.25">
      <c r="A202" s="80">
        <f>AVERAGE(B202:AF202)</f>
        <v>1.9749999944346113E-3</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3.2594671519375826E-3</v>
      </c>
      <c r="M202" s="81">
        <f t="shared" si="138"/>
        <v>3.2598873056633232E-3</v>
      </c>
      <c r="N202" s="81">
        <f t="shared" si="138"/>
        <v>3.2637239968396504E-3</v>
      </c>
      <c r="O202" s="81">
        <f t="shared" si="138"/>
        <v>3.3019412425512565E-3</v>
      </c>
      <c r="P202" s="81">
        <f t="shared" si="138"/>
        <v>3.658134686100096E-3</v>
      </c>
      <c r="Q202" s="81">
        <f t="shared" si="138"/>
        <v>5.474001449793371E-3</v>
      </c>
      <c r="R202" s="81">
        <f t="shared" si="138"/>
        <v>5.788354758111112E-3</v>
      </c>
      <c r="S202" s="81">
        <f t="shared" si="138"/>
        <v>7.0453113570233435E-3</v>
      </c>
      <c r="T202" s="81">
        <f t="shared" si="138"/>
        <v>5.5794247970223842E-3</v>
      </c>
      <c r="U202" s="81">
        <f t="shared" si="138"/>
        <v>2.4286813118543941E-3</v>
      </c>
      <c r="V202" s="81">
        <f t="shared" si="138"/>
        <v>1.8166071770576438E-2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35.230209823669668</v>
      </c>
      <c r="C203" s="21">
        <f t="shared" ref="C203:AF203" si="139">(C170-C169)^2</f>
        <v>35.680284035394301</v>
      </c>
      <c r="D203" s="21">
        <f t="shared" si="139"/>
        <v>35.507681893573803</v>
      </c>
      <c r="E203" s="21">
        <f t="shared" si="139"/>
        <v>36.383136871866938</v>
      </c>
      <c r="F203" s="21">
        <f t="shared" si="139"/>
        <v>46.270739323013053</v>
      </c>
      <c r="G203" s="21">
        <f t="shared" si="139"/>
        <v>154.8876449139002</v>
      </c>
      <c r="H203" s="21">
        <f t="shared" si="139"/>
        <v>373.71777768187155</v>
      </c>
      <c r="I203" s="21">
        <f t="shared" si="139"/>
        <v>374.39627984829315</v>
      </c>
      <c r="J203" s="21">
        <f t="shared" si="139"/>
        <v>374.38789283664158</v>
      </c>
      <c r="K203" s="21">
        <f t="shared" si="139"/>
        <v>374.38974359846952</v>
      </c>
      <c r="L203" s="21">
        <f t="shared" si="139"/>
        <v>374.39656202507564</v>
      </c>
      <c r="M203" s="21">
        <f t="shared" si="139"/>
        <v>374.49279997092185</v>
      </c>
      <c r="N203" s="21">
        <f t="shared" si="139"/>
        <v>375.37165398676723</v>
      </c>
      <c r="O203" s="21">
        <f t="shared" si="139"/>
        <v>384.18172371793247</v>
      </c>
      <c r="P203" s="21">
        <f t="shared" si="139"/>
        <v>471.14476653370315</v>
      </c>
      <c r="Q203" s="21">
        <f t="shared" si="139"/>
        <v>1046.8701792126897</v>
      </c>
      <c r="R203" s="21">
        <f t="shared" si="139"/>
        <v>1122.6850770335013</v>
      </c>
      <c r="S203" s="21">
        <f t="shared" si="139"/>
        <v>1581.8822931200261</v>
      </c>
      <c r="T203" s="21">
        <f t="shared" si="139"/>
        <v>933.82817554737323</v>
      </c>
      <c r="U203" s="21">
        <f t="shared" si="139"/>
        <v>162.14137268872045</v>
      </c>
      <c r="V203" s="21">
        <f t="shared" si="139"/>
        <v>8142.1105136279803</v>
      </c>
      <c r="W203" s="21">
        <f t="shared" si="139"/>
        <v>25839.928678512351</v>
      </c>
      <c r="X203" s="21">
        <f t="shared" si="139"/>
        <v>41277.551827779462</v>
      </c>
      <c r="Y203" s="21">
        <f t="shared" si="139"/>
        <v>55254.151430532882</v>
      </c>
      <c r="Z203" s="21">
        <f t="shared" si="139"/>
        <v>55428.04485090325</v>
      </c>
      <c r="AA203" s="21">
        <f t="shared" si="139"/>
        <v>51199.111561487654</v>
      </c>
      <c r="AB203" s="21">
        <f t="shared" si="139"/>
        <v>29625.860740329274</v>
      </c>
      <c r="AC203" s="21">
        <f t="shared" si="139"/>
        <v>6414.5618941208677</v>
      </c>
      <c r="AD203" s="21">
        <f t="shared" si="139"/>
        <v>10.099287971429959</v>
      </c>
      <c r="AE203" s="21">
        <f t="shared" si="139"/>
        <v>3853.3162431496507</v>
      </c>
      <c r="AF203" s="21">
        <f t="shared" si="139"/>
        <v>4681.0732032204432</v>
      </c>
      <c r="AG203" s="3"/>
      <c r="AH203" s="3"/>
    </row>
    <row r="204" spans="1:34" x14ac:dyDescent="0.25">
      <c r="A204" s="72">
        <f>SUM(B204:AF204)</f>
        <v>14969.105117464693</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374.39656202507564</v>
      </c>
      <c r="M204" s="60">
        <f t="shared" ref="M204" si="150">IF($A$64&lt;=M168,IF($B$64&gt;=M168,ABS(M203),0),0)</f>
        <v>374.49279997092185</v>
      </c>
      <c r="N204" s="60">
        <f t="shared" ref="N204" si="151">IF($A$64&lt;=N168,IF($B$64&gt;=N168,ABS(N203),0),0)</f>
        <v>375.37165398676723</v>
      </c>
      <c r="O204" s="60">
        <f t="shared" ref="O204" si="152">IF($A$64&lt;=O168,IF($B$64&gt;=O168,ABS(O203),0),0)</f>
        <v>384.18172371793247</v>
      </c>
      <c r="P204" s="60">
        <f t="shared" ref="P204" si="153">IF($A$64&lt;=P168,IF($B$64&gt;=P168,ABS(P203),0),0)</f>
        <v>471.14476653370315</v>
      </c>
      <c r="Q204" s="60">
        <f t="shared" ref="Q204" si="154">IF($A$64&lt;=Q168,IF($B$64&gt;=Q168,ABS(Q203),0),0)</f>
        <v>1046.8701792126897</v>
      </c>
      <c r="R204" s="60">
        <f t="shared" ref="R204" si="155">IF($A$64&lt;=R168,IF($B$64&gt;=R168,ABS(R203),0),0)</f>
        <v>1122.6850770335013</v>
      </c>
      <c r="S204" s="60">
        <f t="shared" ref="S204" si="156">IF($A$64&lt;=S168,IF($B$64&gt;=S168,ABS(S203),0),0)</f>
        <v>1581.8822931200261</v>
      </c>
      <c r="T204" s="60">
        <f t="shared" ref="T204" si="157">IF($A$64&lt;=T168,IF($B$64&gt;=T168,ABS(T203),0),0)</f>
        <v>933.82817554737323</v>
      </c>
      <c r="U204" s="60">
        <f t="shared" ref="U204" si="158">IF($A$64&lt;=U168,IF($B$64&gt;=U168,ABS(U203),0),0)</f>
        <v>162.14137268872045</v>
      </c>
      <c r="V204" s="60">
        <f t="shared" ref="V204" si="159">IF($A$64&lt;=V168,IF($B$64&gt;=V168,ABS(V203),0),0)</f>
        <v>8142.1105136279803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5930.3980415466285</v>
      </c>
      <c r="C209" s="27">
        <f t="shared" ref="C209:AF209" si="170">($C$17+SUM(C210:C240))*$B$51</f>
        <v>5930.309640985688</v>
      </c>
      <c r="D209" s="27">
        <f t="shared" si="170"/>
        <v>5929.4570855387228</v>
      </c>
      <c r="E209" s="27">
        <f t="shared" si="170"/>
        <v>5923.4254605028855</v>
      </c>
      <c r="F209" s="27">
        <f t="shared" si="170"/>
        <v>5917.0073014442632</v>
      </c>
      <c r="G209" s="27">
        <f t="shared" si="170"/>
        <v>5916.9987248989382</v>
      </c>
      <c r="H209" s="27">
        <f t="shared" si="170"/>
        <v>5916.9987196000357</v>
      </c>
      <c r="I209" s="27">
        <f t="shared" si="170"/>
        <v>5916.9986666110262</v>
      </c>
      <c r="J209" s="27">
        <f t="shared" si="170"/>
        <v>5916.9981367231931</v>
      </c>
      <c r="K209" s="27">
        <f t="shared" si="170"/>
        <v>5916.992838070968</v>
      </c>
      <c r="L209" s="27">
        <f t="shared" si="170"/>
        <v>5916.9398741486129</v>
      </c>
      <c r="M209" s="27">
        <f t="shared" si="170"/>
        <v>5916.4124850661492</v>
      </c>
      <c r="N209" s="27">
        <f t="shared" si="170"/>
        <v>5911.3540893599893</v>
      </c>
      <c r="O209" s="27">
        <f t="shared" si="170"/>
        <v>5875.359637471538</v>
      </c>
      <c r="P209" s="27">
        <f t="shared" si="170"/>
        <v>5746.8488032739015</v>
      </c>
      <c r="Q209" s="27">
        <f t="shared" si="170"/>
        <v>5598.464594946674</v>
      </c>
      <c r="R209" s="27">
        <f t="shared" si="170"/>
        <v>5437.7600080572993</v>
      </c>
      <c r="S209" s="27">
        <f t="shared" si="170"/>
        <v>5245.9233769505436</v>
      </c>
      <c r="T209" s="27">
        <f t="shared" si="170"/>
        <v>5048.3372552136707</v>
      </c>
      <c r="U209" s="27">
        <f t="shared" si="170"/>
        <v>4811.0174695063033</v>
      </c>
      <c r="V209" s="27">
        <f t="shared" si="170"/>
        <v>4538.5796386509337</v>
      </c>
      <c r="W209" s="27">
        <f t="shared" si="170"/>
        <v>4276.0991887099071</v>
      </c>
      <c r="X209" s="27">
        <f t="shared" si="170"/>
        <v>3995.7340431947373</v>
      </c>
      <c r="Y209" s="27">
        <f t="shared" si="170"/>
        <v>3700.6307413854283</v>
      </c>
      <c r="Z209" s="27">
        <f t="shared" si="170"/>
        <v>3325.7006870741734</v>
      </c>
      <c r="AA209" s="27">
        <f t="shared" si="170"/>
        <v>2831.5933383495112</v>
      </c>
      <c r="AB209" s="27">
        <f t="shared" si="170"/>
        <v>2274.8874261940282</v>
      </c>
      <c r="AC209" s="27">
        <f t="shared" si="170"/>
        <v>1657.7864344429986</v>
      </c>
      <c r="AD209" s="27">
        <f t="shared" si="170"/>
        <v>1059.7241150560396</v>
      </c>
      <c r="AE209" s="27">
        <f t="shared" si="170"/>
        <v>612.83679071745098</v>
      </c>
      <c r="AF209" s="27">
        <f t="shared" si="170"/>
        <v>354.69318050410249</v>
      </c>
      <c r="AG209" s="27"/>
      <c r="AH209" s="27"/>
    </row>
    <row r="210" spans="1:34" x14ac:dyDescent="0.25">
      <c r="B210" s="3">
        <f t="shared" ref="B210:AF210" si="171">$C18*EXP(-B$207/$A18/EXP(-$D$126))</f>
        <v>2.2594257064389466E-3</v>
      </c>
      <c r="C210" s="3">
        <f t="shared" si="171"/>
        <v>2.2445193859331612E-3</v>
      </c>
      <c r="D210" s="3">
        <f t="shared" si="171"/>
        <v>2.1007593847981319E-3</v>
      </c>
      <c r="E210" s="3">
        <f t="shared" si="171"/>
        <v>1.0836919027218791E-3</v>
      </c>
      <c r="F210" s="3">
        <f t="shared" si="171"/>
        <v>1.4461088646654314E-6</v>
      </c>
      <c r="G210" s="3">
        <f t="shared" si="171"/>
        <v>2.5891224373078639E-35</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4.2263320671383471E-3</v>
      </c>
      <c r="C214" s="3">
        <f t="shared" si="175"/>
        <v>4.2263320671330866E-3</v>
      </c>
      <c r="D214" s="3">
        <f t="shared" si="175"/>
        <v>4.2263320670804828E-3</v>
      </c>
      <c r="E214" s="3">
        <f t="shared" si="175"/>
        <v>4.2263320665544488E-3</v>
      </c>
      <c r="F214" s="3">
        <f t="shared" si="175"/>
        <v>4.2263320612941037E-3</v>
      </c>
      <c r="G214" s="3">
        <f t="shared" si="175"/>
        <v>4.2263320086906517E-3</v>
      </c>
      <c r="H214" s="3">
        <f t="shared" si="175"/>
        <v>4.2263314826561657E-3</v>
      </c>
      <c r="I214" s="3">
        <f t="shared" si="175"/>
        <v>4.2263262223149137E-3</v>
      </c>
      <c r="J214" s="3">
        <f t="shared" si="175"/>
        <v>4.2262736192624894E-3</v>
      </c>
      <c r="K214" s="3">
        <f t="shared" si="175"/>
        <v>4.2257476247467753E-3</v>
      </c>
      <c r="L214" s="3">
        <f t="shared" si="175"/>
        <v>4.220491278784543E-3</v>
      </c>
      <c r="M214" s="3">
        <f t="shared" si="175"/>
        <v>4.168286086641374E-3</v>
      </c>
      <c r="N214" s="3">
        <f t="shared" si="175"/>
        <v>3.6804645098557336E-3</v>
      </c>
      <c r="O214" s="3">
        <f t="shared" si="175"/>
        <v>1.0601169769648676E-3</v>
      </c>
      <c r="P214" s="3">
        <f t="shared" si="175"/>
        <v>4.1674014790274948E-9</v>
      </c>
      <c r="Q214" s="3">
        <f t="shared" si="175"/>
        <v>3.6726611601203615E-63</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3.0334384971501406E-2</v>
      </c>
      <c r="C215" s="3">
        <f t="shared" si="176"/>
        <v>3.0334384971497999E-2</v>
      </c>
      <c r="D215" s="3">
        <f t="shared" si="176"/>
        <v>3.033438497146394E-2</v>
      </c>
      <c r="E215" s="3">
        <f t="shared" si="176"/>
        <v>3.0334384971123351E-2</v>
      </c>
      <c r="F215" s="3">
        <f t="shared" si="176"/>
        <v>3.0334384967717447E-2</v>
      </c>
      <c r="G215" s="3">
        <f t="shared" si="176"/>
        <v>3.0334384933658406E-2</v>
      </c>
      <c r="H215" s="3">
        <f t="shared" si="176"/>
        <v>3.0334384593067993E-2</v>
      </c>
      <c r="I215" s="3">
        <f t="shared" si="176"/>
        <v>3.0334381187164115E-2</v>
      </c>
      <c r="J215" s="3">
        <f t="shared" si="176"/>
        <v>3.0334347128146338E-2</v>
      </c>
      <c r="K215" s="3">
        <f t="shared" si="176"/>
        <v>3.033400654007181E-2</v>
      </c>
      <c r="L215" s="3">
        <f t="shared" si="176"/>
        <v>3.0330600869642531E-2</v>
      </c>
      <c r="M215" s="3">
        <f t="shared" si="176"/>
        <v>3.0296565188213713E-2</v>
      </c>
      <c r="N215" s="3">
        <f t="shared" si="176"/>
        <v>2.99583019529432E-2</v>
      </c>
      <c r="O215" s="3">
        <f t="shared" si="176"/>
        <v>2.6776585206500551E-2</v>
      </c>
      <c r="P215" s="3">
        <f t="shared" si="176"/>
        <v>8.7123469857143341E-3</v>
      </c>
      <c r="Q215" s="3">
        <f t="shared" si="176"/>
        <v>1.1586036446434973E-7</v>
      </c>
      <c r="R215" s="3">
        <f t="shared" si="176"/>
        <v>2.0041589235395512E-56</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2.3501586958650841E-2</v>
      </c>
      <c r="C216" s="3">
        <f t="shared" si="177"/>
        <v>2.3501586958650605E-2</v>
      </c>
      <c r="D216" s="3">
        <f t="shared" si="177"/>
        <v>2.3501586958648221E-2</v>
      </c>
      <c r="E216" s="3">
        <f t="shared" si="177"/>
        <v>2.3501586958624417E-2</v>
      </c>
      <c r="F216" s="3">
        <f t="shared" si="177"/>
        <v>2.3501586958386386E-2</v>
      </c>
      <c r="G216" s="3">
        <f t="shared" si="177"/>
        <v>2.3501586956006033E-2</v>
      </c>
      <c r="H216" s="3">
        <f t="shared" si="177"/>
        <v>2.3501586932202525E-2</v>
      </c>
      <c r="I216" s="3">
        <f t="shared" si="177"/>
        <v>2.3501586694167426E-2</v>
      </c>
      <c r="J216" s="3">
        <f t="shared" si="177"/>
        <v>2.3501584313816562E-2</v>
      </c>
      <c r="K216" s="3">
        <f t="shared" si="177"/>
        <v>2.3501560510321203E-2</v>
      </c>
      <c r="L216" s="3">
        <f t="shared" si="177"/>
        <v>2.3501322476693599E-2</v>
      </c>
      <c r="M216" s="3">
        <f t="shared" si="177"/>
        <v>2.3498942273013284E-2</v>
      </c>
      <c r="N216" s="3">
        <f t="shared" si="177"/>
        <v>2.3475153490811862E-2</v>
      </c>
      <c r="O216" s="3">
        <f t="shared" si="177"/>
        <v>2.3238586175195954E-2</v>
      </c>
      <c r="P216" s="3">
        <f t="shared" si="177"/>
        <v>2.100014624513543E-2</v>
      </c>
      <c r="Q216" s="3">
        <f t="shared" si="177"/>
        <v>7.6269076613975657E-3</v>
      </c>
      <c r="R216" s="3">
        <f t="shared" si="177"/>
        <v>3.0451604532638628E-7</v>
      </c>
      <c r="S216" s="3">
        <f t="shared" si="177"/>
        <v>3.1349246558383576E-51</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3.016124573258994E-2</v>
      </c>
      <c r="C217" s="3">
        <f t="shared" si="178"/>
        <v>3.0161245732589912E-2</v>
      </c>
      <c r="D217" s="3">
        <f t="shared" si="178"/>
        <v>3.0161245732589638E-2</v>
      </c>
      <c r="E217" s="3">
        <f t="shared" si="178"/>
        <v>3.0161245732586883E-2</v>
      </c>
      <c r="F217" s="3">
        <f t="shared" si="178"/>
        <v>3.0161245732559325E-2</v>
      </c>
      <c r="G217" s="3">
        <f t="shared" si="178"/>
        <v>3.0161245732283751E-2</v>
      </c>
      <c r="H217" s="3">
        <f t="shared" si="178"/>
        <v>3.0161245729528E-2</v>
      </c>
      <c r="I217" s="3">
        <f t="shared" si="178"/>
        <v>3.0161245701970509E-2</v>
      </c>
      <c r="J217" s="3">
        <f t="shared" si="178"/>
        <v>3.0161245426395599E-2</v>
      </c>
      <c r="K217" s="3">
        <f t="shared" si="178"/>
        <v>3.0161242670646612E-2</v>
      </c>
      <c r="L217" s="3">
        <f t="shared" si="178"/>
        <v>3.0161215113170634E-2</v>
      </c>
      <c r="M217" s="3">
        <f t="shared" si="178"/>
        <v>3.0160939539795654E-2</v>
      </c>
      <c r="N217" s="3">
        <f t="shared" si="178"/>
        <v>3.0158183944522462E-2</v>
      </c>
      <c r="O217" s="3">
        <f t="shared" si="178"/>
        <v>3.0130641834772594E-2</v>
      </c>
      <c r="P217" s="3">
        <f t="shared" si="178"/>
        <v>2.9856600367153464E-2</v>
      </c>
      <c r="Q217" s="3">
        <f t="shared" si="178"/>
        <v>2.7249596522148527E-2</v>
      </c>
      <c r="R217" s="3">
        <f t="shared" si="178"/>
        <v>1.0928417721404612E-2</v>
      </c>
      <c r="S217" s="3">
        <f t="shared" si="178"/>
        <v>1.1763305982432709E-6</v>
      </c>
      <c r="T217" s="3">
        <f t="shared" si="178"/>
        <v>2.4561249893228829E-46</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3.6781885068377713E-2</v>
      </c>
      <c r="C218" s="3">
        <f t="shared" si="179"/>
        <v>3.6781885068377707E-2</v>
      </c>
      <c r="D218" s="3">
        <f t="shared" si="179"/>
        <v>3.6781885068377679E-2</v>
      </c>
      <c r="E218" s="3">
        <f t="shared" si="179"/>
        <v>3.678188506837738E-2</v>
      </c>
      <c r="F218" s="3">
        <f t="shared" si="179"/>
        <v>3.6781885068374341E-2</v>
      </c>
      <c r="G218" s="3">
        <f t="shared" si="179"/>
        <v>3.6781885068344025E-2</v>
      </c>
      <c r="H218" s="3">
        <f t="shared" si="179"/>
        <v>3.6781885068040872E-2</v>
      </c>
      <c r="I218" s="3">
        <f t="shared" si="179"/>
        <v>3.6781885065009276E-2</v>
      </c>
      <c r="J218" s="3">
        <f t="shared" si="179"/>
        <v>3.6781885034693339E-2</v>
      </c>
      <c r="K218" s="3">
        <f t="shared" si="179"/>
        <v>3.678188473153398E-2</v>
      </c>
      <c r="L218" s="3">
        <f t="shared" si="179"/>
        <v>3.6781881699940552E-2</v>
      </c>
      <c r="M218" s="3">
        <f t="shared" si="179"/>
        <v>3.6781851384020008E-2</v>
      </c>
      <c r="N218" s="3">
        <f t="shared" si="179"/>
        <v>3.6781548226188746E-2</v>
      </c>
      <c r="O218" s="3">
        <f t="shared" si="179"/>
        <v>3.6778516785298102E-2</v>
      </c>
      <c r="P218" s="3">
        <f t="shared" si="179"/>
        <v>3.6748216114391774E-2</v>
      </c>
      <c r="Q218" s="3">
        <f t="shared" si="179"/>
        <v>3.6446579025063416E-2</v>
      </c>
      <c r="R218" s="3">
        <f t="shared" si="179"/>
        <v>3.3563083842894866E-2</v>
      </c>
      <c r="S218" s="3">
        <f t="shared" si="179"/>
        <v>1.4720166795872021E-2</v>
      </c>
      <c r="T218" s="3">
        <f t="shared" si="179"/>
        <v>3.8763364363513671E-6</v>
      </c>
      <c r="U218" s="3">
        <f t="shared" si="179"/>
        <v>6.2159682470451285E-42</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3.0958488235130539E-2</v>
      </c>
      <c r="C219" s="3">
        <f t="shared" si="180"/>
        <v>3.0958488235130539E-2</v>
      </c>
      <c r="D219" s="3">
        <f t="shared" si="180"/>
        <v>3.0958488235130536E-2</v>
      </c>
      <c r="E219" s="3">
        <f t="shared" si="180"/>
        <v>3.0958488235130515E-2</v>
      </c>
      <c r="F219" s="3">
        <f t="shared" si="180"/>
        <v>3.0958488235130286E-2</v>
      </c>
      <c r="G219" s="3">
        <f t="shared" si="180"/>
        <v>3.0958488235127982E-2</v>
      </c>
      <c r="H219" s="3">
        <f t="shared" si="180"/>
        <v>3.0958488235104963E-2</v>
      </c>
      <c r="I219" s="3">
        <f t="shared" si="180"/>
        <v>3.0958488234874786E-2</v>
      </c>
      <c r="J219" s="3">
        <f t="shared" si="180"/>
        <v>3.0958488232573009E-2</v>
      </c>
      <c r="K219" s="3">
        <f t="shared" si="180"/>
        <v>3.0958488209555234E-2</v>
      </c>
      <c r="L219" s="3">
        <f t="shared" si="180"/>
        <v>3.0958487979377492E-2</v>
      </c>
      <c r="M219" s="3">
        <f t="shared" si="180"/>
        <v>3.095848567760014E-2</v>
      </c>
      <c r="N219" s="3">
        <f t="shared" si="180"/>
        <v>3.0958462659836053E-2</v>
      </c>
      <c r="O219" s="3">
        <f t="shared" si="180"/>
        <v>3.0958232483136418E-2</v>
      </c>
      <c r="P219" s="3">
        <f t="shared" si="180"/>
        <v>3.0955930810263221E-2</v>
      </c>
      <c r="Q219" s="3">
        <f t="shared" si="180"/>
        <v>3.0932923491254854E-2</v>
      </c>
      <c r="R219" s="3">
        <f t="shared" si="180"/>
        <v>3.0703788690090762E-2</v>
      </c>
      <c r="S219" s="3">
        <f t="shared" si="180"/>
        <v>2.8503748631705347E-2</v>
      </c>
      <c r="T219" s="3">
        <f t="shared" si="180"/>
        <v>1.3551959296361042E-2</v>
      </c>
      <c r="U219" s="3">
        <f t="shared" si="180"/>
        <v>7.9984011195525754E-6</v>
      </c>
      <c r="V219" s="3">
        <f t="shared" si="180"/>
        <v>4.1021741769979068E-38</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5.2155951905646973E-2</v>
      </c>
      <c r="C220" s="3">
        <f t="shared" si="181"/>
        <v>5.2155951905646973E-2</v>
      </c>
      <c r="D220" s="3">
        <f t="shared" si="181"/>
        <v>5.2155951905646973E-2</v>
      </c>
      <c r="E220" s="3">
        <f t="shared" si="181"/>
        <v>5.2155951905646966E-2</v>
      </c>
      <c r="F220" s="3">
        <f t="shared" si="181"/>
        <v>5.2155951905646931E-2</v>
      </c>
      <c r="G220" s="3">
        <f t="shared" si="181"/>
        <v>5.2155951905646585E-2</v>
      </c>
      <c r="H220" s="3">
        <f t="shared" si="181"/>
        <v>5.2155951905643087E-2</v>
      </c>
      <c r="I220" s="3">
        <f t="shared" si="181"/>
        <v>5.2155951905608108E-2</v>
      </c>
      <c r="J220" s="3">
        <f t="shared" si="181"/>
        <v>5.2155951905258291E-2</v>
      </c>
      <c r="K220" s="3">
        <f t="shared" si="181"/>
        <v>5.2155951901760179E-2</v>
      </c>
      <c r="L220" s="3">
        <f t="shared" si="181"/>
        <v>5.215595186677903E-2</v>
      </c>
      <c r="M220" s="3">
        <f t="shared" si="181"/>
        <v>5.2155951516967558E-2</v>
      </c>
      <c r="N220" s="3">
        <f t="shared" si="181"/>
        <v>5.2155948018852934E-2</v>
      </c>
      <c r="O220" s="3">
        <f t="shared" si="181"/>
        <v>5.2155913037719583E-2</v>
      </c>
      <c r="P220" s="3">
        <f t="shared" si="181"/>
        <v>5.2155563227676512E-2</v>
      </c>
      <c r="Q220" s="3">
        <f t="shared" si="181"/>
        <v>5.215206525628302E-2</v>
      </c>
      <c r="R220" s="3">
        <f t="shared" si="181"/>
        <v>5.2117098442866931E-2</v>
      </c>
      <c r="S220" s="3">
        <f t="shared" si="181"/>
        <v>5.1768717164933378E-2</v>
      </c>
      <c r="T220" s="3">
        <f t="shared" si="181"/>
        <v>4.841045302902186E-2</v>
      </c>
      <c r="U220" s="3">
        <f t="shared" si="181"/>
        <v>2.4754638159931876E-2</v>
      </c>
      <c r="V220" s="3">
        <f t="shared" si="181"/>
        <v>3.0257353584820957E-5</v>
      </c>
      <c r="W220" s="3">
        <f t="shared" si="181"/>
        <v>2.252031799070667E-34</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4.3160709564069449E-2</v>
      </c>
      <c r="C221" s="3">
        <f t="shared" si="182"/>
        <v>4.3160709564069449E-2</v>
      </c>
      <c r="D221" s="3">
        <f t="shared" si="182"/>
        <v>4.3160709564069449E-2</v>
      </c>
      <c r="E221" s="3">
        <f t="shared" si="182"/>
        <v>4.3160709564069449E-2</v>
      </c>
      <c r="F221" s="3">
        <f t="shared" si="182"/>
        <v>4.3160709564069442E-2</v>
      </c>
      <c r="G221" s="3">
        <f t="shared" si="182"/>
        <v>4.3160709564069422E-2</v>
      </c>
      <c r="H221" s="3">
        <f t="shared" si="182"/>
        <v>4.3160709564069158E-2</v>
      </c>
      <c r="I221" s="3">
        <f t="shared" si="182"/>
        <v>4.3160709564066549E-2</v>
      </c>
      <c r="J221" s="3">
        <f t="shared" si="182"/>
        <v>4.3160709564040438E-2</v>
      </c>
      <c r="K221" s="3">
        <f t="shared" si="182"/>
        <v>4.31607095637793E-2</v>
      </c>
      <c r="L221" s="3">
        <f t="shared" si="182"/>
        <v>4.3160709561167944E-2</v>
      </c>
      <c r="M221" s="3">
        <f t="shared" si="182"/>
        <v>4.316070953505443E-2</v>
      </c>
      <c r="N221" s="3">
        <f t="shared" si="182"/>
        <v>4.3160709273919275E-2</v>
      </c>
      <c r="O221" s="3">
        <f t="shared" si="182"/>
        <v>4.3160706662567813E-2</v>
      </c>
      <c r="P221" s="3">
        <f t="shared" si="182"/>
        <v>4.316068054906181E-2</v>
      </c>
      <c r="Q221" s="3">
        <f t="shared" si="182"/>
        <v>4.3160419414870817E-2</v>
      </c>
      <c r="R221" s="3">
        <f t="shared" si="182"/>
        <v>4.315780815985569E-2</v>
      </c>
      <c r="S221" s="3">
        <f t="shared" si="182"/>
        <v>4.3131704297243813E-2</v>
      </c>
      <c r="T221" s="3">
        <f t="shared" si="182"/>
        <v>4.2871532483400115E-2</v>
      </c>
      <c r="U221" s="3">
        <f t="shared" si="182"/>
        <v>4.0354586121570626E-2</v>
      </c>
      <c r="V221" s="3">
        <f t="shared" si="182"/>
        <v>2.2035950707520638E-2</v>
      </c>
      <c r="W221" s="3">
        <f t="shared" si="182"/>
        <v>5.1942247732144313E-5</v>
      </c>
      <c r="X221" s="3">
        <f t="shared" si="182"/>
        <v>2.7504908794458875E-31</v>
      </c>
      <c r="Y221" s="3">
        <f t="shared" si="182"/>
        <v>4.7676559615633589E-294</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4.9762672836986856E-2</v>
      </c>
      <c r="C222" s="3">
        <f t="shared" si="183"/>
        <v>4.9762672836986856E-2</v>
      </c>
      <c r="D222" s="3">
        <f t="shared" si="183"/>
        <v>4.9762672836986856E-2</v>
      </c>
      <c r="E222" s="3">
        <f t="shared" si="183"/>
        <v>4.9762672836986856E-2</v>
      </c>
      <c r="F222" s="3">
        <f t="shared" si="183"/>
        <v>4.9762672836986856E-2</v>
      </c>
      <c r="G222" s="3">
        <f t="shared" si="183"/>
        <v>4.9762672836986849E-2</v>
      </c>
      <c r="H222" s="3">
        <f t="shared" si="183"/>
        <v>4.9762672836986828E-2</v>
      </c>
      <c r="I222" s="3">
        <f t="shared" si="183"/>
        <v>4.976267283698655E-2</v>
      </c>
      <c r="J222" s="3">
        <f t="shared" si="183"/>
        <v>4.9762672836983837E-2</v>
      </c>
      <c r="K222" s="3">
        <f t="shared" si="183"/>
        <v>4.9762672836956678E-2</v>
      </c>
      <c r="L222" s="3">
        <f t="shared" si="183"/>
        <v>4.9762672836685083E-2</v>
      </c>
      <c r="M222" s="3">
        <f t="shared" si="183"/>
        <v>4.9762672833969096E-2</v>
      </c>
      <c r="N222" s="3">
        <f t="shared" si="183"/>
        <v>4.9762672806809266E-2</v>
      </c>
      <c r="O222" s="3">
        <f t="shared" si="183"/>
        <v>4.976267253521096E-2</v>
      </c>
      <c r="P222" s="3">
        <f t="shared" si="183"/>
        <v>4.976266981922798E-2</v>
      </c>
      <c r="Q222" s="3">
        <f t="shared" si="183"/>
        <v>4.9762642659406324E-2</v>
      </c>
      <c r="R222" s="3">
        <f t="shared" si="183"/>
        <v>4.9762371062005067E-2</v>
      </c>
      <c r="S222" s="3">
        <f t="shared" si="183"/>
        <v>4.9759655169519808E-2</v>
      </c>
      <c r="T222" s="3">
        <f t="shared" si="183"/>
        <v>4.9732504395756827E-2</v>
      </c>
      <c r="U222" s="3">
        <f t="shared" si="183"/>
        <v>4.9461810123442494E-2</v>
      </c>
      <c r="V222" s="3">
        <f t="shared" si="183"/>
        <v>4.6834594916251859E-2</v>
      </c>
      <c r="W222" s="3">
        <f t="shared" si="183"/>
        <v>2.7135285272483198E-2</v>
      </c>
      <c r="X222" s="3">
        <f t="shared" si="183"/>
        <v>1.1566730735807033E-4</v>
      </c>
      <c r="Y222" s="3">
        <f t="shared" si="183"/>
        <v>2.2907250537907589E-28</v>
      </c>
      <c r="Z222" s="3">
        <f t="shared" si="183"/>
        <v>2.1261620717522306E-265</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4.7420297810237655E-2</v>
      </c>
      <c r="C223" s="3">
        <f t="shared" si="184"/>
        <v>4.7420297810237655E-2</v>
      </c>
      <c r="D223" s="3">
        <f t="shared" si="184"/>
        <v>4.7420297810237655E-2</v>
      </c>
      <c r="E223" s="3">
        <f t="shared" si="184"/>
        <v>4.7420297810237655E-2</v>
      </c>
      <c r="F223" s="3">
        <f t="shared" si="184"/>
        <v>4.7420297810237655E-2</v>
      </c>
      <c r="G223" s="3">
        <f t="shared" si="184"/>
        <v>4.7420297810237655E-2</v>
      </c>
      <c r="H223" s="3">
        <f t="shared" si="184"/>
        <v>4.7420297810237655E-2</v>
      </c>
      <c r="I223" s="3">
        <f t="shared" si="184"/>
        <v>4.7420297810237627E-2</v>
      </c>
      <c r="J223" s="3">
        <f t="shared" si="184"/>
        <v>4.7420297810237398E-2</v>
      </c>
      <c r="K223" s="3">
        <f t="shared" si="184"/>
        <v>4.742029781023506E-2</v>
      </c>
      <c r="L223" s="3">
        <f t="shared" si="184"/>
        <v>4.7420297810211717E-2</v>
      </c>
      <c r="M223" s="3">
        <f t="shared" si="184"/>
        <v>4.7420297809978244E-2</v>
      </c>
      <c r="N223" s="3">
        <f t="shared" si="184"/>
        <v>4.7420297807643529E-2</v>
      </c>
      <c r="O223" s="3">
        <f t="shared" si="184"/>
        <v>4.7420297784296357E-2</v>
      </c>
      <c r="P223" s="3">
        <f t="shared" si="184"/>
        <v>4.7420297550824664E-2</v>
      </c>
      <c r="Q223" s="3">
        <f t="shared" si="184"/>
        <v>4.7420295216107834E-2</v>
      </c>
      <c r="R223" s="3">
        <f t="shared" si="184"/>
        <v>4.7420271868945818E-2</v>
      </c>
      <c r="S223" s="3">
        <f t="shared" si="184"/>
        <v>4.742003839795788E-2</v>
      </c>
      <c r="T223" s="3">
        <f t="shared" si="184"/>
        <v>4.7417703751299084E-2</v>
      </c>
      <c r="U223" s="3">
        <f t="shared" si="184"/>
        <v>4.7394363605611743E-2</v>
      </c>
      <c r="V223" s="3">
        <f t="shared" si="184"/>
        <v>4.7161593088856202E-2</v>
      </c>
      <c r="W223" s="3">
        <f t="shared" si="184"/>
        <v>4.4895847542904758E-2</v>
      </c>
      <c r="X223" s="3">
        <f t="shared" si="184"/>
        <v>2.7439945956807071E-2</v>
      </c>
      <c r="Y223" s="3">
        <f t="shared" si="184"/>
        <v>1.9959700615512264E-4</v>
      </c>
      <c r="Z223" s="3">
        <f t="shared" si="184"/>
        <v>8.2767861466232231E-26</v>
      </c>
      <c r="AA223" s="3">
        <f t="shared" si="184"/>
        <v>1.2443393855372914E-239</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5.5060707858971492E-2</v>
      </c>
      <c r="C224" s="3">
        <f t="shared" si="185"/>
        <v>5.5060707858971492E-2</v>
      </c>
      <c r="D224" s="3">
        <f t="shared" si="185"/>
        <v>5.5060707858971492E-2</v>
      </c>
      <c r="E224" s="3">
        <f t="shared" si="185"/>
        <v>5.5060707858971492E-2</v>
      </c>
      <c r="F224" s="3">
        <f t="shared" si="185"/>
        <v>5.5060707858971492E-2</v>
      </c>
      <c r="G224" s="3">
        <f t="shared" si="185"/>
        <v>5.5060707858971492E-2</v>
      </c>
      <c r="H224" s="3">
        <f t="shared" si="185"/>
        <v>5.5060707858971492E-2</v>
      </c>
      <c r="I224" s="3">
        <f t="shared" si="185"/>
        <v>5.5060707858971492E-2</v>
      </c>
      <c r="J224" s="3">
        <f t="shared" si="185"/>
        <v>5.5060707858971464E-2</v>
      </c>
      <c r="K224" s="3">
        <f t="shared" si="185"/>
        <v>5.5060707858971221E-2</v>
      </c>
      <c r="L224" s="3">
        <f t="shared" si="185"/>
        <v>5.5060707858968778E-2</v>
      </c>
      <c r="M224" s="3">
        <f t="shared" si="185"/>
        <v>5.5060707858944319E-2</v>
      </c>
      <c r="N224" s="3">
        <f t="shared" si="185"/>
        <v>5.5060707858699778E-2</v>
      </c>
      <c r="O224" s="3">
        <f t="shared" si="185"/>
        <v>5.5060707856254325E-2</v>
      </c>
      <c r="P224" s="3">
        <f t="shared" si="185"/>
        <v>5.5060707831799859E-2</v>
      </c>
      <c r="Q224" s="3">
        <f t="shared" si="185"/>
        <v>5.5060707587255113E-2</v>
      </c>
      <c r="R224" s="3">
        <f t="shared" si="185"/>
        <v>5.5060705141807741E-2</v>
      </c>
      <c r="S224" s="3">
        <f t="shared" si="185"/>
        <v>5.506068068734004E-2</v>
      </c>
      <c r="T224" s="3">
        <f t="shared" si="185"/>
        <v>5.5060436143260373E-2</v>
      </c>
      <c r="U224" s="3">
        <f t="shared" si="185"/>
        <v>5.5057990762198777E-2</v>
      </c>
      <c r="V224" s="3">
        <f t="shared" si="185"/>
        <v>5.5033542924111903E-2</v>
      </c>
      <c r="W224" s="3">
        <f t="shared" si="185"/>
        <v>5.4789660815840253E-2</v>
      </c>
      <c r="X224" s="3">
        <f t="shared" si="185"/>
        <v>5.2409498666711511E-2</v>
      </c>
      <c r="Y224" s="3">
        <f t="shared" si="185"/>
        <v>3.3614289850118953E-2</v>
      </c>
      <c r="Z224" s="3">
        <f t="shared" si="185"/>
        <v>3.9597091999863645E-4</v>
      </c>
      <c r="AA224" s="3">
        <f t="shared" si="185"/>
        <v>2.037308573862575E-23</v>
      </c>
      <c r="AB224" s="3">
        <f t="shared" si="185"/>
        <v>2.6484514465443788E-216</v>
      </c>
      <c r="AC224" s="3">
        <f t="shared" si="185"/>
        <v>0</v>
      </c>
      <c r="AD224" s="3">
        <f t="shared" si="185"/>
        <v>0</v>
      </c>
      <c r="AE224" s="3">
        <f t="shared" si="185"/>
        <v>0</v>
      </c>
      <c r="AF224" s="3">
        <f t="shared" si="185"/>
        <v>0</v>
      </c>
      <c r="AG224" s="3"/>
      <c r="AH224" s="3"/>
    </row>
    <row r="225" spans="2:34" x14ac:dyDescent="0.25">
      <c r="B225" s="3">
        <f t="shared" ref="B225:AF225" si="186">$C33*EXP(-B$207/$A33/EXP(-$D$126))</f>
        <v>8.2774016803130748E-2</v>
      </c>
      <c r="C225" s="3">
        <f t="shared" si="186"/>
        <v>8.2774016803130748E-2</v>
      </c>
      <c r="D225" s="3">
        <f t="shared" si="186"/>
        <v>8.2774016803130748E-2</v>
      </c>
      <c r="E225" s="3">
        <f t="shared" si="186"/>
        <v>8.2774016803130748E-2</v>
      </c>
      <c r="F225" s="3">
        <f t="shared" si="186"/>
        <v>8.2774016803130748E-2</v>
      </c>
      <c r="G225" s="3">
        <f t="shared" si="186"/>
        <v>8.2774016803130748E-2</v>
      </c>
      <c r="H225" s="3">
        <f t="shared" si="186"/>
        <v>8.2774016803130748E-2</v>
      </c>
      <c r="I225" s="3">
        <f t="shared" si="186"/>
        <v>8.2774016803130748E-2</v>
      </c>
      <c r="J225" s="3">
        <f t="shared" si="186"/>
        <v>8.2774016803130748E-2</v>
      </c>
      <c r="K225" s="3">
        <f t="shared" si="186"/>
        <v>8.2774016803130707E-2</v>
      </c>
      <c r="L225" s="3">
        <f t="shared" si="186"/>
        <v>8.2774016803130387E-2</v>
      </c>
      <c r="M225" s="3">
        <f t="shared" si="186"/>
        <v>8.2774016803127057E-2</v>
      </c>
      <c r="N225" s="3">
        <f t="shared" si="186"/>
        <v>8.2774016803093903E-2</v>
      </c>
      <c r="O225" s="3">
        <f t="shared" si="186"/>
        <v>8.2774016802762265E-2</v>
      </c>
      <c r="P225" s="3">
        <f t="shared" si="186"/>
        <v>8.2774016799445932E-2</v>
      </c>
      <c r="Q225" s="3">
        <f t="shared" si="186"/>
        <v>8.2774016766282682E-2</v>
      </c>
      <c r="R225" s="3">
        <f t="shared" si="186"/>
        <v>8.2774016434650127E-2</v>
      </c>
      <c r="S225" s="3">
        <f t="shared" si="186"/>
        <v>8.2774013118324608E-2</v>
      </c>
      <c r="T225" s="3">
        <f t="shared" si="186"/>
        <v>8.2773979955076724E-2</v>
      </c>
      <c r="U225" s="3">
        <f t="shared" si="186"/>
        <v>8.2773648323328772E-2</v>
      </c>
      <c r="V225" s="3">
        <f t="shared" si="186"/>
        <v>8.2770332078925285E-2</v>
      </c>
      <c r="W225" s="3">
        <f t="shared" si="186"/>
        <v>8.2737176941425225E-2</v>
      </c>
      <c r="X225" s="3">
        <f t="shared" si="186"/>
        <v>8.2406355137940548E-2</v>
      </c>
      <c r="Y225" s="3">
        <f t="shared" si="186"/>
        <v>7.9170024231743186E-2</v>
      </c>
      <c r="Z225" s="3">
        <f t="shared" si="186"/>
        <v>5.3034869048020433E-2</v>
      </c>
      <c r="AA225" s="3">
        <f t="shared" si="186"/>
        <v>9.6509203335923006E-4</v>
      </c>
      <c r="AB225" s="3">
        <f t="shared" si="186"/>
        <v>3.8427402419905437E-21</v>
      </c>
      <c r="AC225" s="3">
        <f t="shared" si="186"/>
        <v>3.8491426495206197E-195</v>
      </c>
      <c r="AD225" s="3">
        <f t="shared" si="186"/>
        <v>0</v>
      </c>
      <c r="AE225" s="3">
        <f t="shared" si="186"/>
        <v>0</v>
      </c>
      <c r="AF225" s="3">
        <f t="shared" si="186"/>
        <v>0</v>
      </c>
      <c r="AG225" s="3"/>
      <c r="AH225" s="3"/>
    </row>
    <row r="226" spans="2:34" x14ac:dyDescent="0.25">
      <c r="B226" s="3">
        <f t="shared" ref="B226:AF226" si="187">$C34*EXP(-B$207/$A34/EXP(-$D$126))</f>
        <v>9.2826583311544017E-2</v>
      </c>
      <c r="C226" s="3">
        <f t="shared" si="187"/>
        <v>9.2826583311544017E-2</v>
      </c>
      <c r="D226" s="3">
        <f t="shared" si="187"/>
        <v>9.2826583311544017E-2</v>
      </c>
      <c r="E226" s="3">
        <f t="shared" si="187"/>
        <v>9.2826583311544017E-2</v>
      </c>
      <c r="F226" s="3">
        <f t="shared" si="187"/>
        <v>9.2826583311544017E-2</v>
      </c>
      <c r="G226" s="3">
        <f t="shared" si="187"/>
        <v>9.2826583311544017E-2</v>
      </c>
      <c r="H226" s="3">
        <f t="shared" si="187"/>
        <v>9.2826583311544017E-2</v>
      </c>
      <c r="I226" s="3">
        <f t="shared" si="187"/>
        <v>9.2826583311544017E-2</v>
      </c>
      <c r="J226" s="3">
        <f t="shared" si="187"/>
        <v>9.2826583311544017E-2</v>
      </c>
      <c r="K226" s="3">
        <f t="shared" si="187"/>
        <v>9.2826583311544017E-2</v>
      </c>
      <c r="L226" s="3">
        <f t="shared" si="187"/>
        <v>9.2826583311543975E-2</v>
      </c>
      <c r="M226" s="3">
        <f t="shared" si="187"/>
        <v>9.2826583311543642E-2</v>
      </c>
      <c r="N226" s="3">
        <f t="shared" si="187"/>
        <v>9.2826583311540284E-2</v>
      </c>
      <c r="O226" s="3">
        <f t="shared" si="187"/>
        <v>9.2826583311506741E-2</v>
      </c>
      <c r="P226" s="3">
        <f t="shared" si="187"/>
        <v>9.2826583311171246E-2</v>
      </c>
      <c r="Q226" s="3">
        <f t="shared" si="187"/>
        <v>9.2826583307816332E-2</v>
      </c>
      <c r="R226" s="3">
        <f t="shared" si="187"/>
        <v>9.2826583274267127E-2</v>
      </c>
      <c r="S226" s="3">
        <f t="shared" si="187"/>
        <v>9.2826582938775201E-2</v>
      </c>
      <c r="T226" s="3">
        <f t="shared" si="187"/>
        <v>9.2826579583855887E-2</v>
      </c>
      <c r="U226" s="3">
        <f t="shared" si="187"/>
        <v>9.2826546034669458E-2</v>
      </c>
      <c r="V226" s="3">
        <f t="shared" si="187"/>
        <v>9.2826210543471968E-2</v>
      </c>
      <c r="W226" s="3">
        <f t="shared" si="187"/>
        <v>9.2822855698185269E-2</v>
      </c>
      <c r="X226" s="3">
        <f t="shared" si="187"/>
        <v>9.2789313913232016E-2</v>
      </c>
      <c r="Y226" s="3">
        <f t="shared" si="187"/>
        <v>9.2454561964273457E-2</v>
      </c>
      <c r="Z226" s="3">
        <f t="shared" si="187"/>
        <v>8.917275060193651E-2</v>
      </c>
      <c r="AA226" s="3">
        <f t="shared" si="187"/>
        <v>6.2125563330890136E-2</v>
      </c>
      <c r="AB226" s="3">
        <f t="shared" si="187"/>
        <v>1.6736016971118891E-3</v>
      </c>
      <c r="AC226" s="3">
        <f t="shared" si="187"/>
        <v>3.3687577810512997E-19</v>
      </c>
      <c r="AD226" s="3">
        <f t="shared" si="187"/>
        <v>3.6782950807888275E-176</v>
      </c>
      <c r="AE226" s="3">
        <f t="shared" si="187"/>
        <v>0</v>
      </c>
      <c r="AF226" s="3">
        <f t="shared" si="187"/>
        <v>0</v>
      </c>
      <c r="AG226" s="3"/>
      <c r="AH226" s="3"/>
    </row>
    <row r="227" spans="2:34" x14ac:dyDescent="0.25">
      <c r="B227" s="3">
        <f t="shared" ref="B227:AF227" si="188">$C35*EXP(-B$207/$A35/EXP(-$D$126))</f>
        <v>0.10795546608785625</v>
      </c>
      <c r="C227" s="3">
        <f t="shared" si="188"/>
        <v>0.10795546608785625</v>
      </c>
      <c r="D227" s="3">
        <f t="shared" si="188"/>
        <v>0.10795546608785625</v>
      </c>
      <c r="E227" s="3">
        <f t="shared" si="188"/>
        <v>0.10795546608785625</v>
      </c>
      <c r="F227" s="3">
        <f t="shared" si="188"/>
        <v>0.10795546608785625</v>
      </c>
      <c r="G227" s="3">
        <f t="shared" si="188"/>
        <v>0.10795546608785625</v>
      </c>
      <c r="H227" s="3">
        <f t="shared" si="188"/>
        <v>0.10795546608785625</v>
      </c>
      <c r="I227" s="3">
        <f t="shared" si="188"/>
        <v>0.10795546608785625</v>
      </c>
      <c r="J227" s="3">
        <f t="shared" si="188"/>
        <v>0.10795546608785625</v>
      </c>
      <c r="K227" s="3">
        <f t="shared" si="188"/>
        <v>0.10795546608785625</v>
      </c>
      <c r="L227" s="3">
        <f t="shared" si="188"/>
        <v>0.10795546608785625</v>
      </c>
      <c r="M227" s="3">
        <f t="shared" si="188"/>
        <v>0.10795546608785621</v>
      </c>
      <c r="N227" s="3">
        <f t="shared" si="188"/>
        <v>0.10795546608785586</v>
      </c>
      <c r="O227" s="3">
        <f t="shared" si="188"/>
        <v>0.10795546608785234</v>
      </c>
      <c r="P227" s="3">
        <f t="shared" si="188"/>
        <v>0.10795546608781714</v>
      </c>
      <c r="Q227" s="3">
        <f t="shared" si="188"/>
        <v>0.10795546608746517</v>
      </c>
      <c r="R227" s="3">
        <f t="shared" si="188"/>
        <v>0.10795546608394552</v>
      </c>
      <c r="S227" s="3">
        <f t="shared" si="188"/>
        <v>0.10795546604874889</v>
      </c>
      <c r="T227" s="3">
        <f t="shared" si="188"/>
        <v>0.1079554656967827</v>
      </c>
      <c r="U227" s="3">
        <f t="shared" si="188"/>
        <v>0.10795546217712085</v>
      </c>
      <c r="V227" s="3">
        <f t="shared" si="188"/>
        <v>0.10795542698050853</v>
      </c>
      <c r="W227" s="3">
        <f t="shared" si="188"/>
        <v>0.10795507501501646</v>
      </c>
      <c r="X227" s="3">
        <f t="shared" si="188"/>
        <v>0.10795155542320813</v>
      </c>
      <c r="Y227" s="3">
        <f t="shared" si="188"/>
        <v>0.10791636581559531</v>
      </c>
      <c r="Z227" s="3">
        <f t="shared" si="188"/>
        <v>0.10756510002595147</v>
      </c>
      <c r="AA227" s="3">
        <f t="shared" si="188"/>
        <v>0.1041147170436542</v>
      </c>
      <c r="AB227" s="3">
        <f t="shared" si="188"/>
        <v>7.5148358866628795E-2</v>
      </c>
      <c r="AC227" s="3">
        <f t="shared" si="188"/>
        <v>2.8839868482682528E-3</v>
      </c>
      <c r="AD227" s="3">
        <f t="shared" si="188"/>
        <v>1.9986236611327796E-17</v>
      </c>
      <c r="AE227" s="3">
        <f t="shared" si="188"/>
        <v>5.1063257321577126E-159</v>
      </c>
      <c r="AF227" s="3">
        <f t="shared" si="188"/>
        <v>0</v>
      </c>
      <c r="AG227" s="3"/>
      <c r="AH227" s="3"/>
    </row>
    <row r="228" spans="2:34" x14ac:dyDescent="0.25">
      <c r="B228" s="3">
        <f t="shared" ref="B228:AF228" si="189">$C36*EXP(-B$207/$A36/EXP(-$D$126))</f>
        <v>0.11222824358997255</v>
      </c>
      <c r="C228" s="3">
        <f t="shared" si="189"/>
        <v>0.11222824358997255</v>
      </c>
      <c r="D228" s="3">
        <f t="shared" si="189"/>
        <v>0.11222824358997255</v>
      </c>
      <c r="E228" s="3">
        <f t="shared" si="189"/>
        <v>0.11222824358997255</v>
      </c>
      <c r="F228" s="3">
        <f t="shared" si="189"/>
        <v>0.11222824358997255</v>
      </c>
      <c r="G228" s="3">
        <f t="shared" si="189"/>
        <v>0.11222824358997255</v>
      </c>
      <c r="H228" s="3">
        <f t="shared" si="189"/>
        <v>0.11222824358997255</v>
      </c>
      <c r="I228" s="3">
        <f t="shared" si="189"/>
        <v>0.11222824358997255</v>
      </c>
      <c r="J228" s="3">
        <f t="shared" si="189"/>
        <v>0.11222824358997255</v>
      </c>
      <c r="K228" s="3">
        <f t="shared" si="189"/>
        <v>0.11222824358997255</v>
      </c>
      <c r="L228" s="3">
        <f t="shared" si="189"/>
        <v>0.11222824358997255</v>
      </c>
      <c r="M228" s="3">
        <f t="shared" si="189"/>
        <v>0.11222824358997255</v>
      </c>
      <c r="N228" s="3">
        <f t="shared" si="189"/>
        <v>0.11222824358997251</v>
      </c>
      <c r="O228" s="3">
        <f t="shared" si="189"/>
        <v>0.11222824358997219</v>
      </c>
      <c r="P228" s="3">
        <f t="shared" si="189"/>
        <v>0.11222824358996888</v>
      </c>
      <c r="Q228" s="3">
        <f t="shared" si="189"/>
        <v>0.11222824358993588</v>
      </c>
      <c r="R228" s="3">
        <f t="shared" si="189"/>
        <v>0.1122282435896058</v>
      </c>
      <c r="S228" s="3">
        <f t="shared" si="189"/>
        <v>0.11222824358630511</v>
      </c>
      <c r="T228" s="3">
        <f t="shared" si="189"/>
        <v>0.11222824355329819</v>
      </c>
      <c r="U228" s="3">
        <f t="shared" si="189"/>
        <v>0.11222824322322893</v>
      </c>
      <c r="V228" s="3">
        <f t="shared" si="189"/>
        <v>0.11222823992253646</v>
      </c>
      <c r="W228" s="3">
        <f t="shared" si="189"/>
        <v>0.11222820691561701</v>
      </c>
      <c r="X228" s="3">
        <f t="shared" si="189"/>
        <v>0.11222787684695644</v>
      </c>
      <c r="Y228" s="3">
        <f t="shared" si="189"/>
        <v>0.11222457621374141</v>
      </c>
      <c r="Z228" s="3">
        <f t="shared" si="189"/>
        <v>0.11219157522007769</v>
      </c>
      <c r="AA228" s="3">
        <f t="shared" si="189"/>
        <v>0.11186209855162833</v>
      </c>
      <c r="AB228" s="3">
        <f t="shared" si="189"/>
        <v>0.10862008292580336</v>
      </c>
      <c r="AC228" s="3">
        <f t="shared" si="189"/>
        <v>8.0943467527425594E-2</v>
      </c>
      <c r="AD228" s="3">
        <f t="shared" si="189"/>
        <v>4.2746302658927511E-3</v>
      </c>
      <c r="AE228" s="3">
        <f t="shared" si="189"/>
        <v>7.2121718903638622E-16</v>
      </c>
      <c r="AF228" s="3">
        <f t="shared" si="189"/>
        <v>1.3481592433852199E-143</v>
      </c>
      <c r="AG228" s="3"/>
      <c r="AH228" s="3"/>
    </row>
    <row r="229" spans="2:34" x14ac:dyDescent="0.25">
      <c r="B229" s="3">
        <f t="shared" ref="B229:AF229" si="190">$C37*EXP(-B$207/$A37/EXP(-$D$126))</f>
        <v>8.9690702482137605E-2</v>
      </c>
      <c r="C229" s="3">
        <f t="shared" si="190"/>
        <v>8.9690702482137605E-2</v>
      </c>
      <c r="D229" s="3">
        <f t="shared" si="190"/>
        <v>8.9690702482137605E-2</v>
      </c>
      <c r="E229" s="3">
        <f t="shared" si="190"/>
        <v>8.9690702482137605E-2</v>
      </c>
      <c r="F229" s="3">
        <f t="shared" si="190"/>
        <v>8.9690702482137605E-2</v>
      </c>
      <c r="G229" s="3">
        <f t="shared" si="190"/>
        <v>8.9690702482137605E-2</v>
      </c>
      <c r="H229" s="3">
        <f t="shared" si="190"/>
        <v>8.9690702482137605E-2</v>
      </c>
      <c r="I229" s="3">
        <f t="shared" si="190"/>
        <v>8.9690702482137605E-2</v>
      </c>
      <c r="J229" s="3">
        <f t="shared" si="190"/>
        <v>8.9690702482137605E-2</v>
      </c>
      <c r="K229" s="3">
        <f t="shared" si="190"/>
        <v>8.9690702482137605E-2</v>
      </c>
      <c r="L229" s="3">
        <f t="shared" si="190"/>
        <v>8.9690702482137605E-2</v>
      </c>
      <c r="M229" s="3">
        <f t="shared" si="190"/>
        <v>8.9690702482137605E-2</v>
      </c>
      <c r="N229" s="3">
        <f t="shared" si="190"/>
        <v>8.9690702482137605E-2</v>
      </c>
      <c r="O229" s="3">
        <f t="shared" si="190"/>
        <v>8.9690702482137577E-2</v>
      </c>
      <c r="P229" s="3">
        <f t="shared" si="190"/>
        <v>8.9690702482137341E-2</v>
      </c>
      <c r="Q229" s="3">
        <f t="shared" si="190"/>
        <v>8.9690702482134954E-2</v>
      </c>
      <c r="R229" s="3">
        <f t="shared" si="190"/>
        <v>8.9690702482111168E-2</v>
      </c>
      <c r="S229" s="3">
        <f t="shared" si="190"/>
        <v>8.9690702481873205E-2</v>
      </c>
      <c r="T229" s="3">
        <f t="shared" si="190"/>
        <v>8.969070247949365E-2</v>
      </c>
      <c r="U229" s="3">
        <f t="shared" si="190"/>
        <v>8.9690702455698032E-2</v>
      </c>
      <c r="V229" s="3">
        <f t="shared" si="190"/>
        <v>8.9690702217741891E-2</v>
      </c>
      <c r="W229" s="3">
        <f t="shared" si="190"/>
        <v>8.9690699838180496E-2</v>
      </c>
      <c r="X229" s="3">
        <f t="shared" si="190"/>
        <v>8.969067604257E-2</v>
      </c>
      <c r="Y229" s="3">
        <f t="shared" si="190"/>
        <v>8.9690438086812346E-2</v>
      </c>
      <c r="Z229" s="3">
        <f t="shared" si="190"/>
        <v>8.9688058563957798E-2</v>
      </c>
      <c r="AA229" s="3">
        <f t="shared" si="190"/>
        <v>8.9664266807268578E-2</v>
      </c>
      <c r="AB229" s="3">
        <f t="shared" si="190"/>
        <v>8.9426696085435881E-2</v>
      </c>
      <c r="AC229" s="3">
        <f t="shared" si="190"/>
        <v>8.7085335299621036E-2</v>
      </c>
      <c r="AD229" s="3">
        <f t="shared" si="190"/>
        <v>6.6791847015185341E-2</v>
      </c>
      <c r="AE229" s="3">
        <f t="shared" si="190"/>
        <v>4.7044375004521039E-3</v>
      </c>
      <c r="AF229" s="3">
        <f t="shared" si="190"/>
        <v>1.4136770322756707E-14</v>
      </c>
      <c r="AG229" s="3"/>
      <c r="AH229" s="3"/>
    </row>
    <row r="230" spans="2:34" x14ac:dyDescent="0.25">
      <c r="B230" s="3">
        <f t="shared" ref="B230:AF230" si="191">$C38*EXP(-B$207/$A38/EXP(-$D$126))</f>
        <v>3.260199419264094E-2</v>
      </c>
      <c r="C230" s="3">
        <f t="shared" si="191"/>
        <v>3.260199419264094E-2</v>
      </c>
      <c r="D230" s="3">
        <f t="shared" si="191"/>
        <v>3.260199419264094E-2</v>
      </c>
      <c r="E230" s="3">
        <f t="shared" si="191"/>
        <v>3.260199419264094E-2</v>
      </c>
      <c r="F230" s="3">
        <f t="shared" si="191"/>
        <v>3.260199419264094E-2</v>
      </c>
      <c r="G230" s="3">
        <f t="shared" si="191"/>
        <v>3.260199419264094E-2</v>
      </c>
      <c r="H230" s="3">
        <f t="shared" si="191"/>
        <v>3.260199419264094E-2</v>
      </c>
      <c r="I230" s="3">
        <f t="shared" si="191"/>
        <v>3.260199419264094E-2</v>
      </c>
      <c r="J230" s="3">
        <f t="shared" si="191"/>
        <v>3.260199419264094E-2</v>
      </c>
      <c r="K230" s="3">
        <f t="shared" si="191"/>
        <v>3.260199419264094E-2</v>
      </c>
      <c r="L230" s="3">
        <f t="shared" si="191"/>
        <v>3.260199419264094E-2</v>
      </c>
      <c r="M230" s="3">
        <f t="shared" si="191"/>
        <v>3.260199419264094E-2</v>
      </c>
      <c r="N230" s="3">
        <f t="shared" si="191"/>
        <v>3.260199419264094E-2</v>
      </c>
      <c r="O230" s="3">
        <f t="shared" si="191"/>
        <v>3.260199419264094E-2</v>
      </c>
      <c r="P230" s="3">
        <f t="shared" si="191"/>
        <v>3.2601994192640933E-2</v>
      </c>
      <c r="Q230" s="3">
        <f t="shared" si="191"/>
        <v>3.260199419264085E-2</v>
      </c>
      <c r="R230" s="3">
        <f t="shared" si="191"/>
        <v>3.2601994192640073E-2</v>
      </c>
      <c r="S230" s="3">
        <f t="shared" si="191"/>
        <v>3.2601994192632273E-2</v>
      </c>
      <c r="T230" s="3">
        <f t="shared" si="191"/>
        <v>3.2601994192554246E-2</v>
      </c>
      <c r="U230" s="3">
        <f t="shared" si="191"/>
        <v>3.2601994191773981E-2</v>
      </c>
      <c r="V230" s="3">
        <f t="shared" si="191"/>
        <v>3.2601994183971368E-2</v>
      </c>
      <c r="W230" s="3">
        <f t="shared" si="191"/>
        <v>3.2601994105945206E-2</v>
      </c>
      <c r="X230" s="3">
        <f t="shared" si="191"/>
        <v>3.260199332568358E-2</v>
      </c>
      <c r="Y230" s="3">
        <f t="shared" si="191"/>
        <v>3.260198552306838E-2</v>
      </c>
      <c r="Z230" s="3">
        <f t="shared" si="191"/>
        <v>3.2601907497019113E-2</v>
      </c>
      <c r="AA230" s="3">
        <f t="shared" si="191"/>
        <v>3.2601127246796965E-2</v>
      </c>
      <c r="AB230" s="3">
        <f t="shared" si="191"/>
        <v>3.2593325771542073E-2</v>
      </c>
      <c r="AC230" s="3">
        <f t="shared" si="191"/>
        <v>3.251541362476687E-2</v>
      </c>
      <c r="AD230" s="3">
        <f t="shared" si="191"/>
        <v>3.1746462453764633E-2</v>
      </c>
      <c r="AE230" s="3">
        <f t="shared" si="191"/>
        <v>2.4989403650196109E-2</v>
      </c>
      <c r="AF230" s="3">
        <f t="shared" si="191"/>
        <v>2.2822406183422724E-3</v>
      </c>
      <c r="AG230" s="3"/>
      <c r="AH230" s="3"/>
    </row>
    <row r="231" spans="2:34" x14ac:dyDescent="0.25">
      <c r="B231" s="3">
        <f t="shared" ref="B231:AF231" si="192">$C39*EXP(-B$207/$A39/EXP(-$D$126))</f>
        <v>3.3353536546241076E-2</v>
      </c>
      <c r="C231" s="3">
        <f t="shared" si="192"/>
        <v>3.3353536546241076E-2</v>
      </c>
      <c r="D231" s="3">
        <f t="shared" si="192"/>
        <v>3.3353536546241076E-2</v>
      </c>
      <c r="E231" s="3">
        <f t="shared" si="192"/>
        <v>3.3353536546241076E-2</v>
      </c>
      <c r="F231" s="3">
        <f t="shared" si="192"/>
        <v>3.3353536546241076E-2</v>
      </c>
      <c r="G231" s="3">
        <f t="shared" si="192"/>
        <v>3.3353536546241076E-2</v>
      </c>
      <c r="H231" s="3">
        <f t="shared" si="192"/>
        <v>3.3353536546241076E-2</v>
      </c>
      <c r="I231" s="3">
        <f t="shared" si="192"/>
        <v>3.3353536546241076E-2</v>
      </c>
      <c r="J231" s="3">
        <f t="shared" si="192"/>
        <v>3.3353536546241076E-2</v>
      </c>
      <c r="K231" s="3">
        <f t="shared" si="192"/>
        <v>3.3353536546241076E-2</v>
      </c>
      <c r="L231" s="3">
        <f t="shared" si="192"/>
        <v>3.3353536546241076E-2</v>
      </c>
      <c r="M231" s="3">
        <f t="shared" si="192"/>
        <v>3.3353536546241076E-2</v>
      </c>
      <c r="N231" s="3">
        <f t="shared" si="192"/>
        <v>3.3353536546241076E-2</v>
      </c>
      <c r="O231" s="3">
        <f t="shared" si="192"/>
        <v>3.3353536546241076E-2</v>
      </c>
      <c r="P231" s="3">
        <f t="shared" si="192"/>
        <v>3.3353536546241069E-2</v>
      </c>
      <c r="Q231" s="3">
        <f t="shared" si="192"/>
        <v>3.3353536546241049E-2</v>
      </c>
      <c r="R231" s="3">
        <f t="shared" si="192"/>
        <v>3.3353536546240833E-2</v>
      </c>
      <c r="S231" s="3">
        <f t="shared" si="192"/>
        <v>3.3353536546238627E-2</v>
      </c>
      <c r="T231" s="3">
        <f t="shared" si="192"/>
        <v>3.3353536546216547E-2</v>
      </c>
      <c r="U231" s="3">
        <f t="shared" si="192"/>
        <v>3.3353536545995772E-2</v>
      </c>
      <c r="V231" s="3">
        <f t="shared" si="192"/>
        <v>3.3353536543788018E-2</v>
      </c>
      <c r="W231" s="3">
        <f t="shared" si="192"/>
        <v>3.335353652171047E-2</v>
      </c>
      <c r="X231" s="3">
        <f t="shared" si="192"/>
        <v>3.3353536300934988E-2</v>
      </c>
      <c r="Y231" s="3">
        <f t="shared" si="192"/>
        <v>3.3353534093180273E-2</v>
      </c>
      <c r="Z231" s="3">
        <f t="shared" si="192"/>
        <v>3.335351201564115E-2</v>
      </c>
      <c r="AA231" s="3">
        <f t="shared" si="192"/>
        <v>3.3353291241053656E-2</v>
      </c>
      <c r="AB231" s="3">
        <f t="shared" si="192"/>
        <v>3.3351083575551853E-2</v>
      </c>
      <c r="AC231" s="3">
        <f t="shared" si="192"/>
        <v>3.3329014955874564E-2</v>
      </c>
      <c r="AD231" s="3">
        <f t="shared" si="192"/>
        <v>3.3109130328706445E-2</v>
      </c>
      <c r="AE231" s="3">
        <f t="shared" si="192"/>
        <v>3.0988512149391509E-2</v>
      </c>
      <c r="AF231" s="3">
        <f t="shared" si="192"/>
        <v>1.5985647826545893E-2</v>
      </c>
      <c r="AG231" s="3"/>
      <c r="AH231" s="3"/>
    </row>
    <row r="232" spans="2:34" x14ac:dyDescent="0.25">
      <c r="B232" s="3">
        <f t="shared" ref="B232:AF232" si="193">$C40*EXP(-B$207/$A40/EXP(-$D$126))</f>
        <v>1.7436587013509221E-2</v>
      </c>
      <c r="C232" s="3">
        <f t="shared" si="193"/>
        <v>1.7436587013509221E-2</v>
      </c>
      <c r="D232" s="3">
        <f t="shared" si="193"/>
        <v>1.7436587013509221E-2</v>
      </c>
      <c r="E232" s="3">
        <f t="shared" si="193"/>
        <v>1.7436587013509221E-2</v>
      </c>
      <c r="F232" s="3">
        <f t="shared" si="193"/>
        <v>1.7436587013509221E-2</v>
      </c>
      <c r="G232" s="3">
        <f t="shared" si="193"/>
        <v>1.7436587013509221E-2</v>
      </c>
      <c r="H232" s="3">
        <f t="shared" si="193"/>
        <v>1.7436587013509221E-2</v>
      </c>
      <c r="I232" s="3">
        <f t="shared" si="193"/>
        <v>1.7436587013509221E-2</v>
      </c>
      <c r="J232" s="3">
        <f t="shared" si="193"/>
        <v>1.7436587013509221E-2</v>
      </c>
      <c r="K232" s="3">
        <f t="shared" si="193"/>
        <v>1.7436587013509221E-2</v>
      </c>
      <c r="L232" s="3">
        <f t="shared" si="193"/>
        <v>1.7436587013509221E-2</v>
      </c>
      <c r="M232" s="3">
        <f t="shared" si="193"/>
        <v>1.7436587013509221E-2</v>
      </c>
      <c r="N232" s="3">
        <f t="shared" si="193"/>
        <v>1.7436587013509221E-2</v>
      </c>
      <c r="O232" s="3">
        <f t="shared" si="193"/>
        <v>1.7436587013509221E-2</v>
      </c>
      <c r="P232" s="3">
        <f t="shared" si="193"/>
        <v>1.7436587013509221E-2</v>
      </c>
      <c r="Q232" s="3">
        <f t="shared" si="193"/>
        <v>1.7436587013509218E-2</v>
      </c>
      <c r="R232" s="3">
        <f t="shared" si="193"/>
        <v>1.7436587013509208E-2</v>
      </c>
      <c r="S232" s="3">
        <f t="shared" si="193"/>
        <v>1.7436587013509093E-2</v>
      </c>
      <c r="T232" s="3">
        <f t="shared" si="193"/>
        <v>1.7436587013507941E-2</v>
      </c>
      <c r="U232" s="3">
        <f t="shared" si="193"/>
        <v>1.7436587013496395E-2</v>
      </c>
      <c r="V232" s="3">
        <f t="shared" si="193"/>
        <v>1.743658701338098E-2</v>
      </c>
      <c r="W232" s="3">
        <f t="shared" si="193"/>
        <v>1.7436587012226806E-2</v>
      </c>
      <c r="X232" s="3">
        <f t="shared" si="193"/>
        <v>1.7436587000685091E-2</v>
      </c>
      <c r="Y232" s="3">
        <f t="shared" si="193"/>
        <v>1.7436586885267918E-2</v>
      </c>
      <c r="Z232" s="3">
        <f t="shared" si="193"/>
        <v>1.7436585731096244E-2</v>
      </c>
      <c r="AA232" s="3">
        <f t="shared" si="193"/>
        <v>1.7436574189383672E-2</v>
      </c>
      <c r="AB232" s="3">
        <f t="shared" si="193"/>
        <v>1.7436458772678166E-2</v>
      </c>
      <c r="AC232" s="3">
        <f t="shared" si="193"/>
        <v>1.7435304647640613E-2</v>
      </c>
      <c r="AD232" s="3">
        <f t="shared" si="193"/>
        <v>1.7423767597986594E-2</v>
      </c>
      <c r="AE232" s="3">
        <f t="shared" si="193"/>
        <v>1.7308816146609486E-2</v>
      </c>
      <c r="AF232" s="3">
        <f t="shared" si="193"/>
        <v>1.62001977740183E-2</v>
      </c>
      <c r="AG232" s="3"/>
      <c r="AH232" s="3"/>
    </row>
    <row r="233" spans="2:34" x14ac:dyDescent="0.25">
      <c r="B233" s="3">
        <f t="shared" ref="B233:AF233" si="194">$C41*EXP(-B$207/$A41/EXP(-$D$126))</f>
        <v>4.7217849635186409E-4</v>
      </c>
      <c r="C233" s="3">
        <f t="shared" si="194"/>
        <v>4.7217849635186409E-4</v>
      </c>
      <c r="D233" s="3">
        <f t="shared" si="194"/>
        <v>4.7217849635186409E-4</v>
      </c>
      <c r="E233" s="3">
        <f t="shared" si="194"/>
        <v>4.7217849635186409E-4</v>
      </c>
      <c r="F233" s="3">
        <f t="shared" si="194"/>
        <v>4.7217849635186409E-4</v>
      </c>
      <c r="G233" s="3">
        <f t="shared" si="194"/>
        <v>4.7217849635186409E-4</v>
      </c>
      <c r="H233" s="3">
        <f t="shared" si="194"/>
        <v>4.7217849635186409E-4</v>
      </c>
      <c r="I233" s="3">
        <f t="shared" si="194"/>
        <v>4.7217849635186409E-4</v>
      </c>
      <c r="J233" s="3">
        <f t="shared" si="194"/>
        <v>4.7217849635186409E-4</v>
      </c>
      <c r="K233" s="3">
        <f t="shared" si="194"/>
        <v>4.7217849635186409E-4</v>
      </c>
      <c r="L233" s="3">
        <f t="shared" si="194"/>
        <v>4.7217849635186409E-4</v>
      </c>
      <c r="M233" s="3">
        <f t="shared" si="194"/>
        <v>4.7217849635186409E-4</v>
      </c>
      <c r="N233" s="3">
        <f t="shared" si="194"/>
        <v>4.7217849635186409E-4</v>
      </c>
      <c r="O233" s="3">
        <f t="shared" si="194"/>
        <v>4.7217849635186409E-4</v>
      </c>
      <c r="P233" s="3">
        <f t="shared" si="194"/>
        <v>4.7217849635186409E-4</v>
      </c>
      <c r="Q233" s="3">
        <f t="shared" si="194"/>
        <v>4.7217849635186409E-4</v>
      </c>
      <c r="R233" s="3">
        <f t="shared" si="194"/>
        <v>4.7217849635186403E-4</v>
      </c>
      <c r="S233" s="3">
        <f t="shared" si="194"/>
        <v>4.7217849635186371E-4</v>
      </c>
      <c r="T233" s="3">
        <f t="shared" si="194"/>
        <v>4.7217849635186062E-4</v>
      </c>
      <c r="U233" s="3">
        <f t="shared" si="194"/>
        <v>4.7217849635182939E-4</v>
      </c>
      <c r="V233" s="3">
        <f t="shared" si="194"/>
        <v>4.7217849635151676E-4</v>
      </c>
      <c r="W233" s="3">
        <f t="shared" si="194"/>
        <v>4.7217849634839139E-4</v>
      </c>
      <c r="X233" s="3">
        <f t="shared" si="194"/>
        <v>4.7217849631713666E-4</v>
      </c>
      <c r="Y233" s="3">
        <f t="shared" si="194"/>
        <v>4.721784960045898E-4</v>
      </c>
      <c r="Z233" s="3">
        <f t="shared" si="194"/>
        <v>4.7217849287912111E-4</v>
      </c>
      <c r="AA233" s="3">
        <f t="shared" si="194"/>
        <v>4.7217846162443542E-4</v>
      </c>
      <c r="AB233" s="3">
        <f t="shared" si="194"/>
        <v>4.7217814907769205E-4</v>
      </c>
      <c r="AC233" s="3">
        <f t="shared" si="194"/>
        <v>4.7217502362163706E-4</v>
      </c>
      <c r="AD233" s="3">
        <f t="shared" si="194"/>
        <v>4.721437701989109E-4</v>
      </c>
      <c r="AE233" s="3">
        <f t="shared" si="194"/>
        <v>4.7183134972615724E-4</v>
      </c>
      <c r="AF233" s="3">
        <f t="shared" si="194"/>
        <v>4.6871849263877794E-4</v>
      </c>
      <c r="AG233" s="3"/>
      <c r="AH233" s="3"/>
    </row>
    <row r="234" spans="2:34" x14ac:dyDescent="0.25">
      <c r="B234" s="3">
        <f t="shared" ref="B234:AF234" si="195">$C42*EXP(-B$207/$A42/EXP(-$D$126))</f>
        <v>3.9532606595692786E-3</v>
      </c>
      <c r="C234" s="3">
        <f t="shared" si="195"/>
        <v>3.9532606595692786E-3</v>
      </c>
      <c r="D234" s="3">
        <f t="shared" si="195"/>
        <v>3.9532606595692786E-3</v>
      </c>
      <c r="E234" s="3">
        <f t="shared" si="195"/>
        <v>3.9532606595692786E-3</v>
      </c>
      <c r="F234" s="3">
        <f t="shared" si="195"/>
        <v>3.9532606595692786E-3</v>
      </c>
      <c r="G234" s="3">
        <f t="shared" si="195"/>
        <v>3.9532606595692786E-3</v>
      </c>
      <c r="H234" s="3">
        <f t="shared" si="195"/>
        <v>3.9532606595692786E-3</v>
      </c>
      <c r="I234" s="3">
        <f t="shared" si="195"/>
        <v>3.9532606595692786E-3</v>
      </c>
      <c r="J234" s="3">
        <f t="shared" si="195"/>
        <v>3.9532606595692786E-3</v>
      </c>
      <c r="K234" s="3">
        <f t="shared" si="195"/>
        <v>3.9532606595692786E-3</v>
      </c>
      <c r="L234" s="3">
        <f t="shared" si="195"/>
        <v>3.9532606595692786E-3</v>
      </c>
      <c r="M234" s="3">
        <f t="shared" si="195"/>
        <v>3.9532606595692786E-3</v>
      </c>
      <c r="N234" s="3">
        <f t="shared" si="195"/>
        <v>3.9532606595692786E-3</v>
      </c>
      <c r="O234" s="3">
        <f t="shared" si="195"/>
        <v>3.9532606595692786E-3</v>
      </c>
      <c r="P234" s="3">
        <f t="shared" si="195"/>
        <v>3.9532606595692786E-3</v>
      </c>
      <c r="Q234" s="3">
        <f t="shared" si="195"/>
        <v>3.9532606595692786E-3</v>
      </c>
      <c r="R234" s="3">
        <f t="shared" si="195"/>
        <v>3.9532606595692786E-3</v>
      </c>
      <c r="S234" s="3">
        <f t="shared" si="195"/>
        <v>3.9532606595692778E-3</v>
      </c>
      <c r="T234" s="3">
        <f t="shared" si="195"/>
        <v>3.9532606595692752E-3</v>
      </c>
      <c r="U234" s="3">
        <f t="shared" si="195"/>
        <v>3.95326065956925E-3</v>
      </c>
      <c r="V234" s="3">
        <f t="shared" si="195"/>
        <v>3.9532606595689881E-3</v>
      </c>
      <c r="W234" s="3">
        <f t="shared" si="195"/>
        <v>3.9532606595663712E-3</v>
      </c>
      <c r="X234" s="3">
        <f t="shared" si="195"/>
        <v>3.9532606595402038E-3</v>
      </c>
      <c r="Y234" s="3">
        <f t="shared" si="195"/>
        <v>3.9532606592785268E-3</v>
      </c>
      <c r="Z234" s="3">
        <f t="shared" si="195"/>
        <v>3.9532606566617641E-3</v>
      </c>
      <c r="AA234" s="3">
        <f t="shared" si="195"/>
        <v>3.9532606304941336E-3</v>
      </c>
      <c r="AB234" s="3">
        <f t="shared" si="195"/>
        <v>3.9532603688178392E-3</v>
      </c>
      <c r="AC234" s="3">
        <f t="shared" si="195"/>
        <v>3.9532577520558429E-3</v>
      </c>
      <c r="AD234" s="3">
        <f t="shared" si="195"/>
        <v>3.9532315845311437E-3</v>
      </c>
      <c r="AE234" s="3">
        <f t="shared" si="195"/>
        <v>3.952969918810458E-3</v>
      </c>
      <c r="AF234" s="3">
        <f t="shared" si="195"/>
        <v>3.9503542140002573E-3</v>
      </c>
      <c r="AG234" s="3"/>
      <c r="AH234" s="3"/>
    </row>
    <row r="235" spans="2:34" x14ac:dyDescent="0.25">
      <c r="B235" s="3">
        <f t="shared" ref="B235:AF235" si="196">$C43*EXP(-B$207/$A43/EXP(-$D$126))</f>
        <v>4.2057154474780992E-7</v>
      </c>
      <c r="C235" s="3">
        <f t="shared" si="196"/>
        <v>4.2057154474780992E-7</v>
      </c>
      <c r="D235" s="3">
        <f t="shared" si="196"/>
        <v>4.2057154474780992E-7</v>
      </c>
      <c r="E235" s="3">
        <f t="shared" si="196"/>
        <v>4.2057154474780992E-7</v>
      </c>
      <c r="F235" s="3">
        <f t="shared" si="196"/>
        <v>4.2057154474780992E-7</v>
      </c>
      <c r="G235" s="3">
        <f t="shared" si="196"/>
        <v>4.2057154474780992E-7</v>
      </c>
      <c r="H235" s="3">
        <f t="shared" si="196"/>
        <v>4.2057154474780992E-7</v>
      </c>
      <c r="I235" s="3">
        <f t="shared" si="196"/>
        <v>4.2057154474780992E-7</v>
      </c>
      <c r="J235" s="3">
        <f t="shared" si="196"/>
        <v>4.2057154474780992E-7</v>
      </c>
      <c r="K235" s="3">
        <f t="shared" si="196"/>
        <v>4.2057154474780992E-7</v>
      </c>
      <c r="L235" s="3">
        <f t="shared" si="196"/>
        <v>4.2057154474780992E-7</v>
      </c>
      <c r="M235" s="3">
        <f t="shared" si="196"/>
        <v>4.2057154474780992E-7</v>
      </c>
      <c r="N235" s="3">
        <f t="shared" si="196"/>
        <v>4.2057154474780992E-7</v>
      </c>
      <c r="O235" s="3">
        <f t="shared" si="196"/>
        <v>4.2057154474780992E-7</v>
      </c>
      <c r="P235" s="3">
        <f t="shared" si="196"/>
        <v>4.2057154474780992E-7</v>
      </c>
      <c r="Q235" s="3">
        <f t="shared" si="196"/>
        <v>4.2057154474780992E-7</v>
      </c>
      <c r="R235" s="3">
        <f t="shared" si="196"/>
        <v>4.2057154474780992E-7</v>
      </c>
      <c r="S235" s="3">
        <f t="shared" si="196"/>
        <v>4.2057154474780992E-7</v>
      </c>
      <c r="T235" s="3">
        <f t="shared" si="196"/>
        <v>4.2057154474780987E-7</v>
      </c>
      <c r="U235" s="3">
        <f t="shared" si="196"/>
        <v>4.205715447478096E-7</v>
      </c>
      <c r="V235" s="3">
        <f t="shared" si="196"/>
        <v>4.2057154474780685E-7</v>
      </c>
      <c r="W235" s="3">
        <f t="shared" si="196"/>
        <v>4.2057154474777901E-7</v>
      </c>
      <c r="X235" s="3">
        <f t="shared" si="196"/>
        <v>4.205715447475006E-7</v>
      </c>
      <c r="Y235" s="3">
        <f t="shared" si="196"/>
        <v>4.2057154474471677E-7</v>
      </c>
      <c r="Z235" s="3">
        <f t="shared" si="196"/>
        <v>4.2057154471687803E-7</v>
      </c>
      <c r="AA235" s="3">
        <f t="shared" si="196"/>
        <v>4.2057154443849112E-7</v>
      </c>
      <c r="AB235" s="3">
        <f t="shared" si="196"/>
        <v>4.2057154165462189E-7</v>
      </c>
      <c r="AC235" s="3">
        <f t="shared" si="196"/>
        <v>4.2057151381593048E-7</v>
      </c>
      <c r="AD235" s="3">
        <f t="shared" si="196"/>
        <v>4.2057123542911768E-7</v>
      </c>
      <c r="AE235" s="3">
        <f t="shared" si="196"/>
        <v>4.2056845157112494E-7</v>
      </c>
      <c r="AF235" s="3">
        <f t="shared" si="196"/>
        <v>4.2054061400466195E-7</v>
      </c>
      <c r="AG235" s="3"/>
      <c r="AH235" s="3"/>
    </row>
    <row r="236" spans="2:34" x14ac:dyDescent="0.25">
      <c r="B236" s="3">
        <f t="shared" ref="B236:AF236" si="197">$C44*EXP(-B$207/$A44/EXP(-$D$126))</f>
        <v>1.8675724725031384E-5</v>
      </c>
      <c r="C236" s="3">
        <f t="shared" si="197"/>
        <v>1.8675724725031384E-5</v>
      </c>
      <c r="D236" s="3">
        <f t="shared" si="197"/>
        <v>1.8675724725031384E-5</v>
      </c>
      <c r="E236" s="3">
        <f t="shared" si="197"/>
        <v>1.8675724725031384E-5</v>
      </c>
      <c r="F236" s="3">
        <f t="shared" si="197"/>
        <v>1.8675724725031384E-5</v>
      </c>
      <c r="G236" s="3">
        <f t="shared" si="197"/>
        <v>1.8675724725031384E-5</v>
      </c>
      <c r="H236" s="3">
        <f t="shared" si="197"/>
        <v>1.8675724725031384E-5</v>
      </c>
      <c r="I236" s="3">
        <f t="shared" si="197"/>
        <v>1.8675724725031384E-5</v>
      </c>
      <c r="J236" s="3">
        <f t="shared" si="197"/>
        <v>1.8675724725031384E-5</v>
      </c>
      <c r="K236" s="3">
        <f t="shared" si="197"/>
        <v>1.8675724725031384E-5</v>
      </c>
      <c r="L236" s="3">
        <f t="shared" si="197"/>
        <v>1.8675724725031384E-5</v>
      </c>
      <c r="M236" s="3">
        <f t="shared" si="197"/>
        <v>1.8675724725031384E-5</v>
      </c>
      <c r="N236" s="3">
        <f t="shared" si="197"/>
        <v>1.8675724725031384E-5</v>
      </c>
      <c r="O236" s="3">
        <f t="shared" si="197"/>
        <v>1.8675724725031384E-5</v>
      </c>
      <c r="P236" s="3">
        <f t="shared" si="197"/>
        <v>1.8675724725031384E-5</v>
      </c>
      <c r="Q236" s="3">
        <f t="shared" si="197"/>
        <v>1.8675724725031384E-5</v>
      </c>
      <c r="R236" s="3">
        <f t="shared" si="197"/>
        <v>1.8675724725031384E-5</v>
      </c>
      <c r="S236" s="3">
        <f t="shared" si="197"/>
        <v>1.8675724725031384E-5</v>
      </c>
      <c r="T236" s="3">
        <f t="shared" si="197"/>
        <v>1.8675724725031384E-5</v>
      </c>
      <c r="U236" s="3">
        <f t="shared" si="197"/>
        <v>1.867572472503138E-5</v>
      </c>
      <c r="V236" s="3">
        <f t="shared" si="197"/>
        <v>1.867572472503137E-5</v>
      </c>
      <c r="W236" s="3">
        <f t="shared" si="197"/>
        <v>1.8675724725031248E-5</v>
      </c>
      <c r="X236" s="3">
        <f t="shared" si="197"/>
        <v>1.8675724725030012E-5</v>
      </c>
      <c r="Y236" s="3">
        <f t="shared" si="197"/>
        <v>1.8675724725017648E-5</v>
      </c>
      <c r="Z236" s="3">
        <f t="shared" si="197"/>
        <v>1.8675724724894029E-5</v>
      </c>
      <c r="AA236" s="3">
        <f t="shared" si="197"/>
        <v>1.8675724723657835E-5</v>
      </c>
      <c r="AB236" s="3">
        <f t="shared" si="197"/>
        <v>1.8675724711295901E-5</v>
      </c>
      <c r="AC236" s="3">
        <f t="shared" si="197"/>
        <v>1.8675724587676565E-5</v>
      </c>
      <c r="AD236" s="3">
        <f t="shared" si="197"/>
        <v>1.8675723351483238E-5</v>
      </c>
      <c r="AE236" s="3">
        <f t="shared" si="197"/>
        <v>1.8675710989554459E-5</v>
      </c>
      <c r="AF236" s="3">
        <f t="shared" si="197"/>
        <v>1.8675587370716725E-5</v>
      </c>
      <c r="AG236" s="3"/>
      <c r="AH236" s="3"/>
    </row>
    <row r="237" spans="2:34" x14ac:dyDescent="0.25">
      <c r="B237" s="3">
        <f t="shared" ref="B237:AF237" si="198">$C45*EXP(-B$207/$A45/EXP(-$D$126))</f>
        <v>6.5581020384023116E-8</v>
      </c>
      <c r="C237" s="3">
        <f t="shared" si="198"/>
        <v>6.5581020384023116E-8</v>
      </c>
      <c r="D237" s="3">
        <f t="shared" si="198"/>
        <v>6.5581020384023116E-8</v>
      </c>
      <c r="E237" s="3">
        <f t="shared" si="198"/>
        <v>6.5581020384023116E-8</v>
      </c>
      <c r="F237" s="3">
        <f t="shared" si="198"/>
        <v>6.5581020384023116E-8</v>
      </c>
      <c r="G237" s="3">
        <f t="shared" si="198"/>
        <v>6.5581020384023116E-8</v>
      </c>
      <c r="H237" s="3">
        <f t="shared" si="198"/>
        <v>6.5581020384023116E-8</v>
      </c>
      <c r="I237" s="3">
        <f t="shared" si="198"/>
        <v>6.5581020384023116E-8</v>
      </c>
      <c r="J237" s="3">
        <f t="shared" si="198"/>
        <v>6.5581020384023116E-8</v>
      </c>
      <c r="K237" s="3">
        <f t="shared" si="198"/>
        <v>6.5581020384023116E-8</v>
      </c>
      <c r="L237" s="3">
        <f t="shared" si="198"/>
        <v>6.5581020384023116E-8</v>
      </c>
      <c r="M237" s="3">
        <f t="shared" si="198"/>
        <v>6.5581020384023116E-8</v>
      </c>
      <c r="N237" s="3">
        <f t="shared" si="198"/>
        <v>6.5581020384023116E-8</v>
      </c>
      <c r="O237" s="3">
        <f t="shared" si="198"/>
        <v>6.5581020384023116E-8</v>
      </c>
      <c r="P237" s="3">
        <f t="shared" si="198"/>
        <v>6.5581020384023116E-8</v>
      </c>
      <c r="Q237" s="3">
        <f t="shared" si="198"/>
        <v>6.5581020384023116E-8</v>
      </c>
      <c r="R237" s="3">
        <f t="shared" si="198"/>
        <v>6.5581020384023116E-8</v>
      </c>
      <c r="S237" s="3">
        <f t="shared" si="198"/>
        <v>6.5581020384023116E-8</v>
      </c>
      <c r="T237" s="3">
        <f t="shared" si="198"/>
        <v>6.5581020384023116E-8</v>
      </c>
      <c r="U237" s="3">
        <f t="shared" si="198"/>
        <v>6.5581020384023116E-8</v>
      </c>
      <c r="V237" s="3">
        <f t="shared" si="198"/>
        <v>6.5581020384023102E-8</v>
      </c>
      <c r="W237" s="3">
        <f t="shared" si="198"/>
        <v>6.5581020384023063E-8</v>
      </c>
      <c r="X237" s="3">
        <f t="shared" si="198"/>
        <v>6.5581020384022639E-8</v>
      </c>
      <c r="Y237" s="3">
        <f t="shared" si="198"/>
        <v>6.5581020384018298E-8</v>
      </c>
      <c r="Z237" s="3">
        <f t="shared" si="198"/>
        <v>6.5581020383974874E-8</v>
      </c>
      <c r="AA237" s="3">
        <f t="shared" si="198"/>
        <v>6.5581020383540783E-8</v>
      </c>
      <c r="AB237" s="3">
        <f t="shared" si="198"/>
        <v>6.5581020379199806E-8</v>
      </c>
      <c r="AC237" s="3">
        <f t="shared" si="198"/>
        <v>6.5581020335790082E-8</v>
      </c>
      <c r="AD237" s="3">
        <f t="shared" si="198"/>
        <v>6.558101990169275E-8</v>
      </c>
      <c r="AE237" s="3">
        <f t="shared" si="198"/>
        <v>6.5581015560719583E-8</v>
      </c>
      <c r="AF237" s="3">
        <f t="shared" si="198"/>
        <v>6.5580972151003754E-8</v>
      </c>
      <c r="AG237" s="3"/>
      <c r="AH237" s="3"/>
    </row>
    <row r="238" spans="2:34" x14ac:dyDescent="0.25">
      <c r="B238" s="3">
        <f t="shared" ref="B238:AF238" si="199">$C46*EXP(-B$207/$A46/EXP(-$D$126))</f>
        <v>7.3021852336235098E-8</v>
      </c>
      <c r="C238" s="3">
        <f t="shared" si="199"/>
        <v>7.3021852336235098E-8</v>
      </c>
      <c r="D238" s="3">
        <f t="shared" si="199"/>
        <v>7.3021852336235098E-8</v>
      </c>
      <c r="E238" s="3">
        <f t="shared" si="199"/>
        <v>7.3021852336235098E-8</v>
      </c>
      <c r="F238" s="3">
        <f t="shared" si="199"/>
        <v>7.3021852336235098E-8</v>
      </c>
      <c r="G238" s="3">
        <f t="shared" si="199"/>
        <v>7.3021852336235098E-8</v>
      </c>
      <c r="H238" s="3">
        <f t="shared" si="199"/>
        <v>7.3021852336235098E-8</v>
      </c>
      <c r="I238" s="3">
        <f t="shared" si="199"/>
        <v>7.3021852336235098E-8</v>
      </c>
      <c r="J238" s="3">
        <f t="shared" si="199"/>
        <v>7.3021852336235098E-8</v>
      </c>
      <c r="K238" s="3">
        <f t="shared" si="199"/>
        <v>7.3021852336235098E-8</v>
      </c>
      <c r="L238" s="3">
        <f t="shared" si="199"/>
        <v>7.3021852336235098E-8</v>
      </c>
      <c r="M238" s="3">
        <f t="shared" si="199"/>
        <v>7.3021852336235098E-8</v>
      </c>
      <c r="N238" s="3">
        <f t="shared" si="199"/>
        <v>7.3021852336235098E-8</v>
      </c>
      <c r="O238" s="3">
        <f t="shared" si="199"/>
        <v>7.3021852336235098E-8</v>
      </c>
      <c r="P238" s="3">
        <f t="shared" si="199"/>
        <v>7.3021852336235098E-8</v>
      </c>
      <c r="Q238" s="3">
        <f t="shared" si="199"/>
        <v>7.3021852336235098E-8</v>
      </c>
      <c r="R238" s="3">
        <f t="shared" si="199"/>
        <v>7.3021852336235098E-8</v>
      </c>
      <c r="S238" s="3">
        <f t="shared" si="199"/>
        <v>7.3021852336235098E-8</v>
      </c>
      <c r="T238" s="3">
        <f t="shared" si="199"/>
        <v>7.3021852336235098E-8</v>
      </c>
      <c r="U238" s="3">
        <f t="shared" si="199"/>
        <v>7.3021852336235098E-8</v>
      </c>
      <c r="V238" s="3">
        <f t="shared" si="199"/>
        <v>7.3021852336235098E-8</v>
      </c>
      <c r="W238" s="3">
        <f t="shared" si="199"/>
        <v>7.3021852336235085E-8</v>
      </c>
      <c r="X238" s="3">
        <f t="shared" si="199"/>
        <v>7.3021852336235045E-8</v>
      </c>
      <c r="Y238" s="3">
        <f t="shared" si="199"/>
        <v>7.3021852336234569E-8</v>
      </c>
      <c r="Z238" s="3">
        <f t="shared" si="199"/>
        <v>7.3021852336229725E-8</v>
      </c>
      <c r="AA238" s="3">
        <f t="shared" si="199"/>
        <v>7.3021852336181391E-8</v>
      </c>
      <c r="AB238" s="3">
        <f t="shared" si="199"/>
        <v>7.3021852335698053E-8</v>
      </c>
      <c r="AC238" s="3">
        <f t="shared" si="199"/>
        <v>7.3021852330864538E-8</v>
      </c>
      <c r="AD238" s="3">
        <f t="shared" si="199"/>
        <v>7.3021852282529543E-8</v>
      </c>
      <c r="AE238" s="3">
        <f t="shared" si="199"/>
        <v>7.3021851799179456E-8</v>
      </c>
      <c r="AF238" s="3">
        <f t="shared" si="199"/>
        <v>7.3021846965678865E-8</v>
      </c>
      <c r="AG238" s="3"/>
      <c r="AH238" s="3"/>
    </row>
    <row r="239" spans="2:34" x14ac:dyDescent="0.25">
      <c r="B239" s="3">
        <f t="shared" ref="B239:AF239" si="200">$C47*EXP(-B$207/$A47/EXP(-$D$126))</f>
        <v>1.1629614521313135E-6</v>
      </c>
      <c r="C239" s="3">
        <f t="shared" si="200"/>
        <v>1.1629614521313135E-6</v>
      </c>
      <c r="D239" s="3">
        <f t="shared" si="200"/>
        <v>1.1629614521313135E-6</v>
      </c>
      <c r="E239" s="3">
        <f t="shared" si="200"/>
        <v>1.1629614521313135E-6</v>
      </c>
      <c r="F239" s="3">
        <f t="shared" si="200"/>
        <v>1.1629614521313135E-6</v>
      </c>
      <c r="G239" s="3">
        <f t="shared" si="200"/>
        <v>1.1629614521313135E-6</v>
      </c>
      <c r="H239" s="3">
        <f t="shared" si="200"/>
        <v>1.1629614521313135E-6</v>
      </c>
      <c r="I239" s="3">
        <f t="shared" si="200"/>
        <v>1.1629614521313135E-6</v>
      </c>
      <c r="J239" s="3">
        <f t="shared" si="200"/>
        <v>1.1629614521313135E-6</v>
      </c>
      <c r="K239" s="3">
        <f t="shared" si="200"/>
        <v>1.1629614521313135E-6</v>
      </c>
      <c r="L239" s="3">
        <f t="shared" si="200"/>
        <v>1.1629614521313135E-6</v>
      </c>
      <c r="M239" s="3">
        <f t="shared" si="200"/>
        <v>1.1629614521313135E-6</v>
      </c>
      <c r="N239" s="3">
        <f t="shared" si="200"/>
        <v>1.1629614521313135E-6</v>
      </c>
      <c r="O239" s="3">
        <f t="shared" si="200"/>
        <v>1.1629614521313135E-6</v>
      </c>
      <c r="P239" s="3">
        <f t="shared" si="200"/>
        <v>1.1629614521313135E-6</v>
      </c>
      <c r="Q239" s="3">
        <f t="shared" si="200"/>
        <v>1.1629614521313135E-6</v>
      </c>
      <c r="R239" s="3">
        <f t="shared" si="200"/>
        <v>1.1629614521313135E-6</v>
      </c>
      <c r="S239" s="3">
        <f t="shared" si="200"/>
        <v>1.1629614521313135E-6</v>
      </c>
      <c r="T239" s="3">
        <f t="shared" si="200"/>
        <v>1.1629614521313135E-6</v>
      </c>
      <c r="U239" s="3">
        <f t="shared" si="200"/>
        <v>1.1629614521313135E-6</v>
      </c>
      <c r="V239" s="3">
        <f t="shared" si="200"/>
        <v>1.1629614521313135E-6</v>
      </c>
      <c r="W239" s="3">
        <f t="shared" si="200"/>
        <v>1.1629614521313135E-6</v>
      </c>
      <c r="X239" s="3">
        <f t="shared" si="200"/>
        <v>1.1629614521313132E-6</v>
      </c>
      <c r="Y239" s="3">
        <f t="shared" si="200"/>
        <v>1.1629614521313126E-6</v>
      </c>
      <c r="Z239" s="3">
        <f t="shared" si="200"/>
        <v>1.162961452131305E-6</v>
      </c>
      <c r="AA239" s="3">
        <f t="shared" si="200"/>
        <v>1.1629614521312279E-6</v>
      </c>
      <c r="AB239" s="3">
        <f t="shared" si="200"/>
        <v>1.1629614521304582E-6</v>
      </c>
      <c r="AC239" s="3">
        <f t="shared" si="200"/>
        <v>1.1629614521227603E-6</v>
      </c>
      <c r="AD239" s="3">
        <f t="shared" si="200"/>
        <v>1.1629614520457807E-6</v>
      </c>
      <c r="AE239" s="3">
        <f t="shared" si="200"/>
        <v>1.1629614512759874E-6</v>
      </c>
      <c r="AF239" s="3">
        <f t="shared" si="200"/>
        <v>1.1629614435780518E-6</v>
      </c>
      <c r="AG239" s="3"/>
      <c r="AH239" s="3"/>
    </row>
    <row r="240" spans="2:34" x14ac:dyDescent="0.25">
      <c r="B240" s="3">
        <f t="shared" ref="B240:AF240" si="201">$C48*EXP(-B$207/$A48/EXP(-$D$126))</f>
        <v>4.9365030271996854E-7</v>
      </c>
      <c r="C240" s="3">
        <f t="shared" si="201"/>
        <v>4.9365030271996854E-7</v>
      </c>
      <c r="D240" s="3">
        <f t="shared" si="201"/>
        <v>4.9365030271996854E-7</v>
      </c>
      <c r="E240" s="3">
        <f t="shared" si="201"/>
        <v>4.9365030271996854E-7</v>
      </c>
      <c r="F240" s="3">
        <f t="shared" si="201"/>
        <v>4.9365030271996854E-7</v>
      </c>
      <c r="G240" s="3">
        <f t="shared" si="201"/>
        <v>4.9365030271996854E-7</v>
      </c>
      <c r="H240" s="3">
        <f t="shared" si="201"/>
        <v>4.9365030271996854E-7</v>
      </c>
      <c r="I240" s="3">
        <f t="shared" si="201"/>
        <v>4.9365030271996854E-7</v>
      </c>
      <c r="J240" s="3">
        <f t="shared" si="201"/>
        <v>4.9365030271996854E-7</v>
      </c>
      <c r="K240" s="3">
        <f t="shared" si="201"/>
        <v>4.9365030271996854E-7</v>
      </c>
      <c r="L240" s="3">
        <f t="shared" si="201"/>
        <v>4.9365030271996854E-7</v>
      </c>
      <c r="M240" s="3">
        <f t="shared" si="201"/>
        <v>4.9365030271996854E-7</v>
      </c>
      <c r="N240" s="3">
        <f t="shared" si="201"/>
        <v>4.9365030271996854E-7</v>
      </c>
      <c r="O240" s="3">
        <f t="shared" si="201"/>
        <v>4.9365030271996854E-7</v>
      </c>
      <c r="P240" s="3">
        <f t="shared" si="201"/>
        <v>4.9365030271996854E-7</v>
      </c>
      <c r="Q240" s="3">
        <f t="shared" si="201"/>
        <v>4.9365030271996854E-7</v>
      </c>
      <c r="R240" s="3">
        <f t="shared" si="201"/>
        <v>4.9365030271996854E-7</v>
      </c>
      <c r="S240" s="3">
        <f t="shared" si="201"/>
        <v>4.9365030271996854E-7</v>
      </c>
      <c r="T240" s="3">
        <f t="shared" si="201"/>
        <v>4.9365030271996854E-7</v>
      </c>
      <c r="U240" s="3">
        <f t="shared" si="201"/>
        <v>4.9365030271996854E-7</v>
      </c>
      <c r="V240" s="3">
        <f t="shared" si="201"/>
        <v>4.9365030271996854E-7</v>
      </c>
      <c r="W240" s="3">
        <f t="shared" si="201"/>
        <v>4.9365030271996854E-7</v>
      </c>
      <c r="X240" s="3">
        <f t="shared" si="201"/>
        <v>4.9365030271996854E-7</v>
      </c>
      <c r="Y240" s="3">
        <f t="shared" si="201"/>
        <v>4.9365030271996844E-7</v>
      </c>
      <c r="Z240" s="3">
        <f t="shared" si="201"/>
        <v>4.9365030271996812E-7</v>
      </c>
      <c r="AA240" s="3">
        <f t="shared" si="201"/>
        <v>4.9365030271996494E-7</v>
      </c>
      <c r="AB240" s="3">
        <f t="shared" si="201"/>
        <v>4.9365030271993223E-7</v>
      </c>
      <c r="AC240" s="3">
        <f t="shared" si="201"/>
        <v>4.9365030271960548E-7</v>
      </c>
      <c r="AD240" s="3">
        <f t="shared" si="201"/>
        <v>4.9365030271633795E-7</v>
      </c>
      <c r="AE240" s="3">
        <f t="shared" si="201"/>
        <v>4.9365030268366196E-7</v>
      </c>
      <c r="AF240" s="3">
        <f t="shared" si="201"/>
        <v>4.9365030235690238E-7</v>
      </c>
      <c r="AG240" s="3"/>
      <c r="AH240" s="3"/>
    </row>
    <row r="241" spans="1:34" x14ac:dyDescent="0.25">
      <c r="A241" s="80">
        <f>AVERAGE(B241:AF241)</f>
        <v>2.7261488049108141E-3</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2.2671071386769805E-3</v>
      </c>
      <c r="M241" s="81">
        <f t="shared" si="202"/>
        <v>2.3167048237274779E-3</v>
      </c>
      <c r="N241" s="81">
        <f t="shared" si="202"/>
        <v>2.7795515742262229E-3</v>
      </c>
      <c r="O241" s="81">
        <f t="shared" si="202"/>
        <v>5.2461197649555178E-3</v>
      </c>
      <c r="P241" s="81">
        <f t="shared" si="202"/>
        <v>7.0061461490953008E-3</v>
      </c>
      <c r="Q241" s="81">
        <f t="shared" si="202"/>
        <v>8.3795597354289035E-3</v>
      </c>
      <c r="R241" s="81">
        <f t="shared" si="202"/>
        <v>9.2952716330246977E-3</v>
      </c>
      <c r="S241" s="81">
        <f t="shared" si="202"/>
        <v>9.3935892618428642E-3</v>
      </c>
      <c r="T241" s="81">
        <f t="shared" si="202"/>
        <v>2.8280548626916629E-3</v>
      </c>
      <c r="U241" s="81">
        <f t="shared" si="202"/>
        <v>1.0243400249740615E-2</v>
      </c>
      <c r="V241" s="81">
        <f t="shared" si="202"/>
        <v>2.4755107758824984E-2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6.9466166162685867E-5</v>
      </c>
      <c r="C242" s="21">
        <f t="shared" ref="C242:AF242" si="203">(C209-C208)^2</f>
        <v>1.7820329447417346E-2</v>
      </c>
      <c r="D242" s="21">
        <f t="shared" si="203"/>
        <v>0.9285244409517015</v>
      </c>
      <c r="E242" s="21">
        <f t="shared" si="203"/>
        <v>48.838181278370378</v>
      </c>
      <c r="F242" s="21">
        <f t="shared" si="203"/>
        <v>179.68118394240406</v>
      </c>
      <c r="G242" s="21">
        <f t="shared" si="203"/>
        <v>179.88962205016955</v>
      </c>
      <c r="H242" s="21">
        <f t="shared" si="203"/>
        <v>179.88760782025804</v>
      </c>
      <c r="I242" s="21">
        <f t="shared" si="203"/>
        <v>179.88256016330726</v>
      </c>
      <c r="J242" s="21">
        <f t="shared" si="203"/>
        <v>179.88922680028543</v>
      </c>
      <c r="K242" s="21">
        <f t="shared" si="203"/>
        <v>179.97099165356852</v>
      </c>
      <c r="L242" s="21">
        <f t="shared" si="203"/>
        <v>180.76311678731284</v>
      </c>
      <c r="M242" s="21">
        <f t="shared" si="203"/>
        <v>188.7438868558213</v>
      </c>
      <c r="N242" s="21">
        <f t="shared" si="203"/>
        <v>271.48201968240022</v>
      </c>
      <c r="O242" s="21">
        <f t="shared" si="203"/>
        <v>960.09460447060485</v>
      </c>
      <c r="P242" s="21">
        <f t="shared" si="203"/>
        <v>1644.0870426126714</v>
      </c>
      <c r="Q242" s="21">
        <f t="shared" si="203"/>
        <v>2238.1507452493297</v>
      </c>
      <c r="R242" s="21">
        <f t="shared" si="203"/>
        <v>2603.0096150787458</v>
      </c>
      <c r="S242" s="21">
        <f t="shared" si="203"/>
        <v>2474.5985297061361</v>
      </c>
      <c r="T242" s="21">
        <f t="shared" si="203"/>
        <v>204.98981263041861</v>
      </c>
      <c r="U242" s="21">
        <f t="shared" si="203"/>
        <v>2379.6336914662847</v>
      </c>
      <c r="V242" s="21">
        <f t="shared" si="203"/>
        <v>12020.689515058071</v>
      </c>
      <c r="W242" s="21">
        <f t="shared" si="203"/>
        <v>27021.791308888856</v>
      </c>
      <c r="X242" s="21">
        <f t="shared" si="203"/>
        <v>32944.86501593532</v>
      </c>
      <c r="Y242" s="21">
        <f t="shared" si="203"/>
        <v>33434.269541860078</v>
      </c>
      <c r="Z242" s="21">
        <f t="shared" si="203"/>
        <v>17019.612735818078</v>
      </c>
      <c r="AA242" s="21">
        <f t="shared" si="203"/>
        <v>1614.2422667467893</v>
      </c>
      <c r="AB242" s="21">
        <f t="shared" si="203"/>
        <v>1390.7474589269636</v>
      </c>
      <c r="AC242" s="21">
        <f t="shared" si="203"/>
        <v>10739.601568849333</v>
      </c>
      <c r="AD242" s="21">
        <f t="shared" si="203"/>
        <v>11101.831767346075</v>
      </c>
      <c r="AE242" s="21">
        <f t="shared" si="203"/>
        <v>6405.9788273389331</v>
      </c>
      <c r="AF242" s="21">
        <f t="shared" si="203"/>
        <v>1536.4633523614584</v>
      </c>
      <c r="AG242" s="3"/>
      <c r="AH242" s="3"/>
    </row>
    <row r="243" spans="1:34" x14ac:dyDescent="0.25">
      <c r="A243" s="72">
        <f>SUM(B243:AF243)</f>
        <v>25166.242579597798</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180.76311678731284</v>
      </c>
      <c r="M243" s="60">
        <f t="shared" ref="M243" si="214">IF($A$64&lt;=M207,IF($B$64&gt;=M207,ABS(M242),0),0)</f>
        <v>188.7438868558213</v>
      </c>
      <c r="N243" s="60">
        <f t="shared" ref="N243" si="215">IF($A$64&lt;=N207,IF($B$64&gt;=N207,ABS(N242),0),0)</f>
        <v>271.48201968240022</v>
      </c>
      <c r="O243" s="60">
        <f t="shared" ref="O243" si="216">IF($A$64&lt;=O207,IF($B$64&gt;=O207,ABS(O242),0),0)</f>
        <v>960.09460447060485</v>
      </c>
      <c r="P243" s="60">
        <f t="shared" ref="P243" si="217">IF($A$64&lt;=P207,IF($B$64&gt;=P207,ABS(P242),0),0)</f>
        <v>1644.0870426126714</v>
      </c>
      <c r="Q243" s="60">
        <f t="shared" ref="Q243" si="218">IF($A$64&lt;=Q207,IF($B$64&gt;=Q207,ABS(Q242),0),0)</f>
        <v>2238.1507452493297</v>
      </c>
      <c r="R243" s="60">
        <f t="shared" ref="R243" si="219">IF($A$64&lt;=R207,IF($B$64&gt;=R207,ABS(R242),0),0)</f>
        <v>2603.0096150787458</v>
      </c>
      <c r="S243" s="60">
        <f t="shared" ref="S243" si="220">IF($A$64&lt;=S207,IF($B$64&gt;=S207,ABS(S242),0),0)</f>
        <v>2474.5985297061361</v>
      </c>
      <c r="T243" s="60">
        <f t="shared" ref="T243" si="221">IF($A$64&lt;=T207,IF($B$64&gt;=T207,ABS(T242),0),0)</f>
        <v>204.98981263041861</v>
      </c>
      <c r="U243" s="60">
        <f t="shared" ref="U243" si="222">IF($A$64&lt;=U207,IF($B$64&gt;=U207,ABS(U242),0),0)</f>
        <v>2379.6336914662847</v>
      </c>
      <c r="V243" s="60">
        <f t="shared" ref="V243" si="223">IF($A$64&lt;=V207,IF($B$64&gt;=V207,ABS(V242),0),0)</f>
        <v>12020.689515058071</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5924.0661127892909</v>
      </c>
      <c r="C248" s="27">
        <f t="shared" ref="C248:AF248" si="234">($C$17+SUM(C249:C279))*$B$51</f>
        <v>5917.0209058957616</v>
      </c>
      <c r="D248" s="27">
        <f t="shared" si="234"/>
        <v>5916.9987249750075</v>
      </c>
      <c r="E248" s="27">
        <f t="shared" si="234"/>
        <v>5916.9987203607316</v>
      </c>
      <c r="F248" s="27">
        <f t="shared" si="234"/>
        <v>5916.9986742179844</v>
      </c>
      <c r="G248" s="27">
        <f t="shared" si="234"/>
        <v>5916.9982127922285</v>
      </c>
      <c r="H248" s="27">
        <f t="shared" si="234"/>
        <v>5916.993598706119</v>
      </c>
      <c r="I248" s="27">
        <f t="shared" si="234"/>
        <v>5916.9474749833753</v>
      </c>
      <c r="J248" s="27">
        <f t="shared" si="234"/>
        <v>5916.4879450843364</v>
      </c>
      <c r="K248" s="27">
        <f t="shared" si="234"/>
        <v>5912.0570627641673</v>
      </c>
      <c r="L248" s="27">
        <f t="shared" si="234"/>
        <v>5879.3966596200744</v>
      </c>
      <c r="M248" s="27">
        <f t="shared" si="234"/>
        <v>5757.9702096643741</v>
      </c>
      <c r="N248" s="27">
        <f t="shared" si="234"/>
        <v>5607.9584252639324</v>
      </c>
      <c r="O248" s="27">
        <f t="shared" si="234"/>
        <v>5449.4451600736475</v>
      </c>
      <c r="P248" s="27">
        <f t="shared" si="234"/>
        <v>5259.0416399551814</v>
      </c>
      <c r="Q248" s="27">
        <f t="shared" si="234"/>
        <v>5060.4659149176159</v>
      </c>
      <c r="R248" s="27">
        <f t="shared" si="234"/>
        <v>4828.2857308104276</v>
      </c>
      <c r="S248" s="27">
        <f t="shared" si="234"/>
        <v>4553.1347472537818</v>
      </c>
      <c r="T248" s="27">
        <f t="shared" si="234"/>
        <v>4291.7682565724117</v>
      </c>
      <c r="U248" s="27">
        <f t="shared" si="234"/>
        <v>4010.7687383424241</v>
      </c>
      <c r="V248" s="27">
        <f t="shared" si="234"/>
        <v>3717.996802965004</v>
      </c>
      <c r="W248" s="27">
        <f t="shared" si="234"/>
        <v>3349.4950940756048</v>
      </c>
      <c r="X248" s="27">
        <f t="shared" si="234"/>
        <v>2858.8609741915043</v>
      </c>
      <c r="Y248" s="27">
        <f t="shared" si="234"/>
        <v>2305.9279020635427</v>
      </c>
      <c r="Z248" s="27">
        <f t="shared" si="234"/>
        <v>1690.7526108992749</v>
      </c>
      <c r="AA248" s="27">
        <f t="shared" si="234"/>
        <v>1089.2631310755207</v>
      </c>
      <c r="AB248" s="27">
        <f t="shared" si="234"/>
        <v>632.80248963421832</v>
      </c>
      <c r="AC248" s="27">
        <f t="shared" si="234"/>
        <v>370.61457230122215</v>
      </c>
      <c r="AD248" s="27">
        <f t="shared" si="234"/>
        <v>204.82571962923393</v>
      </c>
      <c r="AE248" s="27">
        <f t="shared" si="234"/>
        <v>147.71331901654605</v>
      </c>
      <c r="AF248" s="27">
        <f t="shared" si="234"/>
        <v>136.43677639608731</v>
      </c>
      <c r="AG248" s="27"/>
      <c r="AH248" s="27"/>
    </row>
    <row r="249" spans="1:34" x14ac:dyDescent="0.25">
      <c r="B249" s="3">
        <f t="shared" ref="B249:AF249" si="235">$C18*EXP(-B$246/$A18/EXP(-$E$126))</f>
        <v>1.191720270491359E-3</v>
      </c>
      <c r="C249" s="3">
        <f t="shared" si="235"/>
        <v>3.7401237318600448E-6</v>
      </c>
      <c r="D249" s="3">
        <f t="shared" si="235"/>
        <v>3.4673876956051129E-31</v>
      </c>
      <c r="E249" s="3">
        <f t="shared" si="235"/>
        <v>1.6261729845360233E-281</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4.2263320666299647E-3</v>
      </c>
      <c r="C253" s="3">
        <f t="shared" si="239"/>
        <v>4.2263320620492643E-3</v>
      </c>
      <c r="D253" s="3">
        <f t="shared" si="239"/>
        <v>4.2263320162422629E-3</v>
      </c>
      <c r="E253" s="3">
        <f t="shared" si="239"/>
        <v>4.2263315581722739E-3</v>
      </c>
      <c r="F253" s="3">
        <f t="shared" si="239"/>
        <v>4.2263269774751111E-3</v>
      </c>
      <c r="G253" s="3">
        <f t="shared" si="239"/>
        <v>4.2262811707765484E-3</v>
      </c>
      <c r="H253" s="3">
        <f t="shared" si="239"/>
        <v>4.2258231310959996E-3</v>
      </c>
      <c r="I253" s="3">
        <f t="shared" si="239"/>
        <v>4.2212454637038585E-3</v>
      </c>
      <c r="J253" s="3">
        <f t="shared" si="239"/>
        <v>4.1757406397242682E-3</v>
      </c>
      <c r="K253" s="3">
        <f t="shared" si="239"/>
        <v>3.7468181014899396E-3</v>
      </c>
      <c r="L253" s="3">
        <f t="shared" si="239"/>
        <v>1.2675162738709047E-3</v>
      </c>
      <c r="M253" s="3">
        <f t="shared" si="239"/>
        <v>2.4880716754083067E-8</v>
      </c>
      <c r="N253" s="3">
        <f t="shared" si="239"/>
        <v>2.1132764764168624E-55</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3.0334384971172246E-2</v>
      </c>
      <c r="C254" s="3">
        <f t="shared" si="240"/>
        <v>3.0334384968206389E-2</v>
      </c>
      <c r="D254" s="3">
        <f t="shared" si="240"/>
        <v>3.0334384938547829E-2</v>
      </c>
      <c r="E254" s="3">
        <f t="shared" si="240"/>
        <v>3.033438464196225E-2</v>
      </c>
      <c r="F254" s="3">
        <f t="shared" si="240"/>
        <v>3.0334381676106595E-2</v>
      </c>
      <c r="G254" s="3">
        <f t="shared" si="240"/>
        <v>3.0334352017565996E-2</v>
      </c>
      <c r="H254" s="3">
        <f t="shared" si="240"/>
        <v>3.0334055433754913E-2</v>
      </c>
      <c r="I254" s="3">
        <f t="shared" si="240"/>
        <v>3.0331089755125471E-2</v>
      </c>
      <c r="J254" s="3">
        <f t="shared" si="240"/>
        <v>3.0301448911205887E-2</v>
      </c>
      <c r="K254" s="3">
        <f t="shared" si="240"/>
        <v>3.0006628957283746E-2</v>
      </c>
      <c r="L254" s="3">
        <f t="shared" si="240"/>
        <v>2.7211678702546187E-2</v>
      </c>
      <c r="M254" s="3">
        <f t="shared" si="240"/>
        <v>1.0236148977043785E-2</v>
      </c>
      <c r="N254" s="3">
        <f t="shared" si="240"/>
        <v>5.8069653323592412E-7</v>
      </c>
      <c r="O254" s="3">
        <f t="shared" si="240"/>
        <v>2.0048209242891617E-49</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2.3501586958627838E-2</v>
      </c>
      <c r="C255" s="3">
        <f t="shared" si="241"/>
        <v>2.3501586958420556E-2</v>
      </c>
      <c r="D255" s="3">
        <f t="shared" si="241"/>
        <v>2.3501586956347752E-2</v>
      </c>
      <c r="E255" s="3">
        <f t="shared" si="241"/>
        <v>2.3501586935619691E-2</v>
      </c>
      <c r="F255" s="3">
        <f t="shared" si="241"/>
        <v>2.3501586728339109E-2</v>
      </c>
      <c r="G255" s="3">
        <f t="shared" si="241"/>
        <v>2.3501584655533387E-2</v>
      </c>
      <c r="H255" s="3">
        <f t="shared" si="241"/>
        <v>2.3501563927486209E-2</v>
      </c>
      <c r="I255" s="3">
        <f t="shared" si="241"/>
        <v>2.350135664801992E-2</v>
      </c>
      <c r="J255" s="3">
        <f t="shared" si="241"/>
        <v>2.3499283953903525E-2</v>
      </c>
      <c r="K255" s="3">
        <f t="shared" si="241"/>
        <v>2.347856706411015E-2</v>
      </c>
      <c r="L255" s="3">
        <f t="shared" si="241"/>
        <v>2.3272400030843868E-2</v>
      </c>
      <c r="M255" s="3">
        <f t="shared" si="241"/>
        <v>2.1307722439391132E-2</v>
      </c>
      <c r="N255" s="3">
        <f t="shared" si="241"/>
        <v>8.8205487730498248E-3</v>
      </c>
      <c r="O255" s="3">
        <f t="shared" si="241"/>
        <v>1.3034109164579249E-6</v>
      </c>
      <c r="P255" s="3">
        <f t="shared" si="241"/>
        <v>6.4705148299893718E-45</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3.0161245732587279E-2</v>
      </c>
      <c r="C256" s="3">
        <f t="shared" si="242"/>
        <v>3.0161245732563277E-2</v>
      </c>
      <c r="D256" s="3">
        <f t="shared" si="242"/>
        <v>3.0161245732323309E-2</v>
      </c>
      <c r="E256" s="3">
        <f t="shared" si="242"/>
        <v>3.0161245729923607E-2</v>
      </c>
      <c r="F256" s="3">
        <f t="shared" si="242"/>
        <v>3.0161245705926588E-2</v>
      </c>
      <c r="G256" s="3">
        <f t="shared" si="242"/>
        <v>3.0161245465956398E-2</v>
      </c>
      <c r="H256" s="3">
        <f t="shared" si="242"/>
        <v>3.0161243066254596E-2</v>
      </c>
      <c r="I256" s="3">
        <f t="shared" si="242"/>
        <v>3.0161219069247049E-2</v>
      </c>
      <c r="J256" s="3">
        <f t="shared" si="242"/>
        <v>3.0160979100221693E-2</v>
      </c>
      <c r="K256" s="3">
        <f t="shared" si="242"/>
        <v>3.0158579514974072E-2</v>
      </c>
      <c r="L256" s="3">
        <f t="shared" si="242"/>
        <v>3.0134594159999931E-2</v>
      </c>
      <c r="M256" s="3">
        <f t="shared" si="242"/>
        <v>2.9895787276764143E-2</v>
      </c>
      <c r="N256" s="3">
        <f t="shared" si="242"/>
        <v>2.7609368386041607E-2</v>
      </c>
      <c r="O256" s="3">
        <f t="shared" si="242"/>
        <v>1.2460091742483607E-2</v>
      </c>
      <c r="P256" s="3">
        <f t="shared" si="242"/>
        <v>4.3668565448462414E-6</v>
      </c>
      <c r="Q256" s="3">
        <f t="shared" si="242"/>
        <v>1.2208035319169559E-40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3.6781885068377422E-2</v>
      </c>
      <c r="C257" s="3">
        <f t="shared" si="243"/>
        <v>3.6781885068374778E-2</v>
      </c>
      <c r="D257" s="3">
        <f t="shared" si="243"/>
        <v>3.6781885068348383E-2</v>
      </c>
      <c r="E257" s="3">
        <f t="shared" si="243"/>
        <v>3.6781885068084393E-2</v>
      </c>
      <c r="F257" s="3">
        <f t="shared" si="243"/>
        <v>3.6781885065444483E-2</v>
      </c>
      <c r="G257" s="3">
        <f t="shared" si="243"/>
        <v>3.6781885039045413E-2</v>
      </c>
      <c r="H257" s="3">
        <f t="shared" si="243"/>
        <v>3.6781884775054736E-2</v>
      </c>
      <c r="I257" s="3">
        <f t="shared" si="243"/>
        <v>3.6781882135148034E-2</v>
      </c>
      <c r="J257" s="3">
        <f t="shared" si="243"/>
        <v>3.6781855736091398E-2</v>
      </c>
      <c r="K257" s="3">
        <f t="shared" si="243"/>
        <v>3.6781591746567151E-2</v>
      </c>
      <c r="L257" s="3">
        <f t="shared" si="243"/>
        <v>3.6778951955530784E-2</v>
      </c>
      <c r="M257" s="3">
        <f t="shared" si="243"/>
        <v>3.6752564463009105E-2</v>
      </c>
      <c r="N257" s="3">
        <f t="shared" si="243"/>
        <v>3.6489728560771956E-2</v>
      </c>
      <c r="O257" s="3">
        <f t="shared" si="243"/>
        <v>3.3962564819120349E-2</v>
      </c>
      <c r="P257" s="3">
        <f t="shared" si="243"/>
        <v>1.656910139930954E-2</v>
      </c>
      <c r="Q257" s="3">
        <f t="shared" si="243"/>
        <v>1.2655628276385634E-5</v>
      </c>
      <c r="R257" s="3">
        <f t="shared" si="243"/>
        <v>8.5532517386243809E-37</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3.0958488235130519E-2</v>
      </c>
      <c r="C258" s="3">
        <f t="shared" si="244"/>
        <v>3.0958488235130317E-2</v>
      </c>
      <c r="D258" s="3">
        <f t="shared" si="244"/>
        <v>3.0958488235128312E-2</v>
      </c>
      <c r="E258" s="3">
        <f t="shared" si="244"/>
        <v>3.0958488235108265E-2</v>
      </c>
      <c r="F258" s="3">
        <f t="shared" si="244"/>
        <v>3.0958488234907829E-2</v>
      </c>
      <c r="G258" s="3">
        <f t="shared" si="244"/>
        <v>3.0958488232903446E-2</v>
      </c>
      <c r="H258" s="3">
        <f t="shared" si="244"/>
        <v>3.0958488212859604E-2</v>
      </c>
      <c r="I258" s="3">
        <f t="shared" si="244"/>
        <v>3.0958488012421195E-2</v>
      </c>
      <c r="J258" s="3">
        <f t="shared" si="244"/>
        <v>3.0958486008037162E-2</v>
      </c>
      <c r="K258" s="3">
        <f t="shared" si="244"/>
        <v>3.0958465964203995E-2</v>
      </c>
      <c r="L258" s="3">
        <f t="shared" si="244"/>
        <v>3.0958265526586055E-2</v>
      </c>
      <c r="M258" s="3">
        <f t="shared" si="244"/>
        <v>3.0956261221779555E-2</v>
      </c>
      <c r="N258" s="3">
        <f t="shared" si="244"/>
        <v>3.093622530929414E-2</v>
      </c>
      <c r="O258" s="3">
        <f t="shared" si="244"/>
        <v>3.0736578036002635E-2</v>
      </c>
      <c r="P258" s="3">
        <f t="shared" si="244"/>
        <v>2.8809614322418672E-2</v>
      </c>
      <c r="Q258" s="3">
        <f t="shared" si="244"/>
        <v>1.5078451316961382E-2</v>
      </c>
      <c r="R258" s="3">
        <f t="shared" si="244"/>
        <v>2.3256784889557393E-5</v>
      </c>
      <c r="S258" s="3">
        <f t="shared" si="244"/>
        <v>1.7720625762109477E-33</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5.2155951905646966E-2</v>
      </c>
      <c r="C259" s="3">
        <f t="shared" si="245"/>
        <v>5.2155951905646938E-2</v>
      </c>
      <c r="D259" s="3">
        <f t="shared" si="245"/>
        <v>5.215595190564664E-2</v>
      </c>
      <c r="E259" s="3">
        <f t="shared" si="245"/>
        <v>5.2155951905643587E-2</v>
      </c>
      <c r="F259" s="3">
        <f t="shared" si="245"/>
        <v>5.2155951905613125E-2</v>
      </c>
      <c r="G259" s="3">
        <f t="shared" si="245"/>
        <v>5.2155951905308515E-2</v>
      </c>
      <c r="H259" s="3">
        <f t="shared" si="245"/>
        <v>5.2155951902262361E-2</v>
      </c>
      <c r="I259" s="3">
        <f t="shared" si="245"/>
        <v>5.2155951871800832E-2</v>
      </c>
      <c r="J259" s="3">
        <f t="shared" si="245"/>
        <v>5.2155951567185561E-2</v>
      </c>
      <c r="K259" s="3">
        <f t="shared" si="245"/>
        <v>5.2155948521032947E-2</v>
      </c>
      <c r="L259" s="3">
        <f t="shared" si="245"/>
        <v>5.2155918059516616E-2</v>
      </c>
      <c r="M259" s="3">
        <f t="shared" si="245"/>
        <v>5.2155613445331747E-2</v>
      </c>
      <c r="N259" s="3">
        <f t="shared" si="245"/>
        <v>5.2152567401331021E-2</v>
      </c>
      <c r="O259" s="3">
        <f t="shared" si="245"/>
        <v>5.2122116744004708E-2</v>
      </c>
      <c r="P259" s="3">
        <f t="shared" si="245"/>
        <v>5.1818586328116201E-2</v>
      </c>
      <c r="Q259" s="3">
        <f t="shared" si="245"/>
        <v>4.8878821005789518E-2</v>
      </c>
      <c r="R259" s="3">
        <f t="shared" si="245"/>
        <v>2.7256640923715568E-2</v>
      </c>
      <c r="S259" s="3">
        <f t="shared" si="245"/>
        <v>7.9248024140822626E-5</v>
      </c>
      <c r="T259" s="3">
        <f t="shared" si="245"/>
        <v>3.4209721901070889E-30</v>
      </c>
      <c r="U259" s="3">
        <f t="shared" si="245"/>
        <v>7.6870649674389412E-284</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4.3160709564069449E-2</v>
      </c>
      <c r="C260" s="3">
        <f t="shared" si="246"/>
        <v>4.3160709564069442E-2</v>
      </c>
      <c r="D260" s="3">
        <f t="shared" si="246"/>
        <v>4.3160709564069429E-2</v>
      </c>
      <c r="E260" s="3">
        <f t="shared" si="246"/>
        <v>4.3160709564069193E-2</v>
      </c>
      <c r="F260" s="3">
        <f t="shared" si="246"/>
        <v>4.3160709564066924E-2</v>
      </c>
      <c r="G260" s="3">
        <f t="shared" si="246"/>
        <v>4.3160709564044185E-2</v>
      </c>
      <c r="H260" s="3">
        <f t="shared" si="246"/>
        <v>4.316070956381679E-2</v>
      </c>
      <c r="I260" s="3">
        <f t="shared" si="246"/>
        <v>4.3160709561542832E-2</v>
      </c>
      <c r="J260" s="3">
        <f t="shared" si="246"/>
        <v>4.3160709538803223E-2</v>
      </c>
      <c r="K260" s="3">
        <f t="shared" si="246"/>
        <v>4.3160709311407149E-2</v>
      </c>
      <c r="L260" s="3">
        <f t="shared" si="246"/>
        <v>4.3160707037446469E-2</v>
      </c>
      <c r="M260" s="3">
        <f t="shared" si="246"/>
        <v>4.3160684297846308E-2</v>
      </c>
      <c r="N260" s="3">
        <f t="shared" si="246"/>
        <v>4.3160456902503662E-2</v>
      </c>
      <c r="O260" s="3">
        <f t="shared" si="246"/>
        <v>4.3158183014968841E-2</v>
      </c>
      <c r="P260" s="3">
        <f t="shared" si="246"/>
        <v>4.3135450727505159E-2</v>
      </c>
      <c r="Q260" s="3">
        <f t="shared" si="246"/>
        <v>4.2908785358900491E-2</v>
      </c>
      <c r="R260" s="3">
        <f t="shared" si="246"/>
        <v>4.07066184107878E-2</v>
      </c>
      <c r="S260" s="3">
        <f t="shared" si="246"/>
        <v>2.4035495389279408E-2</v>
      </c>
      <c r="T260" s="3">
        <f t="shared" si="246"/>
        <v>1.2380369134312114E-4</v>
      </c>
      <c r="U260" s="3">
        <f t="shared" si="246"/>
        <v>1.6275665493992244E-27</v>
      </c>
      <c r="V260" s="3">
        <f t="shared" si="246"/>
        <v>2.509518324412913E-256</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4.9762672836986856E-2</v>
      </c>
      <c r="C261" s="3">
        <f t="shared" si="247"/>
        <v>4.9762672836986856E-2</v>
      </c>
      <c r="D261" s="3">
        <f t="shared" si="247"/>
        <v>4.9762672836986856E-2</v>
      </c>
      <c r="E261" s="3">
        <f t="shared" si="247"/>
        <v>4.9762672836986828E-2</v>
      </c>
      <c r="F261" s="3">
        <f t="shared" si="247"/>
        <v>4.9762672836986592E-2</v>
      </c>
      <c r="G261" s="3">
        <f t="shared" si="247"/>
        <v>4.9762672836984226E-2</v>
      </c>
      <c r="H261" s="3">
        <f t="shared" si="247"/>
        <v>4.9762672836960571E-2</v>
      </c>
      <c r="I261" s="3">
        <f t="shared" si="247"/>
        <v>4.9762672836724073E-2</v>
      </c>
      <c r="J261" s="3">
        <f t="shared" si="247"/>
        <v>4.9762672834358992E-2</v>
      </c>
      <c r="K261" s="3">
        <f t="shared" si="247"/>
        <v>4.9762672810708258E-2</v>
      </c>
      <c r="L261" s="3">
        <f t="shared" si="247"/>
        <v>4.9762672574200889E-2</v>
      </c>
      <c r="M261" s="3">
        <f t="shared" si="247"/>
        <v>4.9762670209127266E-2</v>
      </c>
      <c r="N261" s="3">
        <f t="shared" si="247"/>
        <v>4.9762646558397176E-2</v>
      </c>
      <c r="O261" s="3">
        <f t="shared" si="247"/>
        <v>4.9762410051714549E-2</v>
      </c>
      <c r="P261" s="3">
        <f t="shared" si="247"/>
        <v>4.9760045046709785E-2</v>
      </c>
      <c r="Q261" s="3">
        <f t="shared" si="247"/>
        <v>4.9736401177729782E-2</v>
      </c>
      <c r="R261" s="3">
        <f t="shared" si="247"/>
        <v>4.9500579509127958E-2</v>
      </c>
      <c r="S261" s="3">
        <f t="shared" si="247"/>
        <v>4.7202993566058914E-2</v>
      </c>
      <c r="T261" s="3">
        <f t="shared" si="247"/>
        <v>2.9346893044452985E-2</v>
      </c>
      <c r="U261" s="3">
        <f t="shared" si="247"/>
        <v>2.5321416781648866E-4</v>
      </c>
      <c r="V261" s="3">
        <f t="shared" si="247"/>
        <v>5.7909087996606204E-25</v>
      </c>
      <c r="W261" s="3">
        <f t="shared" si="247"/>
        <v>2.2663864362092527E-231</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4.7420297810237655E-2</v>
      </c>
      <c r="C262" s="3">
        <f t="shared" si="248"/>
        <v>4.7420297810237655E-2</v>
      </c>
      <c r="D262" s="3">
        <f t="shared" si="248"/>
        <v>4.7420297810237655E-2</v>
      </c>
      <c r="E262" s="3">
        <f t="shared" si="248"/>
        <v>4.7420297810237655E-2</v>
      </c>
      <c r="F262" s="3">
        <f t="shared" si="248"/>
        <v>4.7420297810237634E-2</v>
      </c>
      <c r="G262" s="3">
        <f t="shared" si="248"/>
        <v>4.7420297810237426E-2</v>
      </c>
      <c r="H262" s="3">
        <f t="shared" si="248"/>
        <v>4.74202978102354E-2</v>
      </c>
      <c r="I262" s="3">
        <f t="shared" si="248"/>
        <v>4.7420297810215062E-2</v>
      </c>
      <c r="J262" s="3">
        <f t="shared" si="248"/>
        <v>4.7420297810011759E-2</v>
      </c>
      <c r="K262" s="3">
        <f t="shared" si="248"/>
        <v>4.7420297807978691E-2</v>
      </c>
      <c r="L262" s="3">
        <f t="shared" si="248"/>
        <v>4.7420297787648016E-2</v>
      </c>
      <c r="M262" s="3">
        <f t="shared" si="248"/>
        <v>4.7420297584341242E-2</v>
      </c>
      <c r="N262" s="3">
        <f t="shared" si="248"/>
        <v>4.7420295551273563E-2</v>
      </c>
      <c r="O262" s="3">
        <f t="shared" si="248"/>
        <v>4.7420275220601597E-2</v>
      </c>
      <c r="P262" s="3">
        <f t="shared" si="248"/>
        <v>4.7420071914361331E-2</v>
      </c>
      <c r="Q262" s="3">
        <f t="shared" si="248"/>
        <v>4.7418038899898277E-2</v>
      </c>
      <c r="R262" s="3">
        <f t="shared" si="248"/>
        <v>4.7397713548467842E-2</v>
      </c>
      <c r="S262" s="3">
        <f t="shared" si="248"/>
        <v>4.719493859469398E-2</v>
      </c>
      <c r="T262" s="3">
        <f t="shared" si="248"/>
        <v>4.5214294589773558E-2</v>
      </c>
      <c r="U262" s="3">
        <f t="shared" si="248"/>
        <v>2.944957975792116E-2</v>
      </c>
      <c r="V262" s="3">
        <f t="shared" si="248"/>
        <v>4.0468072957594022E-4</v>
      </c>
      <c r="W262" s="3">
        <f t="shared" si="248"/>
        <v>9.7150882232856027E-23</v>
      </c>
      <c r="X262" s="3">
        <f t="shared" si="248"/>
        <v>6.1771620408130059E-209</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5.5060707858971492E-2</v>
      </c>
      <c r="C263" s="3">
        <f t="shared" si="249"/>
        <v>5.5060707858971492E-2</v>
      </c>
      <c r="D263" s="3">
        <f t="shared" si="249"/>
        <v>5.5060707858971492E-2</v>
      </c>
      <c r="E263" s="3">
        <f t="shared" si="249"/>
        <v>5.5060707858971492E-2</v>
      </c>
      <c r="F263" s="3">
        <f t="shared" si="249"/>
        <v>5.5060707858971492E-2</v>
      </c>
      <c r="G263" s="3">
        <f t="shared" si="249"/>
        <v>5.5060707858971464E-2</v>
      </c>
      <c r="H263" s="3">
        <f t="shared" si="249"/>
        <v>5.5060707858971256E-2</v>
      </c>
      <c r="I263" s="3">
        <f t="shared" si="249"/>
        <v>5.5060707858969125E-2</v>
      </c>
      <c r="J263" s="3">
        <f t="shared" si="249"/>
        <v>5.506070785894783E-2</v>
      </c>
      <c r="K263" s="3">
        <f t="shared" si="249"/>
        <v>5.5060707858734882E-2</v>
      </c>
      <c r="L263" s="3">
        <f t="shared" si="249"/>
        <v>5.5060707856605391E-2</v>
      </c>
      <c r="M263" s="3">
        <f t="shared" si="249"/>
        <v>5.5060707835310474E-2</v>
      </c>
      <c r="N263" s="3">
        <f t="shared" si="249"/>
        <v>5.5060707622361302E-2</v>
      </c>
      <c r="O263" s="3">
        <f t="shared" si="249"/>
        <v>5.5060705492869656E-2</v>
      </c>
      <c r="P263" s="3">
        <f t="shared" si="249"/>
        <v>5.5060684197957718E-2</v>
      </c>
      <c r="Q263" s="3">
        <f t="shared" si="249"/>
        <v>5.506047124929131E-2</v>
      </c>
      <c r="R263" s="3">
        <f t="shared" si="249"/>
        <v>5.5058341807923898E-2</v>
      </c>
      <c r="S263" s="3">
        <f t="shared" si="249"/>
        <v>5.5037051923264607E-2</v>
      </c>
      <c r="T263" s="3">
        <f t="shared" si="249"/>
        <v>5.4824605330736895E-2</v>
      </c>
      <c r="U263" s="3">
        <f t="shared" si="249"/>
        <v>5.2744724282477569E-2</v>
      </c>
      <c r="V263" s="3">
        <f t="shared" si="249"/>
        <v>3.5827305838440286E-2</v>
      </c>
      <c r="W263" s="3">
        <f t="shared" si="249"/>
        <v>7.4914415850540128E-4</v>
      </c>
      <c r="X263" s="3">
        <f t="shared" si="249"/>
        <v>1.1969551039961176E-20</v>
      </c>
      <c r="Y263" s="3">
        <f t="shared" si="249"/>
        <v>1.2977842415023364E-188</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8.2774016803130748E-2</v>
      </c>
      <c r="C264" s="3">
        <f t="shared" si="250"/>
        <v>8.2774016803130748E-2</v>
      </c>
      <c r="D264" s="3">
        <f t="shared" si="250"/>
        <v>8.2774016803130748E-2</v>
      </c>
      <c r="E264" s="3">
        <f t="shared" si="250"/>
        <v>8.2774016803130748E-2</v>
      </c>
      <c r="F264" s="3">
        <f t="shared" si="250"/>
        <v>8.2774016803130748E-2</v>
      </c>
      <c r="G264" s="3">
        <f t="shared" si="250"/>
        <v>8.2774016803130748E-2</v>
      </c>
      <c r="H264" s="3">
        <f t="shared" si="250"/>
        <v>8.2774016803130721E-2</v>
      </c>
      <c r="I264" s="3">
        <f t="shared" si="250"/>
        <v>8.2774016803130429E-2</v>
      </c>
      <c r="J264" s="3">
        <f t="shared" si="250"/>
        <v>8.2774016803127543E-2</v>
      </c>
      <c r="K264" s="3">
        <f t="shared" si="250"/>
        <v>8.2774016803098663E-2</v>
      </c>
      <c r="L264" s="3">
        <f t="shared" si="250"/>
        <v>8.277401680280988E-2</v>
      </c>
      <c r="M264" s="3">
        <f t="shared" si="250"/>
        <v>8.2774016799922023E-2</v>
      </c>
      <c r="N264" s="3">
        <f t="shared" si="250"/>
        <v>8.2774016771043513E-2</v>
      </c>
      <c r="O264" s="3">
        <f t="shared" si="250"/>
        <v>8.2774016482258406E-2</v>
      </c>
      <c r="P264" s="3">
        <f t="shared" si="250"/>
        <v>8.2774013594407475E-2</v>
      </c>
      <c r="Q264" s="3">
        <f t="shared" si="250"/>
        <v>8.2773984715903581E-2</v>
      </c>
      <c r="R264" s="3">
        <f t="shared" si="250"/>
        <v>8.2773695931418853E-2</v>
      </c>
      <c r="S264" s="3">
        <f t="shared" si="250"/>
        <v>8.277080814198455E-2</v>
      </c>
      <c r="T264" s="3">
        <f t="shared" si="250"/>
        <v>8.2741935788230567E-2</v>
      </c>
      <c r="U264" s="3">
        <f t="shared" si="250"/>
        <v>8.2453765595038475E-2</v>
      </c>
      <c r="V264" s="3">
        <f t="shared" si="250"/>
        <v>7.9626690419231663E-2</v>
      </c>
      <c r="W264" s="3">
        <f t="shared" si="250"/>
        <v>5.6174649883896276E-2</v>
      </c>
      <c r="X264" s="3">
        <f t="shared" si="250"/>
        <v>1.7153686362877505E-3</v>
      </c>
      <c r="Y264" s="3">
        <f t="shared" si="250"/>
        <v>1.2092841876162847E-18</v>
      </c>
      <c r="Z264" s="3">
        <f t="shared" si="250"/>
        <v>3.6663799032616829E-170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9.2826583311544017E-2</v>
      </c>
      <c r="C265" s="3">
        <f t="shared" si="251"/>
        <v>9.2826583311544017E-2</v>
      </c>
      <c r="D265" s="3">
        <f t="shared" si="251"/>
        <v>9.2826583311544017E-2</v>
      </c>
      <c r="E265" s="3">
        <f t="shared" si="251"/>
        <v>9.2826583311544017E-2</v>
      </c>
      <c r="F265" s="3">
        <f t="shared" si="251"/>
        <v>9.2826583311544017E-2</v>
      </c>
      <c r="G265" s="3">
        <f t="shared" si="251"/>
        <v>9.2826583311544017E-2</v>
      </c>
      <c r="H265" s="3">
        <f t="shared" si="251"/>
        <v>9.2826583311544017E-2</v>
      </c>
      <c r="I265" s="3">
        <f t="shared" si="251"/>
        <v>9.2826583311543989E-2</v>
      </c>
      <c r="J265" s="3">
        <f t="shared" si="251"/>
        <v>9.2826583311543698E-2</v>
      </c>
      <c r="K265" s="3">
        <f t="shared" si="251"/>
        <v>9.282658331154077E-2</v>
      </c>
      <c r="L265" s="3">
        <f t="shared" si="251"/>
        <v>9.2826583311511557E-2</v>
      </c>
      <c r="M265" s="3">
        <f t="shared" si="251"/>
        <v>9.2826583311219416E-2</v>
      </c>
      <c r="N265" s="3">
        <f t="shared" si="251"/>
        <v>9.2826583308297947E-2</v>
      </c>
      <c r="O265" s="3">
        <f t="shared" si="251"/>
        <v>9.2826583279083372E-2</v>
      </c>
      <c r="P265" s="3">
        <f t="shared" si="251"/>
        <v>9.2826582986937523E-2</v>
      </c>
      <c r="Q265" s="3">
        <f t="shared" si="251"/>
        <v>9.282658006547917E-2</v>
      </c>
      <c r="R265" s="3">
        <f t="shared" si="251"/>
        <v>9.2826550850900691E-2</v>
      </c>
      <c r="S265" s="3">
        <f t="shared" si="251"/>
        <v>9.28262587056215E-2</v>
      </c>
      <c r="T265" s="3">
        <f t="shared" si="251"/>
        <v>9.2823337303398659E-2</v>
      </c>
      <c r="U265" s="3">
        <f t="shared" si="251"/>
        <v>9.2794128337478632E-2</v>
      </c>
      <c r="V265" s="3">
        <f t="shared" si="251"/>
        <v>9.2502543720814762E-2</v>
      </c>
      <c r="W265" s="3">
        <f t="shared" si="251"/>
        <v>8.9636618617998542E-2</v>
      </c>
      <c r="X265" s="3">
        <f t="shared" si="251"/>
        <v>6.5433983730176545E-2</v>
      </c>
      <c r="Y265" s="3">
        <f t="shared" si="251"/>
        <v>2.811786403735906E-3</v>
      </c>
      <c r="Z265" s="3">
        <f t="shared" si="251"/>
        <v>6.0363161220422714E-17</v>
      </c>
      <c r="AA265" s="3">
        <f t="shared" si="251"/>
        <v>1.2550714976023751E-153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0.10795546608785625</v>
      </c>
      <c r="C266" s="3">
        <f t="shared" si="252"/>
        <v>0.10795546608785625</v>
      </c>
      <c r="D266" s="3">
        <f t="shared" si="252"/>
        <v>0.10795546608785625</v>
      </c>
      <c r="E266" s="3">
        <f t="shared" si="252"/>
        <v>0.10795546608785625</v>
      </c>
      <c r="F266" s="3">
        <f t="shared" si="252"/>
        <v>0.10795546608785625</v>
      </c>
      <c r="G266" s="3">
        <f t="shared" si="252"/>
        <v>0.10795546608785625</v>
      </c>
      <c r="H266" s="3">
        <f t="shared" si="252"/>
        <v>0.10795546608785625</v>
      </c>
      <c r="I266" s="3">
        <f t="shared" si="252"/>
        <v>0.10795546608785625</v>
      </c>
      <c r="J266" s="3">
        <f t="shared" si="252"/>
        <v>0.10795546608785621</v>
      </c>
      <c r="K266" s="3">
        <f t="shared" si="252"/>
        <v>0.10795546608785592</v>
      </c>
      <c r="L266" s="3">
        <f t="shared" si="252"/>
        <v>0.10795546608785285</v>
      </c>
      <c r="M266" s="3">
        <f t="shared" si="252"/>
        <v>0.10795546608782219</v>
      </c>
      <c r="N266" s="3">
        <f t="shared" si="252"/>
        <v>0.1079554660875157</v>
      </c>
      <c r="O266" s="3">
        <f t="shared" si="252"/>
        <v>0.10795546608445078</v>
      </c>
      <c r="P266" s="3">
        <f t="shared" si="252"/>
        <v>0.10795546605380163</v>
      </c>
      <c r="Q266" s="3">
        <f t="shared" si="252"/>
        <v>0.10795546574731003</v>
      </c>
      <c r="R266" s="3">
        <f t="shared" si="252"/>
        <v>0.10795546268239413</v>
      </c>
      <c r="S266" s="3">
        <f t="shared" si="252"/>
        <v>0.10795543203323987</v>
      </c>
      <c r="T266" s="3">
        <f t="shared" si="252"/>
        <v>0.1079551255421759</v>
      </c>
      <c r="U266" s="3">
        <f t="shared" si="252"/>
        <v>0.10795206067939367</v>
      </c>
      <c r="V266" s="3">
        <f t="shared" si="252"/>
        <v>0.10792141683681994</v>
      </c>
      <c r="W266" s="3">
        <f t="shared" si="252"/>
        <v>0.10761545643365744</v>
      </c>
      <c r="X266" s="3">
        <f t="shared" si="252"/>
        <v>0.10460315631086597</v>
      </c>
      <c r="Y266" s="3">
        <f t="shared" si="252"/>
        <v>7.874920188843812E-2</v>
      </c>
      <c r="Z266" s="3">
        <f t="shared" si="252"/>
        <v>4.6053207030195614E-3</v>
      </c>
      <c r="AA266" s="3">
        <f t="shared" si="252"/>
        <v>2.1547508302036109E-15</v>
      </c>
      <c r="AB266" s="3">
        <f t="shared" si="252"/>
        <v>1.0833501209895388E-138</v>
      </c>
      <c r="AC266" s="3">
        <f t="shared" si="252"/>
        <v>0</v>
      </c>
      <c r="AD266" s="3">
        <f t="shared" si="252"/>
        <v>0</v>
      </c>
      <c r="AE266" s="3">
        <f t="shared" si="252"/>
        <v>0</v>
      </c>
      <c r="AF266" s="3">
        <f t="shared" si="252"/>
        <v>0</v>
      </c>
      <c r="AG266" s="3"/>
      <c r="AH266" s="3"/>
    </row>
    <row r="267" spans="2:34" x14ac:dyDescent="0.25">
      <c r="B267" s="3">
        <f t="shared" ref="B267:AF267" si="253">$C36*EXP(-B$246/$A36/EXP(-$E$126))</f>
        <v>0.11222824358997255</v>
      </c>
      <c r="C267" s="3">
        <f t="shared" si="253"/>
        <v>0.11222824358997255</v>
      </c>
      <c r="D267" s="3">
        <f t="shared" si="253"/>
        <v>0.11222824358997255</v>
      </c>
      <c r="E267" s="3">
        <f t="shared" si="253"/>
        <v>0.11222824358997255</v>
      </c>
      <c r="F267" s="3">
        <f t="shared" si="253"/>
        <v>0.11222824358997255</v>
      </c>
      <c r="G267" s="3">
        <f t="shared" si="253"/>
        <v>0.11222824358997255</v>
      </c>
      <c r="H267" s="3">
        <f t="shared" si="253"/>
        <v>0.11222824358997255</v>
      </c>
      <c r="I267" s="3">
        <f t="shared" si="253"/>
        <v>0.11222824358997255</v>
      </c>
      <c r="J267" s="3">
        <f t="shared" si="253"/>
        <v>0.11222824358997255</v>
      </c>
      <c r="K267" s="3">
        <f t="shared" si="253"/>
        <v>0.11222824358997251</v>
      </c>
      <c r="L267" s="3">
        <f t="shared" si="253"/>
        <v>0.11222824358997223</v>
      </c>
      <c r="M267" s="3">
        <f t="shared" si="253"/>
        <v>0.11222824358996936</v>
      </c>
      <c r="N267" s="3">
        <f t="shared" si="253"/>
        <v>0.11222824358994062</v>
      </c>
      <c r="O267" s="3">
        <f t="shared" si="253"/>
        <v>0.11222824358965319</v>
      </c>
      <c r="P267" s="3">
        <f t="shared" si="253"/>
        <v>0.11222824358677895</v>
      </c>
      <c r="Q267" s="3">
        <f t="shared" si="253"/>
        <v>0.11222824355803658</v>
      </c>
      <c r="R267" s="3">
        <f t="shared" si="253"/>
        <v>0.1122282432706128</v>
      </c>
      <c r="S267" s="3">
        <f t="shared" si="253"/>
        <v>0.11222824039637508</v>
      </c>
      <c r="T267" s="3">
        <f t="shared" si="253"/>
        <v>0.11222821165400199</v>
      </c>
      <c r="U267" s="3">
        <f t="shared" si="253"/>
        <v>0.11222792423067586</v>
      </c>
      <c r="V267" s="3">
        <f t="shared" si="253"/>
        <v>0.1122250500379002</v>
      </c>
      <c r="W267" s="3">
        <f t="shared" si="253"/>
        <v>0.11219631215832714</v>
      </c>
      <c r="X267" s="3">
        <f t="shared" si="253"/>
        <v>0.11190933779759525</v>
      </c>
      <c r="Y267" s="3">
        <f t="shared" si="253"/>
        <v>0.10907965706126163</v>
      </c>
      <c r="Z267" s="3">
        <f t="shared" si="253"/>
        <v>8.4434151570845731E-2</v>
      </c>
      <c r="AA267" s="3">
        <f t="shared" si="253"/>
        <v>6.520215391619036E-3</v>
      </c>
      <c r="AB267" s="3">
        <f t="shared" si="253"/>
        <v>4.9169968647769705E-14</v>
      </c>
      <c r="AC267" s="3">
        <f t="shared" si="253"/>
        <v>2.924689855121717E-125</v>
      </c>
      <c r="AD267" s="3">
        <f t="shared" si="253"/>
        <v>0</v>
      </c>
      <c r="AE267" s="3">
        <f t="shared" si="253"/>
        <v>0</v>
      </c>
      <c r="AF267" s="3">
        <f t="shared" si="253"/>
        <v>0</v>
      </c>
      <c r="AG267" s="3"/>
      <c r="AH267" s="3"/>
    </row>
    <row r="268" spans="2:34" x14ac:dyDescent="0.25">
      <c r="B268" s="3">
        <f t="shared" ref="B268:AF268" si="254">$C37*EXP(-B$246/$A37/EXP(-$E$126))</f>
        <v>8.9690702482137605E-2</v>
      </c>
      <c r="C268" s="3">
        <f t="shared" si="254"/>
        <v>8.9690702482137605E-2</v>
      </c>
      <c r="D268" s="3">
        <f t="shared" si="254"/>
        <v>8.9690702482137605E-2</v>
      </c>
      <c r="E268" s="3">
        <f t="shared" si="254"/>
        <v>8.9690702482137605E-2</v>
      </c>
      <c r="F268" s="3">
        <f t="shared" si="254"/>
        <v>8.9690702482137605E-2</v>
      </c>
      <c r="G268" s="3">
        <f t="shared" si="254"/>
        <v>8.9690702482137605E-2</v>
      </c>
      <c r="H268" s="3">
        <f t="shared" si="254"/>
        <v>8.9690702482137605E-2</v>
      </c>
      <c r="I268" s="3">
        <f t="shared" si="254"/>
        <v>8.9690702482137605E-2</v>
      </c>
      <c r="J268" s="3">
        <f t="shared" si="254"/>
        <v>8.9690702482137605E-2</v>
      </c>
      <c r="K268" s="3">
        <f t="shared" si="254"/>
        <v>8.9690702482137605E-2</v>
      </c>
      <c r="L268" s="3">
        <f t="shared" si="254"/>
        <v>8.9690702482137591E-2</v>
      </c>
      <c r="M268" s="3">
        <f t="shared" si="254"/>
        <v>8.9690702482137369E-2</v>
      </c>
      <c r="N268" s="3">
        <f t="shared" si="254"/>
        <v>8.9690702482135301E-2</v>
      </c>
      <c r="O268" s="3">
        <f t="shared" si="254"/>
        <v>8.9690702482114582E-2</v>
      </c>
      <c r="P268" s="3">
        <f t="shared" si="254"/>
        <v>8.9690702481907372E-2</v>
      </c>
      <c r="Q268" s="3">
        <f t="shared" si="254"/>
        <v>8.9690702479835252E-2</v>
      </c>
      <c r="R268" s="3">
        <f t="shared" si="254"/>
        <v>8.9690702459114077E-2</v>
      </c>
      <c r="S268" s="3">
        <f t="shared" si="254"/>
        <v>8.9690702251902246E-2</v>
      </c>
      <c r="T268" s="3">
        <f t="shared" si="254"/>
        <v>8.9690700179783991E-2</v>
      </c>
      <c r="U268" s="3">
        <f t="shared" si="254"/>
        <v>8.9690679458604178E-2</v>
      </c>
      <c r="V268" s="3">
        <f t="shared" si="254"/>
        <v>8.9690472247069275E-2</v>
      </c>
      <c r="W268" s="3">
        <f t="shared" si="254"/>
        <v>8.9688400158049561E-2</v>
      </c>
      <c r="X268" s="3">
        <f t="shared" si="254"/>
        <v>8.9667681900562873E-2</v>
      </c>
      <c r="Y268" s="3">
        <f t="shared" si="254"/>
        <v>8.9460762371834063E-2</v>
      </c>
      <c r="Z268" s="3">
        <f t="shared" si="254"/>
        <v>8.7417648227041747E-2</v>
      </c>
      <c r="AA268" s="3">
        <f t="shared" si="254"/>
        <v>6.9384802460300113E-2</v>
      </c>
      <c r="AB268" s="3">
        <f t="shared" si="254"/>
        <v>6.885202725007907E-3</v>
      </c>
      <c r="AC268" s="3">
        <f t="shared" si="254"/>
        <v>6.3744172809605175E-13</v>
      </c>
      <c r="AD268" s="3">
        <f t="shared" si="254"/>
        <v>2.9490223764561373E-113</v>
      </c>
      <c r="AE268" s="3">
        <f t="shared" si="254"/>
        <v>0</v>
      </c>
      <c r="AF268" s="3">
        <f t="shared" si="254"/>
        <v>0</v>
      </c>
      <c r="AG268" s="3"/>
      <c r="AH268" s="3"/>
    </row>
    <row r="269" spans="2:34" x14ac:dyDescent="0.25">
      <c r="B269" s="3">
        <f t="shared" ref="B269:AF269" si="255">$C38*EXP(-B$246/$A38/EXP(-$E$126))</f>
        <v>3.260199419264094E-2</v>
      </c>
      <c r="C269" s="3">
        <f t="shared" si="255"/>
        <v>3.260199419264094E-2</v>
      </c>
      <c r="D269" s="3">
        <f t="shared" si="255"/>
        <v>3.260199419264094E-2</v>
      </c>
      <c r="E269" s="3">
        <f t="shared" si="255"/>
        <v>3.260199419264094E-2</v>
      </c>
      <c r="F269" s="3">
        <f t="shared" si="255"/>
        <v>3.260199419264094E-2</v>
      </c>
      <c r="G269" s="3">
        <f t="shared" si="255"/>
        <v>3.260199419264094E-2</v>
      </c>
      <c r="H269" s="3">
        <f t="shared" si="255"/>
        <v>3.260199419264094E-2</v>
      </c>
      <c r="I269" s="3">
        <f t="shared" si="255"/>
        <v>3.260199419264094E-2</v>
      </c>
      <c r="J269" s="3">
        <f t="shared" si="255"/>
        <v>3.260199419264094E-2</v>
      </c>
      <c r="K269" s="3">
        <f t="shared" si="255"/>
        <v>3.260199419264094E-2</v>
      </c>
      <c r="L269" s="3">
        <f t="shared" si="255"/>
        <v>3.260199419264094E-2</v>
      </c>
      <c r="M269" s="3">
        <f t="shared" si="255"/>
        <v>3.2601994192640933E-2</v>
      </c>
      <c r="N269" s="3">
        <f t="shared" si="255"/>
        <v>3.2601994192640864E-2</v>
      </c>
      <c r="O269" s="3">
        <f t="shared" si="255"/>
        <v>3.2601994192640184E-2</v>
      </c>
      <c r="P269" s="3">
        <f t="shared" si="255"/>
        <v>3.2601994192633391E-2</v>
      </c>
      <c r="Q269" s="3">
        <f t="shared" si="255"/>
        <v>3.2601994192565445E-2</v>
      </c>
      <c r="R269" s="3">
        <f t="shared" si="255"/>
        <v>3.2601994191885995E-2</v>
      </c>
      <c r="S269" s="3">
        <f t="shared" si="255"/>
        <v>3.2601994185091486E-2</v>
      </c>
      <c r="T269" s="3">
        <f t="shared" si="255"/>
        <v>3.2601994117146434E-2</v>
      </c>
      <c r="U269" s="3">
        <f t="shared" si="255"/>
        <v>3.2601993437695861E-2</v>
      </c>
      <c r="V269" s="3">
        <f t="shared" si="255"/>
        <v>3.2601986643190958E-2</v>
      </c>
      <c r="W269" s="3">
        <f t="shared" si="255"/>
        <v>3.2601918698219753E-2</v>
      </c>
      <c r="X269" s="3">
        <f t="shared" si="255"/>
        <v>3.2601239256295829E-2</v>
      </c>
      <c r="Y269" s="3">
        <f t="shared" si="255"/>
        <v>3.2594445615804789E-2</v>
      </c>
      <c r="Z269" s="3">
        <f t="shared" si="255"/>
        <v>3.2526587025698425E-2</v>
      </c>
      <c r="AA269" s="3">
        <f t="shared" si="255"/>
        <v>3.185572293442053E-2</v>
      </c>
      <c r="AB269" s="3">
        <f t="shared" si="255"/>
        <v>2.5862896550005277E-2</v>
      </c>
      <c r="AC269" s="3">
        <f t="shared" si="255"/>
        <v>3.2179117912841128E-3</v>
      </c>
      <c r="AD269" s="3">
        <f t="shared" si="255"/>
        <v>2.8611712988074216E-12</v>
      </c>
      <c r="AE269" s="3">
        <f t="shared" si="255"/>
        <v>8.8357029578693704E-103</v>
      </c>
      <c r="AF269" s="3">
        <f t="shared" si="255"/>
        <v>0</v>
      </c>
      <c r="AG269" s="3"/>
      <c r="AH269" s="3"/>
    </row>
    <row r="270" spans="2:34" x14ac:dyDescent="0.25">
      <c r="B270" s="3">
        <f t="shared" ref="B270:AF270" si="256">$C39*EXP(-B$246/$A39/EXP(-$E$126))</f>
        <v>3.3353536546241076E-2</v>
      </c>
      <c r="C270" s="3">
        <f t="shared" si="256"/>
        <v>3.3353536546241076E-2</v>
      </c>
      <c r="D270" s="3">
        <f t="shared" si="256"/>
        <v>3.3353536546241076E-2</v>
      </c>
      <c r="E270" s="3">
        <f t="shared" si="256"/>
        <v>3.3353536546241076E-2</v>
      </c>
      <c r="F270" s="3">
        <f t="shared" si="256"/>
        <v>3.3353536546241076E-2</v>
      </c>
      <c r="G270" s="3">
        <f t="shared" si="256"/>
        <v>3.3353536546241076E-2</v>
      </c>
      <c r="H270" s="3">
        <f t="shared" si="256"/>
        <v>3.3353536546241076E-2</v>
      </c>
      <c r="I270" s="3">
        <f t="shared" si="256"/>
        <v>3.3353536546241076E-2</v>
      </c>
      <c r="J270" s="3">
        <f t="shared" si="256"/>
        <v>3.3353536546241076E-2</v>
      </c>
      <c r="K270" s="3">
        <f t="shared" si="256"/>
        <v>3.3353536546241076E-2</v>
      </c>
      <c r="L270" s="3">
        <f t="shared" si="256"/>
        <v>3.3353536546241076E-2</v>
      </c>
      <c r="M270" s="3">
        <f t="shared" si="256"/>
        <v>3.3353536546241069E-2</v>
      </c>
      <c r="N270" s="3">
        <f t="shared" si="256"/>
        <v>3.3353536546241055E-2</v>
      </c>
      <c r="O270" s="3">
        <f t="shared" si="256"/>
        <v>3.3353536546240861E-2</v>
      </c>
      <c r="P270" s="3">
        <f t="shared" si="256"/>
        <v>3.3353536546238939E-2</v>
      </c>
      <c r="Q270" s="3">
        <f t="shared" si="256"/>
        <v>3.3353536546219711E-2</v>
      </c>
      <c r="R270" s="3">
        <f t="shared" si="256"/>
        <v>3.3353536546027462E-2</v>
      </c>
      <c r="S270" s="3">
        <f t="shared" si="256"/>
        <v>3.3353536544104952E-2</v>
      </c>
      <c r="T270" s="3">
        <f t="shared" si="256"/>
        <v>3.3353536524879865E-2</v>
      </c>
      <c r="U270" s="3">
        <f t="shared" si="256"/>
        <v>3.3353536332628927E-2</v>
      </c>
      <c r="V270" s="3">
        <f t="shared" si="256"/>
        <v>3.3353534410119658E-2</v>
      </c>
      <c r="W270" s="3">
        <f t="shared" si="256"/>
        <v>3.3353515185033052E-2</v>
      </c>
      <c r="X270" s="3">
        <f t="shared" si="256"/>
        <v>3.3353322934776448E-2</v>
      </c>
      <c r="Y270" s="3">
        <f t="shared" si="256"/>
        <v>3.3351400493156762E-2</v>
      </c>
      <c r="Z270" s="3">
        <f t="shared" si="256"/>
        <v>3.3332182170291394E-2</v>
      </c>
      <c r="AA270" s="3">
        <f t="shared" si="256"/>
        <v>3.3140606977269886E-2</v>
      </c>
      <c r="AB270" s="3">
        <f t="shared" si="256"/>
        <v>3.1284381607858486E-2</v>
      </c>
      <c r="AC270" s="3">
        <f t="shared" si="256"/>
        <v>1.757918510231779E-2</v>
      </c>
      <c r="AD270" s="3">
        <f t="shared" si="256"/>
        <v>5.5170939872349844E-5</v>
      </c>
      <c r="AE270" s="3">
        <f t="shared" si="256"/>
        <v>5.1147783277538358E-30</v>
      </c>
      <c r="AF270" s="3">
        <f t="shared" si="256"/>
        <v>2.3987840612761775E-280</v>
      </c>
      <c r="AG270" s="3"/>
      <c r="AH270" s="3"/>
    </row>
    <row r="271" spans="2:34" x14ac:dyDescent="0.25">
      <c r="B271" s="3">
        <f t="shared" ref="B271:AF271" si="257">$C40*EXP(-B$246/$A40/EXP(-$E$126))</f>
        <v>1.7436587013509221E-2</v>
      </c>
      <c r="C271" s="3">
        <f t="shared" si="257"/>
        <v>1.7436587013509221E-2</v>
      </c>
      <c r="D271" s="3">
        <f t="shared" si="257"/>
        <v>1.7436587013509221E-2</v>
      </c>
      <c r="E271" s="3">
        <f t="shared" si="257"/>
        <v>1.7436587013509221E-2</v>
      </c>
      <c r="F271" s="3">
        <f t="shared" si="257"/>
        <v>1.7436587013509221E-2</v>
      </c>
      <c r="G271" s="3">
        <f t="shared" si="257"/>
        <v>1.7436587013509221E-2</v>
      </c>
      <c r="H271" s="3">
        <f t="shared" si="257"/>
        <v>1.7436587013509221E-2</v>
      </c>
      <c r="I271" s="3">
        <f t="shared" si="257"/>
        <v>1.7436587013509221E-2</v>
      </c>
      <c r="J271" s="3">
        <f t="shared" si="257"/>
        <v>1.7436587013509221E-2</v>
      </c>
      <c r="K271" s="3">
        <f t="shared" si="257"/>
        <v>1.7436587013509221E-2</v>
      </c>
      <c r="L271" s="3">
        <f t="shared" si="257"/>
        <v>1.7436587013509221E-2</v>
      </c>
      <c r="M271" s="3">
        <f t="shared" si="257"/>
        <v>1.7436587013509221E-2</v>
      </c>
      <c r="N271" s="3">
        <f t="shared" si="257"/>
        <v>1.7436587013509218E-2</v>
      </c>
      <c r="O271" s="3">
        <f t="shared" si="257"/>
        <v>1.7436587013509211E-2</v>
      </c>
      <c r="P271" s="3">
        <f t="shared" si="257"/>
        <v>1.743658701350911E-2</v>
      </c>
      <c r="Q271" s="3">
        <f t="shared" si="257"/>
        <v>1.7436587013508104E-2</v>
      </c>
      <c r="R271" s="3">
        <f t="shared" si="257"/>
        <v>1.7436587013498053E-2</v>
      </c>
      <c r="S271" s="3">
        <f t="shared" si="257"/>
        <v>1.743658701339755E-2</v>
      </c>
      <c r="T271" s="3">
        <f t="shared" si="257"/>
        <v>1.7436587012392497E-2</v>
      </c>
      <c r="U271" s="3">
        <f t="shared" si="257"/>
        <v>1.7436587002341991E-2</v>
      </c>
      <c r="V271" s="3">
        <f t="shared" si="257"/>
        <v>1.7436586901836901E-2</v>
      </c>
      <c r="W271" s="3">
        <f t="shared" si="257"/>
        <v>1.7436585896786053E-2</v>
      </c>
      <c r="X271" s="3">
        <f t="shared" si="257"/>
        <v>1.7436575846280767E-2</v>
      </c>
      <c r="Y271" s="3">
        <f t="shared" si="257"/>
        <v>1.7436475341546496E-2</v>
      </c>
      <c r="Z271" s="3">
        <f t="shared" si="257"/>
        <v>1.7435470326065343E-2</v>
      </c>
      <c r="AA271" s="3">
        <f t="shared" si="257"/>
        <v>1.742542335673029E-2</v>
      </c>
      <c r="AB271" s="3">
        <f t="shared" si="257"/>
        <v>1.7325271532706524E-2</v>
      </c>
      <c r="AC271" s="3">
        <f t="shared" si="257"/>
        <v>1.6354872632861141E-2</v>
      </c>
      <c r="AD271" s="3">
        <f t="shared" si="257"/>
        <v>9.1900596579373509E-3</v>
      </c>
      <c r="AE271" s="3">
        <f t="shared" si="257"/>
        <v>2.8842305593819539E-5</v>
      </c>
      <c r="AF271" s="3">
        <f t="shared" si="257"/>
        <v>2.6739076752189854E-30</v>
      </c>
      <c r="AG271" s="3"/>
      <c r="AH271" s="3"/>
    </row>
    <row r="272" spans="2:34" x14ac:dyDescent="0.25">
      <c r="B272" s="3">
        <f t="shared" ref="B272:AF272" si="258">$C41*EXP(-B$246/$A41/EXP(-$E$126))</f>
        <v>4.7217849635186409E-4</v>
      </c>
      <c r="C272" s="3">
        <f t="shared" si="258"/>
        <v>4.7217849635186409E-4</v>
      </c>
      <c r="D272" s="3">
        <f t="shared" si="258"/>
        <v>4.7217849635186409E-4</v>
      </c>
      <c r="E272" s="3">
        <f t="shared" si="258"/>
        <v>4.7217849635186409E-4</v>
      </c>
      <c r="F272" s="3">
        <f t="shared" si="258"/>
        <v>4.7217849635186409E-4</v>
      </c>
      <c r="G272" s="3">
        <f t="shared" si="258"/>
        <v>4.7217849635186409E-4</v>
      </c>
      <c r="H272" s="3">
        <f t="shared" si="258"/>
        <v>4.7217849635186409E-4</v>
      </c>
      <c r="I272" s="3">
        <f t="shared" si="258"/>
        <v>4.7217849635186409E-4</v>
      </c>
      <c r="J272" s="3">
        <f t="shared" si="258"/>
        <v>4.7217849635186409E-4</v>
      </c>
      <c r="K272" s="3">
        <f t="shared" si="258"/>
        <v>4.7217849635186409E-4</v>
      </c>
      <c r="L272" s="3">
        <f t="shared" si="258"/>
        <v>4.7217849635186409E-4</v>
      </c>
      <c r="M272" s="3">
        <f t="shared" si="258"/>
        <v>4.7217849635186409E-4</v>
      </c>
      <c r="N272" s="3">
        <f t="shared" si="258"/>
        <v>4.7217849635186409E-4</v>
      </c>
      <c r="O272" s="3">
        <f t="shared" si="258"/>
        <v>4.7217849635186403E-4</v>
      </c>
      <c r="P272" s="3">
        <f t="shared" si="258"/>
        <v>4.7217849635186376E-4</v>
      </c>
      <c r="Q272" s="3">
        <f t="shared" si="258"/>
        <v>4.7217849635186105E-4</v>
      </c>
      <c r="R272" s="3">
        <f t="shared" si="258"/>
        <v>4.7217849635183384E-4</v>
      </c>
      <c r="S272" s="3">
        <f t="shared" si="258"/>
        <v>4.7217849635156165E-4</v>
      </c>
      <c r="T272" s="3">
        <f t="shared" si="258"/>
        <v>4.7217849634884003E-4</v>
      </c>
      <c r="U272" s="3">
        <f t="shared" si="258"/>
        <v>4.7217849632162347E-4</v>
      </c>
      <c r="V272" s="3">
        <f t="shared" si="258"/>
        <v>4.721784960494582E-4</v>
      </c>
      <c r="W272" s="3">
        <f t="shared" si="258"/>
        <v>4.7217849332780506E-4</v>
      </c>
      <c r="X272" s="3">
        <f t="shared" si="258"/>
        <v>4.7217846611127481E-4</v>
      </c>
      <c r="Y272" s="3">
        <f t="shared" si="258"/>
        <v>4.7217819394605861E-4</v>
      </c>
      <c r="Z272" s="3">
        <f t="shared" si="258"/>
        <v>4.7217547230252437E-4</v>
      </c>
      <c r="AA272" s="3">
        <f t="shared" si="258"/>
        <v>4.7214825672998529E-4</v>
      </c>
      <c r="AB272" s="3">
        <f t="shared" si="258"/>
        <v>4.7187618726651494E-4</v>
      </c>
      <c r="AC272" s="3">
        <f t="shared" si="258"/>
        <v>4.6916410045515672E-4</v>
      </c>
      <c r="AD272" s="3">
        <f t="shared" si="258"/>
        <v>4.4288593644086318E-4</v>
      </c>
      <c r="AE272" s="3">
        <f t="shared" si="258"/>
        <v>2.4886455975053017E-4</v>
      </c>
      <c r="AF272" s="3">
        <f t="shared" si="258"/>
        <v>7.8104255586597262E-7</v>
      </c>
      <c r="AG272" s="3"/>
      <c r="AH272" s="3"/>
    </row>
    <row r="273" spans="1:34" x14ac:dyDescent="0.25">
      <c r="B273" s="3">
        <f t="shared" ref="B273:AF273" si="259">$C42*EXP(-B$246/$A42/EXP(-$E$126))</f>
        <v>3.9532606595692786E-3</v>
      </c>
      <c r="C273" s="3">
        <f t="shared" si="259"/>
        <v>3.9532606595692786E-3</v>
      </c>
      <c r="D273" s="3">
        <f t="shared" si="259"/>
        <v>3.9532606595692786E-3</v>
      </c>
      <c r="E273" s="3">
        <f t="shared" si="259"/>
        <v>3.9532606595692786E-3</v>
      </c>
      <c r="F273" s="3">
        <f t="shared" si="259"/>
        <v>3.9532606595692786E-3</v>
      </c>
      <c r="G273" s="3">
        <f t="shared" si="259"/>
        <v>3.9532606595692786E-3</v>
      </c>
      <c r="H273" s="3">
        <f t="shared" si="259"/>
        <v>3.9532606595692786E-3</v>
      </c>
      <c r="I273" s="3">
        <f t="shared" si="259"/>
        <v>3.9532606595692786E-3</v>
      </c>
      <c r="J273" s="3">
        <f t="shared" si="259"/>
        <v>3.9532606595692786E-3</v>
      </c>
      <c r="K273" s="3">
        <f t="shared" si="259"/>
        <v>3.9532606595692786E-3</v>
      </c>
      <c r="L273" s="3">
        <f t="shared" si="259"/>
        <v>3.9532606595692786E-3</v>
      </c>
      <c r="M273" s="3">
        <f t="shared" si="259"/>
        <v>3.9532606595692786E-3</v>
      </c>
      <c r="N273" s="3">
        <f t="shared" si="259"/>
        <v>3.9532606595692786E-3</v>
      </c>
      <c r="O273" s="3">
        <f t="shared" si="259"/>
        <v>3.9532606595692786E-3</v>
      </c>
      <c r="P273" s="3">
        <f t="shared" si="259"/>
        <v>3.9532606595692778E-3</v>
      </c>
      <c r="Q273" s="3">
        <f t="shared" si="259"/>
        <v>3.953260659569276E-3</v>
      </c>
      <c r="R273" s="3">
        <f t="shared" si="259"/>
        <v>3.9532606595692535E-3</v>
      </c>
      <c r="S273" s="3">
        <f t="shared" si="259"/>
        <v>3.9532606595690254E-3</v>
      </c>
      <c r="T273" s="3">
        <f t="shared" si="259"/>
        <v>3.9532606595667468E-3</v>
      </c>
      <c r="U273" s="3">
        <f t="shared" si="259"/>
        <v>3.9532606595439604E-3</v>
      </c>
      <c r="V273" s="3">
        <f t="shared" si="259"/>
        <v>3.9532606593160923E-3</v>
      </c>
      <c r="W273" s="3">
        <f t="shared" si="259"/>
        <v>3.9532606570374194E-3</v>
      </c>
      <c r="X273" s="3">
        <f t="shared" si="259"/>
        <v>3.9532606342506894E-3</v>
      </c>
      <c r="Y273" s="3">
        <f t="shared" si="259"/>
        <v>3.9532604063833906E-3</v>
      </c>
      <c r="Z273" s="3">
        <f t="shared" si="259"/>
        <v>3.9532581277111293E-3</v>
      </c>
      <c r="AA273" s="3">
        <f t="shared" si="259"/>
        <v>3.9532353410607493E-3</v>
      </c>
      <c r="AB273" s="3">
        <f t="shared" si="259"/>
        <v>3.9530074817806723E-3</v>
      </c>
      <c r="AC273" s="3">
        <f t="shared" si="259"/>
        <v>3.9507296111980063E-3</v>
      </c>
      <c r="AD273" s="3">
        <f t="shared" si="259"/>
        <v>3.9280229733915078E-3</v>
      </c>
      <c r="AE273" s="3">
        <f t="shared" si="259"/>
        <v>3.708012039378109E-3</v>
      </c>
      <c r="AF273" s="3">
        <f t="shared" si="259"/>
        <v>2.0835901702936904E-3</v>
      </c>
      <c r="AG273" s="3"/>
      <c r="AH273" s="3"/>
    </row>
    <row r="274" spans="1:34" x14ac:dyDescent="0.25">
      <c r="B274" s="3">
        <f t="shared" ref="B274:AF274" si="260">$C43*EXP(-B$246/$A43/EXP(-$E$126))</f>
        <v>4.2057154474780992E-7</v>
      </c>
      <c r="C274" s="3">
        <f t="shared" si="260"/>
        <v>4.2057154474780992E-7</v>
      </c>
      <c r="D274" s="3">
        <f t="shared" si="260"/>
        <v>4.2057154474780992E-7</v>
      </c>
      <c r="E274" s="3">
        <f t="shared" si="260"/>
        <v>4.2057154474780992E-7</v>
      </c>
      <c r="F274" s="3">
        <f t="shared" si="260"/>
        <v>4.2057154474780992E-7</v>
      </c>
      <c r="G274" s="3">
        <f t="shared" si="260"/>
        <v>4.2057154474780992E-7</v>
      </c>
      <c r="H274" s="3">
        <f t="shared" si="260"/>
        <v>4.2057154474780992E-7</v>
      </c>
      <c r="I274" s="3">
        <f t="shared" si="260"/>
        <v>4.2057154474780992E-7</v>
      </c>
      <c r="J274" s="3">
        <f t="shared" si="260"/>
        <v>4.2057154474780992E-7</v>
      </c>
      <c r="K274" s="3">
        <f t="shared" si="260"/>
        <v>4.2057154474780992E-7</v>
      </c>
      <c r="L274" s="3">
        <f t="shared" si="260"/>
        <v>4.2057154474780992E-7</v>
      </c>
      <c r="M274" s="3">
        <f t="shared" si="260"/>
        <v>4.2057154474780992E-7</v>
      </c>
      <c r="N274" s="3">
        <f t="shared" si="260"/>
        <v>4.2057154474780992E-7</v>
      </c>
      <c r="O274" s="3">
        <f t="shared" si="260"/>
        <v>4.2057154474780992E-7</v>
      </c>
      <c r="P274" s="3">
        <f t="shared" si="260"/>
        <v>4.2057154474780992E-7</v>
      </c>
      <c r="Q274" s="3">
        <f t="shared" si="260"/>
        <v>4.2057154474780987E-7</v>
      </c>
      <c r="R274" s="3">
        <f t="shared" si="260"/>
        <v>4.2057154474780966E-7</v>
      </c>
      <c r="S274" s="3">
        <f t="shared" si="260"/>
        <v>4.2057154474780722E-7</v>
      </c>
      <c r="T274" s="3">
        <f t="shared" si="260"/>
        <v>4.2057154474778298E-7</v>
      </c>
      <c r="U274" s="3">
        <f t="shared" si="260"/>
        <v>4.2057154474754057E-7</v>
      </c>
      <c r="V274" s="3">
        <f t="shared" si="260"/>
        <v>4.2057154474511641E-7</v>
      </c>
      <c r="W274" s="3">
        <f t="shared" si="260"/>
        <v>4.2057154472087449E-7</v>
      </c>
      <c r="X274" s="3">
        <f t="shared" si="260"/>
        <v>4.2057154447845562E-7</v>
      </c>
      <c r="Y274" s="3">
        <f t="shared" si="260"/>
        <v>4.2057154205426675E-7</v>
      </c>
      <c r="Z274" s="3">
        <f t="shared" si="260"/>
        <v>4.2057151781237883E-7</v>
      </c>
      <c r="AA274" s="3">
        <f t="shared" si="260"/>
        <v>4.2057127539357686E-7</v>
      </c>
      <c r="AB274" s="3">
        <f t="shared" si="260"/>
        <v>4.205688512132419E-7</v>
      </c>
      <c r="AC274" s="3">
        <f t="shared" si="260"/>
        <v>4.2054461017839512E-7</v>
      </c>
      <c r="AD274" s="3">
        <f t="shared" si="260"/>
        <v>4.2030227666381434E-7</v>
      </c>
      <c r="AE274" s="3">
        <f t="shared" si="260"/>
        <v>4.1788660854560105E-7</v>
      </c>
      <c r="AF274" s="3">
        <f t="shared" si="260"/>
        <v>3.9448052775620399E-7</v>
      </c>
      <c r="AG274" s="3"/>
      <c r="AH274" s="3"/>
    </row>
    <row r="275" spans="1:34" x14ac:dyDescent="0.25">
      <c r="B275" s="3">
        <f t="shared" ref="B275:AF275" si="261">$C44*EXP(-B$246/$A44/EXP(-$E$126))</f>
        <v>1.8675724725031384E-5</v>
      </c>
      <c r="C275" s="3">
        <f t="shared" si="261"/>
        <v>1.8675724725031384E-5</v>
      </c>
      <c r="D275" s="3">
        <f t="shared" si="261"/>
        <v>1.8675724725031384E-5</v>
      </c>
      <c r="E275" s="3">
        <f t="shared" si="261"/>
        <v>1.8675724725031384E-5</v>
      </c>
      <c r="F275" s="3">
        <f t="shared" si="261"/>
        <v>1.8675724725031384E-5</v>
      </c>
      <c r="G275" s="3">
        <f t="shared" si="261"/>
        <v>1.8675724725031384E-5</v>
      </c>
      <c r="H275" s="3">
        <f t="shared" si="261"/>
        <v>1.8675724725031384E-5</v>
      </c>
      <c r="I275" s="3">
        <f t="shared" si="261"/>
        <v>1.8675724725031384E-5</v>
      </c>
      <c r="J275" s="3">
        <f t="shared" si="261"/>
        <v>1.8675724725031384E-5</v>
      </c>
      <c r="K275" s="3">
        <f t="shared" si="261"/>
        <v>1.8675724725031384E-5</v>
      </c>
      <c r="L275" s="3">
        <f t="shared" si="261"/>
        <v>1.8675724725031384E-5</v>
      </c>
      <c r="M275" s="3">
        <f t="shared" si="261"/>
        <v>1.8675724725031384E-5</v>
      </c>
      <c r="N275" s="3">
        <f t="shared" si="261"/>
        <v>1.8675724725031384E-5</v>
      </c>
      <c r="O275" s="3">
        <f t="shared" si="261"/>
        <v>1.8675724725031384E-5</v>
      </c>
      <c r="P275" s="3">
        <f t="shared" si="261"/>
        <v>1.8675724725031384E-5</v>
      </c>
      <c r="Q275" s="3">
        <f t="shared" si="261"/>
        <v>1.8675724725031384E-5</v>
      </c>
      <c r="R275" s="3">
        <f t="shared" si="261"/>
        <v>1.867572472503138E-5</v>
      </c>
      <c r="S275" s="3">
        <f t="shared" si="261"/>
        <v>1.867572472503137E-5</v>
      </c>
      <c r="T275" s="3">
        <f t="shared" si="261"/>
        <v>1.8675724725031265E-5</v>
      </c>
      <c r="U275" s="3">
        <f t="shared" si="261"/>
        <v>1.8675724725030188E-5</v>
      </c>
      <c r="V275" s="3">
        <f t="shared" si="261"/>
        <v>1.8675724725019424E-5</v>
      </c>
      <c r="W275" s="3">
        <f t="shared" si="261"/>
        <v>1.8675724724911776E-5</v>
      </c>
      <c r="X275" s="3">
        <f t="shared" si="261"/>
        <v>1.8675724723835299E-5</v>
      </c>
      <c r="Y275" s="3">
        <f t="shared" si="261"/>
        <v>1.867572471307055E-5</v>
      </c>
      <c r="Z275" s="3">
        <f t="shared" si="261"/>
        <v>1.8675724605423027E-5</v>
      </c>
      <c r="AA275" s="3">
        <f t="shared" si="261"/>
        <v>1.8675723528947858E-5</v>
      </c>
      <c r="AB275" s="3">
        <f t="shared" si="261"/>
        <v>1.8675712764199574E-5</v>
      </c>
      <c r="AC275" s="3">
        <f t="shared" si="261"/>
        <v>1.8675605117058E-5</v>
      </c>
      <c r="AD275" s="3">
        <f t="shared" si="261"/>
        <v>1.8674528679768076E-5</v>
      </c>
      <c r="AE275" s="3">
        <f t="shared" si="261"/>
        <v>1.8663767718722376E-5</v>
      </c>
      <c r="AF275" s="3">
        <f t="shared" si="261"/>
        <v>1.8556498567097203E-5</v>
      </c>
      <c r="AG275" s="3"/>
      <c r="AH275" s="3"/>
    </row>
    <row r="276" spans="1:34" x14ac:dyDescent="0.25">
      <c r="B276" s="3">
        <f t="shared" ref="B276:AF276" si="262">$C45*EXP(-B$246/$A45/EXP(-$E$126))</f>
        <v>6.5581020384023116E-8</v>
      </c>
      <c r="C276" s="3">
        <f t="shared" si="262"/>
        <v>6.5581020384023116E-8</v>
      </c>
      <c r="D276" s="3">
        <f t="shared" si="262"/>
        <v>6.5581020384023116E-8</v>
      </c>
      <c r="E276" s="3">
        <f t="shared" si="262"/>
        <v>6.5581020384023116E-8</v>
      </c>
      <c r="F276" s="3">
        <f t="shared" si="262"/>
        <v>6.5581020384023116E-8</v>
      </c>
      <c r="G276" s="3">
        <f t="shared" si="262"/>
        <v>6.5581020384023116E-8</v>
      </c>
      <c r="H276" s="3">
        <f t="shared" si="262"/>
        <v>6.5581020384023116E-8</v>
      </c>
      <c r="I276" s="3">
        <f t="shared" si="262"/>
        <v>6.5581020384023116E-8</v>
      </c>
      <c r="J276" s="3">
        <f t="shared" si="262"/>
        <v>6.5581020384023116E-8</v>
      </c>
      <c r="K276" s="3">
        <f t="shared" si="262"/>
        <v>6.5581020384023116E-8</v>
      </c>
      <c r="L276" s="3">
        <f t="shared" si="262"/>
        <v>6.5581020384023116E-8</v>
      </c>
      <c r="M276" s="3">
        <f t="shared" si="262"/>
        <v>6.5581020384023116E-8</v>
      </c>
      <c r="N276" s="3">
        <f t="shared" si="262"/>
        <v>6.5581020384023116E-8</v>
      </c>
      <c r="O276" s="3">
        <f t="shared" si="262"/>
        <v>6.5581020384023116E-8</v>
      </c>
      <c r="P276" s="3">
        <f t="shared" si="262"/>
        <v>6.5581020384023116E-8</v>
      </c>
      <c r="Q276" s="3">
        <f t="shared" si="262"/>
        <v>6.5581020384023116E-8</v>
      </c>
      <c r="R276" s="3">
        <f t="shared" si="262"/>
        <v>6.5581020384023116E-8</v>
      </c>
      <c r="S276" s="3">
        <f t="shared" si="262"/>
        <v>6.5581020384023102E-8</v>
      </c>
      <c r="T276" s="3">
        <f t="shared" si="262"/>
        <v>6.5581020384023076E-8</v>
      </c>
      <c r="U276" s="3">
        <f t="shared" si="262"/>
        <v>6.5581020384022692E-8</v>
      </c>
      <c r="V276" s="3">
        <f t="shared" si="262"/>
        <v>6.558102038401892E-8</v>
      </c>
      <c r="W276" s="3">
        <f t="shared" si="262"/>
        <v>6.5581020383981108E-8</v>
      </c>
      <c r="X276" s="3">
        <f t="shared" si="262"/>
        <v>6.5581020383603106E-8</v>
      </c>
      <c r="Y276" s="3">
        <f t="shared" si="262"/>
        <v>6.5581020379822984E-8</v>
      </c>
      <c r="Z276" s="3">
        <f t="shared" si="262"/>
        <v>6.5581020342021862E-8</v>
      </c>
      <c r="AA276" s="3">
        <f t="shared" si="262"/>
        <v>6.5581019964010606E-8</v>
      </c>
      <c r="AB276" s="3">
        <f t="shared" si="262"/>
        <v>6.5581016183898134E-8</v>
      </c>
      <c r="AC276" s="3">
        <f t="shared" si="262"/>
        <v>6.5580978382785342E-8</v>
      </c>
      <c r="AD276" s="3">
        <f t="shared" si="262"/>
        <v>6.5580600372855898E-8</v>
      </c>
      <c r="AE276" s="3">
        <f t="shared" si="262"/>
        <v>6.5576820393396354E-8</v>
      </c>
      <c r="AF276" s="3">
        <f t="shared" si="262"/>
        <v>6.5539032579746273E-8</v>
      </c>
      <c r="AG276" s="3"/>
      <c r="AH276" s="3"/>
    </row>
    <row r="277" spans="1:34" x14ac:dyDescent="0.25">
      <c r="B277" s="3">
        <f t="shared" ref="B277:AF277" si="263">$C46*EXP(-B$246/$A46/EXP(-$E$126))</f>
        <v>7.3021852336235098E-8</v>
      </c>
      <c r="C277" s="3">
        <f t="shared" si="263"/>
        <v>7.3021852336235098E-8</v>
      </c>
      <c r="D277" s="3">
        <f t="shared" si="263"/>
        <v>7.3021852336235098E-8</v>
      </c>
      <c r="E277" s="3">
        <f t="shared" si="263"/>
        <v>7.3021852336235098E-8</v>
      </c>
      <c r="F277" s="3">
        <f t="shared" si="263"/>
        <v>7.3021852336235098E-8</v>
      </c>
      <c r="G277" s="3">
        <f t="shared" si="263"/>
        <v>7.3021852336235098E-8</v>
      </c>
      <c r="H277" s="3">
        <f t="shared" si="263"/>
        <v>7.3021852336235098E-8</v>
      </c>
      <c r="I277" s="3">
        <f t="shared" si="263"/>
        <v>7.3021852336235098E-8</v>
      </c>
      <c r="J277" s="3">
        <f t="shared" si="263"/>
        <v>7.3021852336235098E-8</v>
      </c>
      <c r="K277" s="3">
        <f t="shared" si="263"/>
        <v>7.3021852336235098E-8</v>
      </c>
      <c r="L277" s="3">
        <f t="shared" si="263"/>
        <v>7.3021852336235098E-8</v>
      </c>
      <c r="M277" s="3">
        <f t="shared" si="263"/>
        <v>7.3021852336235098E-8</v>
      </c>
      <c r="N277" s="3">
        <f t="shared" si="263"/>
        <v>7.3021852336235098E-8</v>
      </c>
      <c r="O277" s="3">
        <f t="shared" si="263"/>
        <v>7.3021852336235098E-8</v>
      </c>
      <c r="P277" s="3">
        <f t="shared" si="263"/>
        <v>7.3021852336235098E-8</v>
      </c>
      <c r="Q277" s="3">
        <f t="shared" si="263"/>
        <v>7.3021852336235098E-8</v>
      </c>
      <c r="R277" s="3">
        <f t="shared" si="263"/>
        <v>7.3021852336235098E-8</v>
      </c>
      <c r="S277" s="3">
        <f t="shared" si="263"/>
        <v>7.3021852336235098E-8</v>
      </c>
      <c r="T277" s="3">
        <f t="shared" si="263"/>
        <v>7.3021852336235085E-8</v>
      </c>
      <c r="U277" s="3">
        <f t="shared" si="263"/>
        <v>7.3021852336235045E-8</v>
      </c>
      <c r="V277" s="3">
        <f t="shared" si="263"/>
        <v>7.3021852336234621E-8</v>
      </c>
      <c r="W277" s="3">
        <f t="shared" si="263"/>
        <v>7.3021852336230426E-8</v>
      </c>
      <c r="X277" s="3">
        <f t="shared" si="263"/>
        <v>7.3021852336188326E-8</v>
      </c>
      <c r="Y277" s="3">
        <f t="shared" si="263"/>
        <v>7.302185233576743E-8</v>
      </c>
      <c r="Z277" s="3">
        <f t="shared" si="263"/>
        <v>7.3021852331558417E-8</v>
      </c>
      <c r="AA277" s="3">
        <f t="shared" si="263"/>
        <v>7.3021852289468384E-8</v>
      </c>
      <c r="AB277" s="3">
        <f t="shared" si="263"/>
        <v>7.3021851868567905E-8</v>
      </c>
      <c r="AC277" s="3">
        <f t="shared" si="263"/>
        <v>7.3021847659563332E-8</v>
      </c>
      <c r="AD277" s="3">
        <f t="shared" si="263"/>
        <v>7.3021805569530883E-8</v>
      </c>
      <c r="AE277" s="3">
        <f t="shared" si="263"/>
        <v>7.3021384670540774E-8</v>
      </c>
      <c r="AF277" s="3">
        <f t="shared" si="263"/>
        <v>7.3017175814071134E-8</v>
      </c>
      <c r="AG277" s="3"/>
      <c r="AH277" s="3"/>
    </row>
    <row r="278" spans="1:34" x14ac:dyDescent="0.25">
      <c r="B278" s="3">
        <f t="shared" ref="B278:AF278" si="264">$C47*EXP(-B$246/$A47/EXP(-$E$126))</f>
        <v>1.1629614521313135E-6</v>
      </c>
      <c r="C278" s="3">
        <f t="shared" si="264"/>
        <v>1.1629614521313135E-6</v>
      </c>
      <c r="D278" s="3">
        <f t="shared" si="264"/>
        <v>1.1629614521313135E-6</v>
      </c>
      <c r="E278" s="3">
        <f t="shared" si="264"/>
        <v>1.1629614521313135E-6</v>
      </c>
      <c r="F278" s="3">
        <f t="shared" si="264"/>
        <v>1.1629614521313135E-6</v>
      </c>
      <c r="G278" s="3">
        <f t="shared" si="264"/>
        <v>1.1629614521313135E-6</v>
      </c>
      <c r="H278" s="3">
        <f t="shared" si="264"/>
        <v>1.1629614521313135E-6</v>
      </c>
      <c r="I278" s="3">
        <f t="shared" si="264"/>
        <v>1.1629614521313135E-6</v>
      </c>
      <c r="J278" s="3">
        <f t="shared" si="264"/>
        <v>1.1629614521313135E-6</v>
      </c>
      <c r="K278" s="3">
        <f t="shared" si="264"/>
        <v>1.1629614521313135E-6</v>
      </c>
      <c r="L278" s="3">
        <f t="shared" si="264"/>
        <v>1.1629614521313135E-6</v>
      </c>
      <c r="M278" s="3">
        <f t="shared" si="264"/>
        <v>1.1629614521313135E-6</v>
      </c>
      <c r="N278" s="3">
        <f t="shared" si="264"/>
        <v>1.1629614521313135E-6</v>
      </c>
      <c r="O278" s="3">
        <f t="shared" si="264"/>
        <v>1.1629614521313135E-6</v>
      </c>
      <c r="P278" s="3">
        <f t="shared" si="264"/>
        <v>1.1629614521313135E-6</v>
      </c>
      <c r="Q278" s="3">
        <f t="shared" si="264"/>
        <v>1.1629614521313135E-6</v>
      </c>
      <c r="R278" s="3">
        <f t="shared" si="264"/>
        <v>1.1629614521313135E-6</v>
      </c>
      <c r="S278" s="3">
        <f t="shared" si="264"/>
        <v>1.1629614521313135E-6</v>
      </c>
      <c r="T278" s="3">
        <f t="shared" si="264"/>
        <v>1.1629614521313135E-6</v>
      </c>
      <c r="U278" s="3">
        <f t="shared" si="264"/>
        <v>1.1629614521313132E-6</v>
      </c>
      <c r="V278" s="3">
        <f t="shared" si="264"/>
        <v>1.1629614521313126E-6</v>
      </c>
      <c r="W278" s="3">
        <f t="shared" si="264"/>
        <v>1.162961452131306E-6</v>
      </c>
      <c r="X278" s="3">
        <f t="shared" si="264"/>
        <v>1.1629614521312389E-6</v>
      </c>
      <c r="Y278" s="3">
        <f t="shared" si="264"/>
        <v>1.1629614521305685E-6</v>
      </c>
      <c r="Z278" s="3">
        <f t="shared" si="264"/>
        <v>1.1629614521238653E-6</v>
      </c>
      <c r="AA278" s="3">
        <f t="shared" si="264"/>
        <v>1.1629614520568317E-6</v>
      </c>
      <c r="AB278" s="3">
        <f t="shared" si="264"/>
        <v>1.1629614513864968E-6</v>
      </c>
      <c r="AC278" s="3">
        <f t="shared" si="264"/>
        <v>1.1629614446831469E-6</v>
      </c>
      <c r="AD278" s="3">
        <f t="shared" si="264"/>
        <v>1.1629613776496504E-6</v>
      </c>
      <c r="AE278" s="3">
        <f t="shared" si="264"/>
        <v>1.1629607073148989E-6</v>
      </c>
      <c r="AF278" s="3">
        <f t="shared" si="264"/>
        <v>1.162954003988633E-6</v>
      </c>
      <c r="AG278" s="3"/>
      <c r="AH278" s="3"/>
    </row>
    <row r="279" spans="1:34" x14ac:dyDescent="0.25">
      <c r="B279" s="3">
        <f t="shared" ref="B279:AF279" si="265">$C48*EXP(-B$246/$A48/EXP(-$E$126))</f>
        <v>4.9365030271996854E-7</v>
      </c>
      <c r="C279" s="3">
        <f t="shared" si="265"/>
        <v>4.9365030271996854E-7</v>
      </c>
      <c r="D279" s="3">
        <f t="shared" si="265"/>
        <v>4.9365030271996854E-7</v>
      </c>
      <c r="E279" s="3">
        <f t="shared" si="265"/>
        <v>4.9365030271996854E-7</v>
      </c>
      <c r="F279" s="3">
        <f t="shared" si="265"/>
        <v>4.9365030271996854E-7</v>
      </c>
      <c r="G279" s="3">
        <f t="shared" si="265"/>
        <v>4.9365030271996854E-7</v>
      </c>
      <c r="H279" s="3">
        <f t="shared" si="265"/>
        <v>4.9365030271996854E-7</v>
      </c>
      <c r="I279" s="3">
        <f t="shared" si="265"/>
        <v>4.9365030271996854E-7</v>
      </c>
      <c r="J279" s="3">
        <f t="shared" si="265"/>
        <v>4.9365030271996854E-7</v>
      </c>
      <c r="K279" s="3">
        <f t="shared" si="265"/>
        <v>4.9365030271996854E-7</v>
      </c>
      <c r="L279" s="3">
        <f t="shared" si="265"/>
        <v>4.9365030271996854E-7</v>
      </c>
      <c r="M279" s="3">
        <f t="shared" si="265"/>
        <v>4.9365030271996854E-7</v>
      </c>
      <c r="N279" s="3">
        <f t="shared" si="265"/>
        <v>4.9365030271996854E-7</v>
      </c>
      <c r="O279" s="3">
        <f t="shared" si="265"/>
        <v>4.9365030271996854E-7</v>
      </c>
      <c r="P279" s="3">
        <f t="shared" si="265"/>
        <v>4.9365030271996854E-7</v>
      </c>
      <c r="Q279" s="3">
        <f t="shared" si="265"/>
        <v>4.9365030271996854E-7</v>
      </c>
      <c r="R279" s="3">
        <f t="shared" si="265"/>
        <v>4.9365030271996854E-7</v>
      </c>
      <c r="S279" s="3">
        <f t="shared" si="265"/>
        <v>4.9365030271996854E-7</v>
      </c>
      <c r="T279" s="3">
        <f t="shared" si="265"/>
        <v>4.9365030271996854E-7</v>
      </c>
      <c r="U279" s="3">
        <f t="shared" si="265"/>
        <v>4.9365030271996854E-7</v>
      </c>
      <c r="V279" s="3">
        <f t="shared" si="265"/>
        <v>4.9365030271996844E-7</v>
      </c>
      <c r="W279" s="3">
        <f t="shared" si="265"/>
        <v>4.9365030271996822E-7</v>
      </c>
      <c r="X279" s="3">
        <f t="shared" si="265"/>
        <v>4.9365030271996537E-7</v>
      </c>
      <c r="Y279" s="3">
        <f t="shared" si="265"/>
        <v>4.9365030271993688E-7</v>
      </c>
      <c r="Z279" s="3">
        <f t="shared" si="265"/>
        <v>4.9365030271965239E-7</v>
      </c>
      <c r="AA279" s="3">
        <f t="shared" si="265"/>
        <v>4.9365030271680699E-7</v>
      </c>
      <c r="AB279" s="3">
        <f t="shared" si="265"/>
        <v>4.9365030268835272E-7</v>
      </c>
      <c r="AC279" s="3">
        <f t="shared" si="265"/>
        <v>4.9365030240381106E-7</v>
      </c>
      <c r="AD279" s="3">
        <f t="shared" si="265"/>
        <v>4.9365029955839371E-7</v>
      </c>
      <c r="AE279" s="3">
        <f t="shared" si="265"/>
        <v>4.9365027110422122E-7</v>
      </c>
      <c r="AF279" s="3">
        <f t="shared" si="265"/>
        <v>4.9364998656258613E-7</v>
      </c>
      <c r="AG279" s="3"/>
      <c r="AH279" s="3"/>
    </row>
    <row r="280" spans="1:34" x14ac:dyDescent="0.25">
      <c r="A280" s="80">
        <f>AVERAGE(B280:AF280)</f>
        <v>5.9105078559577176E-3</v>
      </c>
      <c r="B280" s="81">
        <f>IF($D$61&lt;=B246,IF($E$61&gt;=B246,ABS((B248-B247)/B247),0),0)</f>
        <v>3.7368993913636979E-5</v>
      </c>
      <c r="C280" s="81">
        <f t="shared" ref="C280:AF280" si="266">IF($D$61&lt;=C246,IF($E$61&gt;=C246,ABS((C248-C247)/C247),0),0)</f>
        <v>1.232763968279696E-3</v>
      </c>
      <c r="D280" s="81">
        <f t="shared" si="266"/>
        <v>1.2327278937395358E-3</v>
      </c>
      <c r="E280" s="81">
        <f t="shared" si="266"/>
        <v>1.2315858465733135E-3</v>
      </c>
      <c r="F280" s="81">
        <f t="shared" si="266"/>
        <v>1.2312453776692994E-3</v>
      </c>
      <c r="G280" s="81">
        <f t="shared" si="266"/>
        <v>1.2311744944881525E-3</v>
      </c>
      <c r="H280" s="81">
        <f t="shared" si="266"/>
        <v>1.2315442184155294E-3</v>
      </c>
      <c r="I280" s="81">
        <f t="shared" si="266"/>
        <v>1.2357931023819655E-3</v>
      </c>
      <c r="J280" s="81">
        <f t="shared" si="266"/>
        <v>1.2780170572482554E-3</v>
      </c>
      <c r="K280" s="81">
        <f t="shared" si="266"/>
        <v>1.6750108651115267E-3</v>
      </c>
      <c r="L280" s="81">
        <f t="shared" si="266"/>
        <v>3.921121214564385E-3</v>
      </c>
      <c r="M280" s="81">
        <f t="shared" si="266"/>
        <v>5.3204578617165668E-3</v>
      </c>
      <c r="N280" s="81">
        <f t="shared" si="266"/>
        <v>7.0453188525160786E-3</v>
      </c>
      <c r="O280" s="81">
        <f t="shared" si="266"/>
        <v>7.9437390293225392E-3</v>
      </c>
      <c r="P280" s="81">
        <f t="shared" si="266"/>
        <v>9.6288452500812895E-3</v>
      </c>
      <c r="Q280" s="81">
        <f t="shared" si="266"/>
        <v>1.1032504291402755E-2</v>
      </c>
      <c r="R280" s="81">
        <f t="shared" si="266"/>
        <v>1.2420008682067748E-2</v>
      </c>
      <c r="S280" s="81">
        <f t="shared" si="266"/>
        <v>1.0003221921721071E-2</v>
      </c>
      <c r="T280" s="81">
        <f t="shared" si="266"/>
        <v>4.5350794137944597E-3</v>
      </c>
      <c r="U280" s="81">
        <f t="shared" si="266"/>
        <v>1.7665346870335413E-2</v>
      </c>
      <c r="V280" s="81">
        <f t="shared" si="266"/>
        <v>3.0345551145385459E-2</v>
      </c>
      <c r="W280" s="81">
        <f t="shared" si="266"/>
        <v>2.6650621469683153E-2</v>
      </c>
      <c r="X280" s="81">
        <f t="shared" si="266"/>
        <v>6.1754500764145811E-3</v>
      </c>
      <c r="Y280" s="81">
        <f t="shared" si="266"/>
        <v>1.8921245637862849E-2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4.9011169204204563E-2</v>
      </c>
      <c r="C281" s="21">
        <f t="shared" ref="C281:AF281" si="267">(C248-C247)^2</f>
        <v>53.338094622481897</v>
      </c>
      <c r="D281" s="21">
        <f t="shared" si="267"/>
        <v>53.334569266498299</v>
      </c>
      <c r="E281" s="21">
        <f t="shared" si="267"/>
        <v>53.235670767151831</v>
      </c>
      <c r="F281" s="21">
        <f t="shared" si="267"/>
        <v>53.206203988224509</v>
      </c>
      <c r="G281" s="21">
        <f t="shared" si="267"/>
        <v>53.200062120299648</v>
      </c>
      <c r="H281" s="21">
        <f t="shared" si="267"/>
        <v>53.231975457650371</v>
      </c>
      <c r="I281" s="21">
        <f t="shared" si="267"/>
        <v>53.59953497940969</v>
      </c>
      <c r="J281" s="21">
        <f t="shared" si="267"/>
        <v>57.320774509163748</v>
      </c>
      <c r="K281" s="21">
        <f t="shared" si="267"/>
        <v>98.393997930257015</v>
      </c>
      <c r="L281" s="21">
        <f t="shared" si="267"/>
        <v>535.67156825068332</v>
      </c>
      <c r="M281" s="21">
        <f t="shared" si="267"/>
        <v>948.57237244480268</v>
      </c>
      <c r="N281" s="21">
        <f t="shared" si="267"/>
        <v>1583.259203677381</v>
      </c>
      <c r="O281" s="21">
        <f t="shared" si="267"/>
        <v>1904.0655895608122</v>
      </c>
      <c r="P281" s="21">
        <f t="shared" si="267"/>
        <v>2614.3616695612654</v>
      </c>
      <c r="Q281" s="21">
        <f t="shared" si="267"/>
        <v>3186.8761221457244</v>
      </c>
      <c r="R281" s="21">
        <f t="shared" si="267"/>
        <v>3687.1020690491059</v>
      </c>
      <c r="S281" s="21">
        <f t="shared" si="267"/>
        <v>2116.5729984993332</v>
      </c>
      <c r="T281" s="21">
        <f t="shared" si="267"/>
        <v>375.41541781256944</v>
      </c>
      <c r="U281" s="21">
        <f t="shared" si="267"/>
        <v>4847.1851471732925</v>
      </c>
      <c r="V281" s="21">
        <f t="shared" si="267"/>
        <v>11990.637756564607</v>
      </c>
      <c r="W281" s="21">
        <f t="shared" si="267"/>
        <v>7560.1084410536614</v>
      </c>
      <c r="X281" s="21">
        <f t="shared" si="267"/>
        <v>307.87602406385275</v>
      </c>
      <c r="Y281" s="21">
        <f t="shared" si="267"/>
        <v>1977.8035603953624</v>
      </c>
      <c r="Z281" s="21">
        <f t="shared" si="267"/>
        <v>10717.873615745768</v>
      </c>
      <c r="AA281" s="21">
        <f t="shared" si="267"/>
        <v>10710.074256920285</v>
      </c>
      <c r="AB281" s="21">
        <f t="shared" si="267"/>
        <v>6361.5911650664548</v>
      </c>
      <c r="AC281" s="21">
        <f t="shared" si="267"/>
        <v>1237.5574424708793</v>
      </c>
      <c r="AD281" s="21">
        <f t="shared" si="267"/>
        <v>525.82095229803383</v>
      </c>
      <c r="AE281" s="21">
        <f t="shared" si="267"/>
        <v>91.42269837512309</v>
      </c>
      <c r="AF281" s="21">
        <f t="shared" si="267"/>
        <v>0.79481799752838023</v>
      </c>
      <c r="AG281" s="3"/>
      <c r="AH281" s="3"/>
    </row>
    <row r="282" spans="1:34" s="3" customFormat="1" x14ac:dyDescent="0.25">
      <c r="A282" s="72">
        <f>SUM(B282:AF282)</f>
        <v>44164.417835062799</v>
      </c>
      <c r="B282" s="21">
        <f>IF($D$61&lt;=B246,IF($E$61&gt;=B246,ABS(B281),0),0)</f>
        <v>4.9011169204204563E-2</v>
      </c>
      <c r="C282" s="21">
        <f t="shared" ref="C282:AF282" si="268">IF($D$61&lt;=C246,IF($E$61&gt;=C246,ABS(C281),0),0)</f>
        <v>53.338094622481897</v>
      </c>
      <c r="D282" s="21">
        <f t="shared" si="268"/>
        <v>53.334569266498299</v>
      </c>
      <c r="E282" s="21">
        <f t="shared" si="268"/>
        <v>53.235670767151831</v>
      </c>
      <c r="F282" s="21">
        <f t="shared" si="268"/>
        <v>53.206203988224509</v>
      </c>
      <c r="G282" s="21">
        <f t="shared" si="268"/>
        <v>53.200062120299648</v>
      </c>
      <c r="H282" s="21">
        <f t="shared" si="268"/>
        <v>53.231975457650371</v>
      </c>
      <c r="I282" s="21">
        <f t="shared" si="268"/>
        <v>53.59953497940969</v>
      </c>
      <c r="J282" s="21">
        <f t="shared" si="268"/>
        <v>57.320774509163748</v>
      </c>
      <c r="K282" s="21">
        <f t="shared" si="268"/>
        <v>98.393997930257015</v>
      </c>
      <c r="L282" s="21">
        <f t="shared" si="268"/>
        <v>535.67156825068332</v>
      </c>
      <c r="M282" s="21">
        <f t="shared" si="268"/>
        <v>948.57237244480268</v>
      </c>
      <c r="N282" s="21">
        <f t="shared" si="268"/>
        <v>1583.259203677381</v>
      </c>
      <c r="O282" s="21">
        <f t="shared" si="268"/>
        <v>1904.0655895608122</v>
      </c>
      <c r="P282" s="21">
        <f t="shared" si="268"/>
        <v>2614.3616695612654</v>
      </c>
      <c r="Q282" s="21">
        <f t="shared" si="268"/>
        <v>3186.8761221457244</v>
      </c>
      <c r="R282" s="21">
        <f t="shared" si="268"/>
        <v>3687.1020690491059</v>
      </c>
      <c r="S282" s="21">
        <f t="shared" si="268"/>
        <v>2116.5729984993332</v>
      </c>
      <c r="T282" s="21">
        <f t="shared" si="268"/>
        <v>375.41541781256944</v>
      </c>
      <c r="U282" s="21">
        <f t="shared" si="268"/>
        <v>4847.1851471732925</v>
      </c>
      <c r="V282" s="21">
        <f t="shared" si="268"/>
        <v>11990.637756564607</v>
      </c>
      <c r="W282" s="21">
        <f t="shared" si="268"/>
        <v>7560.1084410536614</v>
      </c>
      <c r="X282" s="21">
        <f t="shared" si="268"/>
        <v>307.87602406385275</v>
      </c>
      <c r="Y282" s="21">
        <f t="shared" si="268"/>
        <v>1977.8035603953624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5916.9979249744983</v>
      </c>
      <c r="C287" s="27">
        <f t="shared" ref="C287:AF287" si="269">($C$17+SUM(C288:C318))*$B$51</f>
        <v>5916.990720777826</v>
      </c>
      <c r="D287" s="27">
        <f t="shared" si="269"/>
        <v>5916.9187205831449</v>
      </c>
      <c r="E287" s="27">
        <f t="shared" si="269"/>
        <v>5916.2028711194462</v>
      </c>
      <c r="F287" s="27">
        <f t="shared" si="269"/>
        <v>5909.4360186501935</v>
      </c>
      <c r="G287" s="27">
        <f t="shared" si="269"/>
        <v>5865.2988209453461</v>
      </c>
      <c r="H287" s="27">
        <f t="shared" si="269"/>
        <v>5722.5058995875452</v>
      </c>
      <c r="I287" s="27">
        <f t="shared" si="269"/>
        <v>5576.840617548577</v>
      </c>
      <c r="J287" s="27">
        <f t="shared" si="269"/>
        <v>5410.8550690404591</v>
      </c>
      <c r="K287" s="27">
        <f t="shared" si="269"/>
        <v>5215.5803668397593</v>
      </c>
      <c r="L287" s="27">
        <f t="shared" si="269"/>
        <v>5019.3801166031581</v>
      </c>
      <c r="M287" s="27">
        <f t="shared" si="269"/>
        <v>4770.0394986192541</v>
      </c>
      <c r="N287" s="27">
        <f t="shared" si="269"/>
        <v>4503.7373969712398</v>
      </c>
      <c r="O287" s="27">
        <f t="shared" si="269"/>
        <v>4238.4336234771417</v>
      </c>
      <c r="P287" s="27">
        <f t="shared" si="269"/>
        <v>3959.7235175373148</v>
      </c>
      <c r="Q287" s="27">
        <f t="shared" si="269"/>
        <v>3658.8536482010459</v>
      </c>
      <c r="R287" s="27">
        <f t="shared" si="269"/>
        <v>3268.7216092427802</v>
      </c>
      <c r="S287" s="27">
        <f t="shared" si="269"/>
        <v>2768.6468901009921</v>
      </c>
      <c r="T287" s="27">
        <f t="shared" si="269"/>
        <v>2204.7517688622797</v>
      </c>
      <c r="U287" s="27">
        <f t="shared" si="269"/>
        <v>1586.4175763580436</v>
      </c>
      <c r="V287" s="27">
        <f t="shared" si="269"/>
        <v>1000.0167128423263</v>
      </c>
      <c r="W287" s="27">
        <f t="shared" si="269"/>
        <v>576.01479034514125</v>
      </c>
      <c r="X287" s="27">
        <f t="shared" si="269"/>
        <v>321.8042814368489</v>
      </c>
      <c r="Y287" s="27">
        <f t="shared" si="269"/>
        <v>187.87184433785228</v>
      </c>
      <c r="Z287" s="27">
        <f t="shared" si="269"/>
        <v>146.32462443929879</v>
      </c>
      <c r="AA287" s="27">
        <f t="shared" si="269"/>
        <v>132.70010417226356</v>
      </c>
      <c r="AB287" s="27">
        <f t="shared" si="269"/>
        <v>124.06541034501667</v>
      </c>
      <c r="AC287" s="27">
        <f t="shared" si="269"/>
        <v>124.00391471187362</v>
      </c>
      <c r="AD287" s="27">
        <f t="shared" si="269"/>
        <v>123.9628646014144</v>
      </c>
      <c r="AE287" s="27">
        <f t="shared" si="269"/>
        <v>123.96187009252377</v>
      </c>
      <c r="AF287" s="27">
        <f t="shared" si="269"/>
        <v>123.9577580377091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4.2262525986039882E-3</v>
      </c>
      <c r="C292" s="3">
        <f t="shared" si="274"/>
        <v>4.2255374490279178E-3</v>
      </c>
      <c r="D292" s="3">
        <f t="shared" si="274"/>
        <v>4.2183926057009959E-3</v>
      </c>
      <c r="E292" s="3">
        <f t="shared" si="274"/>
        <v>4.147605269161643E-3</v>
      </c>
      <c r="F292" s="3">
        <f t="shared" si="274"/>
        <v>3.5018829221795909E-3</v>
      </c>
      <c r="G292" s="3">
        <f t="shared" si="274"/>
        <v>6.4467921724594183E-4</v>
      </c>
      <c r="H292" s="3">
        <f t="shared" si="274"/>
        <v>2.8824656875903366E-11</v>
      </c>
      <c r="I292" s="3">
        <f t="shared" si="274"/>
        <v>9.2038367980115816E-85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3.0334333517744998E-2</v>
      </c>
      <c r="C293" s="3">
        <f t="shared" si="275"/>
        <v>3.0333870437861378E-2</v>
      </c>
      <c r="D293" s="3">
        <f t="shared" si="275"/>
        <v>3.0329240027819719E-2</v>
      </c>
      <c r="E293" s="3">
        <f t="shared" si="275"/>
        <v>3.0282974784906797E-2</v>
      </c>
      <c r="F293" s="3">
        <f t="shared" si="275"/>
        <v>2.9824186247159136E-2</v>
      </c>
      <c r="G293" s="3">
        <f t="shared" si="275"/>
        <v>2.5601728118798597E-2</v>
      </c>
      <c r="H293" s="3">
        <f t="shared" si="275"/>
        <v>5.5625773818312975E-3</v>
      </c>
      <c r="I293" s="3">
        <f t="shared" si="275"/>
        <v>1.3041991387149528E-9</v>
      </c>
      <c r="J293" s="3">
        <f t="shared" si="275"/>
        <v>6.5466985539642553E-76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2.3501583362598479E-2</v>
      </c>
      <c r="C294" s="3">
        <f t="shared" si="276"/>
        <v>2.3501550998151703E-2</v>
      </c>
      <c r="D294" s="3">
        <f t="shared" si="276"/>
        <v>2.3501227356135301E-2</v>
      </c>
      <c r="E294" s="3">
        <f t="shared" si="276"/>
        <v>2.3497991181090867E-2</v>
      </c>
      <c r="F294" s="3">
        <f t="shared" si="276"/>
        <v>2.3465653930120331E-2</v>
      </c>
      <c r="G294" s="3">
        <f t="shared" si="276"/>
        <v>2.314471893033393E-2</v>
      </c>
      <c r="H294" s="3">
        <f t="shared" si="276"/>
        <v>2.0167144378029366E-2</v>
      </c>
      <c r="I294" s="3">
        <f t="shared" si="276"/>
        <v>5.0882608953244776E-3</v>
      </c>
      <c r="J294" s="3">
        <f t="shared" si="276"/>
        <v>5.3188655064000301E-9</v>
      </c>
      <c r="K294" s="3">
        <f t="shared" si="276"/>
        <v>8.2854363427890419E-69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3.0161245316272393E-2</v>
      </c>
      <c r="C295" s="3">
        <f t="shared" si="277"/>
        <v>3.0161241569414719E-2</v>
      </c>
      <c r="D295" s="3">
        <f t="shared" si="277"/>
        <v>3.0161204100863547E-2</v>
      </c>
      <c r="E295" s="3">
        <f t="shared" si="277"/>
        <v>3.0160829417911879E-2</v>
      </c>
      <c r="F295" s="3">
        <f t="shared" si="277"/>
        <v>3.0157082844386777E-2</v>
      </c>
      <c r="G295" s="3">
        <f t="shared" si="277"/>
        <v>3.0119642696532035E-2</v>
      </c>
      <c r="H295" s="3">
        <f t="shared" si="277"/>
        <v>2.9747788235549168E-2</v>
      </c>
      <c r="I295" s="3">
        <f t="shared" si="277"/>
        <v>2.6272617163167322E-2</v>
      </c>
      <c r="J295" s="3">
        <f t="shared" si="277"/>
        <v>7.5855993318177609E-3</v>
      </c>
      <c r="K295" s="3">
        <f t="shared" si="277"/>
        <v>3.0539049952489779E-8</v>
      </c>
      <c r="L295" s="3">
        <f t="shared" si="277"/>
        <v>3.4159519145940733E-62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3.678188502257871E-2</v>
      </c>
      <c r="C296" s="3">
        <f t="shared" si="278"/>
        <v>3.6781884610387693E-2</v>
      </c>
      <c r="D296" s="3">
        <f t="shared" si="278"/>
        <v>3.6781880488477747E-2</v>
      </c>
      <c r="E296" s="3">
        <f t="shared" si="278"/>
        <v>3.6781839269403704E-2</v>
      </c>
      <c r="F296" s="3">
        <f t="shared" si="278"/>
        <v>3.678142708120382E-2</v>
      </c>
      <c r="G296" s="3">
        <f t="shared" si="278"/>
        <v>3.6777305453247068E-2</v>
      </c>
      <c r="H296" s="3">
        <f t="shared" si="278"/>
        <v>3.6736114567362872E-2</v>
      </c>
      <c r="I296" s="3">
        <f t="shared" si="278"/>
        <v>3.6326734579221288E-2</v>
      </c>
      <c r="J296" s="3">
        <f t="shared" si="278"/>
        <v>3.2475643129535374E-2</v>
      </c>
      <c r="K296" s="3">
        <f t="shared" si="278"/>
        <v>1.05894098222523E-2</v>
      </c>
      <c r="L296" s="3">
        <f t="shared" si="278"/>
        <v>1.4388373933347854E-7</v>
      </c>
      <c r="M296" s="3">
        <f t="shared" si="278"/>
        <v>3.0861093663717928E-56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3.0958488231653192E-2</v>
      </c>
      <c r="C297" s="3">
        <f t="shared" si="279"/>
        <v>3.0958488200357043E-2</v>
      </c>
      <c r="D297" s="3">
        <f t="shared" si="279"/>
        <v>3.0958487887395567E-2</v>
      </c>
      <c r="E297" s="3">
        <f t="shared" si="279"/>
        <v>3.0958484757780996E-2</v>
      </c>
      <c r="F297" s="3">
        <f t="shared" si="279"/>
        <v>3.0958453461652699E-2</v>
      </c>
      <c r="G297" s="3">
        <f t="shared" si="279"/>
        <v>3.0958140502109762E-2</v>
      </c>
      <c r="H297" s="3">
        <f t="shared" si="279"/>
        <v>3.0955011080679381E-2</v>
      </c>
      <c r="I297" s="3">
        <f t="shared" si="279"/>
        <v>3.0923734259765401E-2</v>
      </c>
      <c r="J297" s="3">
        <f t="shared" si="279"/>
        <v>3.0612698901419089E-2</v>
      </c>
      <c r="K297" s="3">
        <f t="shared" si="279"/>
        <v>2.7669320473625053E-2</v>
      </c>
      <c r="L297" s="3">
        <f t="shared" si="279"/>
        <v>1.0068556917893238E-2</v>
      </c>
      <c r="M297" s="3">
        <f t="shared" si="279"/>
        <v>4.0987798202733275E-7</v>
      </c>
      <c r="N297" s="3">
        <f t="shared" si="279"/>
        <v>5.1230452046345966E-51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5.2155951905118507E-2</v>
      </c>
      <c r="C298" s="3">
        <f t="shared" si="280"/>
        <v>5.2155951900362284E-2</v>
      </c>
      <c r="D298" s="3">
        <f t="shared" si="280"/>
        <v>5.2155951852800128E-2</v>
      </c>
      <c r="E298" s="3">
        <f t="shared" si="280"/>
        <v>5.2155951377178489E-2</v>
      </c>
      <c r="F298" s="3">
        <f t="shared" si="280"/>
        <v>5.215594662096238E-2</v>
      </c>
      <c r="G298" s="3">
        <f t="shared" si="280"/>
        <v>5.2155899058825131E-2</v>
      </c>
      <c r="H298" s="3">
        <f t="shared" si="280"/>
        <v>5.2155423439838131E-2</v>
      </c>
      <c r="I298" s="3">
        <f t="shared" si="280"/>
        <v>5.2150667488510612E-2</v>
      </c>
      <c r="J298" s="3">
        <f t="shared" si="280"/>
        <v>5.2103131821437228E-2</v>
      </c>
      <c r="K298" s="3">
        <f t="shared" si="280"/>
        <v>5.1630151744496186E-2</v>
      </c>
      <c r="L298" s="3">
        <f t="shared" si="280"/>
        <v>4.7130183325464182E-2</v>
      </c>
      <c r="M298" s="3">
        <f t="shared" si="280"/>
        <v>1.8934611776516872E-2</v>
      </c>
      <c r="N298" s="3">
        <f t="shared" si="280"/>
        <v>2.0740974846932566E-6</v>
      </c>
      <c r="O298" s="3">
        <f t="shared" si="280"/>
        <v>5.1588958771473417E-46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4.3160709564030002E-2</v>
      </c>
      <c r="C299" s="3">
        <f t="shared" si="281"/>
        <v>4.3160709563674945E-2</v>
      </c>
      <c r="D299" s="3">
        <f t="shared" si="281"/>
        <v>4.3160709560124418E-2</v>
      </c>
      <c r="E299" s="3">
        <f t="shared" si="281"/>
        <v>4.3160709524619145E-2</v>
      </c>
      <c r="F299" s="3">
        <f t="shared" si="281"/>
        <v>4.316070916956638E-2</v>
      </c>
      <c r="G299" s="3">
        <f t="shared" si="281"/>
        <v>4.3160705619038946E-2</v>
      </c>
      <c r="H299" s="3">
        <f t="shared" si="281"/>
        <v>4.3160670113780678E-2</v>
      </c>
      <c r="I299" s="3">
        <f t="shared" si="281"/>
        <v>4.316031506280435E-2</v>
      </c>
      <c r="J299" s="3">
        <f t="shared" si="281"/>
        <v>4.3156764713677971E-2</v>
      </c>
      <c r="K299" s="3">
        <f t="shared" si="281"/>
        <v>4.3121277281212247E-2</v>
      </c>
      <c r="L299" s="3">
        <f t="shared" si="281"/>
        <v>4.2768003959233622E-2</v>
      </c>
      <c r="M299" s="3">
        <f t="shared" si="281"/>
        <v>3.9390603364330576E-2</v>
      </c>
      <c r="N299" s="3">
        <f t="shared" si="281"/>
        <v>1.7303308405698194E-2</v>
      </c>
      <c r="O299" s="3">
        <f t="shared" si="281"/>
        <v>4.629075903388145E-6</v>
      </c>
      <c r="P299" s="3">
        <f t="shared" si="281"/>
        <v>8.6925227715001106E-42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4.9762672836982748E-2</v>
      </c>
      <c r="C300" s="3">
        <f t="shared" si="282"/>
        <v>4.9762672836945826E-2</v>
      </c>
      <c r="D300" s="3">
        <f t="shared" si="282"/>
        <v>4.9762672836576545E-2</v>
      </c>
      <c r="E300" s="3">
        <f t="shared" si="282"/>
        <v>4.9762672832883756E-2</v>
      </c>
      <c r="F300" s="3">
        <f t="shared" si="282"/>
        <v>4.9762672795955858E-2</v>
      </c>
      <c r="G300" s="3">
        <f t="shared" si="282"/>
        <v>4.9762672426676861E-2</v>
      </c>
      <c r="H300" s="3">
        <f t="shared" si="282"/>
        <v>4.9762668733887051E-2</v>
      </c>
      <c r="I300" s="3">
        <f t="shared" si="282"/>
        <v>4.9762631806004008E-2</v>
      </c>
      <c r="J300" s="3">
        <f t="shared" si="282"/>
        <v>4.9762262528680837E-2</v>
      </c>
      <c r="K300" s="3">
        <f t="shared" si="282"/>
        <v>4.9758569906163549E-2</v>
      </c>
      <c r="L300" s="3">
        <f t="shared" si="282"/>
        <v>4.9721658748300604E-2</v>
      </c>
      <c r="M300" s="3">
        <f t="shared" si="282"/>
        <v>4.9354049771835731E-2</v>
      </c>
      <c r="N300" s="3">
        <f t="shared" si="282"/>
        <v>4.5824175149947653E-2</v>
      </c>
      <c r="O300" s="3">
        <f t="shared" si="282"/>
        <v>2.1817916315661538E-2</v>
      </c>
      <c r="P300" s="3">
        <f t="shared" si="282"/>
        <v>1.306169160355306E-5</v>
      </c>
      <c r="Q300" s="3">
        <f t="shared" si="282"/>
        <v>7.7243325747010073E-38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4.7420297810237301E-2</v>
      </c>
      <c r="C301" s="3">
        <f t="shared" si="283"/>
        <v>4.742029781023413E-2</v>
      </c>
      <c r="D301" s="3">
        <f t="shared" si="283"/>
        <v>4.7420297810202384E-2</v>
      </c>
      <c r="E301" s="3">
        <f t="shared" si="283"/>
        <v>4.7420297809884944E-2</v>
      </c>
      <c r="F301" s="3">
        <f t="shared" si="283"/>
        <v>4.7420297806710539E-2</v>
      </c>
      <c r="G301" s="3">
        <f t="shared" si="283"/>
        <v>4.7420297774966529E-2</v>
      </c>
      <c r="H301" s="3">
        <f t="shared" si="283"/>
        <v>4.742029745752644E-2</v>
      </c>
      <c r="I301" s="3">
        <f t="shared" si="283"/>
        <v>4.7420294283125643E-2</v>
      </c>
      <c r="J301" s="3">
        <f t="shared" si="283"/>
        <v>4.7420262539129336E-2</v>
      </c>
      <c r="K301" s="3">
        <f t="shared" si="283"/>
        <v>4.7419945100335044E-2</v>
      </c>
      <c r="L301" s="3">
        <f t="shared" si="283"/>
        <v>4.7416770829263988E-2</v>
      </c>
      <c r="M301" s="3">
        <f t="shared" si="283"/>
        <v>4.7385039802846779E-2</v>
      </c>
      <c r="N301" s="3">
        <f t="shared" si="283"/>
        <v>4.7068895079167478E-2</v>
      </c>
      <c r="O301" s="3">
        <f t="shared" si="283"/>
        <v>4.4021165990545182E-2</v>
      </c>
      <c r="P301" s="3">
        <f t="shared" si="283"/>
        <v>2.2539118215472342E-2</v>
      </c>
      <c r="Q301" s="3">
        <f t="shared" si="283"/>
        <v>2.7905558565937624E-5</v>
      </c>
      <c r="R301" s="3">
        <f t="shared" si="283"/>
        <v>2.3617216184162193E-34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5.5060707858971457E-2</v>
      </c>
      <c r="C302" s="3">
        <f t="shared" si="284"/>
        <v>5.5060707858971124E-2</v>
      </c>
      <c r="D302" s="3">
        <f t="shared" si="284"/>
        <v>5.50607078589678E-2</v>
      </c>
      <c r="E302" s="3">
        <f t="shared" si="284"/>
        <v>5.5060707858934542E-2</v>
      </c>
      <c r="F302" s="3">
        <f t="shared" si="284"/>
        <v>5.5060707858602051E-2</v>
      </c>
      <c r="G302" s="3">
        <f t="shared" si="284"/>
        <v>5.5060707855277093E-2</v>
      </c>
      <c r="H302" s="3">
        <f t="shared" si="284"/>
        <v>5.5060707822027537E-2</v>
      </c>
      <c r="I302" s="3">
        <f t="shared" si="284"/>
        <v>5.5060707489531957E-2</v>
      </c>
      <c r="J302" s="3">
        <f t="shared" si="284"/>
        <v>5.5060704164576237E-2</v>
      </c>
      <c r="K302" s="3">
        <f t="shared" si="284"/>
        <v>5.5060670915030099E-2</v>
      </c>
      <c r="L302" s="3">
        <f t="shared" si="284"/>
        <v>5.5060338420673025E-2</v>
      </c>
      <c r="M302" s="3">
        <f t="shared" si="284"/>
        <v>5.5057013587531005E-2</v>
      </c>
      <c r="N302" s="3">
        <f t="shared" si="284"/>
        <v>5.5023776296511874E-2</v>
      </c>
      <c r="O302" s="3">
        <f t="shared" si="284"/>
        <v>5.4692504963625509E-2</v>
      </c>
      <c r="P302" s="3">
        <f t="shared" si="284"/>
        <v>5.1487527337699665E-2</v>
      </c>
      <c r="Q302" s="3">
        <f t="shared" si="284"/>
        <v>2.81477861088235E-2</v>
      </c>
      <c r="R302" s="3">
        <f t="shared" si="284"/>
        <v>6.7122219533485451E-5</v>
      </c>
      <c r="S302" s="3">
        <f t="shared" si="284"/>
        <v>3.9910482256445926E-31</v>
      </c>
      <c r="T302" s="3">
        <f t="shared" si="284"/>
        <v>2.20441644689454E-293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8.2774016803130734E-2</v>
      </c>
      <c r="C303" s="3">
        <f t="shared" si="285"/>
        <v>8.2774016803130707E-2</v>
      </c>
      <c r="D303" s="3">
        <f t="shared" si="285"/>
        <v>8.2774016803130249E-2</v>
      </c>
      <c r="E303" s="3">
        <f t="shared" si="285"/>
        <v>8.2774016803125738E-2</v>
      </c>
      <c r="F303" s="3">
        <f t="shared" si="285"/>
        <v>8.2774016803080649E-2</v>
      </c>
      <c r="G303" s="3">
        <f t="shared" si="285"/>
        <v>8.2774016802629746E-2</v>
      </c>
      <c r="H303" s="3">
        <f t="shared" si="285"/>
        <v>8.2774016798120686E-2</v>
      </c>
      <c r="I303" s="3">
        <f t="shared" si="285"/>
        <v>8.2774016753030227E-2</v>
      </c>
      <c r="J303" s="3">
        <f t="shared" si="285"/>
        <v>8.277401630212558E-2</v>
      </c>
      <c r="K303" s="3">
        <f t="shared" si="285"/>
        <v>8.2774011793079236E-2</v>
      </c>
      <c r="L303" s="3">
        <f t="shared" si="285"/>
        <v>8.2773966702629348E-2</v>
      </c>
      <c r="M303" s="3">
        <f t="shared" si="285"/>
        <v>8.2773515799481279E-2</v>
      </c>
      <c r="N303" s="3">
        <f t="shared" si="285"/>
        <v>8.2769006903092246E-2</v>
      </c>
      <c r="O303" s="3">
        <f t="shared" si="285"/>
        <v>8.2723931445639873E-2</v>
      </c>
      <c r="P303" s="3">
        <f t="shared" si="285"/>
        <v>8.22745247965945E-2</v>
      </c>
      <c r="Q303" s="3">
        <f t="shared" si="285"/>
        <v>7.7912573182847014E-2</v>
      </c>
      <c r="R303" s="3">
        <f t="shared" si="285"/>
        <v>4.518863266674502E-2</v>
      </c>
      <c r="S303" s="3">
        <f t="shared" si="285"/>
        <v>1.9464610928094774E-4</v>
      </c>
      <c r="T303" s="3">
        <f t="shared" si="285"/>
        <v>4.2796770109542384E-28</v>
      </c>
      <c r="U303" s="3">
        <f t="shared" si="285"/>
        <v>1.1299615372683819E-264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9.2826583311544017E-2</v>
      </c>
      <c r="C304" s="3">
        <f t="shared" si="286"/>
        <v>9.2826583311544017E-2</v>
      </c>
      <c r="D304" s="3">
        <f t="shared" si="286"/>
        <v>9.2826583311543961E-2</v>
      </c>
      <c r="E304" s="3">
        <f t="shared" si="286"/>
        <v>9.2826583311543517E-2</v>
      </c>
      <c r="F304" s="3">
        <f t="shared" si="286"/>
        <v>9.2826583311538952E-2</v>
      </c>
      <c r="G304" s="3">
        <f t="shared" si="286"/>
        <v>9.2826583311493335E-2</v>
      </c>
      <c r="H304" s="3">
        <f t="shared" si="286"/>
        <v>9.2826583311037172E-2</v>
      </c>
      <c r="I304" s="3">
        <f t="shared" si="286"/>
        <v>9.2826583306475668E-2</v>
      </c>
      <c r="J304" s="3">
        <f t="shared" si="286"/>
        <v>9.2826583260860449E-2</v>
      </c>
      <c r="K304" s="3">
        <f t="shared" si="286"/>
        <v>9.2826582804708402E-2</v>
      </c>
      <c r="L304" s="3">
        <f t="shared" si="286"/>
        <v>9.2826578243187949E-2</v>
      </c>
      <c r="M304" s="3">
        <f t="shared" si="286"/>
        <v>9.2826532627995825E-2</v>
      </c>
      <c r="N304" s="3">
        <f t="shared" si="286"/>
        <v>9.2826076477307423E-2</v>
      </c>
      <c r="O304" s="3">
        <f t="shared" si="286"/>
        <v>9.2821515093705662E-2</v>
      </c>
      <c r="P304" s="3">
        <f t="shared" si="286"/>
        <v>9.2775913583679717E-2</v>
      </c>
      <c r="Q304" s="3">
        <f t="shared" si="286"/>
        <v>9.2321128844427169E-2</v>
      </c>
      <c r="R304" s="3">
        <f t="shared" si="286"/>
        <v>8.7894109623775363E-2</v>
      </c>
      <c r="S304" s="3">
        <f t="shared" si="286"/>
        <v>5.3770790391122897E-2</v>
      </c>
      <c r="T304" s="3">
        <f t="shared" si="286"/>
        <v>3.9483251767870363E-4</v>
      </c>
      <c r="U304" s="3">
        <f t="shared" si="286"/>
        <v>1.7991933675226139E-25</v>
      </c>
      <c r="V304" s="3">
        <f t="shared" si="286"/>
        <v>6.9458775767151188E-239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0.10795546608785625</v>
      </c>
      <c r="C305" s="3">
        <f t="shared" si="287"/>
        <v>0.10795546608785625</v>
      </c>
      <c r="D305" s="3">
        <f t="shared" si="287"/>
        <v>0.10795546608785625</v>
      </c>
      <c r="E305" s="3">
        <f t="shared" si="287"/>
        <v>0.10795546608785621</v>
      </c>
      <c r="F305" s="3">
        <f t="shared" si="287"/>
        <v>0.10795546608785572</v>
      </c>
      <c r="G305" s="3">
        <f t="shared" si="287"/>
        <v>0.10795546608785093</v>
      </c>
      <c r="H305" s="3">
        <f t="shared" si="287"/>
        <v>0.10795546608780308</v>
      </c>
      <c r="I305" s="3">
        <f t="shared" si="287"/>
        <v>0.10795546608732452</v>
      </c>
      <c r="J305" s="3">
        <f t="shared" si="287"/>
        <v>0.10795546608253902</v>
      </c>
      <c r="K305" s="3">
        <f t="shared" si="287"/>
        <v>0.10795546603468389</v>
      </c>
      <c r="L305" s="3">
        <f t="shared" si="287"/>
        <v>0.10795546555613258</v>
      </c>
      <c r="M305" s="3">
        <f t="shared" si="287"/>
        <v>0.1079554607706197</v>
      </c>
      <c r="N305" s="3">
        <f t="shared" si="287"/>
        <v>0.1079554129155026</v>
      </c>
      <c r="O305" s="3">
        <f t="shared" si="287"/>
        <v>0.10795493436549831</v>
      </c>
      <c r="P305" s="3">
        <f t="shared" si="287"/>
        <v>0.10795014898212761</v>
      </c>
      <c r="Q305" s="3">
        <f t="shared" si="287"/>
        <v>0.10790230681372052</v>
      </c>
      <c r="R305" s="3">
        <f t="shared" si="287"/>
        <v>0.10742504974862145</v>
      </c>
      <c r="S305" s="3">
        <f t="shared" si="287"/>
        <v>0.10276705327386153</v>
      </c>
      <c r="T305" s="3">
        <f t="shared" si="287"/>
        <v>6.5968606030665039E-2</v>
      </c>
      <c r="U305" s="3">
        <f t="shared" si="287"/>
        <v>7.83738787922151E-4</v>
      </c>
      <c r="V305" s="3">
        <f t="shared" si="287"/>
        <v>4.3904767148823366E-23</v>
      </c>
      <c r="W305" s="3">
        <f t="shared" si="287"/>
        <v>1.3363341008337116E-215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0.11222824358997255</v>
      </c>
      <c r="C306" s="3">
        <f t="shared" si="288"/>
        <v>0.11222824358997255</v>
      </c>
      <c r="D306" s="3">
        <f t="shared" si="288"/>
        <v>0.11222824358997255</v>
      </c>
      <c r="E306" s="3">
        <f t="shared" si="288"/>
        <v>0.11222824358997255</v>
      </c>
      <c r="F306" s="3">
        <f t="shared" si="288"/>
        <v>0.11222824358997249</v>
      </c>
      <c r="G306" s="3">
        <f t="shared" si="288"/>
        <v>0.11222824358997205</v>
      </c>
      <c r="H306" s="3">
        <f t="shared" si="288"/>
        <v>0.11222824358996757</v>
      </c>
      <c r="I306" s="3">
        <f t="shared" si="288"/>
        <v>0.11222824358992269</v>
      </c>
      <c r="J306" s="3">
        <f t="shared" si="288"/>
        <v>0.11222824358947391</v>
      </c>
      <c r="K306" s="3">
        <f t="shared" si="288"/>
        <v>0.11222824358498611</v>
      </c>
      <c r="L306" s="3">
        <f t="shared" si="288"/>
        <v>0.1122282435401082</v>
      </c>
      <c r="M306" s="3">
        <f t="shared" si="288"/>
        <v>0.1122282430913291</v>
      </c>
      <c r="N306" s="3">
        <f t="shared" si="288"/>
        <v>0.11222823860353824</v>
      </c>
      <c r="O306" s="3">
        <f t="shared" si="288"/>
        <v>0.11222819372563941</v>
      </c>
      <c r="P306" s="3">
        <f t="shared" si="288"/>
        <v>0.11222774494763824</v>
      </c>
      <c r="Q306" s="3">
        <f t="shared" si="288"/>
        <v>0.1122232572663268</v>
      </c>
      <c r="R306" s="3">
        <f t="shared" si="288"/>
        <v>0.11217839032178564</v>
      </c>
      <c r="S306" s="3">
        <f t="shared" si="288"/>
        <v>0.11173070627515289</v>
      </c>
      <c r="T306" s="3">
        <f t="shared" si="288"/>
        <v>0.10735096319468107</v>
      </c>
      <c r="U306" s="3">
        <f t="shared" si="288"/>
        <v>7.1968087114716139E-2</v>
      </c>
      <c r="V306" s="3">
        <f t="shared" si="288"/>
        <v>1.3197148375496516E-3</v>
      </c>
      <c r="W306" s="3">
        <f t="shared" si="288"/>
        <v>5.6738976828451395E-21</v>
      </c>
      <c r="X306" s="3">
        <f t="shared" si="288"/>
        <v>1.224321579027134E-194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8.9690702482137605E-2</v>
      </c>
      <c r="C307" s="3">
        <f t="shared" si="289"/>
        <v>8.9690702482137605E-2</v>
      </c>
      <c r="D307" s="3">
        <f t="shared" si="289"/>
        <v>8.9690702482137605E-2</v>
      </c>
      <c r="E307" s="3">
        <f t="shared" si="289"/>
        <v>8.9690702482137605E-2</v>
      </c>
      <c r="F307" s="3">
        <f t="shared" si="289"/>
        <v>8.9690702482137605E-2</v>
      </c>
      <c r="G307" s="3">
        <f t="shared" si="289"/>
        <v>8.9690702482137563E-2</v>
      </c>
      <c r="H307" s="3">
        <f t="shared" si="289"/>
        <v>8.9690702482137244E-2</v>
      </c>
      <c r="I307" s="3">
        <f t="shared" si="289"/>
        <v>8.969070248213401E-2</v>
      </c>
      <c r="J307" s="3">
        <f t="shared" si="289"/>
        <v>8.9690702482101661E-2</v>
      </c>
      <c r="K307" s="3">
        <f t="shared" si="289"/>
        <v>8.9690702481778128E-2</v>
      </c>
      <c r="L307" s="3">
        <f t="shared" si="289"/>
        <v>8.9690702478542744E-2</v>
      </c>
      <c r="M307" s="3">
        <f t="shared" si="289"/>
        <v>8.9690702446189013E-2</v>
      </c>
      <c r="N307" s="3">
        <f t="shared" si="289"/>
        <v>8.9690702122651622E-2</v>
      </c>
      <c r="O307" s="3">
        <f t="shared" si="289"/>
        <v>8.9690698887277834E-2</v>
      </c>
      <c r="P307" s="3">
        <f t="shared" si="289"/>
        <v>8.9690666533546418E-2</v>
      </c>
      <c r="Q307" s="3">
        <f t="shared" si="289"/>
        <v>8.9690342996874201E-2</v>
      </c>
      <c r="R307" s="3">
        <f t="shared" si="289"/>
        <v>8.9687107694340518E-2</v>
      </c>
      <c r="S307" s="3">
        <f t="shared" si="289"/>
        <v>8.9654761087005055E-2</v>
      </c>
      <c r="T307" s="3">
        <f t="shared" si="289"/>
        <v>8.933193595800977E-2</v>
      </c>
      <c r="U307" s="3">
        <f t="shared" si="289"/>
        <v>8.6166931836679075E-2</v>
      </c>
      <c r="V307" s="3">
        <f t="shared" si="289"/>
        <v>6.0073019558576503E-2</v>
      </c>
      <c r="W307" s="3">
        <f t="shared" si="289"/>
        <v>1.6295503818111892E-3</v>
      </c>
      <c r="X307" s="3">
        <f t="shared" si="289"/>
        <v>3.515208532211908E-19</v>
      </c>
      <c r="Y307" s="3">
        <f t="shared" si="289"/>
        <v>7.6698011994267662E-176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3.260199419264094E-2</v>
      </c>
      <c r="C308" s="3">
        <f t="shared" si="290"/>
        <v>3.260199419264094E-2</v>
      </c>
      <c r="D308" s="3">
        <f t="shared" si="290"/>
        <v>3.260199419264094E-2</v>
      </c>
      <c r="E308" s="3">
        <f t="shared" si="290"/>
        <v>3.260199419264094E-2</v>
      </c>
      <c r="F308" s="3">
        <f t="shared" si="290"/>
        <v>3.260199419264094E-2</v>
      </c>
      <c r="G308" s="3">
        <f t="shared" si="290"/>
        <v>3.260199419264094E-2</v>
      </c>
      <c r="H308" s="3">
        <f t="shared" si="290"/>
        <v>3.2601994192640926E-2</v>
      </c>
      <c r="I308" s="3">
        <f t="shared" si="290"/>
        <v>3.2601994192640822E-2</v>
      </c>
      <c r="J308" s="3">
        <f t="shared" si="290"/>
        <v>3.2601994192639761E-2</v>
      </c>
      <c r="K308" s="3">
        <f t="shared" si="290"/>
        <v>3.2601994192629151E-2</v>
      </c>
      <c r="L308" s="3">
        <f t="shared" si="290"/>
        <v>3.2601994192523069E-2</v>
      </c>
      <c r="M308" s="3">
        <f t="shared" si="290"/>
        <v>3.2601994191462182E-2</v>
      </c>
      <c r="N308" s="3">
        <f t="shared" si="290"/>
        <v>3.2601994180853341E-2</v>
      </c>
      <c r="O308" s="3">
        <f t="shared" si="290"/>
        <v>3.2601994074764967E-2</v>
      </c>
      <c r="P308" s="3">
        <f t="shared" si="290"/>
        <v>3.2601993013881225E-2</v>
      </c>
      <c r="Q308" s="3">
        <f t="shared" si="290"/>
        <v>3.26019824050457E-2</v>
      </c>
      <c r="R308" s="3">
        <f t="shared" si="290"/>
        <v>3.2601876316880322E-2</v>
      </c>
      <c r="S308" s="3">
        <f t="shared" si="290"/>
        <v>3.2600815454213228E-2</v>
      </c>
      <c r="T308" s="3">
        <f t="shared" si="290"/>
        <v>3.2590208725978523E-2</v>
      </c>
      <c r="U308" s="3">
        <f t="shared" si="290"/>
        <v>3.2484331058890252E-2</v>
      </c>
      <c r="V308" s="3">
        <f t="shared" si="290"/>
        <v>3.144428959118889E-2</v>
      </c>
      <c r="W308" s="3">
        <f t="shared" si="290"/>
        <v>2.271016981957942E-2</v>
      </c>
      <c r="X308" s="3">
        <f t="shared" si="290"/>
        <v>8.7701359575788405E-4</v>
      </c>
      <c r="Y308" s="3">
        <f t="shared" si="290"/>
        <v>6.4694262810156676E-18</v>
      </c>
      <c r="Z308" s="3">
        <f t="shared" si="290"/>
        <v>3.0864567312830488E-159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3.3353536546241076E-2</v>
      </c>
      <c r="C309" s="3">
        <f t="shared" si="291"/>
        <v>3.3353536546241076E-2</v>
      </c>
      <c r="D309" s="3">
        <f t="shared" si="291"/>
        <v>3.3353536546241076E-2</v>
      </c>
      <c r="E309" s="3">
        <f t="shared" si="291"/>
        <v>3.3353536546241076E-2</v>
      </c>
      <c r="F309" s="3">
        <f t="shared" si="291"/>
        <v>3.3353536546241076E-2</v>
      </c>
      <c r="G309" s="3">
        <f t="shared" si="291"/>
        <v>3.3353536546241076E-2</v>
      </c>
      <c r="H309" s="3">
        <f t="shared" si="291"/>
        <v>3.3353536546241069E-2</v>
      </c>
      <c r="I309" s="3">
        <f t="shared" si="291"/>
        <v>3.3353536546241042E-2</v>
      </c>
      <c r="J309" s="3">
        <f t="shared" si="291"/>
        <v>3.3353536546240743E-2</v>
      </c>
      <c r="K309" s="3">
        <f t="shared" si="291"/>
        <v>3.3353536546237739E-2</v>
      </c>
      <c r="L309" s="3">
        <f t="shared" si="291"/>
        <v>3.3353536546207721E-2</v>
      </c>
      <c r="M309" s="3">
        <f t="shared" si="291"/>
        <v>3.3353536545907544E-2</v>
      </c>
      <c r="N309" s="3">
        <f t="shared" si="291"/>
        <v>3.3353536542905772E-2</v>
      </c>
      <c r="O309" s="3">
        <f t="shared" si="291"/>
        <v>3.3353536512887999E-2</v>
      </c>
      <c r="P309" s="3">
        <f t="shared" si="291"/>
        <v>3.3353536212710332E-2</v>
      </c>
      <c r="Q309" s="3">
        <f t="shared" si="291"/>
        <v>3.3353533210933754E-2</v>
      </c>
      <c r="R309" s="3">
        <f t="shared" si="291"/>
        <v>3.3353503193182824E-2</v>
      </c>
      <c r="S309" s="3">
        <f t="shared" si="291"/>
        <v>3.3353203017159397E-2</v>
      </c>
      <c r="T309" s="3">
        <f t="shared" si="291"/>
        <v>3.3350201405505542E-2</v>
      </c>
      <c r="U309" s="3">
        <f t="shared" si="291"/>
        <v>3.3320200142059976E-2</v>
      </c>
      <c r="V309" s="3">
        <f t="shared" si="291"/>
        <v>3.3021667882779368E-2</v>
      </c>
      <c r="W309" s="3">
        <f t="shared" si="291"/>
        <v>3.0179569659620823E-2</v>
      </c>
      <c r="X309" s="3">
        <f t="shared" si="291"/>
        <v>1.2270250205853098E-2</v>
      </c>
      <c r="Y309" s="3">
        <f t="shared" si="291"/>
        <v>1.5144578042733188E-6</v>
      </c>
      <c r="Z309" s="3">
        <f t="shared" si="291"/>
        <v>1.2424953348763072E-45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1.7436587013509221E-2</v>
      </c>
      <c r="C310" s="3">
        <f t="shared" si="292"/>
        <v>1.7436587013509221E-2</v>
      </c>
      <c r="D310" s="3">
        <f t="shared" si="292"/>
        <v>1.7436587013509221E-2</v>
      </c>
      <c r="E310" s="3">
        <f t="shared" si="292"/>
        <v>1.7436587013509221E-2</v>
      </c>
      <c r="F310" s="3">
        <f t="shared" si="292"/>
        <v>1.7436587013509221E-2</v>
      </c>
      <c r="G310" s="3">
        <f t="shared" si="292"/>
        <v>1.7436587013509221E-2</v>
      </c>
      <c r="H310" s="3">
        <f t="shared" si="292"/>
        <v>1.7436587013509221E-2</v>
      </c>
      <c r="I310" s="3">
        <f t="shared" si="292"/>
        <v>1.7436587013509218E-2</v>
      </c>
      <c r="J310" s="3">
        <f t="shared" si="292"/>
        <v>1.7436587013509204E-2</v>
      </c>
      <c r="K310" s="3">
        <f t="shared" si="292"/>
        <v>1.7436587013509048E-2</v>
      </c>
      <c r="L310" s="3">
        <f t="shared" si="292"/>
        <v>1.7436587013507476E-2</v>
      </c>
      <c r="M310" s="3">
        <f t="shared" si="292"/>
        <v>1.7436587013491784E-2</v>
      </c>
      <c r="N310" s="3">
        <f t="shared" si="292"/>
        <v>1.7436587013334857E-2</v>
      </c>
      <c r="O310" s="3">
        <f t="shared" si="292"/>
        <v>1.7436587011765588E-2</v>
      </c>
      <c r="P310" s="3">
        <f t="shared" si="292"/>
        <v>1.7436586996072874E-2</v>
      </c>
      <c r="Q310" s="3">
        <f t="shared" si="292"/>
        <v>1.7436586839145767E-2</v>
      </c>
      <c r="R310" s="3">
        <f t="shared" si="292"/>
        <v>1.7436585269874742E-2</v>
      </c>
      <c r="S310" s="3">
        <f t="shared" si="292"/>
        <v>1.743656957717225E-2</v>
      </c>
      <c r="T310" s="3">
        <f t="shared" si="292"/>
        <v>1.7436412650924129E-2</v>
      </c>
      <c r="U310" s="3">
        <f t="shared" si="292"/>
        <v>1.7434843466117872E-2</v>
      </c>
      <c r="V310" s="3">
        <f t="shared" si="292"/>
        <v>1.7419159382966492E-2</v>
      </c>
      <c r="W310" s="3">
        <f t="shared" si="292"/>
        <v>1.7263092463104212E-2</v>
      </c>
      <c r="X310" s="3">
        <f t="shared" si="292"/>
        <v>1.5777298208562746E-2</v>
      </c>
      <c r="Y310" s="3">
        <f t="shared" si="292"/>
        <v>6.4146506651630965E-3</v>
      </c>
      <c r="Z310" s="3">
        <f t="shared" si="292"/>
        <v>7.917293941495356E-7</v>
      </c>
      <c r="AA310" s="3">
        <f t="shared" si="292"/>
        <v>6.4955264909956389E-46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4.7217849635186409E-4</v>
      </c>
      <c r="C311" s="3">
        <f t="shared" si="293"/>
        <v>4.7217849635186409E-4</v>
      </c>
      <c r="D311" s="3">
        <f t="shared" si="293"/>
        <v>4.7217849635186409E-4</v>
      </c>
      <c r="E311" s="3">
        <f t="shared" si="293"/>
        <v>4.7217849635186409E-4</v>
      </c>
      <c r="F311" s="3">
        <f t="shared" si="293"/>
        <v>4.7217849635186409E-4</v>
      </c>
      <c r="G311" s="3">
        <f t="shared" si="293"/>
        <v>4.7217849635186409E-4</v>
      </c>
      <c r="H311" s="3">
        <f t="shared" si="293"/>
        <v>4.7217849635186409E-4</v>
      </c>
      <c r="I311" s="3">
        <f t="shared" si="293"/>
        <v>4.7217849635186409E-4</v>
      </c>
      <c r="J311" s="3">
        <f t="shared" si="293"/>
        <v>4.7217849635186403E-4</v>
      </c>
      <c r="K311" s="3">
        <f t="shared" si="293"/>
        <v>4.721784963518636E-4</v>
      </c>
      <c r="L311" s="3">
        <f t="shared" si="293"/>
        <v>4.7217849635185937E-4</v>
      </c>
      <c r="M311" s="3">
        <f t="shared" si="293"/>
        <v>4.7217849635181687E-4</v>
      </c>
      <c r="N311" s="3">
        <f t="shared" si="293"/>
        <v>4.7217849635139192E-4</v>
      </c>
      <c r="O311" s="3">
        <f t="shared" si="293"/>
        <v>4.7217849634714233E-4</v>
      </c>
      <c r="P311" s="3">
        <f t="shared" si="293"/>
        <v>4.7217849630464692E-4</v>
      </c>
      <c r="Q311" s="3">
        <f t="shared" si="293"/>
        <v>4.7217849587969209E-4</v>
      </c>
      <c r="R311" s="3">
        <f t="shared" si="293"/>
        <v>4.7217849163014454E-4</v>
      </c>
      <c r="S311" s="3">
        <f t="shared" si="293"/>
        <v>4.7217844913467034E-4</v>
      </c>
      <c r="T311" s="3">
        <f t="shared" si="293"/>
        <v>4.7217802418013881E-4</v>
      </c>
      <c r="U311" s="3">
        <f t="shared" si="293"/>
        <v>4.7217377465585871E-4</v>
      </c>
      <c r="V311" s="3">
        <f t="shared" si="293"/>
        <v>4.721312815164764E-4</v>
      </c>
      <c r="W311" s="3">
        <f t="shared" si="293"/>
        <v>4.7170656039454252E-4</v>
      </c>
      <c r="X311" s="3">
        <f t="shared" si="293"/>
        <v>4.6748030651276254E-4</v>
      </c>
      <c r="Y311" s="3">
        <f t="shared" si="293"/>
        <v>4.2724536280192694E-4</v>
      </c>
      <c r="Z311" s="3">
        <f t="shared" si="293"/>
        <v>1.7370716547639438E-4</v>
      </c>
      <c r="AA311" s="3">
        <f t="shared" si="293"/>
        <v>2.1439837656157398E-8</v>
      </c>
      <c r="AB311" s="3">
        <f t="shared" si="293"/>
        <v>1.7589726298820897E-47</v>
      </c>
      <c r="AC311" s="3">
        <f t="shared" si="293"/>
        <v>0</v>
      </c>
      <c r="AD311" s="3">
        <f t="shared" si="293"/>
        <v>0</v>
      </c>
      <c r="AE311" s="3">
        <f t="shared" si="293"/>
        <v>0</v>
      </c>
      <c r="AF311" s="3">
        <f t="shared" si="293"/>
        <v>0</v>
      </c>
      <c r="AG311" s="3"/>
      <c r="AH311" s="3"/>
    </row>
    <row r="312" spans="1:34" x14ac:dyDescent="0.25">
      <c r="B312" s="3">
        <f t="shared" ref="B312:AF312" si="294">$C42*EXP(-B$285/$A42/EXP(-$F$126))</f>
        <v>3.9532606595692786E-3</v>
      </c>
      <c r="C312" s="3">
        <f t="shared" si="294"/>
        <v>3.9532606595692786E-3</v>
      </c>
      <c r="D312" s="3">
        <f t="shared" si="294"/>
        <v>3.9532606595692786E-3</v>
      </c>
      <c r="E312" s="3">
        <f t="shared" si="294"/>
        <v>3.9532606595692786E-3</v>
      </c>
      <c r="F312" s="3">
        <f t="shared" si="294"/>
        <v>3.9532606595692786E-3</v>
      </c>
      <c r="G312" s="3">
        <f t="shared" si="294"/>
        <v>3.9532606595692786E-3</v>
      </c>
      <c r="H312" s="3">
        <f t="shared" si="294"/>
        <v>3.9532606595692786E-3</v>
      </c>
      <c r="I312" s="3">
        <f t="shared" si="294"/>
        <v>3.9532606595692786E-3</v>
      </c>
      <c r="J312" s="3">
        <f t="shared" si="294"/>
        <v>3.9532606595692786E-3</v>
      </c>
      <c r="K312" s="3">
        <f t="shared" si="294"/>
        <v>3.9532606595692778E-3</v>
      </c>
      <c r="L312" s="3">
        <f t="shared" si="294"/>
        <v>3.9532606595692743E-3</v>
      </c>
      <c r="M312" s="3">
        <f t="shared" si="294"/>
        <v>3.9532606595692387E-3</v>
      </c>
      <c r="N312" s="3">
        <f t="shared" si="294"/>
        <v>3.9532606595688831E-3</v>
      </c>
      <c r="O312" s="3">
        <f t="shared" si="294"/>
        <v>3.9532606595653252E-3</v>
      </c>
      <c r="P312" s="3">
        <f t="shared" si="294"/>
        <v>3.9532606595297469E-3</v>
      </c>
      <c r="Q312" s="3">
        <f t="shared" si="294"/>
        <v>3.9532606591739586E-3</v>
      </c>
      <c r="R312" s="3">
        <f t="shared" si="294"/>
        <v>3.9532606556160728E-3</v>
      </c>
      <c r="S312" s="3">
        <f t="shared" si="294"/>
        <v>3.9532606200372196E-3</v>
      </c>
      <c r="T312" s="3">
        <f t="shared" si="294"/>
        <v>3.9532602642487038E-3</v>
      </c>
      <c r="U312" s="3">
        <f t="shared" si="294"/>
        <v>3.9532567063653087E-3</v>
      </c>
      <c r="V312" s="3">
        <f t="shared" si="294"/>
        <v>3.9532211277074746E-3</v>
      </c>
      <c r="W312" s="3">
        <f t="shared" si="294"/>
        <v>3.9528653587397652E-3</v>
      </c>
      <c r="X312" s="3">
        <f t="shared" si="294"/>
        <v>3.9493094295401047E-3</v>
      </c>
      <c r="Y312" s="3">
        <f t="shared" si="294"/>
        <v>3.9139256004642837E-3</v>
      </c>
      <c r="Z312" s="3">
        <f t="shared" si="294"/>
        <v>3.577063118710136E-3</v>
      </c>
      <c r="AA312" s="3">
        <f t="shared" si="294"/>
        <v>1.4543434503450777E-3</v>
      </c>
      <c r="AB312" s="3">
        <f t="shared" si="294"/>
        <v>1.7950259787027348E-7</v>
      </c>
      <c r="AC312" s="3">
        <f t="shared" si="294"/>
        <v>1.4726797922178454E-46</v>
      </c>
      <c r="AD312" s="3">
        <f t="shared" si="294"/>
        <v>0</v>
      </c>
      <c r="AE312" s="3">
        <f t="shared" si="294"/>
        <v>0</v>
      </c>
      <c r="AF312" s="3">
        <f t="shared" si="294"/>
        <v>0</v>
      </c>
      <c r="AG312" s="3"/>
      <c r="AH312" s="3"/>
    </row>
    <row r="313" spans="1:34" x14ac:dyDescent="0.25">
      <c r="B313" s="3">
        <f t="shared" ref="B313:AF313" si="295">$C43*EXP(-B$285/$A43/EXP(-$F$126))</f>
        <v>4.2057154474780992E-7</v>
      </c>
      <c r="C313" s="3">
        <f t="shared" si="295"/>
        <v>4.2057154474780992E-7</v>
      </c>
      <c r="D313" s="3">
        <f t="shared" si="295"/>
        <v>4.2057154474780992E-7</v>
      </c>
      <c r="E313" s="3">
        <f t="shared" si="295"/>
        <v>4.2057154474780992E-7</v>
      </c>
      <c r="F313" s="3">
        <f t="shared" si="295"/>
        <v>4.2057154474780992E-7</v>
      </c>
      <c r="G313" s="3">
        <f t="shared" si="295"/>
        <v>4.2057154474780992E-7</v>
      </c>
      <c r="H313" s="3">
        <f t="shared" si="295"/>
        <v>4.2057154474780992E-7</v>
      </c>
      <c r="I313" s="3">
        <f t="shared" si="295"/>
        <v>4.2057154474780992E-7</v>
      </c>
      <c r="J313" s="3">
        <f t="shared" si="295"/>
        <v>4.2057154474780992E-7</v>
      </c>
      <c r="K313" s="3">
        <f t="shared" si="295"/>
        <v>4.2057154474780992E-7</v>
      </c>
      <c r="L313" s="3">
        <f t="shared" si="295"/>
        <v>4.2057154474780987E-7</v>
      </c>
      <c r="M313" s="3">
        <f t="shared" si="295"/>
        <v>4.205715447478095E-7</v>
      </c>
      <c r="N313" s="3">
        <f t="shared" si="295"/>
        <v>4.2057154474780574E-7</v>
      </c>
      <c r="O313" s="3">
        <f t="shared" si="295"/>
        <v>4.2057154474776784E-7</v>
      </c>
      <c r="P313" s="3">
        <f t="shared" si="295"/>
        <v>4.2057154474738937E-7</v>
      </c>
      <c r="Q313" s="3">
        <f t="shared" si="295"/>
        <v>4.2057154474360424E-7</v>
      </c>
      <c r="R313" s="3">
        <f t="shared" si="295"/>
        <v>4.2057154470575336E-7</v>
      </c>
      <c r="S313" s="3">
        <f t="shared" si="295"/>
        <v>4.2057154432724419E-7</v>
      </c>
      <c r="T313" s="3">
        <f t="shared" si="295"/>
        <v>4.2057154054215274E-7</v>
      </c>
      <c r="U313" s="3">
        <f t="shared" si="295"/>
        <v>4.2057150269123967E-7</v>
      </c>
      <c r="V313" s="3">
        <f t="shared" si="295"/>
        <v>4.2057112418229617E-7</v>
      </c>
      <c r="W313" s="3">
        <f t="shared" si="295"/>
        <v>4.2056733911159786E-7</v>
      </c>
      <c r="X313" s="3">
        <f t="shared" si="295"/>
        <v>4.2052949027813917E-7</v>
      </c>
      <c r="Y313" s="3">
        <f t="shared" si="295"/>
        <v>4.2015118923368489E-7</v>
      </c>
      <c r="Z313" s="3">
        <f t="shared" si="295"/>
        <v>4.1638684558548942E-7</v>
      </c>
      <c r="AA313" s="3">
        <f t="shared" si="295"/>
        <v>3.8054939733223945E-7</v>
      </c>
      <c r="AB313" s="3">
        <f t="shared" si="295"/>
        <v>1.5472176620201185E-7</v>
      </c>
      <c r="AC313" s="3">
        <f t="shared" si="295"/>
        <v>1.9096561389091694E-11</v>
      </c>
      <c r="AD313" s="3">
        <f t="shared" si="295"/>
        <v>1.5667249606541884E-50</v>
      </c>
      <c r="AE313" s="3">
        <f t="shared" si="295"/>
        <v>0</v>
      </c>
      <c r="AF313" s="3">
        <f t="shared" si="295"/>
        <v>0</v>
      </c>
      <c r="AG313" s="3"/>
      <c r="AH313" s="3"/>
    </row>
    <row r="314" spans="1:34" x14ac:dyDescent="0.25">
      <c r="B314" s="3">
        <f t="shared" ref="B314:AF314" si="296">$C44*EXP(-B$285/$A44/EXP(-$F$126))</f>
        <v>1.8675724725031384E-5</v>
      </c>
      <c r="C314" s="3">
        <f t="shared" si="296"/>
        <v>1.8675724725031384E-5</v>
      </c>
      <c r="D314" s="3">
        <f t="shared" si="296"/>
        <v>1.8675724725031384E-5</v>
      </c>
      <c r="E314" s="3">
        <f t="shared" si="296"/>
        <v>1.8675724725031384E-5</v>
      </c>
      <c r="F314" s="3">
        <f t="shared" si="296"/>
        <v>1.8675724725031384E-5</v>
      </c>
      <c r="G314" s="3">
        <f t="shared" si="296"/>
        <v>1.8675724725031384E-5</v>
      </c>
      <c r="H314" s="3">
        <f t="shared" si="296"/>
        <v>1.8675724725031384E-5</v>
      </c>
      <c r="I314" s="3">
        <f t="shared" si="296"/>
        <v>1.8675724725031384E-5</v>
      </c>
      <c r="J314" s="3">
        <f t="shared" si="296"/>
        <v>1.8675724725031384E-5</v>
      </c>
      <c r="K314" s="3">
        <f t="shared" si="296"/>
        <v>1.8675724725031384E-5</v>
      </c>
      <c r="L314" s="3">
        <f t="shared" si="296"/>
        <v>1.8675724725031384E-5</v>
      </c>
      <c r="M314" s="3">
        <f t="shared" si="296"/>
        <v>1.867572472503138E-5</v>
      </c>
      <c r="N314" s="3">
        <f t="shared" si="296"/>
        <v>1.8675724725031363E-5</v>
      </c>
      <c r="O314" s="3">
        <f t="shared" si="296"/>
        <v>1.8675724725031197E-5</v>
      </c>
      <c r="P314" s="3">
        <f t="shared" si="296"/>
        <v>1.8675724725029517E-5</v>
      </c>
      <c r="Q314" s="3">
        <f t="shared" si="296"/>
        <v>1.8675724725012708E-5</v>
      </c>
      <c r="R314" s="3">
        <f t="shared" si="296"/>
        <v>1.867572472484463E-5</v>
      </c>
      <c r="S314" s="3">
        <f t="shared" si="296"/>
        <v>1.8675724723163839E-5</v>
      </c>
      <c r="T314" s="3">
        <f t="shared" si="296"/>
        <v>1.8675724706355917E-5</v>
      </c>
      <c r="U314" s="3">
        <f t="shared" si="296"/>
        <v>1.8675724538276723E-5</v>
      </c>
      <c r="V314" s="3">
        <f t="shared" si="296"/>
        <v>1.8675722857484854E-5</v>
      </c>
      <c r="W314" s="3">
        <f t="shared" si="296"/>
        <v>1.8675706049574471E-5</v>
      </c>
      <c r="X314" s="3">
        <f t="shared" si="296"/>
        <v>1.8675537971302627E-5</v>
      </c>
      <c r="Y314" s="3">
        <f t="shared" si="296"/>
        <v>1.8673857271779171E-5</v>
      </c>
      <c r="Z314" s="3">
        <f t="shared" si="296"/>
        <v>1.8657058593272149E-5</v>
      </c>
      <c r="AA314" s="3">
        <f t="shared" si="296"/>
        <v>1.8489900718180348E-5</v>
      </c>
      <c r="AB314" s="3">
        <f t="shared" si="296"/>
        <v>1.6898517927823994E-5</v>
      </c>
      <c r="AC314" s="3">
        <f t="shared" si="296"/>
        <v>6.8705102631042538E-6</v>
      </c>
      <c r="AD314" s="3">
        <f t="shared" si="296"/>
        <v>8.4799394574161E-10</v>
      </c>
      <c r="AE314" s="3">
        <f t="shared" si="296"/>
        <v>6.9571335603692477E-49</v>
      </c>
      <c r="AF314" s="3">
        <f t="shared" si="296"/>
        <v>0</v>
      </c>
      <c r="AG314" s="3"/>
      <c r="AH314" s="3"/>
    </row>
    <row r="315" spans="1:34" x14ac:dyDescent="0.25">
      <c r="B315" s="3">
        <f t="shared" ref="B315:AF315" si="297">$C45*EXP(-B$285/$A45/EXP(-$F$126))</f>
        <v>6.5581020384023116E-8</v>
      </c>
      <c r="C315" s="3">
        <f t="shared" si="297"/>
        <v>6.5581020384023116E-8</v>
      </c>
      <c r="D315" s="3">
        <f t="shared" si="297"/>
        <v>6.5581020384023116E-8</v>
      </c>
      <c r="E315" s="3">
        <f t="shared" si="297"/>
        <v>6.5581020384023116E-8</v>
      </c>
      <c r="F315" s="3">
        <f t="shared" si="297"/>
        <v>6.5581020384023116E-8</v>
      </c>
      <c r="G315" s="3">
        <f t="shared" si="297"/>
        <v>6.5581020384023116E-8</v>
      </c>
      <c r="H315" s="3">
        <f t="shared" si="297"/>
        <v>6.5581020384023116E-8</v>
      </c>
      <c r="I315" s="3">
        <f t="shared" si="297"/>
        <v>6.5581020384023116E-8</v>
      </c>
      <c r="J315" s="3">
        <f t="shared" si="297"/>
        <v>6.5581020384023116E-8</v>
      </c>
      <c r="K315" s="3">
        <f t="shared" si="297"/>
        <v>6.5581020384023116E-8</v>
      </c>
      <c r="L315" s="3">
        <f t="shared" si="297"/>
        <v>6.5581020384023116E-8</v>
      </c>
      <c r="M315" s="3">
        <f t="shared" si="297"/>
        <v>6.5581020384023116E-8</v>
      </c>
      <c r="N315" s="3">
        <f t="shared" si="297"/>
        <v>6.5581020384023102E-8</v>
      </c>
      <c r="O315" s="3">
        <f t="shared" si="297"/>
        <v>6.5581020384023049E-8</v>
      </c>
      <c r="P315" s="3">
        <f t="shared" si="297"/>
        <v>6.5581020384022454E-8</v>
      </c>
      <c r="Q315" s="3">
        <f t="shared" si="297"/>
        <v>6.5581020384016551E-8</v>
      </c>
      <c r="R315" s="3">
        <f t="shared" si="297"/>
        <v>6.5581020383957537E-8</v>
      </c>
      <c r="S315" s="3">
        <f t="shared" si="297"/>
        <v>6.5581020383367314E-8</v>
      </c>
      <c r="T315" s="3">
        <f t="shared" si="297"/>
        <v>6.5581020377465109E-8</v>
      </c>
      <c r="U315" s="3">
        <f t="shared" si="297"/>
        <v>6.5581020318443006E-8</v>
      </c>
      <c r="V315" s="3">
        <f t="shared" si="297"/>
        <v>6.5581019728221991E-8</v>
      </c>
      <c r="W315" s="3">
        <f t="shared" si="297"/>
        <v>6.5581013826012175E-8</v>
      </c>
      <c r="X315" s="3">
        <f t="shared" si="297"/>
        <v>6.5580954803943166E-8</v>
      </c>
      <c r="Y315" s="3">
        <f t="shared" si="297"/>
        <v>6.5580364586174691E-8</v>
      </c>
      <c r="Z315" s="3">
        <f t="shared" si="297"/>
        <v>6.5574462700634496E-8</v>
      </c>
      <c r="AA315" s="3">
        <f t="shared" si="297"/>
        <v>6.551547304996156E-8</v>
      </c>
      <c r="AB315" s="3">
        <f t="shared" si="297"/>
        <v>6.4928487314460099E-8</v>
      </c>
      <c r="AC315" s="3">
        <f t="shared" si="297"/>
        <v>5.9340243283787373E-8</v>
      </c>
      <c r="AD315" s="3">
        <f t="shared" si="297"/>
        <v>2.4126243037271096E-8</v>
      </c>
      <c r="AE315" s="3">
        <f t="shared" si="297"/>
        <v>2.9777858187570421E-12</v>
      </c>
      <c r="AF315" s="3">
        <f t="shared" si="297"/>
        <v>2.4430426371910459E-51</v>
      </c>
      <c r="AG315" s="3"/>
      <c r="AH315" s="3"/>
    </row>
    <row r="316" spans="1:34" x14ac:dyDescent="0.25">
      <c r="B316" s="3">
        <f t="shared" ref="B316:AF316" si="298">$C46*EXP(-B$285/$A46/EXP(-$F$126))</f>
        <v>7.3021852336235098E-8</v>
      </c>
      <c r="C316" s="3">
        <f t="shared" si="298"/>
        <v>7.3021852336235098E-8</v>
      </c>
      <c r="D316" s="3">
        <f t="shared" si="298"/>
        <v>7.3021852336235098E-8</v>
      </c>
      <c r="E316" s="3">
        <f t="shared" si="298"/>
        <v>7.3021852336235098E-8</v>
      </c>
      <c r="F316" s="3">
        <f t="shared" si="298"/>
        <v>7.3021852336235098E-8</v>
      </c>
      <c r="G316" s="3">
        <f t="shared" si="298"/>
        <v>7.3021852336235098E-8</v>
      </c>
      <c r="H316" s="3">
        <f t="shared" si="298"/>
        <v>7.3021852336235098E-8</v>
      </c>
      <c r="I316" s="3">
        <f t="shared" si="298"/>
        <v>7.3021852336235098E-8</v>
      </c>
      <c r="J316" s="3">
        <f t="shared" si="298"/>
        <v>7.3021852336235098E-8</v>
      </c>
      <c r="K316" s="3">
        <f t="shared" si="298"/>
        <v>7.3021852336235098E-8</v>
      </c>
      <c r="L316" s="3">
        <f t="shared" si="298"/>
        <v>7.3021852336235098E-8</v>
      </c>
      <c r="M316" s="3">
        <f t="shared" si="298"/>
        <v>7.3021852336235098E-8</v>
      </c>
      <c r="N316" s="3">
        <f t="shared" si="298"/>
        <v>7.3021852336235098E-8</v>
      </c>
      <c r="O316" s="3">
        <f t="shared" si="298"/>
        <v>7.3021852336235085E-8</v>
      </c>
      <c r="P316" s="3">
        <f t="shared" si="298"/>
        <v>7.3021852336235019E-8</v>
      </c>
      <c r="Q316" s="3">
        <f t="shared" si="298"/>
        <v>7.302185233623437E-8</v>
      </c>
      <c r="R316" s="3">
        <f t="shared" si="298"/>
        <v>7.3021852336227792E-8</v>
      </c>
      <c r="S316" s="3">
        <f t="shared" si="298"/>
        <v>7.3021852336162081E-8</v>
      </c>
      <c r="T316" s="3">
        <f t="shared" si="298"/>
        <v>7.3021852335504889E-8</v>
      </c>
      <c r="U316" s="3">
        <f t="shared" si="298"/>
        <v>7.3021852328933012E-8</v>
      </c>
      <c r="V316" s="3">
        <f t="shared" si="298"/>
        <v>7.3021852263214254E-8</v>
      </c>
      <c r="W316" s="3">
        <f t="shared" si="298"/>
        <v>7.3021851606026695E-8</v>
      </c>
      <c r="X316" s="3">
        <f t="shared" si="298"/>
        <v>7.3021845034151294E-8</v>
      </c>
      <c r="Y316" s="3">
        <f t="shared" si="298"/>
        <v>7.3021779315429904E-8</v>
      </c>
      <c r="Z316" s="3">
        <f t="shared" si="298"/>
        <v>7.3021122131468998E-8</v>
      </c>
      <c r="AA316" s="3">
        <f t="shared" si="298"/>
        <v>7.301455061715132E-8</v>
      </c>
      <c r="AB316" s="3">
        <f t="shared" si="298"/>
        <v>7.2948867992276288E-8</v>
      </c>
      <c r="AC316" s="3">
        <f t="shared" si="298"/>
        <v>7.2295282771273755E-8</v>
      </c>
      <c r="AD316" s="3">
        <f t="shared" si="298"/>
        <v>6.6072995773646562E-8</v>
      </c>
      <c r="AE316" s="3">
        <f t="shared" si="298"/>
        <v>2.6863610022831041E-8</v>
      </c>
      <c r="AF316" s="3">
        <f t="shared" si="298"/>
        <v>3.3156458236381048E-12</v>
      </c>
      <c r="AG316" s="3"/>
      <c r="AH316" s="3"/>
    </row>
    <row r="317" spans="1:34" x14ac:dyDescent="0.25">
      <c r="B317" s="3">
        <f t="shared" ref="B317:AF317" si="299">$C47*EXP(-B$285/$A47/EXP(-$F$126))</f>
        <v>1.1629614521313135E-6</v>
      </c>
      <c r="C317" s="3">
        <f t="shared" si="299"/>
        <v>1.1629614521313135E-6</v>
      </c>
      <c r="D317" s="3">
        <f t="shared" si="299"/>
        <v>1.1629614521313135E-6</v>
      </c>
      <c r="E317" s="3">
        <f t="shared" si="299"/>
        <v>1.1629614521313135E-6</v>
      </c>
      <c r="F317" s="3">
        <f t="shared" si="299"/>
        <v>1.1629614521313135E-6</v>
      </c>
      <c r="G317" s="3">
        <f t="shared" si="299"/>
        <v>1.1629614521313135E-6</v>
      </c>
      <c r="H317" s="3">
        <f t="shared" si="299"/>
        <v>1.1629614521313135E-6</v>
      </c>
      <c r="I317" s="3">
        <f t="shared" si="299"/>
        <v>1.1629614521313135E-6</v>
      </c>
      <c r="J317" s="3">
        <f t="shared" si="299"/>
        <v>1.1629614521313135E-6</v>
      </c>
      <c r="K317" s="3">
        <f t="shared" si="299"/>
        <v>1.1629614521313135E-6</v>
      </c>
      <c r="L317" s="3">
        <f t="shared" si="299"/>
        <v>1.1629614521313135E-6</v>
      </c>
      <c r="M317" s="3">
        <f t="shared" si="299"/>
        <v>1.1629614521313135E-6</v>
      </c>
      <c r="N317" s="3">
        <f t="shared" si="299"/>
        <v>1.1629614521313135E-6</v>
      </c>
      <c r="O317" s="3">
        <f t="shared" si="299"/>
        <v>1.1629614521313135E-6</v>
      </c>
      <c r="P317" s="3">
        <f t="shared" si="299"/>
        <v>1.1629614521313132E-6</v>
      </c>
      <c r="Q317" s="3">
        <f t="shared" si="299"/>
        <v>1.1629614521313124E-6</v>
      </c>
      <c r="R317" s="3">
        <f t="shared" si="299"/>
        <v>1.1629614521313018E-6</v>
      </c>
      <c r="S317" s="3">
        <f t="shared" si="299"/>
        <v>1.1629614521311972E-6</v>
      </c>
      <c r="T317" s="3">
        <f t="shared" si="299"/>
        <v>1.1629614521301505E-6</v>
      </c>
      <c r="U317" s="3">
        <f t="shared" si="299"/>
        <v>1.1629614521196839E-6</v>
      </c>
      <c r="V317" s="3">
        <f t="shared" si="299"/>
        <v>1.162961452015019E-6</v>
      </c>
      <c r="W317" s="3">
        <f t="shared" si="299"/>
        <v>1.1629614509683681E-6</v>
      </c>
      <c r="X317" s="3">
        <f t="shared" si="299"/>
        <v>1.16296144050186E-6</v>
      </c>
      <c r="Y317" s="3">
        <f t="shared" si="299"/>
        <v>1.1629613358367836E-6</v>
      </c>
      <c r="Z317" s="3">
        <f t="shared" si="299"/>
        <v>1.1629602891865382E-6</v>
      </c>
      <c r="AA317" s="3">
        <f t="shared" si="299"/>
        <v>1.1629498227358933E-6</v>
      </c>
      <c r="AB317" s="3">
        <f t="shared" si="299"/>
        <v>1.1628451634101013E-6</v>
      </c>
      <c r="AC317" s="3">
        <f t="shared" si="299"/>
        <v>1.1617990880455277E-6</v>
      </c>
      <c r="AD317" s="3">
        <f t="shared" si="299"/>
        <v>1.1513899516926349E-6</v>
      </c>
      <c r="AE317" s="3">
        <f t="shared" si="299"/>
        <v>1.0522924940025961E-6</v>
      </c>
      <c r="AF317" s="3">
        <f t="shared" si="299"/>
        <v>4.2783553035312733E-7</v>
      </c>
      <c r="AG317" s="3"/>
      <c r="AH317" s="3"/>
    </row>
    <row r="318" spans="1:34" x14ac:dyDescent="0.25">
      <c r="B318" s="3">
        <f t="shared" ref="B318:AF318" si="300">$C48*EXP(-B$285/$A48/EXP(-$F$126))</f>
        <v>4.9365030271996854E-7</v>
      </c>
      <c r="C318" s="3">
        <f t="shared" si="300"/>
        <v>4.9365030271996854E-7</v>
      </c>
      <c r="D318" s="3">
        <f t="shared" si="300"/>
        <v>4.9365030271996854E-7</v>
      </c>
      <c r="E318" s="3">
        <f t="shared" si="300"/>
        <v>4.9365030271996854E-7</v>
      </c>
      <c r="F318" s="3">
        <f t="shared" si="300"/>
        <v>4.9365030271996854E-7</v>
      </c>
      <c r="G318" s="3">
        <f t="shared" si="300"/>
        <v>4.9365030271996854E-7</v>
      </c>
      <c r="H318" s="3">
        <f t="shared" si="300"/>
        <v>4.9365030271996854E-7</v>
      </c>
      <c r="I318" s="3">
        <f t="shared" si="300"/>
        <v>4.9365030271996854E-7</v>
      </c>
      <c r="J318" s="3">
        <f t="shared" si="300"/>
        <v>4.9365030271996854E-7</v>
      </c>
      <c r="K318" s="3">
        <f t="shared" si="300"/>
        <v>4.9365030271996854E-7</v>
      </c>
      <c r="L318" s="3">
        <f t="shared" si="300"/>
        <v>4.9365030271996854E-7</v>
      </c>
      <c r="M318" s="3">
        <f t="shared" si="300"/>
        <v>4.9365030271996854E-7</v>
      </c>
      <c r="N318" s="3">
        <f t="shared" si="300"/>
        <v>4.9365030271996854E-7</v>
      </c>
      <c r="O318" s="3">
        <f t="shared" si="300"/>
        <v>4.9365030271996854E-7</v>
      </c>
      <c r="P318" s="3">
        <f t="shared" si="300"/>
        <v>4.9365030271996854E-7</v>
      </c>
      <c r="Q318" s="3">
        <f t="shared" si="300"/>
        <v>4.9365030271996844E-7</v>
      </c>
      <c r="R318" s="3">
        <f t="shared" si="300"/>
        <v>4.9365030271996801E-7</v>
      </c>
      <c r="S318" s="3">
        <f t="shared" si="300"/>
        <v>4.9365030271996357E-7</v>
      </c>
      <c r="T318" s="3">
        <f t="shared" si="300"/>
        <v>4.936503027199192E-7</v>
      </c>
      <c r="U318" s="3">
        <f t="shared" si="300"/>
        <v>4.9365030271947493E-7</v>
      </c>
      <c r="V318" s="3">
        <f t="shared" si="300"/>
        <v>4.9365030271503214E-7</v>
      </c>
      <c r="W318" s="3">
        <f t="shared" si="300"/>
        <v>4.936503026706042E-7</v>
      </c>
      <c r="X318" s="3">
        <f t="shared" si="300"/>
        <v>4.9365030222632505E-7</v>
      </c>
      <c r="Y318" s="3">
        <f t="shared" si="300"/>
        <v>4.936502977835339E-7</v>
      </c>
      <c r="Z318" s="3">
        <f t="shared" si="300"/>
        <v>4.9365025335562402E-7</v>
      </c>
      <c r="AA318" s="3">
        <f t="shared" si="300"/>
        <v>4.9364980907674476E-7</v>
      </c>
      <c r="AB318" s="3">
        <f t="shared" si="300"/>
        <v>4.9364536630994476E-7</v>
      </c>
      <c r="AC318" s="3">
        <f t="shared" si="300"/>
        <v>4.9360094084101366E-7</v>
      </c>
      <c r="AD318" s="3">
        <f t="shared" si="300"/>
        <v>4.9315690598547895E-7</v>
      </c>
      <c r="AE318" s="3">
        <f t="shared" si="300"/>
        <v>4.887384677799461E-7</v>
      </c>
      <c r="AF318" s="3">
        <f t="shared" si="300"/>
        <v>4.4667388352582987E-7</v>
      </c>
      <c r="AG318" s="3"/>
      <c r="AH318" s="3"/>
    </row>
    <row r="319" spans="1:34" x14ac:dyDescent="0.25">
      <c r="A319" s="80">
        <f>AVERAGE(B319:AF319)</f>
        <v>6.6880874549659264E-5</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1.8031110512101698E-4</v>
      </c>
      <c r="M319" s="81">
        <f t="shared" si="301"/>
        <v>2.6271286815480625E-4</v>
      </c>
      <c r="N319" s="81">
        <f t="shared" si="301"/>
        <v>3.280728401430756E-4</v>
      </c>
      <c r="O319" s="81">
        <f t="shared" si="301"/>
        <v>3.4401975821231746E-4</v>
      </c>
      <c r="P319" s="81">
        <f t="shared" si="301"/>
        <v>3.1214309773520515E-4</v>
      </c>
      <c r="Q319" s="81">
        <f t="shared" si="301"/>
        <v>2.4903772291457642E-4</v>
      </c>
      <c r="R319" s="81">
        <f t="shared" si="301"/>
        <v>1.8220979734742535E-4</v>
      </c>
      <c r="S319" s="81">
        <f t="shared" si="301"/>
        <v>1.1515201543122871E-4</v>
      </c>
      <c r="T319" s="81">
        <f t="shared" si="301"/>
        <v>6.9997564451021948E-5</v>
      </c>
      <c r="U319" s="81">
        <f t="shared" si="301"/>
        <v>2.3065651636510055E-5</v>
      </c>
      <c r="V319" s="81">
        <f t="shared" si="301"/>
        <v>6.5846898922533535E-6</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9.385370249662861E-2</v>
      </c>
      <c r="C320" s="21">
        <f t="shared" ref="C320:AF320" si="302">(C287-C286)^2</f>
        <v>7.1826527327413098E-2</v>
      </c>
      <c r="D320" s="21">
        <f t="shared" si="302"/>
        <v>7.5120097180210718E-2</v>
      </c>
      <c r="E320" s="21">
        <f t="shared" si="302"/>
        <v>1.4555196530201844E-2</v>
      </c>
      <c r="F320" s="21">
        <f t="shared" si="302"/>
        <v>1.4136773529476923</v>
      </c>
      <c r="G320" s="21">
        <f t="shared" si="302"/>
        <v>6.628117511512191E-2</v>
      </c>
      <c r="H320" s="21">
        <f t="shared" si="302"/>
        <v>9.4606280773865689E-4</v>
      </c>
      <c r="I320" s="21">
        <f t="shared" si="302"/>
        <v>1.5495796445255016E-2</v>
      </c>
      <c r="J320" s="21">
        <f t="shared" si="302"/>
        <v>7.9091901150099717E-2</v>
      </c>
      <c r="K320" s="21">
        <f t="shared" si="302"/>
        <v>0.29957678419166095</v>
      </c>
      <c r="L320" s="21">
        <f t="shared" si="302"/>
        <v>0.81882014742805687</v>
      </c>
      <c r="M320" s="21">
        <f t="shared" si="302"/>
        <v>1.5712122689315453</v>
      </c>
      <c r="N320" s="21">
        <f t="shared" si="302"/>
        <v>2.1817338137560038</v>
      </c>
      <c r="O320" s="21">
        <f t="shared" si="302"/>
        <v>2.1275335049108439</v>
      </c>
      <c r="P320" s="21">
        <f t="shared" si="302"/>
        <v>1.5267436284025162</v>
      </c>
      <c r="Q320" s="21">
        <f t="shared" si="302"/>
        <v>0.83068561230398608</v>
      </c>
      <c r="R320" s="21">
        <f t="shared" si="302"/>
        <v>0.35460190749993048</v>
      </c>
      <c r="S320" s="21">
        <f t="shared" si="302"/>
        <v>0.10166658888771316</v>
      </c>
      <c r="T320" s="21">
        <f t="shared" si="302"/>
        <v>2.3813567439232852E-2</v>
      </c>
      <c r="U320" s="21">
        <f t="shared" si="302"/>
        <v>1.339018316098902E-3</v>
      </c>
      <c r="V320" s="21">
        <f t="shared" si="302"/>
        <v>4.3360161289353189E-5</v>
      </c>
      <c r="W320" s="21">
        <f t="shared" si="302"/>
        <v>6.6981793823290225E-5</v>
      </c>
      <c r="X320" s="21">
        <f t="shared" si="302"/>
        <v>1.7406251338484265E-5</v>
      </c>
      <c r="Y320" s="21">
        <f t="shared" si="302"/>
        <v>6.7228901480229813E-4</v>
      </c>
      <c r="Z320" s="21">
        <f t="shared" si="302"/>
        <v>2.8534926047827186E-8</v>
      </c>
      <c r="AA320" s="21">
        <f t="shared" si="302"/>
        <v>6.0149085113966059E-4</v>
      </c>
      <c r="AB320" s="21">
        <f t="shared" si="302"/>
        <v>7.4293686620790134E-4</v>
      </c>
      <c r="AC320" s="21">
        <f t="shared" si="302"/>
        <v>1.0055125959166035E-3</v>
      </c>
      <c r="AD320" s="21">
        <f t="shared" si="302"/>
        <v>5.3600893646127328E-5</v>
      </c>
      <c r="AE320" s="21">
        <f t="shared" si="302"/>
        <v>4.3870645341129105E-5</v>
      </c>
      <c r="AF320" s="21">
        <f t="shared" si="302"/>
        <v>8.4552335932220802E-5</v>
      </c>
      <c r="AG320" s="3"/>
      <c r="AH320" s="3"/>
    </row>
    <row r="321" spans="1:34" x14ac:dyDescent="0.25">
      <c r="A321" s="72">
        <f>SUM(B321:AF321)</f>
        <v>9.5381934180372152</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0.81882014742805687</v>
      </c>
      <c r="M321" s="60">
        <f t="shared" ref="M321" si="313">IF($A$64&lt;=M285,IF($B$64&gt;=M285,ABS(M320),0),0)</f>
        <v>1.5712122689315453</v>
      </c>
      <c r="N321" s="60">
        <f t="shared" ref="N321" si="314">IF($A$64&lt;=N285,IF($B$64&gt;=N285,ABS(N320),0),0)</f>
        <v>2.1817338137560038</v>
      </c>
      <c r="O321" s="60">
        <f t="shared" ref="O321" si="315">IF($A$64&lt;=O285,IF($B$64&gt;=O285,ABS(O320),0),0)</f>
        <v>2.1275335049108439</v>
      </c>
      <c r="P321" s="60">
        <f t="shared" ref="P321" si="316">IF($A$64&lt;=P285,IF($B$64&gt;=P285,ABS(P320),0),0)</f>
        <v>1.5267436284025162</v>
      </c>
      <c r="Q321" s="60">
        <f t="shared" ref="Q321" si="317">IF($A$64&lt;=Q285,IF($B$64&gt;=Q285,ABS(Q320),0),0)</f>
        <v>0.83068561230398608</v>
      </c>
      <c r="R321" s="60">
        <f t="shared" ref="R321" si="318">IF($A$64&lt;=R285,IF($B$64&gt;=R285,ABS(R320),0),0)</f>
        <v>0.35460190749993048</v>
      </c>
      <c r="S321" s="60">
        <f t="shared" ref="S321" si="319">IF($A$64&lt;=S285,IF($B$64&gt;=S285,ABS(S320),0),0)</f>
        <v>0.10166658888771316</v>
      </c>
      <c r="T321" s="60">
        <f t="shared" ref="T321" si="320">IF($A$64&lt;=T285,IF($B$64&gt;=T285,ABS(T320),0),0)</f>
        <v>2.3813567439232852E-2</v>
      </c>
      <c r="U321" s="60">
        <f t="shared" ref="U321" si="321">IF($A$64&lt;=U285,IF($B$64&gt;=U285,ABS(U320),0),0)</f>
        <v>1.339018316098902E-3</v>
      </c>
      <c r="V321" s="60">
        <f t="shared" ref="V321" si="322">IF($A$64&lt;=V285,IF($B$64&gt;=V285,ABS(V320),0),0)</f>
        <v>4.3360161289353189E-5</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5306.8033835186388</v>
      </c>
      <c r="C326" s="27">
        <f t="shared" ref="C326:AF326" si="333">($C$17+SUM(C327:C357))*$B$51</f>
        <v>5104.1691079487236</v>
      </c>
      <c r="D326" s="27">
        <f t="shared" si="333"/>
        <v>4890.2812594702527</v>
      </c>
      <c r="E326" s="27">
        <f t="shared" si="333"/>
        <v>4608.3687703876703</v>
      </c>
      <c r="F326" s="27">
        <f t="shared" si="333"/>
        <v>4350.9275150334906</v>
      </c>
      <c r="G326" s="27">
        <f t="shared" si="333"/>
        <v>4070.4544558598482</v>
      </c>
      <c r="H326" s="27">
        <f t="shared" si="333"/>
        <v>3786.412144843287</v>
      </c>
      <c r="I326" s="27">
        <f t="shared" si="333"/>
        <v>3442.9789014395733</v>
      </c>
      <c r="J326" s="27">
        <f t="shared" si="333"/>
        <v>2975.2647131089016</v>
      </c>
      <c r="K326" s="27">
        <f t="shared" si="333"/>
        <v>2441.137247655879</v>
      </c>
      <c r="L326" s="27">
        <f t="shared" si="333"/>
        <v>1841.1697048606516</v>
      </c>
      <c r="M326" s="27">
        <f t="shared" si="333"/>
        <v>1233.0312253398458</v>
      </c>
      <c r="N326" s="27">
        <f t="shared" si="333"/>
        <v>737.00123968382695</v>
      </c>
      <c r="O326" s="27">
        <f t="shared" si="333"/>
        <v>439.17626616305267</v>
      </c>
      <c r="P326" s="27">
        <f t="shared" si="333"/>
        <v>227.13432352963011</v>
      </c>
      <c r="Q326" s="27">
        <f t="shared" si="333"/>
        <v>151.33057919564726</v>
      </c>
      <c r="R326" s="27">
        <f t="shared" si="333"/>
        <v>140.43389462368086</v>
      </c>
      <c r="S326" s="27">
        <f t="shared" si="333"/>
        <v>124.68471017358618</v>
      </c>
      <c r="T326" s="27">
        <f t="shared" si="333"/>
        <v>124.04019637653731</v>
      </c>
      <c r="U326" s="27">
        <f t="shared" si="333"/>
        <v>123.96595350311857</v>
      </c>
      <c r="V326" s="27">
        <f t="shared" si="333"/>
        <v>123.96244972183663</v>
      </c>
      <c r="W326" s="27">
        <f t="shared" si="333"/>
        <v>123.96019652780316</v>
      </c>
      <c r="X326" s="27">
        <f t="shared" si="333"/>
        <v>123.95478564135846</v>
      </c>
      <c r="Y326" s="27">
        <f t="shared" si="333"/>
        <v>123.9526483631073</v>
      </c>
      <c r="Z326" s="27">
        <f t="shared" si="333"/>
        <v>123.95257182050928</v>
      </c>
      <c r="AA326" s="27">
        <f t="shared" si="333"/>
        <v>123.95257182050928</v>
      </c>
      <c r="AB326" s="27">
        <f t="shared" si="333"/>
        <v>123.95257182050928</v>
      </c>
      <c r="AC326" s="27">
        <f t="shared" si="333"/>
        <v>123.95257182050928</v>
      </c>
      <c r="AD326" s="27">
        <f t="shared" si="333"/>
        <v>123.95257182050928</v>
      </c>
      <c r="AE326" s="27">
        <f t="shared" si="333"/>
        <v>123.95257182050928</v>
      </c>
      <c r="AF326" s="27">
        <f t="shared" si="333"/>
        <v>123.95257182050928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1.0820801462351839E-270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1.4285109235409149E-26</v>
      </c>
      <c r="C333" s="3">
        <f t="shared" si="340"/>
        <v>1.6179345666104149E-244</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1.9721745341770331E-4</v>
      </c>
      <c r="C334" s="3">
        <f t="shared" si="341"/>
        <v>4.3093323699992224E-24</v>
      </c>
      <c r="D334" s="3">
        <f t="shared" si="341"/>
        <v>1.0691938238508258E-220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2.3365418029409529E-2</v>
      </c>
      <c r="C335" s="3">
        <f t="shared" si="342"/>
        <v>3.9357699584019381E-4</v>
      </c>
      <c r="D335" s="3">
        <f t="shared" si="342"/>
        <v>7.2375440039386598E-22</v>
      </c>
      <c r="E335" s="3">
        <f t="shared" si="342"/>
        <v>3.2004152053841434E-199</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2.9716883048974952E-2</v>
      </c>
      <c r="C336" s="3">
        <f t="shared" si="343"/>
        <v>2.0559608735837925E-2</v>
      </c>
      <c r="D336" s="3">
        <f t="shared" si="343"/>
        <v>5.1657186547294208E-4</v>
      </c>
      <c r="E336" s="3">
        <f t="shared" si="343"/>
        <v>5.1795232332723558E-20</v>
      </c>
      <c r="F336" s="3">
        <f t="shared" si="343"/>
        <v>5.3196143546187061E-180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5.1963726573160285E-2</v>
      </c>
      <c r="C337" s="3">
        <f t="shared" si="344"/>
        <v>5.02652681094167E-2</v>
      </c>
      <c r="D337" s="3">
        <f t="shared" si="344"/>
        <v>3.6053310441952591E-2</v>
      </c>
      <c r="E337" s="3">
        <f t="shared" si="344"/>
        <v>1.2993214128021297E-3</v>
      </c>
      <c r="F337" s="3">
        <f t="shared" si="344"/>
        <v>4.8020985788670824E-18</v>
      </c>
      <c r="G337" s="3">
        <f t="shared" si="344"/>
        <v>2.2833675548321962E-162</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4.3146335779486608E-2</v>
      </c>
      <c r="C338" s="3">
        <f t="shared" si="345"/>
        <v>4.3017186937220515E-2</v>
      </c>
      <c r="D338" s="3">
        <f t="shared" si="345"/>
        <v>4.1746770514706613E-2</v>
      </c>
      <c r="E338" s="3">
        <f t="shared" si="345"/>
        <v>3.0933685275329467E-2</v>
      </c>
      <c r="F338" s="3">
        <f t="shared" si="345"/>
        <v>1.5435455259596538E-3</v>
      </c>
      <c r="G338" s="3">
        <f t="shared" si="345"/>
        <v>1.4770569811716977E-16</v>
      </c>
      <c r="H338" s="3">
        <f t="shared" si="345"/>
        <v>9.5098860536710851E-147</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4.976117763919239E-2</v>
      </c>
      <c r="C339" s="3">
        <f t="shared" si="346"/>
        <v>4.9747722880530879E-2</v>
      </c>
      <c r="D339" s="3">
        <f t="shared" si="346"/>
        <v>4.9613375220998769E-2</v>
      </c>
      <c r="E339" s="3">
        <f t="shared" si="346"/>
        <v>4.8289692732489356E-2</v>
      </c>
      <c r="F339" s="3">
        <f t="shared" si="346"/>
        <v>3.6847763138718057E-2</v>
      </c>
      <c r="G339" s="3">
        <f t="shared" si="346"/>
        <v>2.4659144095300284E-3</v>
      </c>
      <c r="H339" s="3">
        <f t="shared" si="346"/>
        <v>4.4426969850837391E-15</v>
      </c>
      <c r="I339" s="3">
        <f t="shared" si="346"/>
        <v>1.6007873372477016E-132</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4.742016927809338E-2</v>
      </c>
      <c r="C340" s="3">
        <f t="shared" si="347"/>
        <v>4.7419012504472134E-2</v>
      </c>
      <c r="D340" s="3">
        <f t="shared" si="347"/>
        <v>4.7407446320162576E-2</v>
      </c>
      <c r="E340" s="3">
        <f t="shared" si="347"/>
        <v>4.7291939527380172E-2</v>
      </c>
      <c r="F340" s="3">
        <f t="shared" si="347"/>
        <v>4.6152237591926472E-2</v>
      </c>
      <c r="G340" s="3">
        <f t="shared" si="347"/>
        <v>3.6161723652424919E-2</v>
      </c>
      <c r="H340" s="3">
        <f t="shared" si="347"/>
        <v>3.1536445048525588E-3</v>
      </c>
      <c r="I340" s="3">
        <f t="shared" si="347"/>
        <v>8.0250706451171701E-14</v>
      </c>
      <c r="J340" s="3">
        <f t="shared" si="347"/>
        <v>9.1371372392956574E-120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5.5060694396140544E-2</v>
      </c>
      <c r="C341" s="3">
        <f t="shared" si="348"/>
        <v>5.5060573230810116E-2</v>
      </c>
      <c r="D341" s="3">
        <f t="shared" si="348"/>
        <v>5.5059361592170619E-2</v>
      </c>
      <c r="E341" s="3">
        <f t="shared" si="348"/>
        <v>5.5047246672131955E-2</v>
      </c>
      <c r="F341" s="3">
        <f t="shared" si="348"/>
        <v>5.4926243988056268E-2</v>
      </c>
      <c r="G341" s="3">
        <f t="shared" si="348"/>
        <v>5.3730750181626173E-2</v>
      </c>
      <c r="H341" s="3">
        <f t="shared" si="348"/>
        <v>4.3117436097546813E-2</v>
      </c>
      <c r="I341" s="3">
        <f t="shared" si="348"/>
        <v>4.7747778503092848E-3</v>
      </c>
      <c r="J341" s="3">
        <f t="shared" si="348"/>
        <v>1.3242061245150283E-12</v>
      </c>
      <c r="K341" s="3">
        <f t="shared" si="348"/>
        <v>3.5643456143817143E-108</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8.2774014977406135E-2</v>
      </c>
      <c r="C342" s="3">
        <f t="shared" si="349"/>
        <v>8.2773998545886351E-2</v>
      </c>
      <c r="D342" s="3">
        <f t="shared" si="349"/>
        <v>8.2773834230868024E-2</v>
      </c>
      <c r="E342" s="3">
        <f t="shared" si="349"/>
        <v>8.2772191098624617E-2</v>
      </c>
      <c r="F342" s="3">
        <f t="shared" si="349"/>
        <v>8.2755761570051573E-2</v>
      </c>
      <c r="G342" s="3">
        <f t="shared" si="349"/>
        <v>8.2591645538734507E-2</v>
      </c>
      <c r="H342" s="3">
        <f t="shared" si="349"/>
        <v>8.0968279702627044E-2</v>
      </c>
      <c r="I342" s="3">
        <f t="shared" si="349"/>
        <v>6.6390026698622623E-2</v>
      </c>
      <c r="J342" s="3">
        <f t="shared" si="349"/>
        <v>9.1197336628912485E-3</v>
      </c>
      <c r="K342" s="3">
        <f t="shared" si="349"/>
        <v>2.1816007481466137E-11</v>
      </c>
      <c r="L342" s="3">
        <f t="shared" si="349"/>
        <v>1.3387715074779493E-97</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9.2826583126846871E-2</v>
      </c>
      <c r="C343" s="3">
        <f t="shared" si="350"/>
        <v>9.2826581464572497E-2</v>
      </c>
      <c r="D343" s="3">
        <f t="shared" si="350"/>
        <v>9.2826564841830495E-2</v>
      </c>
      <c r="E343" s="3">
        <f t="shared" si="350"/>
        <v>9.2826398614574104E-2</v>
      </c>
      <c r="F343" s="3">
        <f t="shared" si="350"/>
        <v>9.2824736358381857E-2</v>
      </c>
      <c r="G343" s="3">
        <f t="shared" si="350"/>
        <v>9.2808115433516358E-2</v>
      </c>
      <c r="H343" s="3">
        <f t="shared" si="350"/>
        <v>9.2642069782137265E-2</v>
      </c>
      <c r="I343" s="3">
        <f t="shared" si="350"/>
        <v>9.0997865118475199E-2</v>
      </c>
      <c r="J343" s="3">
        <f t="shared" si="350"/>
        <v>7.6078290500801865E-2</v>
      </c>
      <c r="K343" s="3">
        <f t="shared" si="350"/>
        <v>1.2692762770490576E-2</v>
      </c>
      <c r="L343" s="3">
        <f t="shared" si="350"/>
        <v>2.1208518914168919E-10</v>
      </c>
      <c r="M343" s="3">
        <f t="shared" si="350"/>
        <v>3.5979251011922651E-88</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0.10795546606847958</v>
      </c>
      <c r="C344" s="3">
        <f t="shared" si="351"/>
        <v>0.10795546589408958</v>
      </c>
      <c r="D344" s="3">
        <f t="shared" si="351"/>
        <v>0.10795546415018961</v>
      </c>
      <c r="E344" s="3">
        <f t="shared" si="351"/>
        <v>0.10795544671119148</v>
      </c>
      <c r="F344" s="3">
        <f t="shared" si="351"/>
        <v>0.10795527232136502</v>
      </c>
      <c r="G344" s="3">
        <f t="shared" si="351"/>
        <v>0.10795352843859425</v>
      </c>
      <c r="H344" s="3">
        <f t="shared" si="351"/>
        <v>0.10793609116017526</v>
      </c>
      <c r="I344" s="3">
        <f t="shared" si="351"/>
        <v>0.10776187321229767</v>
      </c>
      <c r="J344" s="3">
        <f t="shared" si="351"/>
        <v>0.1060350852185953</v>
      </c>
      <c r="K344" s="3">
        <f t="shared" si="351"/>
        <v>9.0218201784564758E-2</v>
      </c>
      <c r="L344" s="3">
        <f t="shared" si="351"/>
        <v>1.7936592212957011E-2</v>
      </c>
      <c r="M344" s="3">
        <f t="shared" si="351"/>
        <v>1.7306036487745058E-9</v>
      </c>
      <c r="N344" s="3">
        <f t="shared" si="351"/>
        <v>1.2099694897949382E-79</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0.11222824358815543</v>
      </c>
      <c r="C345" s="3">
        <f t="shared" si="352"/>
        <v>0.11222824357180138</v>
      </c>
      <c r="D345" s="3">
        <f t="shared" si="352"/>
        <v>0.11222824340826072</v>
      </c>
      <c r="E345" s="3">
        <f t="shared" si="352"/>
        <v>0.11222824177285433</v>
      </c>
      <c r="F345" s="3">
        <f t="shared" si="352"/>
        <v>0.11222822541879174</v>
      </c>
      <c r="G345" s="3">
        <f t="shared" si="352"/>
        <v>0.1122280618782968</v>
      </c>
      <c r="H345" s="3">
        <f t="shared" si="352"/>
        <v>0.11222642648645469</v>
      </c>
      <c r="I345" s="3">
        <f t="shared" si="352"/>
        <v>0.11221007387868095</v>
      </c>
      <c r="J345" s="3">
        <f t="shared" si="352"/>
        <v>0.11204667879505258</v>
      </c>
      <c r="K345" s="3">
        <f t="shared" si="352"/>
        <v>0.11042575701609826</v>
      </c>
      <c r="L345" s="3">
        <f t="shared" si="352"/>
        <v>9.5451851546238989E-2</v>
      </c>
      <c r="M345" s="3">
        <f t="shared" si="352"/>
        <v>2.2229212433970469E-2</v>
      </c>
      <c r="N345" s="3">
        <f t="shared" si="352"/>
        <v>1.0430887635093134E-8</v>
      </c>
      <c r="O345" s="3">
        <f t="shared" si="352"/>
        <v>5.3987494850655964E-72</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8.9690702482006598E-2</v>
      </c>
      <c r="C346" s="3">
        <f t="shared" si="353"/>
        <v>8.9690702480827597E-2</v>
      </c>
      <c r="D346" s="3">
        <f t="shared" si="353"/>
        <v>8.96907024690375E-2</v>
      </c>
      <c r="E346" s="3">
        <f t="shared" si="353"/>
        <v>8.9690702351136478E-2</v>
      </c>
      <c r="F346" s="3">
        <f t="shared" si="353"/>
        <v>8.9690701172126325E-2</v>
      </c>
      <c r="G346" s="3">
        <f t="shared" si="353"/>
        <v>8.9690689382025748E-2</v>
      </c>
      <c r="H346" s="3">
        <f t="shared" si="353"/>
        <v>8.9690571481105222E-2</v>
      </c>
      <c r="I346" s="3">
        <f t="shared" si="353"/>
        <v>8.9689392480423902E-2</v>
      </c>
      <c r="J346" s="3">
        <f t="shared" si="353"/>
        <v>8.9677603325978322E-2</v>
      </c>
      <c r="K346" s="3">
        <f t="shared" si="353"/>
        <v>8.9559796976830308E-2</v>
      </c>
      <c r="L346" s="3">
        <f t="shared" si="353"/>
        <v>8.8390211724507756E-2</v>
      </c>
      <c r="M346" s="3">
        <f t="shared" si="353"/>
        <v>7.7502357266325136E-2</v>
      </c>
      <c r="N346" s="3">
        <f t="shared" si="353"/>
        <v>2.0817198800578602E-2</v>
      </c>
      <c r="O346" s="3">
        <f t="shared" si="353"/>
        <v>4.069078486028233E-8</v>
      </c>
      <c r="P346" s="3">
        <f t="shared" si="353"/>
        <v>3.3130946100078199E-65</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3.2601994192636645E-2</v>
      </c>
      <c r="C347" s="3">
        <f t="shared" si="354"/>
        <v>3.2601994192597981E-2</v>
      </c>
      <c r="D347" s="3">
        <f t="shared" si="354"/>
        <v>3.2601994192211388E-2</v>
      </c>
      <c r="E347" s="3">
        <f t="shared" si="354"/>
        <v>3.2601994188345397E-2</v>
      </c>
      <c r="F347" s="3">
        <f t="shared" si="354"/>
        <v>3.2601994149685481E-2</v>
      </c>
      <c r="G347" s="3">
        <f t="shared" si="354"/>
        <v>3.2601993763086347E-2</v>
      </c>
      <c r="H347" s="3">
        <f t="shared" si="354"/>
        <v>3.2601989897095299E-2</v>
      </c>
      <c r="I347" s="3">
        <f t="shared" si="354"/>
        <v>3.2601951237209999E-2</v>
      </c>
      <c r="J347" s="3">
        <f t="shared" si="354"/>
        <v>3.2601564640878322E-2</v>
      </c>
      <c r="K347" s="3">
        <f t="shared" si="354"/>
        <v>3.2597698929688508E-2</v>
      </c>
      <c r="L347" s="3">
        <f t="shared" si="354"/>
        <v>3.2559067019417069E-2</v>
      </c>
      <c r="M347" s="3">
        <f t="shared" si="354"/>
        <v>3.2175257057117337E-2</v>
      </c>
      <c r="N347" s="3">
        <f t="shared" si="354"/>
        <v>2.8577403137312773E-2</v>
      </c>
      <c r="O347" s="3">
        <f t="shared" si="354"/>
        <v>8.7303191923976797E-3</v>
      </c>
      <c r="P347" s="3">
        <f t="shared" si="354"/>
        <v>6.1816403270243978E-8</v>
      </c>
      <c r="Q347" s="3">
        <f t="shared" si="354"/>
        <v>1.9581223880548545E-59</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3.3353536546239862E-2</v>
      </c>
      <c r="C348" s="3">
        <f t="shared" si="355"/>
        <v>3.3353536546228926E-2</v>
      </c>
      <c r="D348" s="3">
        <f t="shared" si="355"/>
        <v>3.3353536546119535E-2</v>
      </c>
      <c r="E348" s="3">
        <f t="shared" si="355"/>
        <v>3.3353536545025646E-2</v>
      </c>
      <c r="F348" s="3">
        <f t="shared" si="355"/>
        <v>3.3353536534086806E-2</v>
      </c>
      <c r="G348" s="3">
        <f t="shared" si="355"/>
        <v>3.3353536424698356E-2</v>
      </c>
      <c r="H348" s="3">
        <f t="shared" si="355"/>
        <v>3.3353535330813894E-2</v>
      </c>
      <c r="I348" s="3">
        <f t="shared" si="355"/>
        <v>3.3353524391971257E-2</v>
      </c>
      <c r="J348" s="3">
        <f t="shared" si="355"/>
        <v>3.3353415003742184E-2</v>
      </c>
      <c r="K348" s="3">
        <f t="shared" si="355"/>
        <v>3.3352321141182854E-2</v>
      </c>
      <c r="L348" s="3">
        <f t="shared" si="355"/>
        <v>3.334138448849E-2</v>
      </c>
      <c r="M348" s="3">
        <f t="shared" si="355"/>
        <v>3.3232215012408035E-2</v>
      </c>
      <c r="N348" s="3">
        <f t="shared" si="355"/>
        <v>3.2159988302905736E-2</v>
      </c>
      <c r="O348" s="3">
        <f t="shared" si="355"/>
        <v>2.316764087104382E-2</v>
      </c>
      <c r="P348" s="3">
        <f t="shared" si="355"/>
        <v>8.7204945617445711E-4</v>
      </c>
      <c r="Q348" s="3">
        <f t="shared" si="355"/>
        <v>4.9789085239406869E-18</v>
      </c>
      <c r="R348" s="3">
        <f t="shared" si="355"/>
        <v>1.8325864161206277E-160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1.7436587013509159E-2</v>
      </c>
      <c r="C349" s="3">
        <f t="shared" si="356"/>
        <v>1.7436587013508587E-2</v>
      </c>
      <c r="D349" s="3">
        <f t="shared" si="356"/>
        <v>1.7436587013502869E-2</v>
      </c>
      <c r="E349" s="3">
        <f t="shared" si="356"/>
        <v>1.7436587013445682E-2</v>
      </c>
      <c r="F349" s="3">
        <f t="shared" si="356"/>
        <v>1.743658701287382E-2</v>
      </c>
      <c r="G349" s="3">
        <f t="shared" si="356"/>
        <v>1.7436587007155203E-2</v>
      </c>
      <c r="H349" s="3">
        <f t="shared" si="356"/>
        <v>1.7436586949969027E-2</v>
      </c>
      <c r="I349" s="3">
        <f t="shared" si="356"/>
        <v>1.7436586378107282E-2</v>
      </c>
      <c r="J349" s="3">
        <f t="shared" si="356"/>
        <v>1.7436580659490868E-2</v>
      </c>
      <c r="K349" s="3">
        <f t="shared" si="356"/>
        <v>1.7436523473429902E-2</v>
      </c>
      <c r="L349" s="3">
        <f t="shared" si="356"/>
        <v>1.7435951623135403E-2</v>
      </c>
      <c r="M349" s="3">
        <f t="shared" si="356"/>
        <v>1.7430234151584786E-2</v>
      </c>
      <c r="N349" s="3">
        <f t="shared" si="356"/>
        <v>1.7373162450468976E-2</v>
      </c>
      <c r="O349" s="3">
        <f t="shared" si="356"/>
        <v>1.6812622961874548E-2</v>
      </c>
      <c r="P349" s="3">
        <f t="shared" si="356"/>
        <v>1.211159678331666E-2</v>
      </c>
      <c r="Q349" s="3">
        <f t="shared" si="356"/>
        <v>4.5589067299020726E-4</v>
      </c>
      <c r="R349" s="3">
        <f t="shared" si="356"/>
        <v>2.6028775566163635E-18</v>
      </c>
      <c r="S349" s="3">
        <f t="shared" si="356"/>
        <v>9.5804090999949899E-161</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4.7217849635186393E-4</v>
      </c>
      <c r="C350" s="3">
        <f t="shared" si="357"/>
        <v>4.7217849635186235E-4</v>
      </c>
      <c r="D350" s="3">
        <f t="shared" si="357"/>
        <v>4.721784963518469E-4</v>
      </c>
      <c r="E350" s="3">
        <f t="shared" si="357"/>
        <v>4.7217849635169202E-4</v>
      </c>
      <c r="F350" s="3">
        <f t="shared" si="357"/>
        <v>4.721784963501434E-4</v>
      </c>
      <c r="G350" s="3">
        <f t="shared" si="357"/>
        <v>4.7217849633465753E-4</v>
      </c>
      <c r="H350" s="3">
        <f t="shared" si="357"/>
        <v>4.7217849617979882E-4</v>
      </c>
      <c r="I350" s="3">
        <f t="shared" si="357"/>
        <v>4.7217849463121123E-4</v>
      </c>
      <c r="J350" s="3">
        <f t="shared" si="357"/>
        <v>4.7217847914533551E-4</v>
      </c>
      <c r="K350" s="3">
        <f t="shared" si="357"/>
        <v>4.7217832428660675E-4</v>
      </c>
      <c r="L350" s="3">
        <f t="shared" si="357"/>
        <v>4.7217677570211256E-4</v>
      </c>
      <c r="M350" s="3">
        <f t="shared" si="357"/>
        <v>4.7216129013650355E-4</v>
      </c>
      <c r="N350" s="3">
        <f t="shared" si="357"/>
        <v>4.7200646241031996E-4</v>
      </c>
      <c r="O350" s="3">
        <f t="shared" si="357"/>
        <v>4.7046097475288856E-4</v>
      </c>
      <c r="P350" s="3">
        <f t="shared" si="357"/>
        <v>4.5528170299143094E-4</v>
      </c>
      <c r="Q350" s="3">
        <f t="shared" si="357"/>
        <v>3.2797906798708905E-4</v>
      </c>
      <c r="R350" s="3">
        <f t="shared" si="357"/>
        <v>1.2345407521929526E-5</v>
      </c>
      <c r="S350" s="3">
        <f t="shared" si="357"/>
        <v>7.0485285332440749E-20</v>
      </c>
      <c r="T350" s="3">
        <f t="shared" si="357"/>
        <v>2.5943512682651618E-162</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3.9532606595692786E-3</v>
      </c>
      <c r="C351" s="3">
        <f t="shared" si="358"/>
        <v>3.9532606595692769E-3</v>
      </c>
      <c r="D351" s="3">
        <f t="shared" si="358"/>
        <v>3.9532606595692639E-3</v>
      </c>
      <c r="E351" s="3">
        <f t="shared" si="358"/>
        <v>3.9532606595691347E-3</v>
      </c>
      <c r="F351" s="3">
        <f t="shared" si="358"/>
        <v>3.953260659567838E-3</v>
      </c>
      <c r="G351" s="3">
        <f t="shared" si="358"/>
        <v>3.9532606595548726E-3</v>
      </c>
      <c r="H351" s="3">
        <f t="shared" si="358"/>
        <v>3.9532606594252185E-3</v>
      </c>
      <c r="I351" s="3">
        <f t="shared" si="358"/>
        <v>3.9532606581286819E-3</v>
      </c>
      <c r="J351" s="3">
        <f t="shared" si="358"/>
        <v>3.9532606451633083E-3</v>
      </c>
      <c r="K351" s="3">
        <f t="shared" si="358"/>
        <v>3.9532605155095787E-3</v>
      </c>
      <c r="L351" s="3">
        <f t="shared" si="358"/>
        <v>3.953259218972517E-3</v>
      </c>
      <c r="M351" s="3">
        <f t="shared" si="358"/>
        <v>3.9532462536252888E-3</v>
      </c>
      <c r="N351" s="3">
        <f t="shared" si="358"/>
        <v>3.9531166024916898E-3</v>
      </c>
      <c r="O351" s="3">
        <f t="shared" si="358"/>
        <v>3.9518203249956554E-3</v>
      </c>
      <c r="P351" s="3">
        <f t="shared" si="358"/>
        <v>3.9388809056803368E-3</v>
      </c>
      <c r="Q351" s="3">
        <f t="shared" si="358"/>
        <v>3.8117941824197246E-3</v>
      </c>
      <c r="R351" s="3">
        <f t="shared" si="358"/>
        <v>2.7459673760097487E-3</v>
      </c>
      <c r="S351" s="3">
        <f t="shared" si="358"/>
        <v>1.0336051781236941E-4</v>
      </c>
      <c r="T351" s="3">
        <f t="shared" si="358"/>
        <v>5.9013002018543422E-19</v>
      </c>
      <c r="U351" s="3">
        <f t="shared" si="358"/>
        <v>2.1720910387019232E-161</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4.2057154474780992E-7</v>
      </c>
      <c r="C352" s="3">
        <f t="shared" si="359"/>
        <v>4.2057154474780992E-7</v>
      </c>
      <c r="D352" s="3">
        <f t="shared" si="359"/>
        <v>4.2057154474780976E-7</v>
      </c>
      <c r="E352" s="3">
        <f t="shared" si="359"/>
        <v>4.2057154474780839E-7</v>
      </c>
      <c r="F352" s="3">
        <f t="shared" si="359"/>
        <v>4.2057154474779462E-7</v>
      </c>
      <c r="G352" s="3">
        <f t="shared" si="359"/>
        <v>4.2057154474765666E-7</v>
      </c>
      <c r="H352" s="3">
        <f t="shared" si="359"/>
        <v>4.2057154474627732E-7</v>
      </c>
      <c r="I352" s="3">
        <f t="shared" si="359"/>
        <v>4.2057154473248397E-7</v>
      </c>
      <c r="J352" s="3">
        <f t="shared" si="359"/>
        <v>4.2057154459455059E-7</v>
      </c>
      <c r="K352" s="3">
        <f t="shared" si="359"/>
        <v>4.2057154321521657E-7</v>
      </c>
      <c r="L352" s="3">
        <f t="shared" si="359"/>
        <v>4.205715294218763E-7</v>
      </c>
      <c r="M352" s="3">
        <f t="shared" si="359"/>
        <v>4.2057139148849881E-7</v>
      </c>
      <c r="N352" s="3">
        <f t="shared" si="359"/>
        <v>4.2057001215721218E-7</v>
      </c>
      <c r="O352" s="3">
        <f t="shared" si="359"/>
        <v>4.205562190931489E-7</v>
      </c>
      <c r="P352" s="3">
        <f t="shared" si="359"/>
        <v>4.2041831332981173E-7</v>
      </c>
      <c r="Q352" s="3">
        <f t="shared" si="359"/>
        <v>4.1904174040983227E-7</v>
      </c>
      <c r="R352" s="3">
        <f t="shared" si="359"/>
        <v>4.0552149367647456E-7</v>
      </c>
      <c r="S352" s="3">
        <f t="shared" si="359"/>
        <v>2.9213245485344188E-7</v>
      </c>
      <c r="T352" s="3">
        <f t="shared" si="359"/>
        <v>1.0996110903301273E-8</v>
      </c>
      <c r="U352" s="3">
        <f t="shared" si="359"/>
        <v>6.2781565791941899E-23</v>
      </c>
      <c r="V352" s="3">
        <f t="shared" si="359"/>
        <v>2.310800531881128E-165</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1.8675724725031384E-5</v>
      </c>
      <c r="C353" s="3">
        <f t="shared" si="360"/>
        <v>1.8675724725031384E-5</v>
      </c>
      <c r="D353" s="3">
        <f t="shared" si="360"/>
        <v>1.8675724725031384E-5</v>
      </c>
      <c r="E353" s="3">
        <f t="shared" si="360"/>
        <v>1.8675724725031377E-5</v>
      </c>
      <c r="F353" s="3">
        <f t="shared" si="360"/>
        <v>1.8675724725031316E-5</v>
      </c>
      <c r="G353" s="3">
        <f t="shared" si="360"/>
        <v>1.8675724725030703E-5</v>
      </c>
      <c r="H353" s="3">
        <f t="shared" si="360"/>
        <v>1.867572472502458E-5</v>
      </c>
      <c r="I353" s="3">
        <f t="shared" si="360"/>
        <v>1.8675724724963326E-5</v>
      </c>
      <c r="J353" s="3">
        <f t="shared" si="360"/>
        <v>1.8675724724350827E-5</v>
      </c>
      <c r="K353" s="3">
        <f t="shared" si="360"/>
        <v>1.8675724718225813E-5</v>
      </c>
      <c r="L353" s="3">
        <f t="shared" si="360"/>
        <v>1.8675724656975681E-5</v>
      </c>
      <c r="M353" s="3">
        <f t="shared" si="360"/>
        <v>1.8675724044474363E-5</v>
      </c>
      <c r="N353" s="3">
        <f t="shared" si="360"/>
        <v>1.8675717919462292E-5</v>
      </c>
      <c r="O353" s="3">
        <f t="shared" si="360"/>
        <v>1.8675656669452074E-5</v>
      </c>
      <c r="P353" s="3">
        <f t="shared" si="360"/>
        <v>1.8675044180398123E-5</v>
      </c>
      <c r="Q353" s="3">
        <f t="shared" si="360"/>
        <v>1.8668920394549453E-5</v>
      </c>
      <c r="R353" s="3">
        <f t="shared" si="360"/>
        <v>1.8607792871210029E-5</v>
      </c>
      <c r="S353" s="3">
        <f t="shared" si="360"/>
        <v>1.8007418429905158E-5</v>
      </c>
      <c r="T353" s="3">
        <f t="shared" si="360"/>
        <v>1.2972312031623603E-5</v>
      </c>
      <c r="U353" s="3">
        <f t="shared" si="360"/>
        <v>4.8828871767611461E-7</v>
      </c>
      <c r="V353" s="3">
        <f t="shared" si="360"/>
        <v>2.7878520436750485E-21</v>
      </c>
      <c r="W353" s="3">
        <f t="shared" si="360"/>
        <v>1.026124452945239E-163</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6.5581020384023116E-8</v>
      </c>
      <c r="C354" s="3">
        <f t="shared" si="361"/>
        <v>6.5581020384023116E-8</v>
      </c>
      <c r="D354" s="3">
        <f t="shared" si="361"/>
        <v>6.5581020384023116E-8</v>
      </c>
      <c r="E354" s="3">
        <f t="shared" si="361"/>
        <v>6.5581020384023116E-8</v>
      </c>
      <c r="F354" s="3">
        <f t="shared" si="361"/>
        <v>6.5581020384023089E-8</v>
      </c>
      <c r="G354" s="3">
        <f t="shared" si="361"/>
        <v>6.5581020384022877E-8</v>
      </c>
      <c r="H354" s="3">
        <f t="shared" si="361"/>
        <v>6.5581020384020733E-8</v>
      </c>
      <c r="I354" s="3">
        <f t="shared" si="361"/>
        <v>6.5581020383999213E-8</v>
      </c>
      <c r="J354" s="3">
        <f t="shared" si="361"/>
        <v>6.5581020383784133E-8</v>
      </c>
      <c r="K354" s="3">
        <f t="shared" si="361"/>
        <v>6.5581020381633292E-8</v>
      </c>
      <c r="L354" s="3">
        <f t="shared" si="361"/>
        <v>6.5581020360124915E-8</v>
      </c>
      <c r="M354" s="3">
        <f t="shared" si="361"/>
        <v>6.5581020145041094E-8</v>
      </c>
      <c r="N354" s="3">
        <f t="shared" si="361"/>
        <v>6.5581017994202929E-8</v>
      </c>
      <c r="O354" s="3">
        <f t="shared" si="361"/>
        <v>6.5580996485825219E-8</v>
      </c>
      <c r="P354" s="3">
        <f t="shared" si="361"/>
        <v>6.558078140243607E-8</v>
      </c>
      <c r="Q354" s="3">
        <f t="shared" si="361"/>
        <v>6.5578630607341181E-8</v>
      </c>
      <c r="R354" s="3">
        <f t="shared" si="361"/>
        <v>6.5557126535585884E-8</v>
      </c>
      <c r="S354" s="3">
        <f t="shared" si="361"/>
        <v>6.5342473267069117E-8</v>
      </c>
      <c r="T354" s="3">
        <f t="shared" si="361"/>
        <v>6.3234219421343446E-8</v>
      </c>
      <c r="U354" s="3">
        <f t="shared" si="361"/>
        <v>4.5553116267212824E-8</v>
      </c>
      <c r="V354" s="3">
        <f t="shared" si="361"/>
        <v>1.7146575470929668E-9</v>
      </c>
      <c r="W354" s="3">
        <f t="shared" si="361"/>
        <v>9.7897235259011675E-24</v>
      </c>
      <c r="X354" s="3">
        <f t="shared" si="361"/>
        <v>3.6033026646056008E-166</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7.3021852336235098E-8</v>
      </c>
      <c r="C355" s="3">
        <f t="shared" si="362"/>
        <v>7.3021852336235098E-8</v>
      </c>
      <c r="D355" s="3">
        <f t="shared" si="362"/>
        <v>7.3021852336235098E-8</v>
      </c>
      <c r="E355" s="3">
        <f t="shared" si="362"/>
        <v>7.3021852336235098E-8</v>
      </c>
      <c r="F355" s="3">
        <f t="shared" si="362"/>
        <v>7.3021852336235098E-8</v>
      </c>
      <c r="G355" s="3">
        <f t="shared" si="362"/>
        <v>7.3021852336235071E-8</v>
      </c>
      <c r="H355" s="3">
        <f t="shared" si="362"/>
        <v>7.3021852336234833E-8</v>
      </c>
      <c r="I355" s="3">
        <f t="shared" si="362"/>
        <v>7.3021852336232438E-8</v>
      </c>
      <c r="J355" s="3">
        <f t="shared" si="362"/>
        <v>7.3021852336208496E-8</v>
      </c>
      <c r="K355" s="3">
        <f t="shared" si="362"/>
        <v>7.3021852335968997E-8</v>
      </c>
      <c r="L355" s="3">
        <f t="shared" si="362"/>
        <v>7.3021852333574131E-8</v>
      </c>
      <c r="M355" s="3">
        <f t="shared" si="362"/>
        <v>7.3021852309625399E-8</v>
      </c>
      <c r="N355" s="3">
        <f t="shared" si="362"/>
        <v>7.3021852070138136E-8</v>
      </c>
      <c r="O355" s="3">
        <f t="shared" si="362"/>
        <v>7.302184967526557E-8</v>
      </c>
      <c r="P355" s="3">
        <f t="shared" si="362"/>
        <v>7.3021825726544248E-8</v>
      </c>
      <c r="Q355" s="3">
        <f t="shared" si="362"/>
        <v>7.302158623976301E-8</v>
      </c>
      <c r="R355" s="3">
        <f t="shared" si="362"/>
        <v>7.301919141514905E-8</v>
      </c>
      <c r="S355" s="3">
        <f t="shared" si="362"/>
        <v>7.299524748833687E-8</v>
      </c>
      <c r="T355" s="3">
        <f t="shared" si="362"/>
        <v>7.2756239629274329E-8</v>
      </c>
      <c r="U355" s="3">
        <f t="shared" si="362"/>
        <v>7.0408783000688782E-8</v>
      </c>
      <c r="V355" s="3">
        <f t="shared" si="362"/>
        <v>5.0721579353927473E-8</v>
      </c>
      <c r="W355" s="3">
        <f t="shared" si="362"/>
        <v>1.9092028376175861E-9</v>
      </c>
      <c r="X355" s="3">
        <f t="shared" si="362"/>
        <v>1.090046695728262E-23</v>
      </c>
      <c r="Y355" s="3">
        <f t="shared" si="362"/>
        <v>4.0121339002784724E-166</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1.1629614521313135E-6</v>
      </c>
      <c r="C356" s="3">
        <f t="shared" si="363"/>
        <v>1.1629614521313135E-6</v>
      </c>
      <c r="D356" s="3">
        <f t="shared" si="363"/>
        <v>1.1629614521313135E-6</v>
      </c>
      <c r="E356" s="3">
        <f t="shared" si="363"/>
        <v>1.1629614521313135E-6</v>
      </c>
      <c r="F356" s="3">
        <f t="shared" si="363"/>
        <v>1.1629614521313135E-6</v>
      </c>
      <c r="G356" s="3">
        <f t="shared" si="363"/>
        <v>1.1629614521313135E-6</v>
      </c>
      <c r="H356" s="3">
        <f t="shared" si="363"/>
        <v>1.162961452131313E-6</v>
      </c>
      <c r="I356" s="3">
        <f t="shared" si="363"/>
        <v>1.1629614521313092E-6</v>
      </c>
      <c r="J356" s="3">
        <f t="shared" si="363"/>
        <v>1.1629614521312711E-6</v>
      </c>
      <c r="K356" s="3">
        <f t="shared" si="363"/>
        <v>1.1629614521308897E-6</v>
      </c>
      <c r="L356" s="3">
        <f t="shared" si="363"/>
        <v>1.1629614521270755E-6</v>
      </c>
      <c r="M356" s="3">
        <f t="shared" si="363"/>
        <v>1.1629614520889343E-6</v>
      </c>
      <c r="N356" s="3">
        <f t="shared" si="363"/>
        <v>1.1629614517075219E-6</v>
      </c>
      <c r="O356" s="3">
        <f t="shared" si="363"/>
        <v>1.1629614478933971E-6</v>
      </c>
      <c r="P356" s="3">
        <f t="shared" si="363"/>
        <v>1.1629614097521504E-6</v>
      </c>
      <c r="Q356" s="3">
        <f t="shared" si="363"/>
        <v>1.1629610283397536E-6</v>
      </c>
      <c r="R356" s="3">
        <f t="shared" si="363"/>
        <v>1.1629572142226644E-6</v>
      </c>
      <c r="S356" s="3">
        <f t="shared" si="363"/>
        <v>1.1629190737397604E-6</v>
      </c>
      <c r="T356" s="3">
        <f t="shared" si="363"/>
        <v>1.1625377377012413E-6</v>
      </c>
      <c r="U356" s="3">
        <f t="shared" si="363"/>
        <v>1.1587312480278997E-6</v>
      </c>
      <c r="V356" s="3">
        <f t="shared" si="363"/>
        <v>1.1213451576692956E-6</v>
      </c>
      <c r="W356" s="3">
        <f t="shared" si="363"/>
        <v>8.0780259186285171E-7</v>
      </c>
      <c r="X356" s="3">
        <f t="shared" si="363"/>
        <v>3.0406367866776156E-8</v>
      </c>
      <c r="Y356" s="3">
        <f t="shared" si="363"/>
        <v>1.7360314037473777E-22</v>
      </c>
      <c r="Z356" s="3">
        <f t="shared" si="363"/>
        <v>6.3898092386486458E-165</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4.9365030271996854E-7</v>
      </c>
      <c r="C357" s="3">
        <f t="shared" si="364"/>
        <v>4.9365030271996854E-7</v>
      </c>
      <c r="D357" s="3">
        <f t="shared" si="364"/>
        <v>4.9365030271996854E-7</v>
      </c>
      <c r="E357" s="3">
        <f t="shared" si="364"/>
        <v>4.9365030271996854E-7</v>
      </c>
      <c r="F357" s="3">
        <f t="shared" si="364"/>
        <v>4.9365030271996854E-7</v>
      </c>
      <c r="G357" s="3">
        <f t="shared" si="364"/>
        <v>4.9365030271996854E-7</v>
      </c>
      <c r="H357" s="3">
        <f t="shared" si="364"/>
        <v>4.9365030271996854E-7</v>
      </c>
      <c r="I357" s="3">
        <f t="shared" si="364"/>
        <v>4.9365030271996833E-7</v>
      </c>
      <c r="J357" s="3">
        <f t="shared" si="364"/>
        <v>4.9365030271996674E-7</v>
      </c>
      <c r="K357" s="3">
        <f t="shared" si="364"/>
        <v>4.9365030271995054E-7</v>
      </c>
      <c r="L357" s="3">
        <f t="shared" si="364"/>
        <v>4.9365030271978865E-7</v>
      </c>
      <c r="M357" s="3">
        <f t="shared" si="364"/>
        <v>4.9365030271816966E-7</v>
      </c>
      <c r="N357" s="3">
        <f t="shared" si="364"/>
        <v>4.9365030270197957E-7</v>
      </c>
      <c r="O357" s="3">
        <f t="shared" si="364"/>
        <v>4.9365030254007876E-7</v>
      </c>
      <c r="P357" s="3">
        <f t="shared" si="364"/>
        <v>4.9365030092107089E-7</v>
      </c>
      <c r="Q357" s="3">
        <f t="shared" si="364"/>
        <v>4.9365028473099166E-7</v>
      </c>
      <c r="R357" s="3">
        <f t="shared" si="364"/>
        <v>4.9365012283022977E-7</v>
      </c>
      <c r="S357" s="3">
        <f t="shared" si="364"/>
        <v>4.936485038255308E-7</v>
      </c>
      <c r="T357" s="3">
        <f t="shared" si="364"/>
        <v>4.9363231407057641E-7</v>
      </c>
      <c r="U357" s="3">
        <f t="shared" si="364"/>
        <v>4.9347044572102108E-7</v>
      </c>
      <c r="V357" s="3">
        <f t="shared" si="364"/>
        <v>4.9185467868411551E-7</v>
      </c>
      <c r="W357" s="3">
        <f t="shared" si="364"/>
        <v>4.7598514595866012E-7</v>
      </c>
      <c r="X357" s="3">
        <f t="shared" si="364"/>
        <v>3.4289356133022143E-7</v>
      </c>
      <c r="Y357" s="3">
        <f t="shared" si="364"/>
        <v>1.2906801575013801E-8</v>
      </c>
      <c r="Z357" s="3">
        <f t="shared" si="364"/>
        <v>7.369052743929636E-23</v>
      </c>
      <c r="AA357" s="3">
        <f t="shared" si="364"/>
        <v>2.7123265858906481E-165</v>
      </c>
      <c r="AB357" s="3">
        <f t="shared" si="364"/>
        <v>0</v>
      </c>
      <c r="AC357" s="3">
        <f t="shared" si="364"/>
        <v>0</v>
      </c>
      <c r="AD357" s="3">
        <f t="shared" si="364"/>
        <v>0</v>
      </c>
      <c r="AE357" s="3">
        <f t="shared" si="364"/>
        <v>0</v>
      </c>
      <c r="AF357" s="3">
        <f t="shared" si="364"/>
        <v>0</v>
      </c>
      <c r="AG357" s="3"/>
      <c r="AH357" s="3"/>
    </row>
    <row r="358" spans="1:34" x14ac:dyDescent="0.25">
      <c r="A358" s="80">
        <f>AVERAGE(B358:AF358)</f>
        <v>8.1731502564789497E-3</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1.9247773203927773E-2</v>
      </c>
      <c r="M358" s="81">
        <f t="shared" si="365"/>
        <v>5.8685932971189623E-3</v>
      </c>
      <c r="N358" s="81">
        <f t="shared" si="365"/>
        <v>2.6207811919444417E-2</v>
      </c>
      <c r="O358" s="81">
        <f t="shared" si="365"/>
        <v>9.0239722128356042E-2</v>
      </c>
      <c r="P358" s="81">
        <f t="shared" si="365"/>
        <v>1.3188551105711887E-2</v>
      </c>
      <c r="Q358" s="81">
        <f t="shared" si="365"/>
        <v>3.810662306299898E-2</v>
      </c>
      <c r="R358" s="81">
        <f t="shared" si="365"/>
        <v>1.414866638893727E-2</v>
      </c>
      <c r="S358" s="81">
        <f t="shared" si="365"/>
        <v>1.7625427428520926E-2</v>
      </c>
      <c r="T358" s="81">
        <f t="shared" si="365"/>
        <v>1.021571727665652E-2</v>
      </c>
      <c r="U358" s="81">
        <f t="shared" si="365"/>
        <v>9.7755760434614647E-3</v>
      </c>
      <c r="V358" s="81">
        <f t="shared" si="365"/>
        <v>8.7431960957131995E-3</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1062.1378719138813</v>
      </c>
      <c r="C359" s="21">
        <f t="shared" ref="C359:AF359" si="366">(C326-C325)^2</f>
        <v>135.15189239271237</v>
      </c>
      <c r="D359" s="21">
        <f t="shared" si="366"/>
        <v>788.14137110749255</v>
      </c>
      <c r="E359" s="21">
        <f t="shared" si="366"/>
        <v>69.288978053861143</v>
      </c>
      <c r="F359" s="21">
        <f t="shared" si="366"/>
        <v>238.97635751411448</v>
      </c>
      <c r="G359" s="21">
        <f t="shared" si="366"/>
        <v>38.562234940871953</v>
      </c>
      <c r="H359" s="21">
        <f t="shared" si="366"/>
        <v>129.86021614061309</v>
      </c>
      <c r="I359" s="21">
        <f t="shared" si="366"/>
        <v>4.4083526652440925</v>
      </c>
      <c r="J359" s="21">
        <f t="shared" si="366"/>
        <v>1008.8872511202524</v>
      </c>
      <c r="K359" s="21">
        <f t="shared" si="366"/>
        <v>1767.948819055154</v>
      </c>
      <c r="L359" s="21">
        <f t="shared" si="366"/>
        <v>1305.6597623830974</v>
      </c>
      <c r="M359" s="21">
        <f t="shared" si="366"/>
        <v>51.75277953376029</v>
      </c>
      <c r="N359" s="21">
        <f t="shared" si="366"/>
        <v>354.26425191127487</v>
      </c>
      <c r="O359" s="21">
        <f t="shared" si="366"/>
        <v>1321.3845371720013</v>
      </c>
      <c r="P359" s="21">
        <f t="shared" si="366"/>
        <v>8.7413631212740359</v>
      </c>
      <c r="Q359" s="21">
        <f t="shared" si="366"/>
        <v>35.941851701213189</v>
      </c>
      <c r="R359" s="21">
        <f t="shared" si="366"/>
        <v>3.8385892755456807</v>
      </c>
      <c r="S359" s="21">
        <f t="shared" si="366"/>
        <v>5.0043939460245639</v>
      </c>
      <c r="T359" s="21">
        <f t="shared" si="366"/>
        <v>1.6390096640903058</v>
      </c>
      <c r="U359" s="21">
        <f t="shared" si="366"/>
        <v>1.4976912728736609</v>
      </c>
      <c r="V359" s="21">
        <f t="shared" si="366"/>
        <v>1.1954966834528915</v>
      </c>
      <c r="W359" s="21">
        <f t="shared" si="366"/>
        <v>0.86858762895332597</v>
      </c>
      <c r="X359" s="21">
        <f t="shared" si="366"/>
        <v>0.56756450751662302</v>
      </c>
      <c r="Y359" s="21">
        <f t="shared" si="366"/>
        <v>0.31721344943306456</v>
      </c>
      <c r="Z359" s="21">
        <f t="shared" si="366"/>
        <v>0.25356486886676621</v>
      </c>
      <c r="AA359" s="21">
        <f t="shared" si="366"/>
        <v>0.16938502806092276</v>
      </c>
      <c r="AB359" s="21">
        <f t="shared" si="366"/>
        <v>8.8213083214709567E-2</v>
      </c>
      <c r="AC359" s="21">
        <f t="shared" si="366"/>
        <v>2.9609053379672543E-2</v>
      </c>
      <c r="AD359" s="21">
        <f t="shared" si="366"/>
        <v>2.7026412219933068E-2</v>
      </c>
      <c r="AE359" s="21">
        <f t="shared" si="366"/>
        <v>2.5652494651144418E-2</v>
      </c>
      <c r="AF359" s="21">
        <f t="shared" si="366"/>
        <v>2.4565211996154523E-2</v>
      </c>
      <c r="AG359" s="3"/>
      <c r="AH359" s="3"/>
    </row>
    <row r="360" spans="1:34" x14ac:dyDescent="0.25">
      <c r="A360" s="72">
        <f>SUM(B360:AF360)</f>
        <v>3090.9197266646074</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1305.6597623830974</v>
      </c>
      <c r="M360" s="60">
        <f t="shared" si="367"/>
        <v>51.75277953376029</v>
      </c>
      <c r="N360" s="60">
        <f t="shared" si="367"/>
        <v>354.26425191127487</v>
      </c>
      <c r="O360" s="60">
        <f t="shared" si="367"/>
        <v>1321.3845371720013</v>
      </c>
      <c r="P360" s="60">
        <f t="shared" si="367"/>
        <v>8.7413631212740359</v>
      </c>
      <c r="Q360" s="60">
        <f t="shared" si="367"/>
        <v>35.941851701213189</v>
      </c>
      <c r="R360" s="60">
        <f t="shared" si="367"/>
        <v>3.8385892755456807</v>
      </c>
      <c r="S360" s="60">
        <f t="shared" si="367"/>
        <v>5.0043939460245639</v>
      </c>
      <c r="T360" s="60">
        <f t="shared" si="367"/>
        <v>1.6390096640903058</v>
      </c>
      <c r="U360" s="60">
        <f t="shared" si="367"/>
        <v>1.4976912728736609</v>
      </c>
      <c r="V360" s="60">
        <f t="shared" si="367"/>
        <v>1.1954966834528915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4924.7883049255261</v>
      </c>
      <c r="C365" s="27">
        <f t="shared" ref="C365:AF365" si="368">($C$17+SUM(C366:C396))*$B$51</f>
        <v>4645.2915844885447</v>
      </c>
      <c r="D365" s="27">
        <f t="shared" si="368"/>
        <v>4388.933806167096</v>
      </c>
      <c r="E365" s="27">
        <f t="shared" si="368"/>
        <v>4111.8097838507801</v>
      </c>
      <c r="F365" s="27">
        <f t="shared" si="368"/>
        <v>3831.9177047169574</v>
      </c>
      <c r="G365" s="27">
        <f t="shared" si="368"/>
        <v>3502.9088525382726</v>
      </c>
      <c r="H365" s="27">
        <f t="shared" si="368"/>
        <v>3055.7735059421625</v>
      </c>
      <c r="I365" s="27">
        <f t="shared" si="368"/>
        <v>2533.6750907509545</v>
      </c>
      <c r="J365" s="27">
        <f t="shared" si="368"/>
        <v>1945.4387064015414</v>
      </c>
      <c r="K365" s="27">
        <f t="shared" si="368"/>
        <v>1334.9113598029014</v>
      </c>
      <c r="L365" s="27">
        <f t="shared" si="368"/>
        <v>812.36187206510238</v>
      </c>
      <c r="M365" s="27">
        <f t="shared" si="368"/>
        <v>480.44976148365953</v>
      </c>
      <c r="N365" s="27">
        <f t="shared" si="368"/>
        <v>245.33105671303633</v>
      </c>
      <c r="O365" s="27">
        <f t="shared" si="368"/>
        <v>157.01077199202965</v>
      </c>
      <c r="P365" s="27">
        <f t="shared" si="368"/>
        <v>142.42281502184528</v>
      </c>
      <c r="Q365" s="27">
        <f t="shared" si="368"/>
        <v>125.86847714140414</v>
      </c>
      <c r="R365" s="27">
        <f t="shared" si="368"/>
        <v>124.04905551591902</v>
      </c>
      <c r="S365" s="27">
        <f t="shared" si="368"/>
        <v>123.97158225632893</v>
      </c>
      <c r="T365" s="27">
        <f t="shared" si="368"/>
        <v>123.96257845060397</v>
      </c>
      <c r="U365" s="27">
        <f t="shared" si="368"/>
        <v>123.96079237494196</v>
      </c>
      <c r="V365" s="27">
        <f t="shared" si="368"/>
        <v>123.95536418826364</v>
      </c>
      <c r="W365" s="27">
        <f t="shared" si="368"/>
        <v>123.95279601338581</v>
      </c>
      <c r="X365" s="27">
        <f t="shared" si="368"/>
        <v>123.95257182050929</v>
      </c>
      <c r="Y365" s="27">
        <f t="shared" si="368"/>
        <v>123.95257182050928</v>
      </c>
      <c r="Z365" s="27">
        <f t="shared" si="368"/>
        <v>123.95257182050928</v>
      </c>
      <c r="AA365" s="27">
        <f t="shared" si="368"/>
        <v>123.95257182050928</v>
      </c>
      <c r="AB365" s="27">
        <f t="shared" si="368"/>
        <v>123.95257182050928</v>
      </c>
      <c r="AC365" s="27">
        <f t="shared" si="368"/>
        <v>123.95257182050928</v>
      </c>
      <c r="AD365" s="27">
        <f t="shared" si="368"/>
        <v>123.95257182050928</v>
      </c>
      <c r="AE365" s="27">
        <f t="shared" si="368"/>
        <v>123.95257182050928</v>
      </c>
      <c r="AF365" s="27">
        <f t="shared" si="368"/>
        <v>123.95257182050928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2.8275361947662122E-156</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4.688385193927903E-16</v>
      </c>
      <c r="C374" s="3">
        <f t="shared" si="377"/>
        <v>4.1641561861590957E-141</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1.7273099237560341E-3</v>
      </c>
      <c r="C375" s="3">
        <f t="shared" si="378"/>
        <v>9.0507584797736307E-15</v>
      </c>
      <c r="D375" s="3">
        <f t="shared" si="378"/>
        <v>1.4119914049988895E-127</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4.0200912775431349E-2</v>
      </c>
      <c r="C376" s="3">
        <f t="shared" si="379"/>
        <v>3.8603284221468623E-3</v>
      </c>
      <c r="D376" s="3">
        <f t="shared" si="379"/>
        <v>2.5734021421005855E-13</v>
      </c>
      <c r="E376" s="3">
        <f t="shared" si="379"/>
        <v>4.4600702128525581E-115</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4.2158864492469798E-2</v>
      </c>
      <c r="C377" s="3">
        <f t="shared" si="380"/>
        <v>3.4126509284856964E-2</v>
      </c>
      <c r="D377" s="3">
        <f t="shared" si="380"/>
        <v>4.1221281918067017E-3</v>
      </c>
      <c r="E377" s="3">
        <f t="shared" si="380"/>
        <v>2.7253215627812689E-12</v>
      </c>
      <c r="F377" s="3">
        <f t="shared" si="380"/>
        <v>4.3489092051839711E-104</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4.9657357367494902E-2</v>
      </c>
      <c r="C378" s="3">
        <f t="shared" si="381"/>
        <v>4.8719491567034839E-2</v>
      </c>
      <c r="D378" s="3">
        <f t="shared" si="381"/>
        <v>4.0261892307792813E-2</v>
      </c>
      <c r="E378" s="3">
        <f t="shared" si="381"/>
        <v>5.9814783842513037E-3</v>
      </c>
      <c r="F378" s="3">
        <f t="shared" si="381"/>
        <v>3.1329400553516243E-11</v>
      </c>
      <c r="G378" s="3">
        <f t="shared" si="381"/>
        <v>4.8684146670602847E-94</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4.7411235940727228E-2</v>
      </c>
      <c r="C379" s="3">
        <f t="shared" si="382"/>
        <v>4.7329757001698225E-2</v>
      </c>
      <c r="D379" s="3">
        <f t="shared" si="382"/>
        <v>4.6522629485098888E-2</v>
      </c>
      <c r="E379" s="3">
        <f t="shared" si="382"/>
        <v>3.9170944104341521E-2</v>
      </c>
      <c r="F379" s="3">
        <f t="shared" si="382"/>
        <v>7.0139375869167266E-3</v>
      </c>
      <c r="G379" s="3">
        <f t="shared" si="382"/>
        <v>2.3765145421654562E-10</v>
      </c>
      <c r="H379" s="3">
        <f t="shared" si="382"/>
        <v>4.739431681151143E-85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5.5059758611029817E-2</v>
      </c>
      <c r="C380" s="3">
        <f t="shared" si="383"/>
        <v>5.5051216115948459E-2</v>
      </c>
      <c r="D380" s="3">
        <f t="shared" si="383"/>
        <v>5.4965864026236891E-2</v>
      </c>
      <c r="E380" s="3">
        <f t="shared" si="383"/>
        <v>5.4119587582962814E-2</v>
      </c>
      <c r="F380" s="3">
        <f t="shared" si="383"/>
        <v>4.6341348866647113E-2</v>
      </c>
      <c r="G380" s="3">
        <f t="shared" si="383"/>
        <v>9.8199797897235725E-3</v>
      </c>
      <c r="H380" s="3">
        <f t="shared" si="383"/>
        <v>1.7927916732560153E-9</v>
      </c>
      <c r="I380" s="3">
        <f t="shared" si="383"/>
        <v>7.374322911885678E-77</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8.2773888072498733E-2</v>
      </c>
      <c r="C381" s="3">
        <f t="shared" si="384"/>
        <v>8.2772729505819681E-2</v>
      </c>
      <c r="D381" s="3">
        <f t="shared" si="384"/>
        <v>8.2761144730881905E-2</v>
      </c>
      <c r="E381" s="3">
        <f t="shared" si="384"/>
        <v>8.264538612061087E-2</v>
      </c>
      <c r="F381" s="3">
        <f t="shared" si="384"/>
        <v>8.1496667937187184E-2</v>
      </c>
      <c r="G381" s="3">
        <f t="shared" si="384"/>
        <v>7.0852021885769598E-2</v>
      </c>
      <c r="H381" s="3">
        <f t="shared" si="384"/>
        <v>1.7477374943302752E-2</v>
      </c>
      <c r="I381" s="3">
        <f t="shared" si="384"/>
        <v>1.4578597813160498E-8</v>
      </c>
      <c r="J381" s="3">
        <f t="shared" si="384"/>
        <v>2.3774493454110236E-69</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9.2826570288661148E-2</v>
      </c>
      <c r="C382" s="3">
        <f t="shared" si="385"/>
        <v>9.2826453082797564E-2</v>
      </c>
      <c r="D382" s="3">
        <f t="shared" si="385"/>
        <v>9.2825281032301032E-2</v>
      </c>
      <c r="E382" s="3">
        <f t="shared" si="385"/>
        <v>9.2813561341228312E-2</v>
      </c>
      <c r="F382" s="3">
        <f t="shared" si="385"/>
        <v>9.2696445781756495E-2</v>
      </c>
      <c r="G382" s="3">
        <f t="shared" si="385"/>
        <v>9.1533387435368901E-2</v>
      </c>
      <c r="H382" s="3">
        <f t="shared" si="385"/>
        <v>8.0675944510572362E-2</v>
      </c>
      <c r="I382" s="3">
        <f t="shared" si="385"/>
        <v>2.2823870564366536E-2</v>
      </c>
      <c r="J382" s="3">
        <f t="shared" si="385"/>
        <v>7.4962086678649852E-8</v>
      </c>
      <c r="K382" s="3">
        <f t="shared" si="385"/>
        <v>1.0948771255843027E-62</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0.10795546472161931</v>
      </c>
      <c r="C383" s="3">
        <f t="shared" si="386"/>
        <v>0.10795545242548761</v>
      </c>
      <c r="D383" s="3">
        <f t="shared" si="386"/>
        <v>0.10795532946424762</v>
      </c>
      <c r="E383" s="3">
        <f t="shared" si="386"/>
        <v>0.10795409985955068</v>
      </c>
      <c r="F383" s="3">
        <f t="shared" si="386"/>
        <v>0.10794180458283673</v>
      </c>
      <c r="G383" s="3">
        <f t="shared" si="386"/>
        <v>0.10781892880879275</v>
      </c>
      <c r="H383" s="3">
        <f t="shared" si="386"/>
        <v>0.10659783802933234</v>
      </c>
      <c r="I383" s="3">
        <f t="shared" si="386"/>
        <v>9.5122276435172293E-2</v>
      </c>
      <c r="J383" s="3">
        <f t="shared" si="386"/>
        <v>3.0452336513465524E-2</v>
      </c>
      <c r="K383" s="3">
        <f t="shared" si="386"/>
        <v>3.4435347677686002E-7</v>
      </c>
      <c r="L383" s="3">
        <f t="shared" si="386"/>
        <v>1.1771803150463776E-56</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0.11222824346184865</v>
      </c>
      <c r="C384" s="3">
        <f t="shared" si="387"/>
        <v>0.11222824230873356</v>
      </c>
      <c r="D384" s="3">
        <f t="shared" si="387"/>
        <v>0.11222823077758336</v>
      </c>
      <c r="E384" s="3">
        <f t="shared" si="387"/>
        <v>0.11222811546614646</v>
      </c>
      <c r="F384" s="3">
        <f t="shared" si="387"/>
        <v>0.11222696235829373</v>
      </c>
      <c r="G384" s="3">
        <f t="shared" si="387"/>
        <v>0.11221543193137622</v>
      </c>
      <c r="H384" s="3">
        <f t="shared" si="387"/>
        <v>0.11210019279839857</v>
      </c>
      <c r="I384" s="3">
        <f t="shared" si="387"/>
        <v>0.11095429039378284</v>
      </c>
      <c r="J384" s="3">
        <f t="shared" si="387"/>
        <v>0.10012015364314288</v>
      </c>
      <c r="K384" s="3">
        <f t="shared" si="387"/>
        <v>3.5834023895494505E-2</v>
      </c>
      <c r="L384" s="3">
        <f t="shared" si="387"/>
        <v>1.236050727470264E-6</v>
      </c>
      <c r="M384" s="3">
        <f t="shared" si="387"/>
        <v>2.9474296661663104E-51</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8.9690702472900785E-2</v>
      </c>
      <c r="C385" s="3">
        <f t="shared" si="388"/>
        <v>8.9690702389769505E-2</v>
      </c>
      <c r="D385" s="3">
        <f t="shared" si="388"/>
        <v>8.969070155845664E-2</v>
      </c>
      <c r="E385" s="3">
        <f t="shared" si="388"/>
        <v>8.9690693245328357E-2</v>
      </c>
      <c r="F385" s="3">
        <f t="shared" si="388"/>
        <v>8.9690610114087882E-2</v>
      </c>
      <c r="G385" s="3">
        <f t="shared" si="388"/>
        <v>8.9689778805921022E-2</v>
      </c>
      <c r="H385" s="3">
        <f t="shared" si="388"/>
        <v>8.9681466148019973E-2</v>
      </c>
      <c r="I385" s="3">
        <f t="shared" si="388"/>
        <v>8.9598381931238411E-2</v>
      </c>
      <c r="J385" s="3">
        <f t="shared" si="388"/>
        <v>8.8771761494547602E-2</v>
      </c>
      <c r="K385" s="3">
        <f t="shared" si="388"/>
        <v>8.0913604187575164E-2</v>
      </c>
      <c r="L385" s="3">
        <f t="shared" si="388"/>
        <v>3.2024963010015055E-2</v>
      </c>
      <c r="M385" s="3">
        <f t="shared" si="388"/>
        <v>3.0210613031860543E-6</v>
      </c>
      <c r="N385" s="3">
        <f t="shared" si="388"/>
        <v>1.686042627523793E-46</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3.2601994192338064E-2</v>
      </c>
      <c r="C386" s="3">
        <f t="shared" si="389"/>
        <v>3.2601994189612175E-2</v>
      </c>
      <c r="D386" s="3">
        <f t="shared" si="389"/>
        <v>3.2601994162353307E-2</v>
      </c>
      <c r="E386" s="3">
        <f t="shared" si="389"/>
        <v>3.2601993889764612E-2</v>
      </c>
      <c r="F386" s="3">
        <f t="shared" si="389"/>
        <v>3.2601991163877818E-2</v>
      </c>
      <c r="G386" s="3">
        <f t="shared" si="389"/>
        <v>3.2601963905022395E-2</v>
      </c>
      <c r="H386" s="3">
        <f t="shared" si="389"/>
        <v>3.2601691317721691E-2</v>
      </c>
      <c r="I386" s="3">
        <f t="shared" si="389"/>
        <v>3.2598965570063212E-2</v>
      </c>
      <c r="J386" s="3">
        <f t="shared" si="389"/>
        <v>3.2571720624455194E-2</v>
      </c>
      <c r="K386" s="3">
        <f t="shared" si="389"/>
        <v>3.2300520398120279E-2</v>
      </c>
      <c r="L386" s="3">
        <f t="shared" si="389"/>
        <v>2.9709661396655207E-2</v>
      </c>
      <c r="M386" s="3">
        <f t="shared" si="389"/>
        <v>1.2875957363463433E-2</v>
      </c>
      <c r="N386" s="3">
        <f t="shared" si="389"/>
        <v>3.0102170253651502E-6</v>
      </c>
      <c r="O386" s="3">
        <f t="shared" si="389"/>
        <v>1.4681843342039674E-42</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3.3353536546155381E-2</v>
      </c>
      <c r="C387" s="3">
        <f t="shared" si="390"/>
        <v>3.3353536545384088E-2</v>
      </c>
      <c r="D387" s="3">
        <f t="shared" si="390"/>
        <v>3.3353536537671175E-2</v>
      </c>
      <c r="E387" s="3">
        <f t="shared" si="390"/>
        <v>3.3353536460542045E-2</v>
      </c>
      <c r="F387" s="3">
        <f t="shared" si="390"/>
        <v>3.3353535689250771E-2</v>
      </c>
      <c r="G387" s="3">
        <f t="shared" si="390"/>
        <v>3.3353527976339017E-2</v>
      </c>
      <c r="H387" s="3">
        <f t="shared" si="390"/>
        <v>3.3353450847319541E-2</v>
      </c>
      <c r="I387" s="3">
        <f t="shared" si="390"/>
        <v>3.3352679566934475E-2</v>
      </c>
      <c r="J387" s="3">
        <f t="shared" si="390"/>
        <v>3.3344967743964914E-2</v>
      </c>
      <c r="K387" s="3">
        <f t="shared" si="390"/>
        <v>3.3267947518504232E-2</v>
      </c>
      <c r="L387" s="3">
        <f t="shared" si="390"/>
        <v>3.250746234968379E-2</v>
      </c>
      <c r="M387" s="3">
        <f t="shared" si="390"/>
        <v>2.5796077524675349E-2</v>
      </c>
      <c r="N387" s="3">
        <f t="shared" si="390"/>
        <v>2.5542283783271374E-3</v>
      </c>
      <c r="O387" s="3">
        <f t="shared" si="390"/>
        <v>2.3137703352557369E-13</v>
      </c>
      <c r="P387" s="3">
        <f t="shared" si="390"/>
        <v>8.6084602474022533E-114</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1.7436587013504742E-2</v>
      </c>
      <c r="C388" s="3">
        <f t="shared" si="391"/>
        <v>1.743658701346442E-2</v>
      </c>
      <c r="D388" s="3">
        <f t="shared" si="391"/>
        <v>1.7436587013061205E-2</v>
      </c>
      <c r="E388" s="3">
        <f t="shared" si="391"/>
        <v>1.7436587009029041E-2</v>
      </c>
      <c r="F388" s="3">
        <f t="shared" si="391"/>
        <v>1.7436586968707417E-2</v>
      </c>
      <c r="G388" s="3">
        <f t="shared" si="391"/>
        <v>1.7436586565491182E-2</v>
      </c>
      <c r="H388" s="3">
        <f t="shared" si="391"/>
        <v>1.7436582533329352E-2</v>
      </c>
      <c r="I388" s="3">
        <f t="shared" si="391"/>
        <v>1.7436542211762329E-2</v>
      </c>
      <c r="J388" s="3">
        <f t="shared" si="391"/>
        <v>1.7436139001220402E-2</v>
      </c>
      <c r="K388" s="3">
        <f t="shared" si="391"/>
        <v>1.7432107408586885E-2</v>
      </c>
      <c r="L388" s="3">
        <f t="shared" si="391"/>
        <v>1.7391842716979643E-2</v>
      </c>
      <c r="M388" s="3">
        <f t="shared" si="391"/>
        <v>1.6994275706349839E-2</v>
      </c>
      <c r="N388" s="3">
        <f t="shared" si="391"/>
        <v>1.3485692881252289E-2</v>
      </c>
      <c r="O388" s="3">
        <f t="shared" si="391"/>
        <v>1.3353014397537695E-3</v>
      </c>
      <c r="P388" s="3">
        <f t="shared" si="391"/>
        <v>1.2095946024803127E-13</v>
      </c>
      <c r="Q388" s="3">
        <f t="shared" si="391"/>
        <v>4.5003373464779084E-114</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4.72178496351852E-4</v>
      </c>
      <c r="C389" s="3">
        <f t="shared" si="392"/>
        <v>4.7217849635174277E-4</v>
      </c>
      <c r="D389" s="3">
        <f t="shared" si="392"/>
        <v>4.7217849635065087E-4</v>
      </c>
      <c r="E389" s="3">
        <f t="shared" si="392"/>
        <v>4.7217849633973187E-4</v>
      </c>
      <c r="F389" s="3">
        <f t="shared" si="392"/>
        <v>4.7217849623054192E-4</v>
      </c>
      <c r="G389" s="3">
        <f t="shared" si="392"/>
        <v>4.7217849513864218E-4</v>
      </c>
      <c r="H389" s="3">
        <f t="shared" si="392"/>
        <v>4.7217848421964557E-4</v>
      </c>
      <c r="I389" s="3">
        <f t="shared" si="392"/>
        <v>4.7217837502969292E-4</v>
      </c>
      <c r="J389" s="3">
        <f t="shared" si="392"/>
        <v>4.7217728313155526E-4</v>
      </c>
      <c r="K389" s="3">
        <f t="shared" si="392"/>
        <v>4.7216636428905166E-4</v>
      </c>
      <c r="L389" s="3">
        <f t="shared" si="392"/>
        <v>4.7205718975012827E-4</v>
      </c>
      <c r="M389" s="3">
        <f t="shared" si="392"/>
        <v>4.7096683178475074E-4</v>
      </c>
      <c r="N389" s="3">
        <f t="shared" si="392"/>
        <v>4.6020081472345051E-4</v>
      </c>
      <c r="O389" s="3">
        <f t="shared" si="392"/>
        <v>3.6518925303439945E-4</v>
      </c>
      <c r="P389" s="3">
        <f t="shared" si="392"/>
        <v>3.6159635226258764E-5</v>
      </c>
      <c r="Q389" s="3">
        <f t="shared" si="392"/>
        <v>3.2755524928816814E-15</v>
      </c>
      <c r="R389" s="3">
        <f t="shared" si="392"/>
        <v>1.2186803069257387E-115</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3.9532606595692682E-3</v>
      </c>
      <c r="C390" s="3">
        <f t="shared" si="393"/>
        <v>3.9532606595691772E-3</v>
      </c>
      <c r="D390" s="3">
        <f t="shared" si="393"/>
        <v>3.953260659568263E-3</v>
      </c>
      <c r="E390" s="3">
        <f t="shared" si="393"/>
        <v>3.953260659559121E-3</v>
      </c>
      <c r="F390" s="3">
        <f t="shared" si="393"/>
        <v>3.9532606594677028E-3</v>
      </c>
      <c r="G390" s="3">
        <f t="shared" si="393"/>
        <v>3.9532606585535226E-3</v>
      </c>
      <c r="H390" s="3">
        <f t="shared" si="393"/>
        <v>3.9532606494117164E-3</v>
      </c>
      <c r="I390" s="3">
        <f t="shared" si="393"/>
        <v>3.9532605579936618E-3</v>
      </c>
      <c r="J390" s="3">
        <f t="shared" si="393"/>
        <v>3.9532596438132247E-3</v>
      </c>
      <c r="K390" s="3">
        <f t="shared" si="393"/>
        <v>3.95325050202048E-3</v>
      </c>
      <c r="L390" s="3">
        <f t="shared" si="393"/>
        <v>3.9531590852557377E-3</v>
      </c>
      <c r="M390" s="3">
        <f t="shared" si="393"/>
        <v>3.9522450338682078E-3</v>
      </c>
      <c r="N390" s="3">
        <f t="shared" si="393"/>
        <v>3.9431161360410534E-3</v>
      </c>
      <c r="O390" s="3">
        <f t="shared" si="393"/>
        <v>3.8529788849008119E-3</v>
      </c>
      <c r="P390" s="3">
        <f t="shared" si="393"/>
        <v>3.0575054105017011E-3</v>
      </c>
      <c r="Q390" s="3">
        <f t="shared" si="393"/>
        <v>3.0274242581733343E-4</v>
      </c>
      <c r="R390" s="3">
        <f t="shared" si="393"/>
        <v>2.7424190022439402E-14</v>
      </c>
      <c r="S390" s="3">
        <f t="shared" si="393"/>
        <v>1.0203262010413908E-114</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4.2057154474780982E-7</v>
      </c>
      <c r="C391" s="3">
        <f t="shared" si="394"/>
        <v>4.2057154474780886E-7</v>
      </c>
      <c r="D391" s="3">
        <f t="shared" si="394"/>
        <v>4.2057154474779912E-7</v>
      </c>
      <c r="E391" s="3">
        <f t="shared" si="394"/>
        <v>4.2057154474770187E-7</v>
      </c>
      <c r="F391" s="3">
        <f t="shared" si="394"/>
        <v>4.2057154474672932E-7</v>
      </c>
      <c r="G391" s="3">
        <f t="shared" si="394"/>
        <v>4.2057154473700369E-7</v>
      </c>
      <c r="H391" s="3">
        <f t="shared" si="394"/>
        <v>4.2057154463974768E-7</v>
      </c>
      <c r="I391" s="3">
        <f t="shared" si="394"/>
        <v>4.2057154366718763E-7</v>
      </c>
      <c r="J391" s="3">
        <f t="shared" si="394"/>
        <v>4.2057153394158746E-7</v>
      </c>
      <c r="K391" s="3">
        <f t="shared" si="394"/>
        <v>4.2057143668559755E-7</v>
      </c>
      <c r="L391" s="3">
        <f t="shared" si="394"/>
        <v>4.2057046412693594E-7</v>
      </c>
      <c r="M391" s="3">
        <f t="shared" si="394"/>
        <v>4.2056073866401446E-7</v>
      </c>
      <c r="N391" s="3">
        <f t="shared" si="394"/>
        <v>4.2046349640322349E-7</v>
      </c>
      <c r="O391" s="3">
        <f t="shared" si="394"/>
        <v>4.1949230958008365E-7</v>
      </c>
      <c r="P391" s="3">
        <f t="shared" si="394"/>
        <v>4.0990296897851978E-7</v>
      </c>
      <c r="Q391" s="3">
        <f t="shared" si="394"/>
        <v>3.2527573674071634E-7</v>
      </c>
      <c r="R391" s="3">
        <f t="shared" si="394"/>
        <v>3.2207552360225003E-8</v>
      </c>
      <c r="S391" s="3">
        <f t="shared" si="394"/>
        <v>2.9175495760128971E-18</v>
      </c>
      <c r="T391" s="3">
        <f t="shared" si="394"/>
        <v>1.0854841192419533E-118</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1.8675724725031384E-5</v>
      </c>
      <c r="C392" s="3">
        <f t="shared" si="395"/>
        <v>1.867572472503138E-5</v>
      </c>
      <c r="D392" s="3">
        <f t="shared" si="395"/>
        <v>1.8675724725031336E-5</v>
      </c>
      <c r="E392" s="3">
        <f t="shared" si="395"/>
        <v>1.8675724725030906E-5</v>
      </c>
      <c r="F392" s="3">
        <f t="shared" si="395"/>
        <v>1.8675724725026586E-5</v>
      </c>
      <c r="G392" s="3">
        <f t="shared" si="395"/>
        <v>1.8675724724983398E-5</v>
      </c>
      <c r="H392" s="3">
        <f t="shared" si="395"/>
        <v>1.8675724724551526E-5</v>
      </c>
      <c r="I392" s="3">
        <f t="shared" si="395"/>
        <v>1.8675724720232817E-5</v>
      </c>
      <c r="J392" s="3">
        <f t="shared" si="395"/>
        <v>1.8675724677045721E-5</v>
      </c>
      <c r="K392" s="3">
        <f t="shared" si="395"/>
        <v>1.8675724245174771E-5</v>
      </c>
      <c r="L392" s="3">
        <f t="shared" si="395"/>
        <v>1.8675719926465823E-5</v>
      </c>
      <c r="M392" s="3">
        <f t="shared" si="395"/>
        <v>1.8675676739431248E-5</v>
      </c>
      <c r="N392" s="3">
        <f t="shared" si="395"/>
        <v>1.8675244874578256E-5</v>
      </c>
      <c r="O392" s="3">
        <f t="shared" si="395"/>
        <v>1.8670926775275412E-5</v>
      </c>
      <c r="P392" s="3">
        <f t="shared" si="395"/>
        <v>1.8627800657990387E-5</v>
      </c>
      <c r="Q392" s="3">
        <f t="shared" si="395"/>
        <v>1.8201980396001999E-5</v>
      </c>
      <c r="R392" s="3">
        <f t="shared" si="395"/>
        <v>1.4444058793240622E-5</v>
      </c>
      <c r="S392" s="3">
        <f t="shared" si="395"/>
        <v>1.4301951462438526E-6</v>
      </c>
      <c r="T392" s="3">
        <f t="shared" si="395"/>
        <v>1.2955549045982535E-16</v>
      </c>
      <c r="U392" s="3">
        <f t="shared" si="395"/>
        <v>4.8201555377484744E-117</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6.5581020384023116E-8</v>
      </c>
      <c r="C393" s="3">
        <f t="shared" si="396"/>
        <v>6.5581020384023116E-8</v>
      </c>
      <c r="D393" s="3">
        <f t="shared" si="396"/>
        <v>6.5581020384023102E-8</v>
      </c>
      <c r="E393" s="3">
        <f t="shared" si="396"/>
        <v>6.5581020384022944E-8</v>
      </c>
      <c r="F393" s="3">
        <f t="shared" si="396"/>
        <v>6.5581020384021435E-8</v>
      </c>
      <c r="G393" s="3">
        <f t="shared" si="396"/>
        <v>6.5581020384006268E-8</v>
      </c>
      <c r="H393" s="3">
        <f t="shared" si="396"/>
        <v>6.5581020383854609E-8</v>
      </c>
      <c r="I393" s="3">
        <f t="shared" si="396"/>
        <v>6.5581020382338076E-8</v>
      </c>
      <c r="J393" s="3">
        <f t="shared" si="396"/>
        <v>6.5581020367172639E-8</v>
      </c>
      <c r="K393" s="3">
        <f t="shared" si="396"/>
        <v>6.5581020215518338E-8</v>
      </c>
      <c r="L393" s="3">
        <f t="shared" si="396"/>
        <v>6.5581018698975462E-8</v>
      </c>
      <c r="M393" s="3">
        <f t="shared" si="396"/>
        <v>6.558100353354847E-8</v>
      </c>
      <c r="N393" s="3">
        <f t="shared" si="396"/>
        <v>6.5580851879471515E-8</v>
      </c>
      <c r="O393" s="3">
        <f t="shared" si="396"/>
        <v>6.5579335357990063E-8</v>
      </c>
      <c r="P393" s="3">
        <f t="shared" si="396"/>
        <v>6.5564172071822087E-8</v>
      </c>
      <c r="Q393" s="3">
        <f t="shared" si="396"/>
        <v>6.5412731909879545E-8</v>
      </c>
      <c r="R393" s="3">
        <f t="shared" si="396"/>
        <v>6.391743640233968E-8</v>
      </c>
      <c r="S393" s="3">
        <f t="shared" si="396"/>
        <v>5.0721250612455135E-8</v>
      </c>
      <c r="T393" s="3">
        <f t="shared" si="396"/>
        <v>5.0222231490291681E-9</v>
      </c>
      <c r="U393" s="3">
        <f t="shared" si="396"/>
        <v>4.5494251954356972E-19</v>
      </c>
      <c r="V393" s="3">
        <f t="shared" si="396"/>
        <v>1.6926289246036922E-119</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7.3021852336235098E-8</v>
      </c>
      <c r="C394" s="3">
        <f t="shared" si="397"/>
        <v>7.3021852336235098E-8</v>
      </c>
      <c r="D394" s="3">
        <f t="shared" si="397"/>
        <v>7.3021852336235098E-8</v>
      </c>
      <c r="E394" s="3">
        <f t="shared" si="397"/>
        <v>7.3021852336235085E-8</v>
      </c>
      <c r="F394" s="3">
        <f t="shared" si="397"/>
        <v>7.3021852336234913E-8</v>
      </c>
      <c r="G394" s="3">
        <f t="shared" si="397"/>
        <v>7.3021852336233232E-8</v>
      </c>
      <c r="H394" s="3">
        <f t="shared" si="397"/>
        <v>7.3021852336216344E-8</v>
      </c>
      <c r="I394" s="3">
        <f t="shared" si="397"/>
        <v>7.302185233604748E-8</v>
      </c>
      <c r="J394" s="3">
        <f t="shared" si="397"/>
        <v>7.3021852334358867E-8</v>
      </c>
      <c r="K394" s="3">
        <f t="shared" si="397"/>
        <v>7.3021852317472762E-8</v>
      </c>
      <c r="L394" s="3">
        <f t="shared" si="397"/>
        <v>7.3021852148611755E-8</v>
      </c>
      <c r="M394" s="3">
        <f t="shared" si="397"/>
        <v>7.3021850460001692E-8</v>
      </c>
      <c r="N394" s="3">
        <f t="shared" si="397"/>
        <v>7.3021833573903196E-8</v>
      </c>
      <c r="O394" s="3">
        <f t="shared" si="397"/>
        <v>7.3021664713132976E-8</v>
      </c>
      <c r="P394" s="3">
        <f t="shared" si="397"/>
        <v>7.301997612690734E-8</v>
      </c>
      <c r="Q394" s="3">
        <f t="shared" si="397"/>
        <v>7.3003092412122079E-8</v>
      </c>
      <c r="R394" s="3">
        <f t="shared" si="397"/>
        <v>7.2834469827746466E-8</v>
      </c>
      <c r="S394" s="3">
        <f t="shared" si="397"/>
        <v>7.1169517878062983E-8</v>
      </c>
      <c r="T394" s="3">
        <f t="shared" si="397"/>
        <v>5.6476090961130957E-8</v>
      </c>
      <c r="U394" s="3">
        <f t="shared" si="397"/>
        <v>5.5920453057996794E-9</v>
      </c>
      <c r="V394" s="3">
        <f t="shared" si="397"/>
        <v>5.0656036287716179E-19</v>
      </c>
      <c r="W394" s="3">
        <f t="shared" si="397"/>
        <v>1.8846748444701305E-119</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1.1629614521313135E-6</v>
      </c>
      <c r="C395" s="3">
        <f t="shared" si="398"/>
        <v>1.1629614521313135E-6</v>
      </c>
      <c r="D395" s="3">
        <f t="shared" si="398"/>
        <v>1.1629614521313135E-6</v>
      </c>
      <c r="E395" s="3">
        <f t="shared" si="398"/>
        <v>1.1629614521313135E-6</v>
      </c>
      <c r="F395" s="3">
        <f t="shared" si="398"/>
        <v>1.1629614521313132E-6</v>
      </c>
      <c r="G395" s="3">
        <f t="shared" si="398"/>
        <v>1.1629614521313105E-6</v>
      </c>
      <c r="H395" s="3">
        <f t="shared" si="398"/>
        <v>1.1629614521312836E-6</v>
      </c>
      <c r="I395" s="3">
        <f t="shared" si="398"/>
        <v>1.1629614521310147E-6</v>
      </c>
      <c r="J395" s="3">
        <f t="shared" si="398"/>
        <v>1.1629614521283253E-6</v>
      </c>
      <c r="K395" s="3">
        <f t="shared" si="398"/>
        <v>1.1629614521014323E-6</v>
      </c>
      <c r="L395" s="3">
        <f t="shared" si="398"/>
        <v>1.1629614518325006E-6</v>
      </c>
      <c r="M395" s="3">
        <f t="shared" si="398"/>
        <v>1.1629614491431843E-6</v>
      </c>
      <c r="N395" s="3">
        <f t="shared" si="398"/>
        <v>1.1629614222500237E-6</v>
      </c>
      <c r="O395" s="3">
        <f t="shared" si="398"/>
        <v>1.1629611533184504E-6</v>
      </c>
      <c r="P395" s="3">
        <f t="shared" si="398"/>
        <v>1.1629584640061383E-6</v>
      </c>
      <c r="Q395" s="3">
        <f t="shared" si="398"/>
        <v>1.1629315712250573E-6</v>
      </c>
      <c r="R395" s="3">
        <f t="shared" si="398"/>
        <v>1.1626626776153249E-6</v>
      </c>
      <c r="S395" s="3">
        <f t="shared" si="398"/>
        <v>1.1599771587012794E-6</v>
      </c>
      <c r="T395" s="3">
        <f t="shared" si="398"/>
        <v>1.1334607820936711E-6</v>
      </c>
      <c r="U395" s="3">
        <f t="shared" si="398"/>
        <v>8.9945015982928355E-7</v>
      </c>
      <c r="V395" s="3">
        <f t="shared" si="398"/>
        <v>8.9060095316012526E-8</v>
      </c>
      <c r="W395" s="3">
        <f t="shared" si="398"/>
        <v>8.0675873913905004E-18</v>
      </c>
      <c r="X395" s="3">
        <f t="shared" si="398"/>
        <v>3.0015729864369894E-118</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4.9365030271996854E-7</v>
      </c>
      <c r="C396" s="3">
        <f t="shared" si="399"/>
        <v>4.9365030271996854E-7</v>
      </c>
      <c r="D396" s="3">
        <f t="shared" si="399"/>
        <v>4.9365030271996854E-7</v>
      </c>
      <c r="E396" s="3">
        <f t="shared" si="399"/>
        <v>4.9365030271996854E-7</v>
      </c>
      <c r="F396" s="3">
        <f t="shared" si="399"/>
        <v>4.9365030271996854E-7</v>
      </c>
      <c r="G396" s="3">
        <f t="shared" si="399"/>
        <v>4.9365030271996844E-7</v>
      </c>
      <c r="H396" s="3">
        <f t="shared" si="399"/>
        <v>4.9365030271996727E-7</v>
      </c>
      <c r="I396" s="3">
        <f t="shared" si="399"/>
        <v>4.9365030271995584E-7</v>
      </c>
      <c r="J396" s="3">
        <f t="shared" si="399"/>
        <v>4.936503027198417E-7</v>
      </c>
      <c r="K396" s="3">
        <f t="shared" si="399"/>
        <v>4.9365030271870011E-7</v>
      </c>
      <c r="L396" s="3">
        <f t="shared" si="399"/>
        <v>4.9365030270728465E-7</v>
      </c>
      <c r="M396" s="3">
        <f t="shared" si="399"/>
        <v>4.9365030259312938E-7</v>
      </c>
      <c r="N396" s="3">
        <f t="shared" si="399"/>
        <v>4.9365030145157673E-7</v>
      </c>
      <c r="O396" s="3">
        <f t="shared" si="399"/>
        <v>4.9365029003605049E-7</v>
      </c>
      <c r="P396" s="3">
        <f t="shared" si="399"/>
        <v>4.9365017588080291E-7</v>
      </c>
      <c r="Q396" s="3">
        <f t="shared" si="399"/>
        <v>4.9364903432977853E-7</v>
      </c>
      <c r="R396" s="3">
        <f t="shared" si="399"/>
        <v>4.9363761896472299E-7</v>
      </c>
      <c r="S396" s="3">
        <f t="shared" si="399"/>
        <v>4.935234798317357E-7</v>
      </c>
      <c r="T396" s="3">
        <f t="shared" si="399"/>
        <v>4.9238353901731816E-7</v>
      </c>
      <c r="U396" s="3">
        <f t="shared" si="399"/>
        <v>4.8112794897571079E-7</v>
      </c>
      <c r="V396" s="3">
        <f t="shared" si="399"/>
        <v>3.8179583929245749E-7</v>
      </c>
      <c r="W396" s="3">
        <f t="shared" si="399"/>
        <v>3.7803955524447313E-8</v>
      </c>
      <c r="X396" s="3">
        <f t="shared" si="399"/>
        <v>3.4245046993441002E-18</v>
      </c>
      <c r="Y396" s="3">
        <f t="shared" si="399"/>
        <v>1.2740984756418166E-118</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7.4465624697039037E-3</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5.618641809364654E-3</v>
      </c>
      <c r="M397" s="81">
        <f t="shared" si="400"/>
        <v>3.6856214281942377E-2</v>
      </c>
      <c r="N397" s="81">
        <f t="shared" si="400"/>
        <v>4.5297879776528535E-2</v>
      </c>
      <c r="O397" s="81">
        <f t="shared" si="400"/>
        <v>6.2593761016252067E-2</v>
      </c>
      <c r="P397" s="81">
        <f t="shared" si="400"/>
        <v>4.3667983627868005E-3</v>
      </c>
      <c r="Q397" s="81">
        <f t="shared" si="400"/>
        <v>2.5720360740454373E-2</v>
      </c>
      <c r="R397" s="81">
        <f t="shared" si="400"/>
        <v>1.1213229516930632E-2</v>
      </c>
      <c r="S397" s="81">
        <f t="shared" si="400"/>
        <v>1.1213597759120619E-2</v>
      </c>
      <c r="T397" s="81">
        <f t="shared" si="400"/>
        <v>1.0376893123513602E-2</v>
      </c>
      <c r="U397" s="81">
        <f t="shared" si="400"/>
        <v>9.3988491942837999E-3</v>
      </c>
      <c r="V397" s="81">
        <f t="shared" si="400"/>
        <v>8.1872109796435454E-3</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2340.2240072024128</v>
      </c>
      <c r="C398" s="21">
        <f t="shared" ref="C398:AF398" si="401">(C365-C364)^2</f>
        <v>204.63076711470757</v>
      </c>
      <c r="D398" s="21">
        <f t="shared" si="401"/>
        <v>8.893484882229501</v>
      </c>
      <c r="E398" s="21">
        <f t="shared" si="401"/>
        <v>42.865602764385542</v>
      </c>
      <c r="F398" s="21">
        <f t="shared" si="401"/>
        <v>4.4750476514445579</v>
      </c>
      <c r="G398" s="21">
        <f t="shared" si="401"/>
        <v>111.23433620716173</v>
      </c>
      <c r="H398" s="21">
        <f t="shared" si="401"/>
        <v>1775.8996021556072</v>
      </c>
      <c r="I398" s="21">
        <f t="shared" si="401"/>
        <v>3311.2327033537631</v>
      </c>
      <c r="J398" s="21">
        <f t="shared" si="401"/>
        <v>3589.6713502562557</v>
      </c>
      <c r="K398" s="21">
        <f t="shared" si="401"/>
        <v>430.90513610804578</v>
      </c>
      <c r="L398" s="21">
        <f t="shared" si="401"/>
        <v>21.069576613937279</v>
      </c>
      <c r="M398" s="21">
        <f t="shared" si="401"/>
        <v>291.66233132633732</v>
      </c>
      <c r="N398" s="21">
        <f t="shared" si="401"/>
        <v>135.4955507057785</v>
      </c>
      <c r="O398" s="21">
        <f t="shared" si="401"/>
        <v>109.91711308618414</v>
      </c>
      <c r="P398" s="21">
        <f t="shared" si="401"/>
        <v>0.38344291109806294</v>
      </c>
      <c r="Q398" s="21">
        <f t="shared" si="401"/>
        <v>11.041315333048978</v>
      </c>
      <c r="R398" s="21">
        <f t="shared" si="401"/>
        <v>1.9789875082247674</v>
      </c>
      <c r="S398" s="21">
        <f t="shared" si="401"/>
        <v>1.9766476690874208</v>
      </c>
      <c r="T398" s="21">
        <f t="shared" si="401"/>
        <v>1.6895701781234898</v>
      </c>
      <c r="U398" s="21">
        <f t="shared" si="401"/>
        <v>1.3833127939079868</v>
      </c>
      <c r="V398" s="21">
        <f t="shared" si="401"/>
        <v>1.0469916241310744</v>
      </c>
      <c r="W398" s="21">
        <f t="shared" si="401"/>
        <v>0.70966460788043795</v>
      </c>
      <c r="X398" s="21">
        <f t="shared" si="401"/>
        <v>0.42002202851377318</v>
      </c>
      <c r="Y398" s="21">
        <f t="shared" si="401"/>
        <v>0.20312043190442261</v>
      </c>
      <c r="Z398" s="21">
        <f t="shared" si="401"/>
        <v>0.19927285206809392</v>
      </c>
      <c r="AA398" s="21">
        <f t="shared" si="401"/>
        <v>0.12524533361409729</v>
      </c>
      <c r="AB398" s="21">
        <f t="shared" si="401"/>
        <v>5.2476015146682535E-2</v>
      </c>
      <c r="AC398" s="21">
        <f t="shared" si="401"/>
        <v>1.0144678238586842E-2</v>
      </c>
      <c r="AD398" s="21">
        <f t="shared" si="401"/>
        <v>8.7026147864829317E-3</v>
      </c>
      <c r="AE398" s="21">
        <f t="shared" si="401"/>
        <v>8.0434900660426596E-3</v>
      </c>
      <c r="AF398" s="21">
        <f t="shared" si="401"/>
        <v>7.5915749866822735E-3</v>
      </c>
      <c r="AG398" s="3"/>
      <c r="AH398" s="3"/>
    </row>
    <row r="399" spans="1:34" x14ac:dyDescent="0.25">
      <c r="A399" s="72">
        <f>SUM(B399:AF399)</f>
        <v>577.6448397498591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21.069576613937279</v>
      </c>
      <c r="M399" s="60">
        <f t="shared" ref="M399" si="412">IF($A$64&lt;=M363,IF($B$64&gt;=M363,ABS(M398),0),0)</f>
        <v>291.66233132633732</v>
      </c>
      <c r="N399" s="60">
        <f t="shared" ref="N399" si="413">IF($A$64&lt;=N363,IF($B$64&gt;=N363,ABS(N398),0),0)</f>
        <v>135.4955507057785</v>
      </c>
      <c r="O399" s="60">
        <f t="shared" ref="O399" si="414">IF($A$64&lt;=O363,IF($B$64&gt;=O363,ABS(O398),0),0)</f>
        <v>109.91711308618414</v>
      </c>
      <c r="P399" s="60">
        <f t="shared" ref="P399" si="415">IF($A$64&lt;=P363,IF($B$64&gt;=P363,ABS(P398),0),0)</f>
        <v>0.38344291109806294</v>
      </c>
      <c r="Q399" s="60">
        <f t="shared" ref="Q399" si="416">IF($A$64&lt;=Q363,IF($B$64&gt;=Q363,ABS(Q398),0),0)</f>
        <v>11.041315333048978</v>
      </c>
      <c r="R399" s="60">
        <f t="shared" ref="R399" si="417">IF($A$64&lt;=R363,IF($B$64&gt;=R363,ABS(R398),0),0)</f>
        <v>1.9789875082247674</v>
      </c>
      <c r="S399" s="60">
        <f t="shared" ref="S399" si="418">IF($A$64&lt;=S363,IF($B$64&gt;=S363,ABS(S398),0),0)</f>
        <v>1.9766476690874208</v>
      </c>
      <c r="T399" s="60">
        <f t="shared" ref="T399" si="419">IF($A$64&lt;=T363,IF($B$64&gt;=T363,ABS(T398),0),0)</f>
        <v>1.6895701781234898</v>
      </c>
      <c r="U399" s="60">
        <f t="shared" ref="U399" si="420">IF($A$64&lt;=U363,IF($B$64&gt;=U363,ABS(U398),0),0)</f>
        <v>1.3833127939079868</v>
      </c>
      <c r="V399" s="60">
        <f t="shared" ref="V399" si="421">IF($A$64&lt;=V363,IF($B$64&gt;=V363,ABS(V398),0),0)</f>
        <v>1.0469916241310744</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-27.726011857479499</v>
      </c>
      <c r="M1" s="54">
        <v>1</v>
      </c>
      <c r="N1" s="56">
        <f>INDEX($H$217:$P$217,1,Q1)</f>
        <v>0.46972012096974758</v>
      </c>
      <c r="O1" s="11"/>
      <c r="P1" s="55">
        <v>1</v>
      </c>
      <c r="Q1" s="11">
        <v>2</v>
      </c>
    </row>
    <row r="2" spans="1:17" x14ac:dyDescent="0.25">
      <c r="A2" s="11">
        <f>'Mastercurve bestimmen'!M119</f>
        <v>0</v>
      </c>
      <c r="B2" s="11">
        <f>'Mastercurve bestimmen'!N119</f>
        <v>-23.435619610247425</v>
      </c>
      <c r="M2" s="54">
        <v>2</v>
      </c>
      <c r="N2" s="56">
        <f t="shared" ref="N2:N9" si="0">INDEX($H$217:$P$217,1,Q2)</f>
        <v>1.6923813646674115E-3</v>
      </c>
      <c r="O2" s="11"/>
      <c r="P2" s="55">
        <v>2</v>
      </c>
      <c r="Q2" s="11">
        <f>Q1+1</f>
        <v>3</v>
      </c>
    </row>
    <row r="3" spans="1:17" x14ac:dyDescent="0.25">
      <c r="A3" s="11">
        <f>'Mastercurve bestimmen'!M120</f>
        <v>25</v>
      </c>
      <c r="B3" s="11">
        <f>'Mastercurve bestimmen'!N120</f>
        <v>-18.727922871408328</v>
      </c>
      <c r="M3" s="54">
        <v>3</v>
      </c>
      <c r="N3" s="56">
        <f t="shared" si="0"/>
        <v>-3.5723197111082403E-5</v>
      </c>
      <c r="O3" s="11"/>
      <c r="P3" s="55">
        <v>3</v>
      </c>
      <c r="Q3" s="11">
        <f t="shared" ref="Q3:Q8" si="1">Q2+1</f>
        <v>4</v>
      </c>
    </row>
    <row r="4" spans="1:17" x14ac:dyDescent="0.25">
      <c r="A4" s="11">
        <f>'Mastercurve bestimmen'!M121</f>
        <v>50</v>
      </c>
      <c r="B4" s="11">
        <f>'Mastercurve bestimmen'!N121</f>
        <v>-11.958512386842379</v>
      </c>
      <c r="M4" s="54">
        <v>4</v>
      </c>
      <c r="N4" s="56">
        <f t="shared" si="0"/>
        <v>-4.9763697975450752E-7</v>
      </c>
      <c r="O4" s="11"/>
      <c r="P4" s="55">
        <v>4</v>
      </c>
      <c r="Q4" s="11">
        <f t="shared" si="1"/>
        <v>5</v>
      </c>
    </row>
    <row r="5" spans="1:17" x14ac:dyDescent="0.25">
      <c r="A5" s="11">
        <f>'Mastercurve bestimmen'!M122</f>
        <v>80</v>
      </c>
      <c r="B5" s="11">
        <f>'Mastercurve bestimmen'!N122</f>
        <v>0</v>
      </c>
      <c r="M5" s="54">
        <v>5</v>
      </c>
      <c r="N5" s="56">
        <f t="shared" si="0"/>
        <v>4.1424704743700949E-10</v>
      </c>
      <c r="O5" s="11"/>
      <c r="P5" s="55">
        <v>5</v>
      </c>
      <c r="Q5" s="11">
        <f t="shared" si="1"/>
        <v>6</v>
      </c>
    </row>
    <row r="6" spans="1:17" x14ac:dyDescent="0.25">
      <c r="A6" s="11">
        <f>'Mastercurve bestimmen'!M123</f>
        <v>125</v>
      </c>
      <c r="B6" s="11">
        <f>'Mastercurve bestimmen'!N123</f>
        <v>19.713782742631036</v>
      </c>
      <c r="M6" s="54">
        <v>6</v>
      </c>
      <c r="N6" s="56">
        <f t="shared" si="0"/>
        <v>3.8401874772697309E-11</v>
      </c>
      <c r="O6" s="11"/>
      <c r="P6" s="55">
        <v>6</v>
      </c>
      <c r="Q6" s="11">
        <f t="shared" si="1"/>
        <v>7</v>
      </c>
    </row>
    <row r="7" spans="1:17" x14ac:dyDescent="0.25">
      <c r="A7" s="11">
        <f>'Mastercurve bestimmen'!M124</f>
        <v>160</v>
      </c>
      <c r="B7" s="11">
        <f>'Mastercurve bestimmen'!N124</f>
        <v>23.96952864586272</v>
      </c>
      <c r="M7" s="54">
        <v>7</v>
      </c>
      <c r="N7" s="56">
        <f t="shared" si="0"/>
        <v>1.5119438375562377E-13</v>
      </c>
      <c r="O7" s="11"/>
      <c r="P7" s="55">
        <v>7</v>
      </c>
      <c r="Q7" s="11">
        <f t="shared" si="1"/>
        <v>8</v>
      </c>
    </row>
    <row r="8" spans="1:17" x14ac:dyDescent="0.25">
      <c r="A8" s="11"/>
      <c r="B8" s="11"/>
      <c r="M8" s="54">
        <v>8</v>
      </c>
      <c r="N8" s="56">
        <f t="shared" si="0"/>
        <v>-1.0557909767933002E-16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-27.726011857479499</v>
      </c>
      <c r="E15" s="11">
        <f>A15-'Mastercurve bestimmen'!$B$2</f>
        <v>-120</v>
      </c>
      <c r="F15" s="11">
        <f>B15</f>
        <v>-27.726011857479499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-27.646177225288262</v>
      </c>
      <c r="E16" s="11">
        <f>A16-'Mastercurve bestimmen'!$B$2</f>
        <v>-119</v>
      </c>
      <c r="F16" s="11">
        <f t="shared" ref="F16:F79" si="4">B16</f>
        <v>-27.646177225288262</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-27.566239684376619</v>
      </c>
      <c r="E17" s="11">
        <f>A17-'Mastercurve bestimmen'!$B$2</f>
        <v>-118</v>
      </c>
      <c r="F17" s="11">
        <f t="shared" si="4"/>
        <v>-27.566239684376619</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-27.486096326024153</v>
      </c>
      <c r="E18" s="11">
        <f>A18-'Mastercurve bestimmen'!$B$2</f>
        <v>-117</v>
      </c>
      <c r="F18" s="11">
        <f t="shared" si="4"/>
        <v>-27.486096326024153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-27.405644241510451</v>
      </c>
      <c r="E19" s="11">
        <f>A19-'Mastercurve bestimmen'!$B$2</f>
        <v>-116</v>
      </c>
      <c r="F19" s="11">
        <f t="shared" si="4"/>
        <v>-27.405644241510451</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-27.324780522115109</v>
      </c>
      <c r="E20" s="11">
        <f>A20-'Mastercurve bestimmen'!$B$2</f>
        <v>-115</v>
      </c>
      <c r="F20" s="11">
        <f t="shared" si="4"/>
        <v>-27.324780522115109</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-27.243402259117708</v>
      </c>
      <c r="E21" s="11">
        <f>A21-'Mastercurve bestimmen'!$B$2</f>
        <v>-114</v>
      </c>
      <c r="F21" s="11">
        <f t="shared" si="4"/>
        <v>-27.243402259117708</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-27.161406543797838</v>
      </c>
      <c r="E22" s="11">
        <f>A22-'Mastercurve bestimmen'!$B$2</f>
        <v>-113</v>
      </c>
      <c r="F22" s="11">
        <f t="shared" si="4"/>
        <v>-27.161406543797838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-27.078690467435095</v>
      </c>
      <c r="E23" s="11">
        <f>A23-'Mastercurve bestimmen'!$B$2</f>
        <v>-112</v>
      </c>
      <c r="F23" s="11">
        <f t="shared" si="4"/>
        <v>-27.078690467435095</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-26.995151121309064</v>
      </c>
      <c r="E24" s="11">
        <f>A24-'Mastercurve bestimmen'!$B$2</f>
        <v>-111</v>
      </c>
      <c r="F24" s="11">
        <f t="shared" si="4"/>
        <v>-26.995151121309064</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-26.910685596699331</v>
      </c>
      <c r="E25" s="11">
        <f>A25-'Mastercurve bestimmen'!$B$2</f>
        <v>-110</v>
      </c>
      <c r="F25" s="11">
        <f t="shared" si="4"/>
        <v>-26.910685596699331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-26.825190984885484</v>
      </c>
      <c r="E26" s="11">
        <f>A26-'Mastercurve bestimmen'!$B$2</f>
        <v>-109</v>
      </c>
      <c r="F26" s="11">
        <f t="shared" si="4"/>
        <v>-26.825190984885484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-26.738564377147117</v>
      </c>
      <c r="E27" s="11">
        <f>A27-'Mastercurve bestimmen'!$B$2</f>
        <v>-108</v>
      </c>
      <c r="F27" s="11">
        <f t="shared" si="4"/>
        <v>-26.738564377147117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-26.650702864763812</v>
      </c>
      <c r="E28" s="11">
        <f>A28-'Mastercurve bestimmen'!$B$2</f>
        <v>-107</v>
      </c>
      <c r="F28" s="11">
        <f t="shared" si="4"/>
        <v>-26.650702864763812</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-26.561503539015167</v>
      </c>
      <c r="E29" s="11">
        <f>A29-'Mastercurve bestimmen'!$B$2</f>
        <v>-106</v>
      </c>
      <c r="F29" s="11">
        <f t="shared" si="4"/>
        <v>-26.561503539015167</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-26.470863491180765</v>
      </c>
      <c r="E30" s="11">
        <f>A30-'Mastercurve bestimmen'!$B$2</f>
        <v>-105</v>
      </c>
      <c r="F30" s="11">
        <f t="shared" si="4"/>
        <v>-26.470863491180765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-26.378679812540192</v>
      </c>
      <c r="E31" s="11">
        <f>A31-'Mastercurve bestimmen'!$B$2</f>
        <v>-104</v>
      </c>
      <c r="F31" s="11">
        <f t="shared" si="4"/>
        <v>-26.378679812540192</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-26.284849594373046</v>
      </c>
      <c r="E32" s="11">
        <f>A32-'Mastercurve bestimmen'!$B$2</f>
        <v>-103</v>
      </c>
      <c r="F32" s="11">
        <f t="shared" si="4"/>
        <v>-26.284849594373046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-26.189269927958907</v>
      </c>
      <c r="E33" s="11">
        <f>A33-'Mastercurve bestimmen'!$B$2</f>
        <v>-102</v>
      </c>
      <c r="F33" s="11">
        <f t="shared" si="4"/>
        <v>-26.189269927958907</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-26.091837904577368</v>
      </c>
      <c r="E34" s="11">
        <f>A34-'Mastercurve bestimmen'!$B$2</f>
        <v>-101</v>
      </c>
      <c r="F34" s="11">
        <f t="shared" si="4"/>
        <v>-26.091837904577368</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-25.992450615508019</v>
      </c>
      <c r="E35" s="11">
        <f>A35-'Mastercurve bestimmen'!$B$2</f>
        <v>-100</v>
      </c>
      <c r="F35" s="11">
        <f t="shared" si="4"/>
        <v>-25.992450615508019</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-25.891005152030448</v>
      </c>
      <c r="E36" s="11">
        <f>A36-'Mastercurve bestimmen'!$B$2</f>
        <v>-99</v>
      </c>
      <c r="F36" s="11">
        <f t="shared" si="4"/>
        <v>-25.891005152030448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-25.787398605424244</v>
      </c>
      <c r="E37" s="11">
        <f>A37-'Mastercurve bestimmen'!$B$2</f>
        <v>-98</v>
      </c>
      <c r="F37" s="11">
        <f t="shared" si="4"/>
        <v>-25.787398605424244</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-25.68152806696899</v>
      </c>
      <c r="E38" s="11">
        <f>A38-'Mastercurve bestimmen'!$B$2</f>
        <v>-97</v>
      </c>
      <c r="F38" s="11">
        <f t="shared" si="4"/>
        <v>-25.68152806696899</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-25.573290627944282</v>
      </c>
      <c r="E39" s="11">
        <f>A39-'Mastercurve bestimmen'!$B$2</f>
        <v>-96</v>
      </c>
      <c r="F39" s="11">
        <f t="shared" si="4"/>
        <v>-25.573290627944282</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-25.462583379629706</v>
      </c>
      <c r="E40" s="11">
        <f>A40-'Mastercurve bestimmen'!$B$2</f>
        <v>-95</v>
      </c>
      <c r="F40" s="11">
        <f t="shared" si="4"/>
        <v>-25.462583379629706</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-25.349303413304852</v>
      </c>
      <c r="E41" s="11">
        <f>A41-'Mastercurve bestimmen'!$B$2</f>
        <v>-94</v>
      </c>
      <c r="F41" s="11">
        <f t="shared" si="4"/>
        <v>-25.349303413304852</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-25.233347820249314</v>
      </c>
      <c r="E42" s="11">
        <f>A42-'Mastercurve bestimmen'!$B$2</f>
        <v>-93</v>
      </c>
      <c r="F42" s="11">
        <f t="shared" si="4"/>
        <v>-25.233347820249314</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-25.114613691742669</v>
      </c>
      <c r="E43" s="11">
        <f>A43-'Mastercurve bestimmen'!$B$2</f>
        <v>-92</v>
      </c>
      <c r="F43" s="11">
        <f t="shared" si="4"/>
        <v>-25.114613691742669</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-24.992998119064513</v>
      </c>
      <c r="E44" s="11">
        <f>A44-'Mastercurve bestimmen'!$B$2</f>
        <v>-91</v>
      </c>
      <c r="F44" s="11">
        <f t="shared" si="4"/>
        <v>-24.992998119064513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-24.868398193494436</v>
      </c>
      <c r="E45" s="11">
        <f>A45-'Mastercurve bestimmen'!$B$2</f>
        <v>-90</v>
      </c>
      <c r="F45" s="11">
        <f t="shared" si="4"/>
        <v>-24.868398193494436</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-24.740711006312019</v>
      </c>
      <c r="E46" s="11">
        <f>A46-'Mastercurve bestimmen'!$B$2</f>
        <v>-89</v>
      </c>
      <c r="F46" s="11">
        <f t="shared" si="4"/>
        <v>-24.740711006312019</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-24.609833648796862</v>
      </c>
      <c r="E47" s="11">
        <f>A47-'Mastercurve bestimmen'!$B$2</f>
        <v>-88</v>
      </c>
      <c r="F47" s="11">
        <f t="shared" si="4"/>
        <v>-24.609833648796862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-24.475663212228547</v>
      </c>
      <c r="E48" s="11">
        <f>A48-'Mastercurve bestimmen'!$B$2</f>
        <v>-87</v>
      </c>
      <c r="F48" s="11">
        <f t="shared" si="4"/>
        <v>-24.475663212228547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-24.338096787886663</v>
      </c>
      <c r="E49" s="11">
        <f>A49-'Mastercurve bestimmen'!$B$2</f>
        <v>-86</v>
      </c>
      <c r="F49" s="11">
        <f t="shared" si="4"/>
        <v>-24.338096787886663</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-24.197031467050802</v>
      </c>
      <c r="E50" s="11">
        <f>A50-'Mastercurve bestimmen'!$B$2</f>
        <v>-85</v>
      </c>
      <c r="F50" s="11">
        <f t="shared" si="4"/>
        <v>-24.197031467050802</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-24.052364341000551</v>
      </c>
      <c r="E51" s="11">
        <f>A51-'Mastercurve bestimmen'!$B$2</f>
        <v>-84</v>
      </c>
      <c r="F51" s="11">
        <f t="shared" si="4"/>
        <v>-24.052364341000551</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-23.903992501015502</v>
      </c>
      <c r="E52" s="11">
        <f>A52-'Mastercurve bestimmen'!$B$2</f>
        <v>-83</v>
      </c>
      <c r="F52" s="11">
        <f t="shared" si="4"/>
        <v>-23.903992501015502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-23.751813038375236</v>
      </c>
      <c r="E53" s="11">
        <f>A53-'Mastercurve bestimmen'!$B$2</f>
        <v>-82</v>
      </c>
      <c r="F53" s="11">
        <f t="shared" si="4"/>
        <v>-23.751813038375236</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-23.59572304435935</v>
      </c>
      <c r="E54" s="11">
        <f>A54-'Mastercurve bestimmen'!$B$2</f>
        <v>-81</v>
      </c>
      <c r="F54" s="11">
        <f t="shared" si="4"/>
        <v>-23.59572304435935</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-23.435619610247425</v>
      </c>
      <c r="E55" s="11">
        <f>A55-'Mastercurve bestimmen'!$B$2</f>
        <v>-80</v>
      </c>
      <c r="F55" s="11">
        <f t="shared" si="4"/>
        <v>-23.435619610247425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-23.290529781954817</v>
      </c>
      <c r="E56" s="11">
        <f>A56-'Mastercurve bestimmen'!$B$2</f>
        <v>-79</v>
      </c>
      <c r="F56" s="11">
        <f t="shared" si="4"/>
        <v>-23.290529781954817</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-23.141383010081704</v>
      </c>
      <c r="E57" s="11">
        <f>A57-'Mastercurve bestimmen'!$B$2</f>
        <v>-78</v>
      </c>
      <c r="F57" s="11">
        <f t="shared" si="4"/>
        <v>-23.141383010081704</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-22.988238699863988</v>
      </c>
      <c r="E58" s="11">
        <f>A58-'Mastercurve bestimmen'!$B$2</f>
        <v>-77</v>
      </c>
      <c r="F58" s="11">
        <f t="shared" si="4"/>
        <v>-22.988238699863988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-22.831156256537607</v>
      </c>
      <c r="E59" s="11">
        <f>A59-'Mastercurve bestimmen'!$B$2</f>
        <v>-76</v>
      </c>
      <c r="F59" s="11">
        <f t="shared" si="4"/>
        <v>-22.831156256537607</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-22.670195085338491</v>
      </c>
      <c r="E60" s="11">
        <f>A60-'Mastercurve bestimmen'!$B$2</f>
        <v>-75</v>
      </c>
      <c r="F60" s="11">
        <f t="shared" si="4"/>
        <v>-22.670195085338491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-22.505414591502564</v>
      </c>
      <c r="E61" s="11">
        <f>A61-'Mastercurve bestimmen'!$B$2</f>
        <v>-74</v>
      </c>
      <c r="F61" s="11">
        <f t="shared" si="4"/>
        <v>-22.505414591502564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-22.336874180265749</v>
      </c>
      <c r="E62" s="11">
        <f>A62-'Mastercurve bestimmen'!$B$2</f>
        <v>-73</v>
      </c>
      <c r="F62" s="11">
        <f t="shared" si="4"/>
        <v>-22.336874180265749</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-22.164633256863979</v>
      </c>
      <c r="E63" s="11">
        <f>A63-'Mastercurve bestimmen'!$B$2</f>
        <v>-72</v>
      </c>
      <c r="F63" s="11">
        <f t="shared" si="4"/>
        <v>-22.164633256863979</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-21.988751226533175</v>
      </c>
      <c r="E64" s="11">
        <f>A64-'Mastercurve bestimmen'!$B$2</f>
        <v>-71</v>
      </c>
      <c r="F64" s="11">
        <f t="shared" si="4"/>
        <v>-21.988751226533175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-21.809287494509267</v>
      </c>
      <c r="E65" s="11">
        <f>A65-'Mastercurve bestimmen'!$B$2</f>
        <v>-70</v>
      </c>
      <c r="F65" s="11">
        <f t="shared" si="4"/>
        <v>-21.809287494509267</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-21.626301466028181</v>
      </c>
      <c r="E66" s="11">
        <f>A66-'Mastercurve bestimmen'!$B$2</f>
        <v>-69</v>
      </c>
      <c r="F66" s="11">
        <f t="shared" si="4"/>
        <v>-21.626301466028181</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-21.439852546325845</v>
      </c>
      <c r="E67" s="11">
        <f>A67-'Mastercurve bestimmen'!$B$2</f>
        <v>-68</v>
      </c>
      <c r="F67" s="11">
        <f t="shared" si="4"/>
        <v>-21.439852546325845</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-21.250000140638186</v>
      </c>
      <c r="E68" s="11">
        <f>A68-'Mastercurve bestimmen'!$B$2</f>
        <v>-67</v>
      </c>
      <c r="F68" s="11">
        <f t="shared" si="4"/>
        <v>-21.250000140638186</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-21.056803654201129</v>
      </c>
      <c r="E69" s="11">
        <f>A69-'Mastercurve bestimmen'!$B$2</f>
        <v>-66</v>
      </c>
      <c r="F69" s="11">
        <f t="shared" si="4"/>
        <v>-21.056803654201129</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-20.860322492250599</v>
      </c>
      <c r="E70" s="11">
        <f>A70-'Mastercurve bestimmen'!$B$2</f>
        <v>-65</v>
      </c>
      <c r="F70" s="11">
        <f t="shared" si="4"/>
        <v>-20.860322492250599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-20.660616060022527</v>
      </c>
      <c r="E71" s="11">
        <f>A71-'Mastercurve bestimmen'!$B$2</f>
        <v>-64</v>
      </c>
      <c r="F71" s="11">
        <f t="shared" si="4"/>
        <v>-20.660616060022527</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-20.457743762752841</v>
      </c>
      <c r="E72" s="11">
        <f>A72-'Mastercurve bestimmen'!$B$2</f>
        <v>-63</v>
      </c>
      <c r="F72" s="11">
        <f t="shared" si="4"/>
        <v>-20.457743762752841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-20.251765005677459</v>
      </c>
      <c r="E73" s="11">
        <f>A73-'Mastercurve bestimmen'!$B$2</f>
        <v>-62</v>
      </c>
      <c r="F73" s="11">
        <f t="shared" si="4"/>
        <v>-20.251765005677459</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-20.042739194032315</v>
      </c>
      <c r="E74" s="11">
        <f>A74-'Mastercurve bestimmen'!$B$2</f>
        <v>-61</v>
      </c>
      <c r="F74" s="11">
        <f t="shared" si="4"/>
        <v>-20.042739194032315</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-19.830725733053338</v>
      </c>
      <c r="E75" s="11">
        <f>A75-'Mastercurve bestimmen'!$B$2</f>
        <v>-60</v>
      </c>
      <c r="F75" s="11">
        <f t="shared" si="4"/>
        <v>-19.830725733053338</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-19.615784027976449</v>
      </c>
      <c r="E76" s="11">
        <f>A76-'Mastercurve bestimmen'!$B$2</f>
        <v>-59</v>
      </c>
      <c r="F76" s="11">
        <f t="shared" si="4"/>
        <v>-19.615784027976449</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-19.397973484037575</v>
      </c>
      <c r="E77" s="11">
        <f>A77-'Mastercurve bestimmen'!$B$2</f>
        <v>-58</v>
      </c>
      <c r="F77" s="11">
        <f t="shared" si="4"/>
        <v>-19.397973484037575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-19.177353506472645</v>
      </c>
      <c r="E78" s="11">
        <f>A78-'Mastercurve bestimmen'!$B$2</f>
        <v>-57</v>
      </c>
      <c r="F78" s="11">
        <f t="shared" si="4"/>
        <v>-19.177353506472645</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-18.953983500517591</v>
      </c>
      <c r="E79" s="11">
        <f>A79-'Mastercurve bestimmen'!$B$2</f>
        <v>-56</v>
      </c>
      <c r="F79" s="11">
        <f t="shared" si="4"/>
        <v>-18.953983500517591</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-18.727922871408328</v>
      </c>
      <c r="E80" s="11">
        <f>A80-'Mastercurve bestimmen'!$B$2</f>
        <v>-55</v>
      </c>
      <c r="F80" s="11">
        <f t="shared" ref="F80:F143" si="10">B80</f>
        <v>-18.727922871408328</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-18.499204323417796</v>
      </c>
      <c r="E81" s="11">
        <f>A81-'Mastercurve bestimmen'!$B$2</f>
        <v>-54</v>
      </c>
      <c r="F81" s="11">
        <f t="shared" si="10"/>
        <v>-18.499204323417796</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-18.26775375696694</v>
      </c>
      <c r="E82" s="11">
        <f>A82-'Mastercurve bestimmen'!$B$2</f>
        <v>-53</v>
      </c>
      <c r="F82" s="11">
        <f t="shared" si="10"/>
        <v>-18.26775375696694</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-18.033470371513715</v>
      </c>
      <c r="E83" s="11">
        <f>A83-'Mastercurve bestimmen'!$B$2</f>
        <v>-52</v>
      </c>
      <c r="F83" s="11">
        <f t="shared" si="10"/>
        <v>-18.033470371513715</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-17.79625336651608</v>
      </c>
      <c r="E84" s="11">
        <f>A84-'Mastercurve bestimmen'!$B$2</f>
        <v>-51</v>
      </c>
      <c r="F84" s="11">
        <f t="shared" si="10"/>
        <v>-17.79625336651608</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-17.55600194143198</v>
      </c>
      <c r="E85" s="11">
        <f>A85-'Mastercurve bestimmen'!$B$2</f>
        <v>-50</v>
      </c>
      <c r="F85" s="11">
        <f t="shared" si="10"/>
        <v>-17.55600194143198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-17.312615295719379</v>
      </c>
      <c r="E86" s="11">
        <f>A86-'Mastercurve bestimmen'!$B$2</f>
        <v>-49</v>
      </c>
      <c r="F86" s="11">
        <f t="shared" si="10"/>
        <v>-17.312615295719379</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-17.06599262883622</v>
      </c>
      <c r="E87" s="11">
        <f>A87-'Mastercurve bestimmen'!$B$2</f>
        <v>-48</v>
      </c>
      <c r="F87" s="11">
        <f t="shared" si="10"/>
        <v>-17.06599262883622</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-16.816033140240467</v>
      </c>
      <c r="E88" s="11">
        <f>A88-'Mastercurve bestimmen'!$B$2</f>
        <v>-47</v>
      </c>
      <c r="F88" s="11">
        <f t="shared" si="10"/>
        <v>-16.816033140240467</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-16.562636029390067</v>
      </c>
      <c r="E89" s="11">
        <f>A89-'Mastercurve bestimmen'!$B$2</f>
        <v>-46</v>
      </c>
      <c r="F89" s="11">
        <f t="shared" si="10"/>
        <v>-16.562636029390067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-16.305700495742975</v>
      </c>
      <c r="E90" s="11">
        <f>A90-'Mastercurve bestimmen'!$B$2</f>
        <v>-45</v>
      </c>
      <c r="F90" s="11">
        <f t="shared" si="10"/>
        <v>-16.305700495742975</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-16.04512573875715</v>
      </c>
      <c r="E91" s="11">
        <f>A91-'Mastercurve bestimmen'!$B$2</f>
        <v>-44</v>
      </c>
      <c r="F91" s="11">
        <f t="shared" si="10"/>
        <v>-16.04512573875715</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-15.780810957890537</v>
      </c>
      <c r="E92" s="11">
        <f>A92-'Mastercurve bestimmen'!$B$2</f>
        <v>-43</v>
      </c>
      <c r="F92" s="11">
        <f t="shared" si="10"/>
        <v>-15.780810957890537</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-15.512655352601101</v>
      </c>
      <c r="E93" s="11">
        <f>A93-'Mastercurve bestimmen'!$B$2</f>
        <v>-42</v>
      </c>
      <c r="F93" s="11">
        <f t="shared" si="10"/>
        <v>-15.512655352601101</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-15.240558122346783</v>
      </c>
      <c r="E94" s="11">
        <f>A94-'Mastercurve bestimmen'!$B$2</f>
        <v>-41</v>
      </c>
      <c r="F94" s="11">
        <f t="shared" si="10"/>
        <v>-15.240558122346783</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-14.964418466585546</v>
      </c>
      <c r="E95" s="11">
        <f>A95-'Mastercurve bestimmen'!$B$2</f>
        <v>-40</v>
      </c>
      <c r="F95" s="11">
        <f t="shared" si="10"/>
        <v>-14.964418466585546</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-14.684135584775344</v>
      </c>
      <c r="E96" s="11">
        <f>A96-'Mastercurve bestimmen'!$B$2</f>
        <v>-39</v>
      </c>
      <c r="F96" s="11">
        <f t="shared" si="10"/>
        <v>-14.684135584775344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-14.399608676374129</v>
      </c>
      <c r="E97" s="11">
        <f>A97-'Mastercurve bestimmen'!$B$2</f>
        <v>-38</v>
      </c>
      <c r="F97" s="11">
        <f t="shared" si="10"/>
        <v>-14.399608676374129</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-14.11073694083985</v>
      </c>
      <c r="E98" s="11">
        <f>A98-'Mastercurve bestimmen'!$B$2</f>
        <v>-37</v>
      </c>
      <c r="F98" s="11">
        <f t="shared" si="10"/>
        <v>-14.11073694083985</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-13.817419577630471</v>
      </c>
      <c r="E99" s="11">
        <f>A99-'Mastercurve bestimmen'!$B$2</f>
        <v>-36</v>
      </c>
      <c r="F99" s="11">
        <f t="shared" si="10"/>
        <v>-13.817419577630471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-13.519555786203934</v>
      </c>
      <c r="E100" s="11">
        <f>A100-'Mastercurve bestimmen'!$B$2</f>
        <v>-35</v>
      </c>
      <c r="F100" s="11">
        <f t="shared" si="10"/>
        <v>-13.519555786203934</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-13.217044766018205</v>
      </c>
      <c r="E101" s="11">
        <f>A101-'Mastercurve bestimmen'!$B$2</f>
        <v>-34</v>
      </c>
      <c r="F101" s="11">
        <f t="shared" si="10"/>
        <v>-13.217044766018205</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-12.909785716531228</v>
      </c>
      <c r="E102" s="11">
        <f>A102-'Mastercurve bestimmen'!$B$2</f>
        <v>-33</v>
      </c>
      <c r="F102" s="11">
        <f t="shared" si="10"/>
        <v>-12.909785716531228</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-12.597677837200964</v>
      </c>
      <c r="E103" s="11">
        <f>A103-'Mastercurve bestimmen'!$B$2</f>
        <v>-32</v>
      </c>
      <c r="F103" s="11">
        <f t="shared" si="10"/>
        <v>-12.597677837200964</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-12.280620327485364</v>
      </c>
      <c r="E104" s="11">
        <f>A104-'Mastercurve bestimmen'!$B$2</f>
        <v>-31</v>
      </c>
      <c r="F104" s="11">
        <f t="shared" si="10"/>
        <v>-12.280620327485364</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-11.958512386842379</v>
      </c>
      <c r="E105" s="11">
        <f>A105-'Mastercurve bestimmen'!$B$2</f>
        <v>-30</v>
      </c>
      <c r="F105" s="11">
        <f t="shared" si="10"/>
        <v>-11.958512386842379</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-11.631273701652272</v>
      </c>
      <c r="E106" s="11">
        <f>A106-'Mastercurve bestimmen'!$B$2</f>
        <v>-29</v>
      </c>
      <c r="F106" s="11">
        <f t="shared" si="10"/>
        <v>-11.631273701652272</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-11.298905905984519</v>
      </c>
      <c r="E107" s="11">
        <f>A107-'Mastercurve bestimmen'!$B$2</f>
        <v>-28</v>
      </c>
      <c r="F107" s="11">
        <f t="shared" si="10"/>
        <v>-11.298905905984519</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-10.961431120830902</v>
      </c>
      <c r="E108" s="11">
        <f>A108-'Mastercurve bestimmen'!$B$2</f>
        <v>-27</v>
      </c>
      <c r="F108" s="11">
        <f t="shared" si="10"/>
        <v>-10.961431120830902</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-10.618871467183206</v>
      </c>
      <c r="E109" s="11">
        <f>A109-'Mastercurve bestimmen'!$B$2</f>
        <v>-26</v>
      </c>
      <c r="F109" s="11">
        <f t="shared" si="10"/>
        <v>-10.618871467183206</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-10.271249066033212</v>
      </c>
      <c r="E110" s="11">
        <f>A110-'Mastercurve bestimmen'!$B$2</f>
        <v>-25</v>
      </c>
      <c r="F110" s="11">
        <f t="shared" si="10"/>
        <v>-10.271249066033212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-9.9185860383726983</v>
      </c>
      <c r="E111" s="11">
        <f>A111-'Mastercurve bestimmen'!$B$2</f>
        <v>-24</v>
      </c>
      <c r="F111" s="11">
        <f t="shared" si="10"/>
        <v>-9.9185860383726983</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-9.5609045051934558</v>
      </c>
      <c r="E112" s="11">
        <f>A112-'Mastercurve bestimmen'!$B$2</f>
        <v>-23</v>
      </c>
      <c r="F112" s="11">
        <f t="shared" si="10"/>
        <v>-9.5609045051934558</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-9.1982265874872589</v>
      </c>
      <c r="E113" s="11">
        <f>A113-'Mastercurve bestimmen'!$B$2</f>
        <v>-22</v>
      </c>
      <c r="F113" s="11">
        <f t="shared" si="10"/>
        <v>-9.1982265874872589</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-8.8305744062458942</v>
      </c>
      <c r="E114" s="11">
        <f>A114-'Mastercurve bestimmen'!$B$2</f>
        <v>-21</v>
      </c>
      <c r="F114" s="11">
        <f t="shared" si="10"/>
        <v>-8.8305744062458942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-8.457970082461145</v>
      </c>
      <c r="E115" s="11">
        <f>A115-'Mastercurve bestimmen'!$B$2</f>
        <v>-20</v>
      </c>
      <c r="F115" s="11">
        <f t="shared" si="10"/>
        <v>-8.457970082461145</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-8.080435737124791</v>
      </c>
      <c r="E116" s="11">
        <f>A116-'Mastercurve bestimmen'!$B$2</f>
        <v>-19</v>
      </c>
      <c r="F116" s="11">
        <f t="shared" si="10"/>
        <v>-8.080435737124791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-7.6979934912286145</v>
      </c>
      <c r="E117" s="11">
        <f>A117-'Mastercurve bestimmen'!$B$2</f>
        <v>-18</v>
      </c>
      <c r="F117" s="11">
        <f t="shared" si="10"/>
        <v>-7.6979934912286145</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-7.3106654657643997</v>
      </c>
      <c r="E118" s="11">
        <f>A118-'Mastercurve bestimmen'!$B$2</f>
        <v>-17</v>
      </c>
      <c r="F118" s="11">
        <f t="shared" si="10"/>
        <v>-7.3106654657643997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-6.9184737817239288</v>
      </c>
      <c r="E119" s="11">
        <f>A119-'Mastercurve bestimmen'!$B$2</f>
        <v>-16</v>
      </c>
      <c r="F119" s="11">
        <f t="shared" si="10"/>
        <v>-6.9184737817239288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-6.5214405600989842</v>
      </c>
      <c r="E120" s="11">
        <f>A120-'Mastercurve bestimmen'!$B$2</f>
        <v>-15</v>
      </c>
      <c r="F120" s="11">
        <f t="shared" si="10"/>
        <v>-6.5214405600989842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-6.1195879218813474</v>
      </c>
      <c r="E121" s="11">
        <f>A121-'Mastercurve bestimmen'!$B$2</f>
        <v>-14</v>
      </c>
      <c r="F121" s="11">
        <f t="shared" si="10"/>
        <v>-6.1195879218813474</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-5.7129379880628015</v>
      </c>
      <c r="E122" s="11">
        <f>A122-'Mastercurve bestimmen'!$B$2</f>
        <v>-13</v>
      </c>
      <c r="F122" s="11">
        <f t="shared" si="10"/>
        <v>-5.7129379880628015</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-5.3015128796351298</v>
      </c>
      <c r="E123" s="11">
        <f>A123-'Mastercurve bestimmen'!$B$2</f>
        <v>-12</v>
      </c>
      <c r="F123" s="11">
        <f t="shared" si="10"/>
        <v>-5.3015128796351298</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-4.8853347175901138</v>
      </c>
      <c r="E124" s="11">
        <f>A124-'Mastercurve bestimmen'!$B$2</f>
        <v>-11</v>
      </c>
      <c r="F124" s="11">
        <f t="shared" si="10"/>
        <v>-4.8853347175901138</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-4.4644256229195349</v>
      </c>
      <c r="E125" s="11">
        <f>A125-'Mastercurve bestimmen'!$B$2</f>
        <v>-10</v>
      </c>
      <c r="F125" s="11">
        <f t="shared" si="10"/>
        <v>-4.4644256229195349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-4.0388077166151781</v>
      </c>
      <c r="E126" s="11">
        <f>A126-'Mastercurve bestimmen'!$B$2</f>
        <v>-9</v>
      </c>
      <c r="F126" s="11">
        <f t="shared" si="10"/>
        <v>-4.0388077166151781</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-3.6085031196688244</v>
      </c>
      <c r="E127" s="11">
        <f>A127-'Mastercurve bestimmen'!$B$2</f>
        <v>-8</v>
      </c>
      <c r="F127" s="11">
        <f t="shared" si="10"/>
        <v>-3.6085031196688244</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-3.1735339530722557</v>
      </c>
      <c r="E128" s="11">
        <f>A128-'Mastercurve bestimmen'!$B$2</f>
        <v>-7</v>
      </c>
      <c r="F128" s="11">
        <f t="shared" si="10"/>
        <v>-3.1735339530722557</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-2.7339223378172552</v>
      </c>
      <c r="E129" s="11">
        <f>A129-'Mastercurve bestimmen'!$B$2</f>
        <v>-6</v>
      </c>
      <c r="F129" s="11">
        <f t="shared" si="10"/>
        <v>-2.7339223378172552</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-2.2896903948956053</v>
      </c>
      <c r="E130" s="11">
        <f>A130-'Mastercurve bestimmen'!$B$2</f>
        <v>-5</v>
      </c>
      <c r="F130" s="11">
        <f t="shared" si="10"/>
        <v>-2.2896903948956053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-1.8408602452990888</v>
      </c>
      <c r="E131" s="11">
        <f>A131-'Mastercurve bestimmen'!$B$2</f>
        <v>-4</v>
      </c>
      <c r="F131" s="11">
        <f t="shared" si="10"/>
        <v>-1.8408602452990888</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-1.3874540100194874</v>
      </c>
      <c r="E132" s="11">
        <f>A132-'Mastercurve bestimmen'!$B$2</f>
        <v>-3</v>
      </c>
      <c r="F132" s="11">
        <f t="shared" si="10"/>
        <v>-1.3874540100194874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-0.92949381004858389</v>
      </c>
      <c r="E133" s="11">
        <f>A133-'Mastercurve bestimmen'!$B$2</f>
        <v>-2</v>
      </c>
      <c r="F133" s="11">
        <f t="shared" si="10"/>
        <v>-0.92949381004858389</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-0.46700176637816065</v>
      </c>
      <c r="E134" s="11">
        <f>A134-'Mastercurve bestimmen'!$B$2</f>
        <v>-1</v>
      </c>
      <c r="F134" s="11">
        <f t="shared" si="10"/>
        <v>-0.46700176637816065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0.4714278024659655</v>
      </c>
      <c r="E136" s="11">
        <f>A136-'Mastercurve bestimmen'!$B$2</f>
        <v>1</v>
      </c>
      <c r="F136" s="11">
        <f t="shared" si="10"/>
        <v>0.4714278024659655</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0.9469516918872054</v>
      </c>
      <c r="E137" s="11">
        <f>A137-'Mastercurve bestimmen'!$B$2</f>
        <v>2</v>
      </c>
      <c r="F137" s="11">
        <f t="shared" si="10"/>
        <v>0.9469516918872054</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1.4261801535030385</v>
      </c>
      <c r="E138" s="11">
        <f>A138-'Mastercurve bestimmen'!$B$2</f>
        <v>3</v>
      </c>
      <c r="F138" s="11">
        <f t="shared" si="10"/>
        <v>1.4261801535030385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1.9087216725527845</v>
      </c>
      <c r="E139" s="11">
        <f>A139-'Mastercurve bestimmen'!$B$2</f>
        <v>4</v>
      </c>
      <c r="F139" s="11">
        <f t="shared" si="10"/>
        <v>1.9087216725527845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2.3941847342757625</v>
      </c>
      <c r="E140" s="11">
        <f>A140-'Mastercurve bestimmen'!$B$2</f>
        <v>5</v>
      </c>
      <c r="F140" s="11">
        <f t="shared" si="10"/>
        <v>2.3941847342757625</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2.8821778239112921</v>
      </c>
      <c r="E141" s="11">
        <f>A141-'Mastercurve bestimmen'!$B$2</f>
        <v>6</v>
      </c>
      <c r="F141" s="11">
        <f t="shared" si="10"/>
        <v>2.8821778239112921</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3.3723094266986924</v>
      </c>
      <c r="E142" s="11">
        <f>A142-'Mastercurve bestimmen'!$B$2</f>
        <v>7</v>
      </c>
      <c r="F142" s="11">
        <f t="shared" si="10"/>
        <v>3.3723094266986924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3.8641880278772822</v>
      </c>
      <c r="E143" s="11">
        <f>A143-'Mastercurve bestimmen'!$B$2</f>
        <v>8</v>
      </c>
      <c r="F143" s="11">
        <f t="shared" si="10"/>
        <v>3.8641880278772822</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4.3574221126863826</v>
      </c>
      <c r="E144" s="11">
        <f>A144-'Mastercurve bestimmen'!$B$2</f>
        <v>9</v>
      </c>
      <c r="F144" s="11">
        <f t="shared" ref="F144:F207" si="15">B144</f>
        <v>4.3574221126863826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4.8516201663653105</v>
      </c>
      <c r="E145" s="11">
        <f>A145-'Mastercurve bestimmen'!$B$2</f>
        <v>10</v>
      </c>
      <c r="F145" s="11">
        <f t="shared" si="15"/>
        <v>4.8516201663653105</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5.3463906741533869</v>
      </c>
      <c r="E146" s="11">
        <f>A146-'Mastercurve bestimmen'!$B$2</f>
        <v>11</v>
      </c>
      <c r="F146" s="11">
        <f t="shared" si="15"/>
        <v>5.3463906741533869</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5.8413421212899301</v>
      </c>
      <c r="E147" s="11">
        <f>A147-'Mastercurve bestimmen'!$B$2</f>
        <v>12</v>
      </c>
      <c r="F147" s="11">
        <f t="shared" si="15"/>
        <v>5.8413421212899301</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6.3360829930142613</v>
      </c>
      <c r="E148" s="11">
        <f>A148-'Mastercurve bestimmen'!$B$2</f>
        <v>13</v>
      </c>
      <c r="F148" s="11">
        <f t="shared" si="15"/>
        <v>6.3360829930142613</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6.8302217745656977</v>
      </c>
      <c r="E149" s="11">
        <f>A149-'Mastercurve bestimmen'!$B$2</f>
        <v>14</v>
      </c>
      <c r="F149" s="11">
        <f t="shared" si="15"/>
        <v>6.8302217745656977</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7.3233669511835586</v>
      </c>
      <c r="E150" s="11">
        <f>A150-'Mastercurve bestimmen'!$B$2</f>
        <v>15</v>
      </c>
      <c r="F150" s="11">
        <f t="shared" si="15"/>
        <v>7.3233669511835586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7.815127008107166</v>
      </c>
      <c r="E151" s="11">
        <f>A151-'Mastercurve bestimmen'!$B$2</f>
        <v>16</v>
      </c>
      <c r="F151" s="11">
        <f t="shared" si="15"/>
        <v>7.815127008107166</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8.3051104305758372</v>
      </c>
      <c r="E152" s="11">
        <f>A152-'Mastercurve bestimmen'!$B$2</f>
        <v>17</v>
      </c>
      <c r="F152" s="11">
        <f t="shared" si="15"/>
        <v>8.3051104305758372</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8.7929257038288888</v>
      </c>
      <c r="E153" s="11">
        <f>A153-'Mastercurve bestimmen'!$B$2</f>
        <v>18</v>
      </c>
      <c r="F153" s="11">
        <f t="shared" si="15"/>
        <v>8.7929257038288888</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9.2781813131056445</v>
      </c>
      <c r="E154" s="11">
        <f>A154-'Mastercurve bestimmen'!$B$2</f>
        <v>19</v>
      </c>
      <c r="F154" s="11">
        <f t="shared" si="15"/>
        <v>9.2781813131056445</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9.7604857436454235</v>
      </c>
      <c r="E155" s="11">
        <f>A155-'Mastercurve bestimmen'!$B$2</f>
        <v>20</v>
      </c>
      <c r="F155" s="11">
        <f t="shared" si="15"/>
        <v>9.7604857436454235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10.239447480687545</v>
      </c>
      <c r="E156" s="11">
        <f>A156-'Mastercurve bestimmen'!$B$2</f>
        <v>21</v>
      </c>
      <c r="F156" s="11">
        <f t="shared" si="15"/>
        <v>10.239447480687545</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10.714675009471325</v>
      </c>
      <c r="E157" s="11">
        <f>A157-'Mastercurve bestimmen'!$B$2</f>
        <v>22</v>
      </c>
      <c r="F157" s="11">
        <f t="shared" si="15"/>
        <v>10.714675009471325</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11.185776815236084</v>
      </c>
      <c r="E158" s="11">
        <f>A158-'Mastercurve bestimmen'!$B$2</f>
        <v>23</v>
      </c>
      <c r="F158" s="11">
        <f t="shared" si="15"/>
        <v>11.185776815236084</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11.652361383221143</v>
      </c>
      <c r="E159" s="11">
        <f>A159-'Mastercurve bestimmen'!$B$2</f>
        <v>24</v>
      </c>
      <c r="F159" s="11">
        <f t="shared" si="15"/>
        <v>11.652361383221143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12.114037198665823</v>
      </c>
      <c r="E160" s="11">
        <f>A160-'Mastercurve bestimmen'!$B$2</f>
        <v>25</v>
      </c>
      <c r="F160" s="11">
        <f t="shared" si="15"/>
        <v>12.114037198665823</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12.570412746809437</v>
      </c>
      <c r="E161" s="11">
        <f>A161-'Mastercurve bestimmen'!$B$2</f>
        <v>26</v>
      </c>
      <c r="F161" s="11">
        <f t="shared" si="15"/>
        <v>12.570412746809437</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13.021096512891308</v>
      </c>
      <c r="E162" s="11">
        <f>A162-'Mastercurve bestimmen'!$B$2</f>
        <v>27</v>
      </c>
      <c r="F162" s="11">
        <f t="shared" si="15"/>
        <v>13.021096512891308</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13.46569698215076</v>
      </c>
      <c r="E163" s="11">
        <f>A163-'Mastercurve bestimmen'!$B$2</f>
        <v>28</v>
      </c>
      <c r="F163" s="11">
        <f t="shared" si="15"/>
        <v>13.46569698215076</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13.903822639827105</v>
      </c>
      <c r="E164" s="11">
        <f>A164-'Mastercurve bestimmen'!$B$2</f>
        <v>29</v>
      </c>
      <c r="F164" s="11">
        <f t="shared" si="15"/>
        <v>13.903822639827105</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14.335081971159664</v>
      </c>
      <c r="E165" s="11">
        <f>A165-'Mastercurve bestimmen'!$B$2</f>
        <v>30</v>
      </c>
      <c r="F165" s="11">
        <f t="shared" si="15"/>
        <v>14.335081971159664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14.75908346138776</v>
      </c>
      <c r="E166" s="11">
        <f>A166-'Mastercurve bestimmen'!$B$2</f>
        <v>31</v>
      </c>
      <c r="F166" s="11">
        <f t="shared" si="15"/>
        <v>14.75908346138776</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15.175435595750709</v>
      </c>
      <c r="E167" s="11">
        <f>A167-'Mastercurve bestimmen'!$B$2</f>
        <v>32</v>
      </c>
      <c r="F167" s="11">
        <f t="shared" si="15"/>
        <v>15.175435595750709</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15.583746859487832</v>
      </c>
      <c r="E168" s="11">
        <f>A168-'Mastercurve bestimmen'!$B$2</f>
        <v>33</v>
      </c>
      <c r="F168" s="11">
        <f t="shared" si="15"/>
        <v>15.583746859487832</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15.983625737838448</v>
      </c>
      <c r="E169" s="11">
        <f>A169-'Mastercurve bestimmen'!$B$2</f>
        <v>34</v>
      </c>
      <c r="F169" s="11">
        <f t="shared" si="15"/>
        <v>15.983625737838448</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16.374680716041873</v>
      </c>
      <c r="E170" s="11">
        <f>A170-'Mastercurve bestimmen'!$B$2</f>
        <v>35</v>
      </c>
      <c r="F170" s="11">
        <f t="shared" si="15"/>
        <v>16.374680716041873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16.75652027933743</v>
      </c>
      <c r="E171" s="11">
        <f>A171-'Mastercurve bestimmen'!$B$2</f>
        <v>36</v>
      </c>
      <c r="F171" s="11">
        <f t="shared" si="15"/>
        <v>16.75652027933743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17.128752912964437</v>
      </c>
      <c r="E172" s="11">
        <f>A172-'Mastercurve bestimmen'!$B$2</f>
        <v>37</v>
      </c>
      <c r="F172" s="11">
        <f t="shared" si="15"/>
        <v>17.128752912964437</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17.490987102162215</v>
      </c>
      <c r="E173" s="11">
        <f>A173-'Mastercurve bestimmen'!$B$2</f>
        <v>38</v>
      </c>
      <c r="F173" s="11">
        <f t="shared" si="15"/>
        <v>17.490987102162215</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17.842831332170082</v>
      </c>
      <c r="E174" s="11">
        <f>A174-'Mastercurve bestimmen'!$B$2</f>
        <v>39</v>
      </c>
      <c r="F174" s="11">
        <f t="shared" si="15"/>
        <v>17.842831332170082</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18.183894088227358</v>
      </c>
      <c r="E175" s="11">
        <f>A175-'Mastercurve bestimmen'!$B$2</f>
        <v>40</v>
      </c>
      <c r="F175" s="11">
        <f t="shared" si="15"/>
        <v>18.183894088227358</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18.513783855573362</v>
      </c>
      <c r="E176" s="11">
        <f>A176-'Mastercurve bestimmen'!$B$2</f>
        <v>41</v>
      </c>
      <c r="F176" s="11">
        <f t="shared" si="15"/>
        <v>18.513783855573362</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18.832109119447413</v>
      </c>
      <c r="E177" s="11">
        <f>A177-'Mastercurve bestimmen'!$B$2</f>
        <v>42</v>
      </c>
      <c r="F177" s="11">
        <f t="shared" si="15"/>
        <v>18.832109119447413</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19.138478365088826</v>
      </c>
      <c r="E178" s="11">
        <f>A178-'Mastercurve bestimmen'!$B$2</f>
        <v>43</v>
      </c>
      <c r="F178" s="11">
        <f t="shared" si="15"/>
        <v>19.138478365088826</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19.432500077736929</v>
      </c>
      <c r="E179" s="11">
        <f>A179-'Mastercurve bestimmen'!$B$2</f>
        <v>44</v>
      </c>
      <c r="F179" s="11">
        <f t="shared" si="15"/>
        <v>19.432500077736929</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19.713782742631039</v>
      </c>
      <c r="E180" s="11">
        <f>A180-'Mastercurve bestimmen'!$B$2</f>
        <v>45</v>
      </c>
      <c r="F180" s="11">
        <f t="shared" si="15"/>
        <v>19.713782742631039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19.982062623958743</v>
      </c>
      <c r="E181" s="11">
        <f>A181-'Mastercurve bestimmen'!$B$2</f>
        <v>46</v>
      </c>
      <c r="F181" s="11">
        <f t="shared" si="15"/>
        <v>19.982062623958743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20.237587101700772</v>
      </c>
      <c r="E182" s="11">
        <f>A182-'Mastercurve bestimmen'!$B$2</f>
        <v>47</v>
      </c>
      <c r="F182" s="11">
        <f t="shared" si="15"/>
        <v>20.237587101700772</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20.4807313347861</v>
      </c>
      <c r="E183" s="11">
        <f>A183-'Mastercurve bestimmen'!$B$2</f>
        <v>48</v>
      </c>
      <c r="F183" s="11">
        <f t="shared" si="15"/>
        <v>20.4807313347861</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20.711870482143727</v>
      </c>
      <c r="E184" s="11">
        <f>A184-'Mastercurve bestimmen'!$B$2</f>
        <v>49</v>
      </c>
      <c r="F184" s="11">
        <f t="shared" si="15"/>
        <v>20.711870482143727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20.931379702702642</v>
      </c>
      <c r="E185" s="11">
        <f>A185-'Mastercurve bestimmen'!$B$2</f>
        <v>50</v>
      </c>
      <c r="F185" s="11">
        <f t="shared" si="15"/>
        <v>20.931379702702642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21.139634155391835</v>
      </c>
      <c r="E186" s="11">
        <f>A186-'Mastercurve bestimmen'!$B$2</f>
        <v>51</v>
      </c>
      <c r="F186" s="11">
        <f t="shared" si="15"/>
        <v>21.139634155391835</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21.337008999140298</v>
      </c>
      <c r="E187" s="11">
        <f>A187-'Mastercurve bestimmen'!$B$2</f>
        <v>52</v>
      </c>
      <c r="F187" s="11">
        <f t="shared" si="15"/>
        <v>21.337008999140298</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21.523879392877021</v>
      </c>
      <c r="E188" s="11">
        <f>A188-'Mastercurve bestimmen'!$B$2</f>
        <v>53</v>
      </c>
      <c r="F188" s="11">
        <f t="shared" si="15"/>
        <v>21.523879392877021</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21.700620495530991</v>
      </c>
      <c r="E189" s="11">
        <f>A189-'Mastercurve bestimmen'!$B$2</f>
        <v>54</v>
      </c>
      <c r="F189" s="11">
        <f t="shared" si="15"/>
        <v>21.700620495530991</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21.867607466031203</v>
      </c>
      <c r="E190" s="11">
        <f>A190-'Mastercurve bestimmen'!$B$2</f>
        <v>55</v>
      </c>
      <c r="F190" s="11">
        <f t="shared" si="15"/>
        <v>21.867607466031203</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22.025215463306647</v>
      </c>
      <c r="E191" s="11">
        <f>A191-'Mastercurve bestimmen'!$B$2</f>
        <v>56</v>
      </c>
      <c r="F191" s="11">
        <f t="shared" si="15"/>
        <v>22.025215463306647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22.173819646286315</v>
      </c>
      <c r="E192" s="11">
        <f>A192-'Mastercurve bestimmen'!$B$2</f>
        <v>57</v>
      </c>
      <c r="F192" s="11">
        <f t="shared" si="15"/>
        <v>22.173819646286315</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22.313795173899194</v>
      </c>
      <c r="E193" s="11">
        <f>A193-'Mastercurve bestimmen'!$B$2</f>
        <v>58</v>
      </c>
      <c r="F193" s="11">
        <f t="shared" si="15"/>
        <v>22.313795173899194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22.445517205074278</v>
      </c>
      <c r="E194" s="11">
        <f>A194-'Mastercurve bestimmen'!$B$2</f>
        <v>59</v>
      </c>
      <c r="F194" s="11">
        <f t="shared" si="15"/>
        <v>22.445517205074278</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22.569360898740555</v>
      </c>
      <c r="E195" s="11">
        <f>A195-'Mastercurve bestimmen'!$B$2</f>
        <v>60</v>
      </c>
      <c r="F195" s="11">
        <f t="shared" si="15"/>
        <v>22.569360898740555</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22.685701413827019</v>
      </c>
      <c r="E196" s="11">
        <f>A196-'Mastercurve bestimmen'!$B$2</f>
        <v>61</v>
      </c>
      <c r="F196" s="11">
        <f t="shared" si="15"/>
        <v>22.685701413827019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22.794913909262661</v>
      </c>
      <c r="E197" s="11">
        <f>A197-'Mastercurve bestimmen'!$B$2</f>
        <v>62</v>
      </c>
      <c r="F197" s="11">
        <f t="shared" si="15"/>
        <v>22.794913909262661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22.897373543976464</v>
      </c>
      <c r="E198" s="11">
        <f>A198-'Mastercurve bestimmen'!$B$2</f>
        <v>63</v>
      </c>
      <c r="F198" s="11">
        <f t="shared" si="15"/>
        <v>22.897373543976464</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22.993455476897431</v>
      </c>
      <c r="E199" s="11">
        <f>A199-'Mastercurve bestimmen'!$B$2</f>
        <v>64</v>
      </c>
      <c r="F199" s="11">
        <f t="shared" si="15"/>
        <v>22.993455476897431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23.083534866954544</v>
      </c>
      <c r="E200" s="11">
        <f>A200-'Mastercurve bestimmen'!$B$2</f>
        <v>65</v>
      </c>
      <c r="F200" s="11">
        <f t="shared" si="15"/>
        <v>23.083534866954544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23.167986873076792</v>
      </c>
      <c r="E201" s="11">
        <f>A201-'Mastercurve bestimmen'!$B$2</f>
        <v>66</v>
      </c>
      <c r="F201" s="11">
        <f t="shared" si="15"/>
        <v>23.167986873076792</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23.247186654193172</v>
      </c>
      <c r="E202" s="11">
        <f>A202-'Mastercurve bestimmen'!$B$2</f>
        <v>67</v>
      </c>
      <c r="F202" s="11">
        <f t="shared" si="15"/>
        <v>23.247186654193172</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23.321509369232675</v>
      </c>
      <c r="E203" s="11">
        <f>A203-'Mastercurve bestimmen'!$B$2</f>
        <v>68</v>
      </c>
      <c r="F203" s="11">
        <f t="shared" si="15"/>
        <v>23.321509369232675</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23.391330177124292</v>
      </c>
      <c r="E204" s="11">
        <f>A204-'Mastercurve bestimmen'!$B$2</f>
        <v>69</v>
      </c>
      <c r="F204" s="11">
        <f t="shared" si="15"/>
        <v>23.391330177124292</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23.457024236797004</v>
      </c>
      <c r="E205" s="11">
        <f>A205-'Mastercurve bestimmen'!$B$2</f>
        <v>70</v>
      </c>
      <c r="F205" s="11">
        <f t="shared" si="15"/>
        <v>23.457024236797004</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23.518966707179814</v>
      </c>
      <c r="E206" s="11">
        <f>A206-'Mastercurve bestimmen'!$B$2</f>
        <v>71</v>
      </c>
      <c r="F206" s="11">
        <f t="shared" si="15"/>
        <v>23.518966707179814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23.577532747201705</v>
      </c>
      <c r="E207" s="11">
        <f>A207-'Mastercurve bestimmen'!$B$2</f>
        <v>72</v>
      </c>
      <c r="F207" s="11">
        <f t="shared" si="15"/>
        <v>23.577532747201705</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23.633097515791668</v>
      </c>
      <c r="E208" s="11">
        <f>A208-'Mastercurve bestimmen'!$B$2</f>
        <v>73</v>
      </c>
      <c r="F208" s="11">
        <f t="shared" ref="F208:F215" si="21">B208</f>
        <v>23.633097515791668</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23.686036171878698</v>
      </c>
      <c r="E209" s="11">
        <f>A209-'Mastercurve bestimmen'!$B$2</f>
        <v>74</v>
      </c>
      <c r="F209" s="11">
        <f t="shared" si="21"/>
        <v>23.686036171878698</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23.736723874391785</v>
      </c>
      <c r="E210" s="11">
        <f>A210-'Mastercurve bestimmen'!$B$2</f>
        <v>75</v>
      </c>
      <c r="F210" s="11">
        <f t="shared" si="21"/>
        <v>23.736723874391785</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23.785535782259917</v>
      </c>
      <c r="E211" s="11">
        <f>A211-'Mastercurve bestimmen'!$B$2</f>
        <v>76</v>
      </c>
      <c r="F211" s="11">
        <f t="shared" si="21"/>
        <v>23.785535782259917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23.832847054412085</v>
      </c>
      <c r="E212" s="11">
        <f>A212-'Mastercurve bestimmen'!$B$2</f>
        <v>77</v>
      </c>
      <c r="F212" s="11">
        <f t="shared" si="21"/>
        <v>23.832847054412085</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23.879032849777282</v>
      </c>
      <c r="E213" s="11">
        <f>A213-'Mastercurve bestimmen'!$B$2</f>
        <v>78</v>
      </c>
      <c r="F213" s="11">
        <f t="shared" si="21"/>
        <v>23.879032849777282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23.924468327284497</v>
      </c>
      <c r="E214" s="11">
        <f>A214-'Mastercurve bestimmen'!$B$2</f>
        <v>79</v>
      </c>
      <c r="F214" s="11">
        <f t="shared" si="21"/>
        <v>23.924468327284497</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23.96952864586272</v>
      </c>
      <c r="E215" s="11">
        <f>A215-'Mastercurve bestimmen'!$B$2</f>
        <v>80</v>
      </c>
      <c r="F215" s="11">
        <f t="shared" si="21"/>
        <v>23.96952864586272</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0.46972012096974758</v>
      </c>
      <c r="J217" s="99">
        <v>1.6923813646674115E-3</v>
      </c>
      <c r="K217" s="99">
        <v>-3.5723197111082403E-5</v>
      </c>
      <c r="L217" s="99">
        <v>-4.9763697975450752E-7</v>
      </c>
      <c r="M217" s="99">
        <v>4.1424704743700949E-10</v>
      </c>
      <c r="N217" s="99">
        <v>3.8401874772697309E-11</v>
      </c>
      <c r="O217" s="99">
        <v>1.5119438375562377E-13</v>
      </c>
      <c r="P217" s="99">
        <v>-1.0557909767933002E-16</v>
      </c>
    </row>
    <row r="218" spans="1:16" x14ac:dyDescent="0.25">
      <c r="G218" s="11"/>
      <c r="H218" s="11">
        <v>0</v>
      </c>
      <c r="I218" s="11">
        <v>4.1691144573602102E-4</v>
      </c>
      <c r="J218" s="11">
        <v>7.7656197871397246E-6</v>
      </c>
      <c r="K218" s="3">
        <v>3.9456798696770409E-7</v>
      </c>
      <c r="L218" s="3">
        <v>3.5926588853208578E-9</v>
      </c>
      <c r="M218" s="3">
        <v>1.1281016171460683E-10</v>
      </c>
      <c r="N218" s="3">
        <v>6.1990369290240617E-13</v>
      </c>
      <c r="O218" s="11">
        <v>9.9684123990130697E-15</v>
      </c>
      <c r="P218" s="11">
        <v>6.0617781964197604E-17</v>
      </c>
    </row>
    <row r="219" spans="1:16" x14ac:dyDescent="0.25">
      <c r="G219" s="11"/>
      <c r="H219" s="11">
        <v>0.99999496204465932</v>
      </c>
      <c r="I219" s="11">
        <v>4.313146335933802E-2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-27.812240110939157</v>
      </c>
      <c r="G222">
        <f>F15</f>
        <v>-27.726011857479499</v>
      </c>
    </row>
    <row r="223" spans="1:16" x14ac:dyDescent="0.25">
      <c r="E223" s="11">
        <f t="shared" ref="E223:E286" si="25">E16</f>
        <v>-119</v>
      </c>
      <c r="F223" s="11">
        <f t="shared" ref="F223:F286" si="26">$H$217*0+E223*$I$217+E223^2*$J$217+E223^3*$K$217+E223^4*$L$217+E223^5*$M$217+E223^6*$N$217+E223^7*$O$217+E223^8*$P$217</f>
        <v>-27.697061957754087</v>
      </c>
      <c r="G223" s="11">
        <f t="shared" ref="G223:G286" si="27">F16</f>
        <v>-27.646177225288262</v>
      </c>
    </row>
    <row r="224" spans="1:16" x14ac:dyDescent="0.25">
      <c r="E224" s="11">
        <f t="shared" si="25"/>
        <v>-118</v>
      </c>
      <c r="F224" s="11">
        <f t="shared" si="26"/>
        <v>-27.588825446479866</v>
      </c>
      <c r="G224" s="11">
        <f t="shared" si="27"/>
        <v>-27.566239684376619</v>
      </c>
    </row>
    <row r="225" spans="5:7" x14ac:dyDescent="0.25">
      <c r="E225" s="11">
        <f t="shared" si="25"/>
        <v>-117</v>
      </c>
      <c r="F225" s="11">
        <f t="shared" si="26"/>
        <v>-27.486558631176393</v>
      </c>
      <c r="G225" s="11">
        <f t="shared" si="27"/>
        <v>-27.486096326024153</v>
      </c>
    </row>
    <row r="226" spans="5:7" x14ac:dyDescent="0.25">
      <c r="E226" s="11">
        <f t="shared" si="25"/>
        <v>-116</v>
      </c>
      <c r="F226" s="11">
        <f t="shared" si="26"/>
        <v>-27.389357954590668</v>
      </c>
      <c r="G226" s="11">
        <f t="shared" si="27"/>
        <v>-27.405644241510451</v>
      </c>
    </row>
    <row r="227" spans="5:7" x14ac:dyDescent="0.25">
      <c r="E227" s="11">
        <f t="shared" si="25"/>
        <v>-115</v>
      </c>
      <c r="F227" s="11">
        <f t="shared" si="26"/>
        <v>-27.296385035704166</v>
      </c>
      <c r="G227" s="11">
        <f t="shared" si="27"/>
        <v>-27.324780522115109</v>
      </c>
    </row>
    <row r="228" spans="5:7" x14ac:dyDescent="0.25">
      <c r="E228" s="11">
        <f t="shared" si="25"/>
        <v>-114</v>
      </c>
      <c r="F228" s="11">
        <f t="shared" si="26"/>
        <v>-27.206863547924613</v>
      </c>
      <c r="G228" s="11">
        <f t="shared" si="27"/>
        <v>-27.243402259117708</v>
      </c>
    </row>
    <row r="229" spans="5:7" x14ac:dyDescent="0.25">
      <c r="E229" s="11">
        <f t="shared" si="25"/>
        <v>-113</v>
      </c>
      <c r="F229" s="11">
        <f t="shared" si="26"/>
        <v>-27.120076186664804</v>
      </c>
      <c r="G229" s="11">
        <f t="shared" si="27"/>
        <v>-27.161406543797838</v>
      </c>
    </row>
    <row r="230" spans="5:7" x14ac:dyDescent="0.25">
      <c r="E230" s="11">
        <f t="shared" si="25"/>
        <v>-112</v>
      </c>
      <c r="F230" s="11">
        <f t="shared" si="26"/>
        <v>-27.035361725054354</v>
      </c>
      <c r="G230" s="11">
        <f t="shared" si="27"/>
        <v>-27.078690467435095</v>
      </c>
    </row>
    <row r="231" spans="5:7" x14ac:dyDescent="0.25">
      <c r="E231" s="11">
        <f t="shared" si="25"/>
        <v>-111</v>
      </c>
      <c r="F231" s="11">
        <f t="shared" si="26"/>
        <v>-26.952112156534984</v>
      </c>
      <c r="G231" s="11">
        <f t="shared" si="27"/>
        <v>-26.995151121309064</v>
      </c>
    </row>
    <row r="232" spans="5:7" x14ac:dyDescent="0.25">
      <c r="E232" s="11">
        <f t="shared" si="25"/>
        <v>-110</v>
      </c>
      <c r="F232" s="11">
        <f t="shared" si="26"/>
        <v>-26.86976992309441</v>
      </c>
      <c r="G232" s="11">
        <f t="shared" si="27"/>
        <v>-26.910685596699331</v>
      </c>
    </row>
    <row r="233" spans="5:7" x14ac:dyDescent="0.25">
      <c r="E233" s="11">
        <f t="shared" si="25"/>
        <v>-109</v>
      </c>
      <c r="F233" s="11">
        <f t="shared" si="26"/>
        <v>-26.787825227897592</v>
      </c>
      <c r="G233" s="11">
        <f t="shared" si="27"/>
        <v>-26.825190984885484</v>
      </c>
    </row>
    <row r="234" spans="5:7" x14ac:dyDescent="0.25">
      <c r="E234" s="11">
        <f t="shared" si="25"/>
        <v>-108</v>
      </c>
      <c r="F234" s="11">
        <f t="shared" si="26"/>
        <v>-26.705813431078937</v>
      </c>
      <c r="G234" s="11">
        <f t="shared" si="27"/>
        <v>-26.738564377147117</v>
      </c>
    </row>
    <row r="235" spans="5:7" x14ac:dyDescent="0.25">
      <c r="E235" s="11">
        <f t="shared" si="25"/>
        <v>-107</v>
      </c>
      <c r="F235" s="11">
        <f t="shared" si="26"/>
        <v>-26.62331252746284</v>
      </c>
      <c r="G235" s="11">
        <f t="shared" si="27"/>
        <v>-26.650702864763812</v>
      </c>
    </row>
    <row r="236" spans="5:7" x14ac:dyDescent="0.25">
      <c r="E236" s="11">
        <f t="shared" si="25"/>
        <v>-106</v>
      </c>
      <c r="F236" s="11">
        <f t="shared" si="26"/>
        <v>-26.539940704984506</v>
      </c>
      <c r="G236" s="11">
        <f t="shared" si="27"/>
        <v>-26.561503539015167</v>
      </c>
    </row>
    <row r="237" spans="5:7" x14ac:dyDescent="0.25">
      <c r="E237" s="11">
        <f t="shared" si="25"/>
        <v>-105</v>
      </c>
      <c r="F237" s="11">
        <f t="shared" si="26"/>
        <v>-26.455353982587191</v>
      </c>
      <c r="G237" s="11">
        <f t="shared" si="27"/>
        <v>-26.470863491180765</v>
      </c>
    </row>
    <row r="238" spans="5:7" x14ac:dyDescent="0.25">
      <c r="E238" s="11">
        <f t="shared" si="25"/>
        <v>-104</v>
      </c>
      <c r="F238" s="11">
        <f t="shared" si="26"/>
        <v>-26.369243926376075</v>
      </c>
      <c r="G238" s="11">
        <f t="shared" si="27"/>
        <v>-26.378679812540192</v>
      </c>
    </row>
    <row r="239" spans="5:7" x14ac:dyDescent="0.25">
      <c r="E239" s="11">
        <f t="shared" si="25"/>
        <v>-103</v>
      </c>
      <c r="F239" s="11">
        <f t="shared" si="26"/>
        <v>-26.281335442813635</v>
      </c>
      <c r="G239" s="11">
        <f t="shared" si="27"/>
        <v>-26.284849594373046</v>
      </c>
    </row>
    <row r="240" spans="5:7" x14ac:dyDescent="0.25">
      <c r="E240" s="11">
        <f t="shared" si="25"/>
        <v>-102</v>
      </c>
      <c r="F240" s="11">
        <f t="shared" si="26"/>
        <v>-26.191384647745025</v>
      </c>
      <c r="G240" s="11">
        <f t="shared" si="27"/>
        <v>-26.189269927958907</v>
      </c>
    </row>
    <row r="241" spans="5:7" x14ac:dyDescent="0.25">
      <c r="E241" s="11">
        <f t="shared" si="25"/>
        <v>-101</v>
      </c>
      <c r="F241" s="11">
        <f t="shared" si="26"/>
        <v>-26.099176810047009</v>
      </c>
      <c r="G241" s="11">
        <f t="shared" si="27"/>
        <v>-26.091837904577368</v>
      </c>
    </row>
    <row r="242" spans="5:7" x14ac:dyDescent="0.25">
      <c r="E242" s="11">
        <f t="shared" si="25"/>
        <v>-100</v>
      </c>
      <c r="F242" s="11">
        <f t="shared" si="26"/>
        <v>-26.004524368697442</v>
      </c>
      <c r="G242" s="11">
        <f t="shared" si="27"/>
        <v>-25.992450615508019</v>
      </c>
    </row>
    <row r="243" spans="5:7" x14ac:dyDescent="0.25">
      <c r="E243" s="11">
        <f t="shared" si="25"/>
        <v>-99</v>
      </c>
      <c r="F243" s="11">
        <f t="shared" si="26"/>
        <v>-25.9072650220673</v>
      </c>
      <c r="G243" s="11">
        <f t="shared" si="27"/>
        <v>-25.891005152030448</v>
      </c>
    </row>
    <row r="244" spans="5:7" x14ac:dyDescent="0.25">
      <c r="E244" s="11">
        <f t="shared" si="25"/>
        <v>-98</v>
      </c>
      <c r="F244" s="11">
        <f t="shared" si="26"/>
        <v>-25.807259888240786</v>
      </c>
      <c r="G244" s="11">
        <f t="shared" si="27"/>
        <v>-25.787398605424244</v>
      </c>
    </row>
    <row r="245" spans="5:7" x14ac:dyDescent="0.25">
      <c r="E245" s="11">
        <f t="shared" si="25"/>
        <v>-97</v>
      </c>
      <c r="F245" s="11">
        <f t="shared" si="26"/>
        <v>-25.70439173517406</v>
      </c>
      <c r="G245" s="11">
        <f t="shared" si="27"/>
        <v>-25.68152806696899</v>
      </c>
    </row>
    <row r="246" spans="5:7" x14ac:dyDescent="0.25">
      <c r="E246" s="11">
        <f t="shared" si="25"/>
        <v>-96</v>
      </c>
      <c r="F246" s="11">
        <f t="shared" si="26"/>
        <v>-25.598563279506671</v>
      </c>
      <c r="G246" s="11">
        <f t="shared" si="27"/>
        <v>-25.573290627944282</v>
      </c>
    </row>
    <row r="247" spans="5:7" x14ac:dyDescent="0.25">
      <c r="E247" s="11">
        <f t="shared" si="25"/>
        <v>-95</v>
      </c>
      <c r="F247" s="11">
        <f t="shared" si="26"/>
        <v>-25.489695552844562</v>
      </c>
      <c r="G247" s="11">
        <f t="shared" si="27"/>
        <v>-25.462583379629706</v>
      </c>
    </row>
    <row r="248" spans="5:7" x14ac:dyDescent="0.25">
      <c r="E248" s="11">
        <f t="shared" si="25"/>
        <v>-94</v>
      </c>
      <c r="F248" s="11">
        <f t="shared" si="26"/>
        <v>-25.377726334337577</v>
      </c>
      <c r="G248" s="11">
        <f t="shared" si="27"/>
        <v>-25.349303413304852</v>
      </c>
    </row>
    <row r="249" spans="5:7" x14ac:dyDescent="0.25">
      <c r="E249" s="11">
        <f t="shared" si="25"/>
        <v>-93</v>
      </c>
      <c r="F249" s="11">
        <f t="shared" si="26"/>
        <v>-25.262608648378411</v>
      </c>
      <c r="G249" s="11">
        <f t="shared" si="27"/>
        <v>-25.233347820249314</v>
      </c>
    </row>
    <row r="250" spans="5:7" x14ac:dyDescent="0.25">
      <c r="E250" s="11">
        <f t="shared" si="25"/>
        <v>-92</v>
      </c>
      <c r="F250" s="11">
        <f t="shared" si="26"/>
        <v>-25.144309326254859</v>
      </c>
      <c r="G250" s="11">
        <f t="shared" si="27"/>
        <v>-25.114613691742669</v>
      </c>
    </row>
    <row r="251" spans="5:7" x14ac:dyDescent="0.25">
      <c r="E251" s="11">
        <f t="shared" si="25"/>
        <v>-91</v>
      </c>
      <c r="F251" s="11">
        <f t="shared" si="26"/>
        <v>-25.022807630590648</v>
      </c>
      <c r="G251" s="11">
        <f t="shared" si="27"/>
        <v>-24.992998119064513</v>
      </c>
    </row>
    <row r="252" spans="5:7" x14ac:dyDescent="0.25">
      <c r="E252" s="11">
        <f t="shared" si="25"/>
        <v>-90</v>
      </c>
      <c r="F252" s="11">
        <f t="shared" si="26"/>
        <v>-24.898093941415087</v>
      </c>
      <c r="G252" s="11">
        <f t="shared" si="27"/>
        <v>-24.868398193494436</v>
      </c>
    </row>
    <row r="253" spans="5:7" x14ac:dyDescent="0.25">
      <c r="E253" s="11">
        <f t="shared" si="25"/>
        <v>-89</v>
      </c>
      <c r="F253" s="11">
        <f t="shared" si="26"/>
        <v>-24.770168502705666</v>
      </c>
      <c r="G253" s="11">
        <f t="shared" si="27"/>
        <v>-24.740711006312019</v>
      </c>
    </row>
    <row r="254" spans="5:7" x14ac:dyDescent="0.25">
      <c r="E254" s="11">
        <f t="shared" si="25"/>
        <v>-88</v>
      </c>
      <c r="F254" s="11">
        <f t="shared" si="26"/>
        <v>-24.639040228251961</v>
      </c>
      <c r="G254" s="11">
        <f t="shared" si="27"/>
        <v>-24.609833648796862</v>
      </c>
    </row>
    <row r="255" spans="5:7" x14ac:dyDescent="0.25">
      <c r="E255" s="11">
        <f t="shared" si="25"/>
        <v>-87</v>
      </c>
      <c r="F255" s="11">
        <f t="shared" si="26"/>
        <v>-24.504725565693779</v>
      </c>
      <c r="G255" s="11">
        <f t="shared" si="27"/>
        <v>-24.475663212228547</v>
      </c>
    </row>
    <row r="256" spans="5:7" x14ac:dyDescent="0.25">
      <c r="E256" s="11">
        <f t="shared" si="25"/>
        <v>-86</v>
      </c>
      <c r="F256" s="11">
        <f t="shared" si="26"/>
        <v>-24.36724741759032</v>
      </c>
      <c r="G256" s="11">
        <f t="shared" si="27"/>
        <v>-24.338096787886663</v>
      </c>
    </row>
    <row r="257" spans="5:7" x14ac:dyDescent="0.25">
      <c r="E257" s="11">
        <f t="shared" si="25"/>
        <v>-85</v>
      </c>
      <c r="F257" s="11">
        <f t="shared" si="26"/>
        <v>-24.226634118381853</v>
      </c>
      <c r="G257" s="11">
        <f t="shared" si="27"/>
        <v>-24.197031467050802</v>
      </c>
    </row>
    <row r="258" spans="5:7" x14ac:dyDescent="0.25">
      <c r="E258" s="11">
        <f t="shared" si="25"/>
        <v>-84</v>
      </c>
      <c r="F258" s="11">
        <f t="shared" si="26"/>
        <v>-24.082918466108993</v>
      </c>
      <c r="G258" s="11">
        <f t="shared" si="27"/>
        <v>-24.052364341000551</v>
      </c>
    </row>
    <row r="259" spans="5:7" x14ac:dyDescent="0.25">
      <c r="E259" s="11">
        <f t="shared" si="25"/>
        <v>-83</v>
      </c>
      <c r="F259" s="11">
        <f t="shared" si="26"/>
        <v>-23.93613680775983</v>
      </c>
      <c r="G259" s="11">
        <f t="shared" si="27"/>
        <v>-23.903992501015502</v>
      </c>
    </row>
    <row r="260" spans="5:7" x14ac:dyDescent="0.25">
      <c r="E260" s="11">
        <f t="shared" si="25"/>
        <v>-82</v>
      </c>
      <c r="F260" s="11">
        <f t="shared" si="26"/>
        <v>-23.786328177118538</v>
      </c>
      <c r="G260" s="11">
        <f t="shared" si="27"/>
        <v>-23.751813038375236</v>
      </c>
    </row>
    <row r="261" spans="5:7" x14ac:dyDescent="0.25">
      <c r="E261" s="11">
        <f t="shared" si="25"/>
        <v>-81</v>
      </c>
      <c r="F261" s="11">
        <f t="shared" si="26"/>
        <v>-23.633533483993915</v>
      </c>
      <c r="G261" s="11">
        <f t="shared" si="27"/>
        <v>-23.59572304435935</v>
      </c>
    </row>
    <row r="262" spans="5:7" x14ac:dyDescent="0.25">
      <c r="E262" s="11">
        <f t="shared" si="25"/>
        <v>-80</v>
      </c>
      <c r="F262" s="11">
        <f t="shared" si="26"/>
        <v>-23.477794753710302</v>
      </c>
      <c r="G262" s="11">
        <f t="shared" si="27"/>
        <v>-23.435619610247425</v>
      </c>
    </row>
    <row r="263" spans="5:7" x14ac:dyDescent="0.25">
      <c r="E263" s="11">
        <f t="shared" si="25"/>
        <v>-79</v>
      </c>
      <c r="F263" s="11">
        <f t="shared" si="26"/>
        <v>-23.319154415747747</v>
      </c>
      <c r="G263" s="11">
        <f t="shared" si="27"/>
        <v>-23.290529781954817</v>
      </c>
    </row>
    <row r="264" spans="5:7" x14ac:dyDescent="0.25">
      <c r="E264" s="11">
        <f t="shared" si="25"/>
        <v>-78</v>
      </c>
      <c r="F264" s="11">
        <f t="shared" si="26"/>
        <v>-23.157654640422344</v>
      </c>
      <c r="G264" s="11">
        <f t="shared" si="27"/>
        <v>-23.141383010081704</v>
      </c>
    </row>
    <row r="265" spans="5:7" x14ac:dyDescent="0.25">
      <c r="E265" s="11">
        <f t="shared" si="25"/>
        <v>-77</v>
      </c>
      <c r="F265" s="11">
        <f t="shared" si="26"/>
        <v>-22.993336722502129</v>
      </c>
      <c r="G265" s="11">
        <f t="shared" si="27"/>
        <v>-22.988238699863988</v>
      </c>
    </row>
    <row r="266" spans="5:7" x14ac:dyDescent="0.25">
      <c r="E266" s="11">
        <f t="shared" si="25"/>
        <v>-76</v>
      </c>
      <c r="F266" s="11">
        <f t="shared" si="26"/>
        <v>-22.826240510658078</v>
      </c>
      <c r="G266" s="11">
        <f t="shared" si="27"/>
        <v>-22.831156256537607</v>
      </c>
    </row>
    <row r="267" spans="5:7" x14ac:dyDescent="0.25">
      <c r="E267" s="11">
        <f t="shared" si="25"/>
        <v>-75</v>
      </c>
      <c r="F267" s="11">
        <f t="shared" si="26"/>
        <v>-22.656403881653929</v>
      </c>
      <c r="G267" s="11">
        <f t="shared" si="27"/>
        <v>-22.670195085338491</v>
      </c>
    </row>
    <row r="268" spans="5:7" x14ac:dyDescent="0.25">
      <c r="E268" s="11">
        <f t="shared" si="25"/>
        <v>-74</v>
      </c>
      <c r="F268" s="11">
        <f t="shared" si="26"/>
        <v>-22.483862258183031</v>
      </c>
      <c r="G268" s="11">
        <f t="shared" si="27"/>
        <v>-22.505414591502564</v>
      </c>
    </row>
    <row r="269" spans="5:7" x14ac:dyDescent="0.25">
      <c r="E269" s="11">
        <f t="shared" si="25"/>
        <v>-73</v>
      </c>
      <c r="F269" s="11">
        <f t="shared" si="26"/>
        <v>-22.308648169264419</v>
      </c>
      <c r="G269" s="11">
        <f t="shared" si="27"/>
        <v>-22.336874180265749</v>
      </c>
    </row>
    <row r="270" spans="5:7" x14ac:dyDescent="0.25">
      <c r="E270" s="11">
        <f t="shared" si="25"/>
        <v>-72</v>
      </c>
      <c r="F270" s="11">
        <f t="shared" si="26"/>
        <v>-22.130790852114806</v>
      </c>
      <c r="G270" s="11">
        <f t="shared" si="27"/>
        <v>-22.164633256863979</v>
      </c>
    </row>
    <row r="271" spans="5:7" x14ac:dyDescent="0.25">
      <c r="E271" s="11">
        <f t="shared" si="25"/>
        <v>-71</v>
      </c>
      <c r="F271" s="11">
        <f t="shared" si="26"/>
        <v>-21.950315894417223</v>
      </c>
      <c r="G271" s="11">
        <f t="shared" si="27"/>
        <v>-21.988751226533175</v>
      </c>
    </row>
    <row r="272" spans="5:7" x14ac:dyDescent="0.25">
      <c r="E272" s="11">
        <f t="shared" si="25"/>
        <v>-70</v>
      </c>
      <c r="F272" s="11">
        <f t="shared" si="26"/>
        <v>-21.767244915911462</v>
      </c>
      <c r="G272" s="11">
        <f t="shared" si="27"/>
        <v>-21.809287494509267</v>
      </c>
    </row>
    <row r="273" spans="5:7" x14ac:dyDescent="0.25">
      <c r="E273" s="11">
        <f t="shared" si="25"/>
        <v>-69</v>
      </c>
      <c r="F273" s="11">
        <f t="shared" si="26"/>
        <v>-21.581595288235693</v>
      </c>
      <c r="G273" s="11">
        <f t="shared" si="27"/>
        <v>-21.626301466028181</v>
      </c>
    </row>
    <row r="274" spans="5:7" x14ac:dyDescent="0.25">
      <c r="E274" s="11">
        <f t="shared" si="25"/>
        <v>-68</v>
      </c>
      <c r="F274" s="11">
        <f t="shared" si="26"/>
        <v>-21.393379891952797</v>
      </c>
      <c r="G274" s="11">
        <f t="shared" si="27"/>
        <v>-21.439852546325845</v>
      </c>
    </row>
    <row r="275" spans="5:7" x14ac:dyDescent="0.25">
      <c r="E275" s="11">
        <f t="shared" si="25"/>
        <v>-67</v>
      </c>
      <c r="F275" s="11">
        <f t="shared" si="26"/>
        <v>-21.202606909699366</v>
      </c>
      <c r="G275" s="11">
        <f t="shared" si="27"/>
        <v>-21.250000140638186</v>
      </c>
    </row>
    <row r="276" spans="5:7" x14ac:dyDescent="0.25">
      <c r="E276" s="11">
        <f t="shared" si="25"/>
        <v>-66</v>
      </c>
      <c r="F276" s="11">
        <f t="shared" si="26"/>
        <v>-21.009279654399375</v>
      </c>
      <c r="G276" s="11">
        <f t="shared" si="27"/>
        <v>-21.056803654201129</v>
      </c>
    </row>
    <row r="277" spans="5:7" x14ac:dyDescent="0.25">
      <c r="E277" s="11">
        <f t="shared" si="25"/>
        <v>-65</v>
      </c>
      <c r="F277" s="11">
        <f t="shared" si="26"/>
        <v>-20.813396431489036</v>
      </c>
      <c r="G277" s="11">
        <f t="shared" si="27"/>
        <v>-20.860322492250599</v>
      </c>
    </row>
    <row r="278" spans="5:7" x14ac:dyDescent="0.25">
      <c r="E278" s="11">
        <f t="shared" si="25"/>
        <v>-64</v>
      </c>
      <c r="F278" s="11">
        <f t="shared" si="26"/>
        <v>-20.614950434103378</v>
      </c>
      <c r="G278" s="11">
        <f t="shared" si="27"/>
        <v>-20.660616060022527</v>
      </c>
    </row>
    <row r="279" spans="5:7" x14ac:dyDescent="0.25">
      <c r="E279" s="11">
        <f t="shared" si="25"/>
        <v>-63</v>
      </c>
      <c r="F279" s="11">
        <f t="shared" si="26"/>
        <v>-20.413929670179474</v>
      </c>
      <c r="G279" s="11">
        <f t="shared" si="27"/>
        <v>-20.457743762752841</v>
      </c>
    </row>
    <row r="280" spans="5:7" x14ac:dyDescent="0.25">
      <c r="E280" s="11">
        <f t="shared" si="25"/>
        <v>-62</v>
      </c>
      <c r="F280" s="11">
        <f t="shared" si="26"/>
        <v>-20.210316920435492</v>
      </c>
      <c r="G280" s="11">
        <f t="shared" si="27"/>
        <v>-20.251765005677459</v>
      </c>
    </row>
    <row r="281" spans="5:7" x14ac:dyDescent="0.25">
      <c r="E281" s="11">
        <f t="shared" si="25"/>
        <v>-61</v>
      </c>
      <c r="F281" s="11">
        <f t="shared" si="26"/>
        <v>-20.004089726188933</v>
      </c>
      <c r="G281" s="11">
        <f t="shared" si="27"/>
        <v>-20.042739194032315</v>
      </c>
    </row>
    <row r="282" spans="5:7" x14ac:dyDescent="0.25">
      <c r="E282" s="11">
        <f t="shared" si="25"/>
        <v>-60</v>
      </c>
      <c r="F282" s="11">
        <f t="shared" si="26"/>
        <v>-19.795220405981766</v>
      </c>
      <c r="G282" s="11">
        <f t="shared" si="27"/>
        <v>-19.830725733053338</v>
      </c>
    </row>
    <row r="283" spans="5:7" x14ac:dyDescent="0.25">
      <c r="E283" s="11">
        <f t="shared" si="25"/>
        <v>-59</v>
      </c>
      <c r="F283" s="11">
        <f t="shared" si="26"/>
        <v>-19.58367609998426</v>
      </c>
      <c r="G283" s="11">
        <f t="shared" si="27"/>
        <v>-19.615784027976449</v>
      </c>
    </row>
    <row r="284" spans="5:7" x14ac:dyDescent="0.25">
      <c r="E284" s="11">
        <f t="shared" si="25"/>
        <v>-58</v>
      </c>
      <c r="F284" s="11">
        <f t="shared" si="26"/>
        <v>-19.369418841153959</v>
      </c>
      <c r="G284" s="11">
        <f t="shared" si="27"/>
        <v>-19.397973484037575</v>
      </c>
    </row>
    <row r="285" spans="5:7" x14ac:dyDescent="0.25">
      <c r="E285" s="11">
        <f t="shared" si="25"/>
        <v>-57</v>
      </c>
      <c r="F285" s="11">
        <f t="shared" si="26"/>
        <v>-19.152405652129882</v>
      </c>
      <c r="G285" s="11">
        <f t="shared" si="27"/>
        <v>-19.177353506472645</v>
      </c>
    </row>
    <row r="286" spans="5:7" x14ac:dyDescent="0.25">
      <c r="E286" s="11">
        <f t="shared" si="25"/>
        <v>-56</v>
      </c>
      <c r="F286" s="11">
        <f t="shared" si="26"/>
        <v>-18.932588666846961</v>
      </c>
      <c r="G286" s="11">
        <f t="shared" si="27"/>
        <v>-18.953983500517591</v>
      </c>
    </row>
    <row r="287" spans="5:7" x14ac:dyDescent="0.25">
      <c r="E287" s="11">
        <f t="shared" ref="E287:E350" si="28">E80</f>
        <v>-55</v>
      </c>
      <c r="F287" s="11">
        <f t="shared" ref="F287:F350" si="29">$H$217*0+E287*$I$217+E287^2*$J$217+E287^3*$K$217+E287^4*$L$217+E287^5*$M$217+E287^6*$N$217+E287^7*$O$217+E287^8*$P$217</f>
        <v>-18.709915275859405</v>
      </c>
      <c r="G287" s="11">
        <f t="shared" ref="G287:G350" si="30">F80</f>
        <v>-18.727922871408328</v>
      </c>
    </row>
    <row r="288" spans="5:7" x14ac:dyDescent="0.25">
      <c r="E288" s="11">
        <f t="shared" si="28"/>
        <v>-54</v>
      </c>
      <c r="F288" s="11">
        <f t="shared" si="29"/>
        <v>-18.48432829436641</v>
      </c>
      <c r="G288" s="11">
        <f t="shared" si="30"/>
        <v>-18.499204323417796</v>
      </c>
    </row>
    <row r="289" spans="5:7" x14ac:dyDescent="0.25">
      <c r="E289" s="11">
        <f t="shared" si="28"/>
        <v>-53</v>
      </c>
      <c r="F289" s="11">
        <f t="shared" si="29"/>
        <v>-18.255766151937539</v>
      </c>
      <c r="G289" s="11">
        <f t="shared" si="30"/>
        <v>-18.26775375696694</v>
      </c>
    </row>
    <row r="290" spans="5:7" x14ac:dyDescent="0.25">
      <c r="E290" s="11">
        <f t="shared" si="28"/>
        <v>-52</v>
      </c>
      <c r="F290" s="11">
        <f t="shared" si="29"/>
        <v>-18.024163102939536</v>
      </c>
      <c r="G290" s="11">
        <f t="shared" si="30"/>
        <v>-18.033470371513715</v>
      </c>
    </row>
    <row r="291" spans="5:7" x14ac:dyDescent="0.25">
      <c r="E291" s="11">
        <f t="shared" si="28"/>
        <v>-51</v>
      </c>
      <c r="F291" s="11">
        <f t="shared" si="29"/>
        <v>-17.789449456670571</v>
      </c>
      <c r="G291" s="11">
        <f t="shared" si="30"/>
        <v>-17.79625336651608</v>
      </c>
    </row>
    <row r="292" spans="5:7" x14ac:dyDescent="0.25">
      <c r="E292" s="11">
        <f t="shared" si="28"/>
        <v>-50</v>
      </c>
      <c r="F292" s="11">
        <f t="shared" si="29"/>
        <v>-17.551551826212066</v>
      </c>
      <c r="G292" s="11">
        <f t="shared" si="30"/>
        <v>-17.55600194143198</v>
      </c>
    </row>
    <row r="293" spans="5:7" x14ac:dyDescent="0.25">
      <c r="E293" s="11">
        <f t="shared" si="28"/>
        <v>-49</v>
      </c>
      <c r="F293" s="11">
        <f t="shared" si="29"/>
        <v>-17.310393395012778</v>
      </c>
      <c r="G293" s="11">
        <f t="shared" si="30"/>
        <v>-17.312615295719379</v>
      </c>
    </row>
    <row r="294" spans="5:7" x14ac:dyDescent="0.25">
      <c r="E294" s="11">
        <f t="shared" si="28"/>
        <v>-48</v>
      </c>
      <c r="F294" s="11">
        <f t="shared" si="29"/>
        <v>-17.065894200223607</v>
      </c>
      <c r="G294" s="11">
        <f t="shared" si="30"/>
        <v>-17.06599262883622</v>
      </c>
    </row>
    <row r="295" spans="5:7" x14ac:dyDescent="0.25">
      <c r="E295" s="11">
        <f t="shared" si="28"/>
        <v>-47</v>
      </c>
      <c r="F295" s="11">
        <f t="shared" si="29"/>
        <v>-16.817971431806431</v>
      </c>
      <c r="G295" s="11">
        <f t="shared" si="30"/>
        <v>-16.816033140240467</v>
      </c>
    </row>
    <row r="296" spans="5:7" x14ac:dyDescent="0.25">
      <c r="E296" s="11">
        <f t="shared" si="28"/>
        <v>-46</v>
      </c>
      <c r="F296" s="11">
        <f t="shared" si="29"/>
        <v>-16.566539746443986</v>
      </c>
      <c r="G296" s="11">
        <f t="shared" si="30"/>
        <v>-16.562636029390067</v>
      </c>
    </row>
    <row r="297" spans="5:7" x14ac:dyDescent="0.25">
      <c r="E297" s="11">
        <f t="shared" si="28"/>
        <v>-45</v>
      </c>
      <c r="F297" s="11">
        <f t="shared" si="29"/>
        <v>-16.311511595282479</v>
      </c>
      <c r="G297" s="11">
        <f t="shared" si="30"/>
        <v>-16.305700495742975</v>
      </c>
    </row>
    <row r="298" spans="5:7" x14ac:dyDescent="0.25">
      <c r="E298" s="11">
        <f t="shared" si="28"/>
        <v>-44</v>
      </c>
      <c r="F298" s="11">
        <f t="shared" si="29"/>
        <v>-16.052797564542598</v>
      </c>
      <c r="G298" s="11">
        <f t="shared" si="30"/>
        <v>-16.04512573875715</v>
      </c>
    </row>
    <row r="299" spans="5:7" x14ac:dyDescent="0.25">
      <c r="E299" s="11">
        <f t="shared" si="28"/>
        <v>-43</v>
      </c>
      <c r="F299" s="11">
        <f t="shared" si="29"/>
        <v>-15.790306728039008</v>
      </c>
      <c r="G299" s="11">
        <f t="shared" si="30"/>
        <v>-15.780810957890537</v>
      </c>
    </row>
    <row r="300" spans="5:7" x14ac:dyDescent="0.25">
      <c r="E300" s="11">
        <f t="shared" si="28"/>
        <v>-42</v>
      </c>
      <c r="F300" s="11">
        <f t="shared" si="29"/>
        <v>-15.523947010652639</v>
      </c>
      <c r="G300" s="11">
        <f t="shared" si="30"/>
        <v>-15.512655352601101</v>
      </c>
    </row>
    <row r="301" spans="5:7" x14ac:dyDescent="0.25">
      <c r="E301" s="11">
        <f t="shared" si="28"/>
        <v>-41</v>
      </c>
      <c r="F301" s="11">
        <f t="shared" si="29"/>
        <v>-15.253625561804215</v>
      </c>
      <c r="G301" s="11">
        <f t="shared" si="30"/>
        <v>-15.240558122346783</v>
      </c>
    </row>
    <row r="302" spans="5:7" x14ac:dyDescent="0.25">
      <c r="E302" s="11">
        <f t="shared" si="28"/>
        <v>-40</v>
      </c>
      <c r="F302" s="11">
        <f t="shared" si="29"/>
        <v>-14.979249137981963</v>
      </c>
      <c r="G302" s="11">
        <f t="shared" si="30"/>
        <v>-14.964418466585546</v>
      </c>
    </row>
    <row r="303" spans="5:7" x14ac:dyDescent="0.25">
      <c r="E303" s="11">
        <f t="shared" si="28"/>
        <v>-39</v>
      </c>
      <c r="F303" s="11">
        <f t="shared" si="29"/>
        <v>-14.700724493380447</v>
      </c>
      <c r="G303" s="11">
        <f t="shared" si="30"/>
        <v>-14.684135584775344</v>
      </c>
    </row>
    <row r="304" spans="5:7" x14ac:dyDescent="0.25">
      <c r="E304" s="11">
        <f t="shared" si="28"/>
        <v>-38</v>
      </c>
      <c r="F304" s="11">
        <f t="shared" si="29"/>
        <v>-14.417958777711913</v>
      </c>
      <c r="G304" s="11">
        <f t="shared" si="30"/>
        <v>-14.399608676374129</v>
      </c>
    </row>
    <row r="305" spans="5:7" x14ac:dyDescent="0.25">
      <c r="E305" s="11">
        <f t="shared" si="28"/>
        <v>-37</v>
      </c>
      <c r="F305" s="11">
        <f t="shared" si="29"/>
        <v>-14.130859940255682</v>
      </c>
      <c r="G305" s="11">
        <f t="shared" si="30"/>
        <v>-14.11073694083985</v>
      </c>
    </row>
    <row r="306" spans="5:7" x14ac:dyDescent="0.25">
      <c r="E306" s="11">
        <f t="shared" si="28"/>
        <v>-36</v>
      </c>
      <c r="F306" s="11">
        <f t="shared" si="29"/>
        <v>-13.83933713921545</v>
      </c>
      <c r="G306" s="11">
        <f t="shared" si="30"/>
        <v>-13.817419577630471</v>
      </c>
    </row>
    <row r="307" spans="5:7" x14ac:dyDescent="0.25">
      <c r="E307" s="11">
        <f t="shared" si="28"/>
        <v>-35</v>
      </c>
      <c r="F307" s="11">
        <f t="shared" si="29"/>
        <v>-13.543301155458554</v>
      </c>
      <c r="G307" s="11">
        <f t="shared" si="30"/>
        <v>-13.519555786203934</v>
      </c>
    </row>
    <row r="308" spans="5:7" x14ac:dyDescent="0.25">
      <c r="E308" s="11">
        <f t="shared" si="28"/>
        <v>-34</v>
      </c>
      <c r="F308" s="11">
        <f t="shared" si="29"/>
        <v>-13.242664809715558</v>
      </c>
      <c r="G308" s="11">
        <f t="shared" si="30"/>
        <v>-13.217044766018205</v>
      </c>
    </row>
    <row r="309" spans="5:7" x14ac:dyDescent="0.25">
      <c r="E309" s="11">
        <f t="shared" si="28"/>
        <v>-33</v>
      </c>
      <c r="F309" s="11">
        <f t="shared" si="29"/>
        <v>-12.937343382322801</v>
      </c>
      <c r="G309" s="11">
        <f t="shared" si="30"/>
        <v>-12.909785716531228</v>
      </c>
    </row>
    <row r="310" spans="5:7" x14ac:dyDescent="0.25">
      <c r="E310" s="11">
        <f t="shared" si="28"/>
        <v>-32</v>
      </c>
      <c r="F310" s="11">
        <f t="shared" si="29"/>
        <v>-12.627255034594679</v>
      </c>
      <c r="G310" s="11">
        <f t="shared" si="30"/>
        <v>-12.597677837200964</v>
      </c>
    </row>
    <row r="311" spans="5:7" x14ac:dyDescent="0.25">
      <c r="E311" s="11">
        <f t="shared" si="28"/>
        <v>-31</v>
      </c>
      <c r="F311" s="11">
        <f t="shared" si="29"/>
        <v>-12.312321230916877</v>
      </c>
      <c r="G311" s="11">
        <f t="shared" si="30"/>
        <v>-12.280620327485364</v>
      </c>
    </row>
    <row r="312" spans="5:7" x14ac:dyDescent="0.25">
      <c r="E312" s="11">
        <f t="shared" si="28"/>
        <v>-30</v>
      </c>
      <c r="F312" s="11">
        <f t="shared" si="29"/>
        <v>-11.992467160655828</v>
      </c>
      <c r="G312" s="11">
        <f t="shared" si="30"/>
        <v>-11.958512386842379</v>
      </c>
    </row>
    <row r="313" spans="5:7" x14ac:dyDescent="0.25">
      <c r="E313" s="11">
        <f t="shared" si="28"/>
        <v>-29</v>
      </c>
      <c r="F313" s="11">
        <f t="shared" si="29"/>
        <v>-11.667622158984113</v>
      </c>
      <c r="G313" s="11">
        <f t="shared" si="30"/>
        <v>-11.631273701652272</v>
      </c>
    </row>
    <row r="314" spans="5:7" x14ac:dyDescent="0.25">
      <c r="E314" s="11">
        <f t="shared" si="28"/>
        <v>-28</v>
      </c>
      <c r="F314" s="11">
        <f t="shared" si="29"/>
        <v>-11.337720125725623</v>
      </c>
      <c r="G314" s="11">
        <f t="shared" si="30"/>
        <v>-11.298905905984519</v>
      </c>
    </row>
    <row r="315" spans="5:7" x14ac:dyDescent="0.25">
      <c r="E315" s="11">
        <f t="shared" si="28"/>
        <v>-27</v>
      </c>
      <c r="F315" s="11">
        <f t="shared" si="29"/>
        <v>-11.002699941328677</v>
      </c>
      <c r="G315" s="11">
        <f t="shared" si="30"/>
        <v>-10.961431120830902</v>
      </c>
    </row>
    <row r="316" spans="5:7" x14ac:dyDescent="0.25">
      <c r="E316" s="11">
        <f t="shared" si="28"/>
        <v>-26</v>
      </c>
      <c r="F316" s="11">
        <f t="shared" si="29"/>
        <v>-10.662505879079456</v>
      </c>
      <c r="G316" s="11">
        <f t="shared" si="30"/>
        <v>-10.618871467183206</v>
      </c>
    </row>
    <row r="317" spans="5:7" x14ac:dyDescent="0.25">
      <c r="E317" s="11">
        <f t="shared" si="28"/>
        <v>-25</v>
      </c>
      <c r="F317" s="11">
        <f t="shared" si="29"/>
        <v>-10.31708801267242</v>
      </c>
      <c r="G317" s="11">
        <f t="shared" si="30"/>
        <v>-10.271249066033212</v>
      </c>
    </row>
    <row r="318" spans="5:7" x14ac:dyDescent="0.25">
      <c r="E318" s="11">
        <f t="shared" si="28"/>
        <v>-24</v>
      </c>
      <c r="F318" s="11">
        <f t="shared" si="29"/>
        <v>-9.9664026182586625</v>
      </c>
      <c r="G318" s="11">
        <f t="shared" si="30"/>
        <v>-9.9185860383726983</v>
      </c>
    </row>
    <row r="319" spans="5:7" x14ac:dyDescent="0.25">
      <c r="E319" s="11">
        <f t="shared" si="28"/>
        <v>-23</v>
      </c>
      <c r="F319" s="11">
        <f t="shared" si="29"/>
        <v>-9.6104125700972922</v>
      </c>
      <c r="G319" s="11">
        <f t="shared" si="30"/>
        <v>-9.5609045051934558</v>
      </c>
    </row>
    <row r="320" spans="5:7" x14ac:dyDescent="0.25">
      <c r="E320" s="11">
        <f t="shared" si="28"/>
        <v>-22</v>
      </c>
      <c r="F320" s="11">
        <f t="shared" si="29"/>
        <v>-9.2490877289393687</v>
      </c>
      <c r="G320" s="11">
        <f t="shared" si="30"/>
        <v>-9.1982265874872589</v>
      </c>
    </row>
    <row r="321" spans="5:7" x14ac:dyDescent="0.25">
      <c r="E321" s="11">
        <f t="shared" si="28"/>
        <v>-21</v>
      </c>
      <c r="F321" s="11">
        <f t="shared" si="29"/>
        <v>-8.8824053222779806</v>
      </c>
      <c r="G321" s="11">
        <f t="shared" si="30"/>
        <v>-8.8305744062458942</v>
      </c>
    </row>
    <row r="322" spans="5:7" x14ac:dyDescent="0.25">
      <c r="E322" s="11">
        <f t="shared" si="28"/>
        <v>-20</v>
      </c>
      <c r="F322" s="11">
        <f t="shared" si="29"/>
        <v>-8.5103503156025067</v>
      </c>
      <c r="G322" s="11">
        <f t="shared" si="30"/>
        <v>-8.457970082461145</v>
      </c>
    </row>
    <row r="323" spans="5:7" x14ac:dyDescent="0.25">
      <c r="E323" s="11">
        <f t="shared" si="28"/>
        <v>-19</v>
      </c>
      <c r="F323" s="11">
        <f t="shared" si="29"/>
        <v>-8.132915773799116</v>
      </c>
      <c r="G323" s="11">
        <f t="shared" si="30"/>
        <v>-8.080435737124791</v>
      </c>
    </row>
    <row r="324" spans="5:7" x14ac:dyDescent="0.25">
      <c r="E324" s="11">
        <f t="shared" si="28"/>
        <v>-18</v>
      </c>
      <c r="F324" s="11">
        <f t="shared" si="29"/>
        <v>-7.7501032118441895</v>
      </c>
      <c r="G324" s="11">
        <f t="shared" si="30"/>
        <v>-7.6979934912286145</v>
      </c>
    </row>
    <row r="325" spans="5:7" x14ac:dyDescent="0.25">
      <c r="E325" s="11">
        <f t="shared" si="28"/>
        <v>-17</v>
      </c>
      <c r="F325" s="11">
        <f t="shared" si="29"/>
        <v>-7.3619229339411039</v>
      </c>
      <c r="G325" s="11">
        <f t="shared" si="30"/>
        <v>-7.3106654657643997</v>
      </c>
    </row>
    <row r="326" spans="5:7" x14ac:dyDescent="0.25">
      <c r="E326" s="11">
        <f t="shared" si="28"/>
        <v>-16</v>
      </c>
      <c r="F326" s="11">
        <f t="shared" si="29"/>
        <v>-6.9683943602555694</v>
      </c>
      <c r="G326" s="11">
        <f t="shared" si="30"/>
        <v>-6.9184737817239288</v>
      </c>
    </row>
    <row r="327" spans="5:7" x14ac:dyDescent="0.25">
      <c r="E327" s="11">
        <f t="shared" si="28"/>
        <v>-15</v>
      </c>
      <c r="F327" s="11">
        <f t="shared" si="29"/>
        <v>-6.5695463404086212</v>
      </c>
      <c r="G327" s="11">
        <f t="shared" si="30"/>
        <v>-6.5214405600989842</v>
      </c>
    </row>
    <row r="328" spans="5:7" x14ac:dyDescent="0.25">
      <c r="E328" s="11">
        <f t="shared" si="28"/>
        <v>-14</v>
      </c>
      <c r="F328" s="11">
        <f t="shared" si="29"/>
        <v>-6.1654174528908188</v>
      </c>
      <c r="G328" s="11">
        <f t="shared" si="30"/>
        <v>-6.1195879218813474</v>
      </c>
    </row>
    <row r="329" spans="5:7" x14ac:dyDescent="0.25">
      <c r="E329" s="11">
        <f t="shared" si="28"/>
        <v>-13</v>
      </c>
      <c r="F329" s="11">
        <f t="shared" si="29"/>
        <v>-5.7560562895653336</v>
      </c>
      <c r="G329" s="11">
        <f t="shared" si="30"/>
        <v>-5.7129379880628015</v>
      </c>
    </row>
    <row r="330" spans="5:7" x14ac:dyDescent="0.25">
      <c r="E330" s="11">
        <f t="shared" si="28"/>
        <v>-12</v>
      </c>
      <c r="F330" s="11">
        <f t="shared" si="29"/>
        <v>-5.3415217244319777</v>
      </c>
      <c r="G330" s="11">
        <f t="shared" si="30"/>
        <v>-5.3015128796351298</v>
      </c>
    </row>
    <row r="331" spans="5:7" x14ac:dyDescent="0.25">
      <c r="E331" s="11">
        <f t="shared" si="28"/>
        <v>-11</v>
      </c>
      <c r="F331" s="11">
        <f t="shared" si="29"/>
        <v>-4.921883165828393</v>
      </c>
      <c r="G331" s="11">
        <f t="shared" si="30"/>
        <v>-4.8853347175901138</v>
      </c>
    </row>
    <row r="332" spans="5:7" x14ac:dyDescent="0.25">
      <c r="E332" s="11">
        <f t="shared" si="28"/>
        <v>-10</v>
      </c>
      <c r="F332" s="11">
        <f t="shared" si="29"/>
        <v>-4.4972207912489166</v>
      </c>
      <c r="G332" s="11">
        <f t="shared" si="30"/>
        <v>-4.4644256229195349</v>
      </c>
    </row>
    <row r="333" spans="5:7" x14ac:dyDescent="0.25">
      <c r="E333" s="11">
        <f t="shared" si="28"/>
        <v>-9</v>
      </c>
      <c r="F333" s="11">
        <f t="shared" si="29"/>
        <v>-4.0676257639659159</v>
      </c>
      <c r="G333" s="11">
        <f t="shared" si="30"/>
        <v>-4.0388077166151781</v>
      </c>
    </row>
    <row r="334" spans="5:7" x14ac:dyDescent="0.25">
      <c r="E334" s="11">
        <f t="shared" si="28"/>
        <v>-8</v>
      </c>
      <c r="F334" s="11">
        <f t="shared" si="29"/>
        <v>-3.6332004306425842</v>
      </c>
      <c r="G334" s="11">
        <f t="shared" si="30"/>
        <v>-3.6085031196688244</v>
      </c>
    </row>
    <row r="335" spans="5:7" x14ac:dyDescent="0.25">
      <c r="E335" s="11">
        <f t="shared" si="28"/>
        <v>-7</v>
      </c>
      <c r="F335" s="11">
        <f t="shared" si="29"/>
        <v>-3.1940584991304988</v>
      </c>
      <c r="G335" s="11">
        <f t="shared" si="30"/>
        <v>-3.1735339530722557</v>
      </c>
    </row>
    <row r="336" spans="5:7" x14ac:dyDescent="0.25">
      <c r="E336" s="11">
        <f t="shared" si="28"/>
        <v>-6</v>
      </c>
      <c r="F336" s="11">
        <f t="shared" si="29"/>
        <v>-2.7503251956494812</v>
      </c>
      <c r="G336" s="11">
        <f t="shared" si="30"/>
        <v>-2.7339223378172552</v>
      </c>
    </row>
    <row r="337" spans="5:7" x14ac:dyDescent="0.25">
      <c r="E337" s="11">
        <f t="shared" si="28"/>
        <v>-5</v>
      </c>
      <c r="F337" s="11">
        <f t="shared" si="29"/>
        <v>-2.3021374005515467</v>
      </c>
      <c r="G337" s="11">
        <f t="shared" si="30"/>
        <v>-2.2896903948956053</v>
      </c>
    </row>
    <row r="338" spans="5:7" x14ac:dyDescent="0.25">
      <c r="E338" s="11">
        <f t="shared" si="28"/>
        <v>-4</v>
      </c>
      <c r="F338" s="11">
        <f t="shared" si="29"/>
        <v>-1.849643761875005</v>
      </c>
      <c r="G338" s="11">
        <f t="shared" si="30"/>
        <v>-1.8408602452990888</v>
      </c>
    </row>
    <row r="339" spans="5:7" x14ac:dyDescent="0.25">
      <c r="E339" s="11">
        <f t="shared" si="28"/>
        <v>-3</v>
      </c>
      <c r="F339" s="11">
        <f t="shared" si="29"/>
        <v>-1.3930047858990176</v>
      </c>
      <c r="G339" s="11">
        <f t="shared" si="30"/>
        <v>-1.3874540100194874</v>
      </c>
    </row>
    <row r="340" spans="5:7" x14ac:dyDescent="0.25">
      <c r="E340" s="11">
        <f t="shared" si="28"/>
        <v>-2</v>
      </c>
      <c r="F340" s="11">
        <f t="shared" si="29"/>
        <v>-0.93239290391317831</v>
      </c>
      <c r="G340" s="11">
        <f t="shared" si="30"/>
        <v>-0.92949381004858389</v>
      </c>
    </row>
    <row r="341" spans="5:7" x14ac:dyDescent="0.25">
      <c r="E341" s="11">
        <f t="shared" si="28"/>
        <v>-1</v>
      </c>
      <c r="F341" s="11">
        <f t="shared" si="29"/>
        <v>-0.46799251442094525</v>
      </c>
      <c r="G341" s="11">
        <f t="shared" si="30"/>
        <v>-0.46700176637816065</v>
      </c>
    </row>
    <row r="342" spans="5:7" x14ac:dyDescent="0.25">
      <c r="E342" s="11">
        <f t="shared" si="28"/>
        <v>0</v>
      </c>
      <c r="F342" s="11">
        <f t="shared" si="29"/>
        <v>0</v>
      </c>
      <c r="G342" s="11">
        <f t="shared" si="30"/>
        <v>-1.1102230246251565E-16</v>
      </c>
    </row>
    <row r="343" spans="5:7" x14ac:dyDescent="0.25">
      <c r="E343" s="11">
        <f t="shared" si="28"/>
        <v>1</v>
      </c>
      <c r="F343" s="11">
        <f t="shared" si="29"/>
        <v>0.4713762819531242</v>
      </c>
      <c r="G343" s="11">
        <f t="shared" si="30"/>
        <v>0.4714278024659655</v>
      </c>
    </row>
    <row r="344" spans="5:7" x14ac:dyDescent="0.25">
      <c r="E344" s="11">
        <f t="shared" si="28"/>
        <v>2</v>
      </c>
      <c r="F344" s="11">
        <f t="shared" si="29"/>
        <v>0.94591603536255142</v>
      </c>
      <c r="G344" s="11">
        <f t="shared" si="30"/>
        <v>0.9469516918872054</v>
      </c>
    </row>
    <row r="345" spans="5:7" x14ac:dyDescent="0.25">
      <c r="E345" s="11">
        <f t="shared" si="28"/>
        <v>3</v>
      </c>
      <c r="F345" s="11">
        <f t="shared" si="29"/>
        <v>1.4233870892608584</v>
      </c>
      <c r="G345" s="11">
        <f t="shared" si="30"/>
        <v>1.4261801535030385</v>
      </c>
    </row>
    <row r="346" spans="5:7" x14ac:dyDescent="0.25">
      <c r="E346" s="11">
        <f t="shared" si="28"/>
        <v>4</v>
      </c>
      <c r="F346" s="11">
        <f t="shared" si="29"/>
        <v>1.9035454899850477</v>
      </c>
      <c r="G346" s="11">
        <f t="shared" si="30"/>
        <v>1.9087216725527845</v>
      </c>
    </row>
    <row r="347" spans="5:7" x14ac:dyDescent="0.25">
      <c r="E347" s="11">
        <f t="shared" si="28"/>
        <v>5</v>
      </c>
      <c r="F347" s="11">
        <f t="shared" si="29"/>
        <v>2.3861356225363277</v>
      </c>
      <c r="G347" s="11">
        <f t="shared" si="30"/>
        <v>2.3941847342757625</v>
      </c>
    </row>
    <row r="348" spans="5:7" x14ac:dyDescent="0.25">
      <c r="E348" s="11">
        <f t="shared" si="28"/>
        <v>6</v>
      </c>
      <c r="F348" s="11">
        <f t="shared" si="29"/>
        <v>2.8708903618550852</v>
      </c>
      <c r="G348" s="11">
        <f t="shared" si="30"/>
        <v>2.8821778239112921</v>
      </c>
    </row>
    <row r="349" spans="5:7" x14ac:dyDescent="0.25">
      <c r="E349" s="11">
        <f t="shared" si="28"/>
        <v>7</v>
      </c>
      <c r="F349" s="11">
        <f t="shared" si="29"/>
        <v>3.3575312547581699</v>
      </c>
      <c r="G349" s="11">
        <f t="shared" si="30"/>
        <v>3.3723094266986924</v>
      </c>
    </row>
    <row r="350" spans="5:7" x14ac:dyDescent="0.25">
      <c r="E350" s="11">
        <f t="shared" si="28"/>
        <v>8</v>
      </c>
      <c r="F350" s="11">
        <f t="shared" si="29"/>
        <v>3.8457687332813375</v>
      </c>
      <c r="G350" s="11">
        <f t="shared" si="30"/>
        <v>3.8641880278772822</v>
      </c>
    </row>
    <row r="351" spans="5:7" x14ac:dyDescent="0.25">
      <c r="E351" s="11">
        <f t="shared" ref="E351:E414" si="31">E144</f>
        <v>9</v>
      </c>
      <c r="F351" s="11">
        <f t="shared" ref="F351:F414" si="32">$H$217*0+E351*$I$217+E351^2*$J$217+E351^3*$K$217+E351^4*$L$217+E351^5*$M$217+E351^6*$N$217+E351^7*$O$217+E351^8*$P$217</f>
        <v>4.3353023601654925</v>
      </c>
      <c r="G351" s="11">
        <f t="shared" ref="G351:G414" si="33">F144</f>
        <v>4.3574221126863826</v>
      </c>
    </row>
    <row r="352" spans="5:7" x14ac:dyDescent="0.25">
      <c r="E352" s="11">
        <f t="shared" si="31"/>
        <v>10</v>
      </c>
      <c r="F352" s="11">
        <f t="shared" si="32"/>
        <v>4.8258211072210342</v>
      </c>
      <c r="G352" s="11">
        <f t="shared" si="33"/>
        <v>4.8516201663653105</v>
      </c>
    </row>
    <row r="353" spans="5:7" x14ac:dyDescent="0.25">
      <c r="E353" s="11">
        <f t="shared" si="31"/>
        <v>11</v>
      </c>
      <c r="F353" s="11">
        <f t="shared" si="32"/>
        <v>5.3170036673004484</v>
      </c>
      <c r="G353" s="11">
        <f t="shared" si="33"/>
        <v>5.3463906741533869</v>
      </c>
    </row>
    <row r="354" spans="5:7" x14ac:dyDescent="0.25">
      <c r="E354" s="11">
        <f t="shared" si="31"/>
        <v>12</v>
      </c>
      <c r="F354" s="11">
        <f t="shared" si="32"/>
        <v>5.8085188006049364</v>
      </c>
      <c r="G354" s="11">
        <f t="shared" si="33"/>
        <v>5.8413421212899301</v>
      </c>
    </row>
    <row r="355" spans="5:7" x14ac:dyDescent="0.25">
      <c r="E355" s="11">
        <f t="shared" si="31"/>
        <v>13</v>
      </c>
      <c r="F355" s="11">
        <f t="shared" si="32"/>
        <v>6.3000257160466946</v>
      </c>
      <c r="G355" s="11">
        <f t="shared" si="33"/>
        <v>6.3360829930142613</v>
      </c>
    </row>
    <row r="356" spans="5:7" x14ac:dyDescent="0.25">
      <c r="E356" s="11">
        <f t="shared" si="31"/>
        <v>14</v>
      </c>
      <c r="F356" s="11">
        <f t="shared" si="32"/>
        <v>6.7911744883841285</v>
      </c>
      <c r="G356" s="11">
        <f t="shared" si="33"/>
        <v>6.8302217745656977</v>
      </c>
    </row>
    <row r="357" spans="5:7" x14ac:dyDescent="0.25">
      <c r="E357" s="11">
        <f t="shared" si="31"/>
        <v>15</v>
      </c>
      <c r="F357" s="11">
        <f t="shared" si="32"/>
        <v>7.281606511843119</v>
      </c>
      <c r="G357" s="11">
        <f t="shared" si="33"/>
        <v>7.3233669511835586</v>
      </c>
    </row>
    <row r="358" spans="5:7" x14ac:dyDescent="0.25">
      <c r="E358" s="11">
        <f t="shared" si="31"/>
        <v>16</v>
      </c>
      <c r="F358" s="11">
        <f t="shared" si="32"/>
        <v>7.7709549909330899</v>
      </c>
      <c r="G358" s="11">
        <f t="shared" si="33"/>
        <v>7.815127008107166</v>
      </c>
    </row>
    <row r="359" spans="5:7" x14ac:dyDescent="0.25">
      <c r="E359" s="11">
        <f t="shared" si="31"/>
        <v>17</v>
      </c>
      <c r="F359" s="11">
        <f t="shared" si="32"/>
        <v>8.2588454691624751</v>
      </c>
      <c r="G359" s="11">
        <f t="shared" si="33"/>
        <v>8.3051104305758372</v>
      </c>
    </row>
    <row r="360" spans="5:7" x14ac:dyDescent="0.25">
      <c r="E360" s="11">
        <f t="shared" si="31"/>
        <v>18</v>
      </c>
      <c r="F360" s="11">
        <f t="shared" si="32"/>
        <v>8.7448963963538464</v>
      </c>
      <c r="G360" s="11">
        <f t="shared" si="33"/>
        <v>8.7929257038288888</v>
      </c>
    </row>
    <row r="361" spans="5:7" x14ac:dyDescent="0.25">
      <c r="E361" s="11">
        <f t="shared" si="31"/>
        <v>19</v>
      </c>
      <c r="F361" s="11">
        <f t="shared" si="32"/>
        <v>9.2287197352547565</v>
      </c>
      <c r="G361" s="11">
        <f t="shared" si="33"/>
        <v>9.2781813131056445</v>
      </c>
    </row>
    <row r="362" spans="5:7" x14ac:dyDescent="0.25">
      <c r="E362" s="11">
        <f t="shared" si="31"/>
        <v>20</v>
      </c>
      <c r="F362" s="11">
        <f t="shared" si="32"/>
        <v>9.709921608136094</v>
      </c>
      <c r="G362" s="11">
        <f t="shared" si="33"/>
        <v>9.7604857436454235</v>
      </c>
    </row>
    <row r="363" spans="5:7" x14ac:dyDescent="0.25">
      <c r="E363" s="11">
        <f t="shared" si="31"/>
        <v>21</v>
      </c>
      <c r="F363" s="11">
        <f t="shared" si="32"/>
        <v>10.188102984065408</v>
      </c>
      <c r="G363" s="11">
        <f t="shared" si="33"/>
        <v>10.239447480687545</v>
      </c>
    </row>
    <row r="364" spans="5:7" x14ac:dyDescent="0.25">
      <c r="E364" s="11">
        <f t="shared" si="31"/>
        <v>22</v>
      </c>
      <c r="F364" s="11">
        <f t="shared" si="32"/>
        <v>10.662860407538552</v>
      </c>
      <c r="G364" s="11">
        <f t="shared" si="33"/>
        <v>10.714675009471325</v>
      </c>
    </row>
    <row r="365" spans="5:7" x14ac:dyDescent="0.25">
      <c r="E365" s="11">
        <f t="shared" si="31"/>
        <v>23</v>
      </c>
      <c r="F365" s="11">
        <f t="shared" si="32"/>
        <v>11.13378676914861</v>
      </c>
      <c r="G365" s="11">
        <f t="shared" si="33"/>
        <v>11.185776815236084</v>
      </c>
    </row>
    <row r="366" spans="5:7" x14ac:dyDescent="0.25">
      <c r="E366" s="11">
        <f t="shared" si="31"/>
        <v>24</v>
      </c>
      <c r="F366" s="11">
        <f t="shared" si="32"/>
        <v>11.600472118966845</v>
      </c>
      <c r="G366" s="11">
        <f t="shared" si="33"/>
        <v>11.652361383221143</v>
      </c>
    </row>
    <row r="367" spans="5:7" x14ac:dyDescent="0.25">
      <c r="E367" s="11">
        <f t="shared" si="31"/>
        <v>25</v>
      </c>
      <c r="F367" s="11">
        <f t="shared" si="32"/>
        <v>12.062504523306215</v>
      </c>
      <c r="G367" s="11">
        <f t="shared" si="33"/>
        <v>12.114037198665823</v>
      </c>
    </row>
    <row r="368" spans="5:7" x14ac:dyDescent="0.25">
      <c r="E368" s="11">
        <f t="shared" si="31"/>
        <v>26</v>
      </c>
      <c r="F368" s="11">
        <f t="shared" si="32"/>
        <v>12.51947096553363</v>
      </c>
      <c r="G368" s="11">
        <f t="shared" si="33"/>
        <v>12.570412746809437</v>
      </c>
    </row>
    <row r="369" spans="5:7" x14ac:dyDescent="0.25">
      <c r="E369" s="11">
        <f t="shared" si="31"/>
        <v>27</v>
      </c>
      <c r="F369" s="11">
        <f t="shared" si="32"/>
        <v>12.970958291593005</v>
      </c>
      <c r="G369" s="11">
        <f t="shared" si="33"/>
        <v>13.021096512891308</v>
      </c>
    </row>
    <row r="370" spans="5:7" x14ac:dyDescent="0.25">
      <c r="E370" s="11">
        <f t="shared" si="31"/>
        <v>28</v>
      </c>
      <c r="F370" s="11">
        <f t="shared" si="32"/>
        <v>13.41655420089675</v>
      </c>
      <c r="G370" s="11">
        <f t="shared" si="33"/>
        <v>13.46569698215076</v>
      </c>
    </row>
    <row r="371" spans="5:7" x14ac:dyDescent="0.25">
      <c r="E371" s="11">
        <f t="shared" si="31"/>
        <v>29</v>
      </c>
      <c r="F371" s="11">
        <f t="shared" si="32"/>
        <v>13.855848283239251</v>
      </c>
      <c r="G371" s="11">
        <f t="shared" si="33"/>
        <v>13.903822639827105</v>
      </c>
    </row>
    <row r="372" spans="5:7" x14ac:dyDescent="0.25">
      <c r="E372" s="11">
        <f t="shared" si="31"/>
        <v>30</v>
      </c>
      <c r="F372" s="11">
        <f t="shared" si="32"/>
        <v>14.288433102381486</v>
      </c>
      <c r="G372" s="11">
        <f t="shared" si="33"/>
        <v>14.335081971159664</v>
      </c>
    </row>
    <row r="373" spans="5:7" x14ac:dyDescent="0.25">
      <c r="E373" s="11">
        <f t="shared" si="31"/>
        <v>31</v>
      </c>
      <c r="F373" s="11">
        <f t="shared" si="32"/>
        <v>14.713905326951755</v>
      </c>
      <c r="G373" s="11">
        <f t="shared" si="33"/>
        <v>14.75908346138776</v>
      </c>
    </row>
    <row r="374" spans="5:7" x14ac:dyDescent="0.25">
      <c r="E374" s="11">
        <f t="shared" si="31"/>
        <v>32</v>
      </c>
      <c r="F374" s="11">
        <f t="shared" si="32"/>
        <v>15.131866909303227</v>
      </c>
      <c r="G374" s="11">
        <f t="shared" si="33"/>
        <v>15.175435595750709</v>
      </c>
    </row>
    <row r="375" spans="5:7" x14ac:dyDescent="0.25">
      <c r="E375" s="11">
        <f t="shared" si="31"/>
        <v>33</v>
      </c>
      <c r="F375" s="11">
        <f t="shared" si="32"/>
        <v>15.541926312964742</v>
      </c>
      <c r="G375" s="11">
        <f t="shared" si="33"/>
        <v>15.583746859487832</v>
      </c>
    </row>
    <row r="376" spans="5:7" x14ac:dyDescent="0.25">
      <c r="E376" s="11">
        <f t="shared" si="31"/>
        <v>34</v>
      </c>
      <c r="F376" s="11">
        <f t="shared" si="32"/>
        <v>15.943699789317014</v>
      </c>
      <c r="G376" s="11">
        <f t="shared" si="33"/>
        <v>15.983625737838448</v>
      </c>
    </row>
    <row r="377" spans="5:7" x14ac:dyDescent="0.25">
      <c r="E377" s="11">
        <f t="shared" si="31"/>
        <v>35</v>
      </c>
      <c r="F377" s="11">
        <f t="shared" si="32"/>
        <v>16.336812704122245</v>
      </c>
      <c r="G377" s="11">
        <f t="shared" si="33"/>
        <v>16.374680716041873</v>
      </c>
    </row>
    <row r="378" spans="5:7" x14ac:dyDescent="0.25">
      <c r="E378" s="11">
        <f t="shared" si="31"/>
        <v>36</v>
      </c>
      <c r="F378" s="11">
        <f t="shared" si="32"/>
        <v>16.720900914530706</v>
      </c>
      <c r="G378" s="11">
        <f t="shared" si="33"/>
        <v>16.75652027933743</v>
      </c>
    </row>
    <row r="379" spans="5:7" x14ac:dyDescent="0.25">
      <c r="E379" s="11">
        <f t="shared" si="31"/>
        <v>37</v>
      </c>
      <c r="F379" s="11">
        <f t="shared" si="32"/>
        <v>17.095612197183794</v>
      </c>
      <c r="G379" s="11">
        <f t="shared" si="33"/>
        <v>17.128752912964437</v>
      </c>
    </row>
    <row r="380" spans="5:7" x14ac:dyDescent="0.25">
      <c r="E380" s="11">
        <f t="shared" si="31"/>
        <v>38</v>
      </c>
      <c r="F380" s="11">
        <f t="shared" si="32"/>
        <v>17.460607728028695</v>
      </c>
      <c r="G380" s="11">
        <f t="shared" si="33"/>
        <v>17.490987102162215</v>
      </c>
    </row>
    <row r="381" spans="5:7" x14ac:dyDescent="0.25">
      <c r="E381" s="11">
        <f t="shared" si="31"/>
        <v>39</v>
      </c>
      <c r="F381" s="11">
        <f t="shared" si="32"/>
        <v>17.815563614455499</v>
      </c>
      <c r="G381" s="11">
        <f t="shared" si="33"/>
        <v>17.842831332170082</v>
      </c>
    </row>
    <row r="382" spans="5:7" x14ac:dyDescent="0.25">
      <c r="E382" s="11">
        <f t="shared" si="31"/>
        <v>40</v>
      </c>
      <c r="F382" s="11">
        <f t="shared" si="32"/>
        <v>18.160172480363443</v>
      </c>
      <c r="G382" s="11">
        <f t="shared" si="33"/>
        <v>18.183894088227358</v>
      </c>
    </row>
    <row r="383" spans="5:7" x14ac:dyDescent="0.25">
      <c r="E383" s="11">
        <f t="shared" si="31"/>
        <v>41</v>
      </c>
      <c r="F383" s="11">
        <f t="shared" si="32"/>
        <v>18.494145104758722</v>
      </c>
      <c r="G383" s="11">
        <f t="shared" si="33"/>
        <v>18.513783855573362</v>
      </c>
    </row>
    <row r="384" spans="5:7" x14ac:dyDescent="0.25">
      <c r="E384" s="11">
        <f t="shared" si="31"/>
        <v>42</v>
      </c>
      <c r="F384" s="11">
        <f t="shared" si="32"/>
        <v>18.817212114481951</v>
      </c>
      <c r="G384" s="11">
        <f t="shared" si="33"/>
        <v>18.832109119447413</v>
      </c>
    </row>
    <row r="385" spans="5:7" x14ac:dyDescent="0.25">
      <c r="E385" s="11">
        <f t="shared" si="31"/>
        <v>43</v>
      </c>
      <c r="F385" s="11">
        <f t="shared" si="32"/>
        <v>19.129125731659013</v>
      </c>
      <c r="G385" s="11">
        <f t="shared" si="33"/>
        <v>19.138478365088826</v>
      </c>
    </row>
    <row r="386" spans="5:7" x14ac:dyDescent="0.25">
      <c r="E386" s="11">
        <f t="shared" si="31"/>
        <v>44</v>
      </c>
      <c r="F386" s="11">
        <f t="shared" si="32"/>
        <v>19.429661576465218</v>
      </c>
      <c r="G386" s="11">
        <f t="shared" si="33"/>
        <v>19.432500077736929</v>
      </c>
    </row>
    <row r="387" spans="5:7" x14ac:dyDescent="0.25">
      <c r="E387" s="11">
        <f t="shared" si="31"/>
        <v>45</v>
      </c>
      <c r="F387" s="11">
        <f t="shared" si="32"/>
        <v>19.718620525787777</v>
      </c>
      <c r="G387" s="11">
        <f t="shared" si="33"/>
        <v>19.713782742631039</v>
      </c>
    </row>
    <row r="388" spans="5:7" x14ac:dyDescent="0.25">
      <c r="E388" s="11">
        <f t="shared" si="31"/>
        <v>46</v>
      </c>
      <c r="F388" s="11">
        <f t="shared" si="32"/>
        <v>19.995830628368019</v>
      </c>
      <c r="G388" s="11">
        <f t="shared" si="33"/>
        <v>19.982062623958743</v>
      </c>
    </row>
    <row r="389" spans="5:7" x14ac:dyDescent="0.25">
      <c r="E389" s="11">
        <f t="shared" si="31"/>
        <v>47</v>
      </c>
      <c r="F389" s="11">
        <f t="shared" si="32"/>
        <v>20.261149076999875</v>
      </c>
      <c r="G389" s="11">
        <f t="shared" si="33"/>
        <v>20.237587101700772</v>
      </c>
    </row>
    <row r="390" spans="5:7" x14ac:dyDescent="0.25">
      <c r="E390" s="11">
        <f t="shared" si="31"/>
        <v>48</v>
      </c>
      <c r="F390" s="11">
        <f t="shared" si="32"/>
        <v>20.514464238357473</v>
      </c>
      <c r="G390" s="11">
        <f t="shared" si="33"/>
        <v>20.4807313347861</v>
      </c>
    </row>
    <row r="391" spans="5:7" x14ac:dyDescent="0.25">
      <c r="E391" s="11">
        <f t="shared" si="31"/>
        <v>49</v>
      </c>
      <c r="F391" s="11">
        <f t="shared" si="32"/>
        <v>20.755697741020082</v>
      </c>
      <c r="G391" s="11">
        <f t="shared" si="33"/>
        <v>20.711870482143727</v>
      </c>
    </row>
    <row r="392" spans="5:7" x14ac:dyDescent="0.25">
      <c r="E392" s="11">
        <f t="shared" si="31"/>
        <v>50</v>
      </c>
      <c r="F392" s="11">
        <f t="shared" si="32"/>
        <v>20.984806622258379</v>
      </c>
      <c r="G392" s="11">
        <f t="shared" si="33"/>
        <v>20.931379702702642</v>
      </c>
    </row>
    <row r="393" spans="5:7" x14ac:dyDescent="0.25">
      <c r="E393" s="11">
        <f t="shared" si="31"/>
        <v>51</v>
      </c>
      <c r="F393" s="11">
        <f t="shared" si="32"/>
        <v>21.201785534142022</v>
      </c>
      <c r="G393" s="11">
        <f t="shared" si="33"/>
        <v>21.139634155391835</v>
      </c>
    </row>
    <row r="394" spans="5:7" x14ac:dyDescent="0.25">
      <c r="E394" s="11">
        <f t="shared" si="31"/>
        <v>52</v>
      </c>
      <c r="F394" s="11">
        <f t="shared" si="32"/>
        <v>21.406669009523984</v>
      </c>
      <c r="G394" s="11">
        <f t="shared" si="33"/>
        <v>21.337008999140298</v>
      </c>
    </row>
    <row r="395" spans="5:7" x14ac:dyDescent="0.25">
      <c r="E395" s="11">
        <f t="shared" si="31"/>
        <v>53</v>
      </c>
      <c r="F395" s="11">
        <f t="shared" si="32"/>
        <v>21.599533788452952</v>
      </c>
      <c r="G395" s="11">
        <f t="shared" si="33"/>
        <v>21.523879392877021</v>
      </c>
    </row>
    <row r="396" spans="5:7" x14ac:dyDescent="0.25">
      <c r="E396" s="11">
        <f t="shared" si="31"/>
        <v>54</v>
      </c>
      <c r="F396" s="11">
        <f t="shared" si="32"/>
        <v>21.780501205560864</v>
      </c>
      <c r="G396" s="11">
        <f t="shared" si="33"/>
        <v>21.700620495530991</v>
      </c>
    </row>
    <row r="397" spans="5:7" x14ac:dyDescent="0.25">
      <c r="E397" s="11">
        <f t="shared" si="31"/>
        <v>55</v>
      </c>
      <c r="F397" s="11">
        <f t="shared" si="32"/>
        <v>21.949739638968378</v>
      </c>
      <c r="G397" s="11">
        <f t="shared" si="33"/>
        <v>21.867607466031203</v>
      </c>
    </row>
    <row r="398" spans="5:7" x14ac:dyDescent="0.25">
      <c r="E398" s="11">
        <f t="shared" si="31"/>
        <v>56</v>
      </c>
      <c r="F398" s="11">
        <f t="shared" si="32"/>
        <v>22.107467021246769</v>
      </c>
      <c r="G398" s="11">
        <f t="shared" si="33"/>
        <v>22.025215463306647</v>
      </c>
    </row>
    <row r="399" spans="5:7" x14ac:dyDescent="0.25">
      <c r="E399" s="11">
        <f t="shared" si="31"/>
        <v>57</v>
      </c>
      <c r="F399" s="11">
        <f t="shared" si="32"/>
        <v>22.253953412970535</v>
      </c>
      <c r="G399" s="11">
        <f t="shared" si="33"/>
        <v>22.173819646286315</v>
      </c>
    </row>
    <row r="400" spans="5:7" x14ac:dyDescent="0.25">
      <c r="E400" s="11">
        <f t="shared" si="31"/>
        <v>58</v>
      </c>
      <c r="F400" s="11">
        <f t="shared" si="32"/>
        <v>22.389523639390735</v>
      </c>
      <c r="G400" s="11">
        <f t="shared" si="33"/>
        <v>22.313795173899194</v>
      </c>
    </row>
    <row r="401" spans="5:7" x14ac:dyDescent="0.25">
      <c r="E401" s="11">
        <f t="shared" si="31"/>
        <v>59</v>
      </c>
      <c r="F401" s="11">
        <f t="shared" si="32"/>
        <v>22.514559990754869</v>
      </c>
      <c r="G401" s="11">
        <f t="shared" si="33"/>
        <v>22.445517205074278</v>
      </c>
    </row>
    <row r="402" spans="5:7" x14ac:dyDescent="0.25">
      <c r="E402" s="11">
        <f t="shared" si="31"/>
        <v>60</v>
      </c>
      <c r="F402" s="11">
        <f t="shared" si="32"/>
        <v>22.629504986794675</v>
      </c>
      <c r="G402" s="11">
        <f t="shared" si="33"/>
        <v>22.569360898740555</v>
      </c>
    </row>
    <row r="403" spans="5:7" x14ac:dyDescent="0.25">
      <c r="E403" s="11">
        <f t="shared" si="31"/>
        <v>61</v>
      </c>
      <c r="F403" s="11">
        <f t="shared" si="32"/>
        <v>22.734864205899207</v>
      </c>
      <c r="G403" s="11">
        <f t="shared" si="33"/>
        <v>22.685701413827019</v>
      </c>
    </row>
    <row r="404" spans="5:7" x14ac:dyDescent="0.25">
      <c r="E404" s="11">
        <f t="shared" si="31"/>
        <v>62</v>
      </c>
      <c r="F404" s="11">
        <f t="shared" si="32"/>
        <v>22.831209179486176</v>
      </c>
      <c r="G404" s="11">
        <f t="shared" si="33"/>
        <v>22.794913909262661</v>
      </c>
    </row>
    <row r="405" spans="5:7" x14ac:dyDescent="0.25">
      <c r="E405" s="11">
        <f t="shared" si="31"/>
        <v>63</v>
      </c>
      <c r="F405" s="11">
        <f t="shared" si="32"/>
        <v>22.919180352080147</v>
      </c>
      <c r="G405" s="11">
        <f t="shared" si="33"/>
        <v>22.897373543976464</v>
      </c>
    </row>
    <row r="406" spans="5:7" x14ac:dyDescent="0.25">
      <c r="E406" s="11">
        <f t="shared" si="31"/>
        <v>64</v>
      </c>
      <c r="F406" s="11">
        <f t="shared" si="32"/>
        <v>22.999490107602291</v>
      </c>
      <c r="G406" s="11">
        <f t="shared" si="33"/>
        <v>22.993455476897431</v>
      </c>
    </row>
    <row r="407" spans="5:7" x14ac:dyDescent="0.25">
      <c r="E407" s="11">
        <f t="shared" si="31"/>
        <v>65</v>
      </c>
      <c r="F407" s="11">
        <f t="shared" si="32"/>
        <v>23.072925862371683</v>
      </c>
      <c r="G407" s="11">
        <f t="shared" si="33"/>
        <v>23.083534866954544</v>
      </c>
    </row>
    <row r="408" spans="5:7" x14ac:dyDescent="0.25">
      <c r="E408" s="11">
        <f t="shared" si="31"/>
        <v>66</v>
      </c>
      <c r="F408" s="11">
        <f t="shared" si="32"/>
        <v>23.140353225314296</v>
      </c>
      <c r="G408" s="11">
        <f t="shared" si="33"/>
        <v>23.167986873076792</v>
      </c>
    </row>
    <row r="409" spans="5:7" x14ac:dyDescent="0.25">
      <c r="E409" s="11">
        <f t="shared" si="31"/>
        <v>67</v>
      </c>
      <c r="F409" s="11">
        <f t="shared" si="32"/>
        <v>23.202719225871249</v>
      </c>
      <c r="G409" s="11">
        <f t="shared" si="33"/>
        <v>23.247186654193172</v>
      </c>
    </row>
    <row r="410" spans="5:7" x14ac:dyDescent="0.25">
      <c r="E410" s="11">
        <f t="shared" si="31"/>
        <v>68</v>
      </c>
      <c r="F410" s="11">
        <f t="shared" si="32"/>
        <v>23.261055610093813</v>
      </c>
      <c r="G410" s="11">
        <f t="shared" si="33"/>
        <v>23.321509369232675</v>
      </c>
    </row>
    <row r="411" spans="5:7" x14ac:dyDescent="0.25">
      <c r="E411" s="11">
        <f t="shared" si="31"/>
        <v>69</v>
      </c>
      <c r="F411" s="11">
        <f t="shared" si="32"/>
        <v>23.316482205408445</v>
      </c>
      <c r="G411" s="11">
        <f t="shared" si="33"/>
        <v>23.391330177124292</v>
      </c>
    </row>
    <row r="412" spans="5:7" x14ac:dyDescent="0.25">
      <c r="E412" s="11">
        <f t="shared" si="31"/>
        <v>70</v>
      </c>
      <c r="F412" s="11">
        <f t="shared" si="32"/>
        <v>23.370210354530592</v>
      </c>
      <c r="G412" s="11">
        <f t="shared" si="33"/>
        <v>23.457024236797004</v>
      </c>
    </row>
    <row r="413" spans="5:7" x14ac:dyDescent="0.25">
      <c r="E413" s="11">
        <f t="shared" si="31"/>
        <v>71</v>
      </c>
      <c r="F413" s="11">
        <f t="shared" si="32"/>
        <v>23.42354641900215</v>
      </c>
      <c r="G413" s="11">
        <f t="shared" si="33"/>
        <v>23.518966707179814</v>
      </c>
    </row>
    <row r="414" spans="5:7" x14ac:dyDescent="0.25">
      <c r="E414" s="11">
        <f t="shared" si="31"/>
        <v>72</v>
      </c>
      <c r="F414" s="11">
        <f t="shared" si="32"/>
        <v>23.477895352822834</v>
      </c>
      <c r="G414" s="11">
        <f t="shared" si="33"/>
        <v>23.577532747201705</v>
      </c>
    </row>
    <row r="415" spans="5:7" x14ac:dyDescent="0.25">
      <c r="E415" s="11">
        <f t="shared" ref="E415:E422" si="34">E208</f>
        <v>73</v>
      </c>
      <c r="F415" s="11">
        <f t="shared" ref="F415:F422" si="35">$H$217*0+E415*$I$217+E415^2*$J$217+E415^3*$K$217+E415^4*$L$217+E415^5*$M$217+E415^6*$N$217+E415^7*$O$217+E415^8*$P$217</f>
        <v>23.53476434664174</v>
      </c>
      <c r="G415" s="11">
        <f t="shared" ref="G415:G422" si="36">F208</f>
        <v>23.633097515791668</v>
      </c>
    </row>
    <row r="416" spans="5:7" x14ac:dyDescent="0.25">
      <c r="E416" s="11">
        <f t="shared" si="34"/>
        <v>74</v>
      </c>
      <c r="F416" s="11">
        <f t="shared" si="35"/>
        <v>23.595766542970896</v>
      </c>
      <c r="G416" s="11">
        <f t="shared" si="36"/>
        <v>23.686036171878698</v>
      </c>
    </row>
    <row r="417" spans="5:7" x14ac:dyDescent="0.25">
      <c r="E417" s="11">
        <f t="shared" si="34"/>
        <v>75</v>
      </c>
      <c r="F417" s="11">
        <f t="shared" si="35"/>
        <v>23.662624822878549</v>
      </c>
      <c r="G417" s="11">
        <f t="shared" si="36"/>
        <v>23.736723874391785</v>
      </c>
    </row>
    <row r="418" spans="5:7" x14ac:dyDescent="0.25">
      <c r="E418" s="11">
        <f t="shared" si="34"/>
        <v>76</v>
      </c>
      <c r="F418" s="11">
        <f t="shared" si="35"/>
        <v>23.737175664615517</v>
      </c>
      <c r="G418" s="11">
        <f t="shared" si="36"/>
        <v>23.785535782259917</v>
      </c>
    </row>
    <row r="419" spans="5:7" x14ac:dyDescent="0.25">
      <c r="E419" s="11">
        <f t="shared" si="34"/>
        <v>77</v>
      </c>
      <c r="F419" s="11">
        <f t="shared" si="35"/>
        <v>23.821373074623736</v>
      </c>
      <c r="G419" s="11">
        <f t="shared" si="36"/>
        <v>23.832847054412085</v>
      </c>
    </row>
    <row r="420" spans="5:7" x14ac:dyDescent="0.25">
      <c r="E420" s="11">
        <f t="shared" si="34"/>
        <v>78</v>
      </c>
      <c r="F420" s="11">
        <f t="shared" si="35"/>
        <v>23.917292591371957</v>
      </c>
      <c r="G420" s="11">
        <f t="shared" si="36"/>
        <v>23.879032849777282</v>
      </c>
    </row>
    <row r="421" spans="5:7" x14ac:dyDescent="0.25">
      <c r="E421" s="11">
        <f t="shared" si="34"/>
        <v>79</v>
      </c>
      <c r="F421" s="11">
        <f t="shared" si="35"/>
        <v>24.027135362459063</v>
      </c>
      <c r="G421" s="11">
        <f t="shared" si="36"/>
        <v>23.924468327284497</v>
      </c>
    </row>
    <row r="422" spans="5:7" x14ac:dyDescent="0.25">
      <c r="E422" s="11">
        <f t="shared" si="34"/>
        <v>80</v>
      </c>
      <c r="F422" s="11">
        <f t="shared" si="35"/>
        <v>24.153232295421592</v>
      </c>
      <c r="G422" s="11">
        <f t="shared" si="36"/>
        <v>23.96952864586272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2022-01-05T19:03:09Z</dcterms:modified>
</cp:coreProperties>
</file>